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per\Documents\Documents\BUAD425\"/>
    </mc:Choice>
  </mc:AlternateContent>
  <xr:revisionPtr revIDLastSave="0" documentId="13_ncr:1_{BC48A048-BED2-40C6-83D6-A49F2E22F5A2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Dataset" sheetId="2" r:id="rId1"/>
    <sheet name="Lookup" sheetId="4" r:id="rId2"/>
    <sheet name="Question3&amp;4" sheetId="13" r:id="rId3"/>
    <sheet name="Question5&amp;6" sheetId="12" r:id="rId4"/>
    <sheet name="Question7" sheetId="11" r:id="rId5"/>
    <sheet name="Q7A" sheetId="15" r:id="rId6"/>
    <sheet name="Q8" sheetId="16" r:id="rId7"/>
    <sheet name="Q9&amp;10" sheetId="14" r:id="rId8"/>
    <sheet name="Sheet7" sheetId="8" r:id="rId9"/>
  </sheets>
  <calcPr calcId="191029"/>
  <pivotCaches>
    <pivotCache cacheId="52" r:id="rId10"/>
    <pivotCache cacheId="5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3" l="1"/>
  <c r="H5" i="1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" i="2"/>
  <c r="Q2413" i="2" l="1"/>
  <c r="Q5" i="2"/>
  <c r="Q8" i="2"/>
  <c r="Q11" i="2"/>
  <c r="Q12" i="2"/>
  <c r="Q15" i="2"/>
  <c r="Q18" i="2"/>
  <c r="Q21" i="2"/>
  <c r="Q24" i="2"/>
  <c r="Q27" i="2"/>
  <c r="Q28" i="2"/>
  <c r="Q31" i="2"/>
  <c r="Q34" i="2"/>
  <c r="Q37" i="2"/>
  <c r="Q40" i="2"/>
  <c r="Q43" i="2"/>
  <c r="Q46" i="2"/>
  <c r="Q49" i="2"/>
  <c r="Q50" i="2"/>
  <c r="Q53" i="2"/>
  <c r="Q56" i="2"/>
  <c r="Q59" i="2"/>
  <c r="Q63" i="2"/>
  <c r="Q66" i="2"/>
  <c r="Q69" i="2"/>
  <c r="Q72" i="2"/>
  <c r="Q75" i="2"/>
  <c r="Q77" i="2"/>
  <c r="Q80" i="2"/>
  <c r="Q83" i="2"/>
  <c r="Q85" i="2"/>
  <c r="Q88" i="2"/>
  <c r="Q91" i="2"/>
  <c r="Q94" i="2"/>
  <c r="Q97" i="2"/>
  <c r="Q100" i="2"/>
  <c r="Q103" i="2"/>
  <c r="Q106" i="2"/>
  <c r="Q109" i="2"/>
  <c r="Q112" i="2"/>
  <c r="Q115" i="2"/>
  <c r="Q118" i="2"/>
  <c r="Q121" i="2"/>
  <c r="Q124" i="2"/>
  <c r="Q127" i="2"/>
  <c r="Q130" i="2"/>
  <c r="Q133" i="2"/>
  <c r="Q136" i="2"/>
  <c r="Q139" i="2"/>
  <c r="Q142" i="2"/>
  <c r="Q143" i="2"/>
  <c r="Q146" i="2"/>
  <c r="Q149" i="2"/>
  <c r="Q152" i="2"/>
  <c r="Q155" i="2"/>
  <c r="Q158" i="2"/>
  <c r="Q161" i="2"/>
  <c r="Q164" i="2"/>
  <c r="Q167" i="2"/>
  <c r="Q170" i="2"/>
  <c r="Q173" i="2"/>
  <c r="Q175" i="2"/>
  <c r="Q178" i="2"/>
  <c r="Q181" i="2"/>
  <c r="Q184" i="2"/>
  <c r="Q187" i="2"/>
  <c r="Q190" i="2"/>
  <c r="Q193" i="2"/>
  <c r="Q196" i="2"/>
  <c r="Q199" i="2"/>
  <c r="Q202" i="2"/>
  <c r="Q205" i="2"/>
  <c r="Q208" i="2"/>
  <c r="Q211" i="2"/>
  <c r="Q214" i="2"/>
  <c r="Q217" i="2"/>
  <c r="Q220" i="2"/>
  <c r="Q223" i="2"/>
  <c r="Q226" i="2"/>
  <c r="Q229" i="2"/>
  <c r="Q232" i="2"/>
  <c r="Q235" i="2"/>
  <c r="Q238" i="2"/>
  <c r="Q241" i="2"/>
  <c r="Q244" i="2"/>
  <c r="Q247" i="2"/>
  <c r="Q250" i="2"/>
  <c r="Q253" i="2"/>
  <c r="Q256" i="2"/>
  <c r="Q259" i="2"/>
  <c r="Q262" i="2"/>
  <c r="Q265" i="2"/>
  <c r="Q268" i="2"/>
  <c r="Q271" i="2"/>
  <c r="Q274" i="2"/>
  <c r="Q277" i="2"/>
  <c r="Q280" i="2"/>
  <c r="Q283" i="2"/>
  <c r="Q284" i="2"/>
  <c r="Q287" i="2"/>
  <c r="Q290" i="2"/>
  <c r="Q293" i="2"/>
  <c r="Q294" i="2"/>
  <c r="Q297" i="2"/>
  <c r="Q298" i="2"/>
  <c r="Q301" i="2"/>
  <c r="Q305" i="2"/>
  <c r="Q308" i="2"/>
  <c r="Q311" i="2"/>
  <c r="Q313" i="2"/>
  <c r="Q315" i="2"/>
  <c r="Q318" i="2"/>
  <c r="Q321" i="2"/>
  <c r="Q323" i="2"/>
  <c r="Q326" i="2"/>
  <c r="Q328" i="2"/>
  <c r="Q331" i="2"/>
  <c r="Q334" i="2"/>
  <c r="Q337" i="2"/>
  <c r="Q340" i="2"/>
  <c r="Q343" i="2"/>
  <c r="Q346" i="2"/>
  <c r="Q349" i="2"/>
  <c r="Q352" i="2"/>
  <c r="Q355" i="2"/>
  <c r="Q358" i="2"/>
  <c r="Q361" i="2"/>
  <c r="Q364" i="2"/>
  <c r="Q367" i="2"/>
  <c r="Q370" i="2"/>
  <c r="Q371" i="2"/>
  <c r="Q374" i="2"/>
  <c r="Q377" i="2"/>
  <c r="Q380" i="2"/>
  <c r="Q383" i="2"/>
  <c r="Q386" i="2"/>
  <c r="Q389" i="2"/>
  <c r="Q392" i="2"/>
  <c r="Q395" i="2"/>
  <c r="Q398" i="2"/>
  <c r="Q401" i="2"/>
  <c r="Q404" i="2"/>
  <c r="Q407" i="2"/>
  <c r="Q410" i="2"/>
  <c r="Q413" i="2"/>
  <c r="Q416" i="2"/>
  <c r="Q419" i="2"/>
  <c r="Q422" i="2"/>
  <c r="Q425" i="2"/>
  <c r="Q428" i="2"/>
  <c r="Q431" i="2"/>
  <c r="Q434" i="2"/>
  <c r="Q437" i="2"/>
  <c r="Q440" i="2"/>
  <c r="Q443" i="2"/>
  <c r="Q446" i="2"/>
  <c r="Q449" i="2"/>
  <c r="Q452" i="2"/>
  <c r="Q455" i="2"/>
  <c r="Q458" i="2"/>
  <c r="Q461" i="2"/>
  <c r="Q464" i="2"/>
  <c r="Q467" i="2"/>
  <c r="Q470" i="2"/>
  <c r="Q473" i="2"/>
  <c r="Q476" i="2"/>
  <c r="Q479" i="2"/>
  <c r="Q482" i="2"/>
  <c r="Q485" i="2"/>
  <c r="Q488" i="2"/>
  <c r="Q491" i="2"/>
  <c r="Q494" i="2"/>
  <c r="Q497" i="2"/>
  <c r="Q500" i="2"/>
  <c r="Q503" i="2"/>
  <c r="Q506" i="2"/>
  <c r="Q509" i="2"/>
  <c r="Q512" i="2"/>
  <c r="Q515" i="2"/>
  <c r="Q518" i="2"/>
  <c r="Q521" i="2"/>
  <c r="Q523" i="2"/>
  <c r="Q526" i="2"/>
  <c r="Q529" i="2"/>
  <c r="Q532" i="2"/>
  <c r="Q535" i="2"/>
  <c r="Q538" i="2"/>
  <c r="Q541" i="2"/>
  <c r="Q544" i="2"/>
  <c r="Q547" i="2"/>
  <c r="Q550" i="2"/>
  <c r="Q553" i="2"/>
  <c r="Q556" i="2"/>
  <c r="Q559" i="2"/>
  <c r="Q562" i="2"/>
  <c r="Q565" i="2"/>
  <c r="Q568" i="2"/>
  <c r="Q571" i="2"/>
  <c r="Q574" i="2"/>
  <c r="Q577" i="2"/>
  <c r="Q580" i="2"/>
  <c r="Q583" i="2"/>
  <c r="Q586" i="2"/>
  <c r="Q589" i="2"/>
  <c r="Q592" i="2"/>
  <c r="Q595" i="2"/>
  <c r="Q598" i="2"/>
  <c r="Q601" i="2"/>
  <c r="Q602" i="2"/>
  <c r="Q605" i="2"/>
  <c r="Q608" i="2"/>
  <c r="Q609" i="2"/>
  <c r="Q612" i="2"/>
  <c r="Q615" i="2"/>
  <c r="Q618" i="2"/>
  <c r="Q621" i="2"/>
  <c r="Q624" i="2"/>
  <c r="Q627" i="2"/>
  <c r="Q630" i="2"/>
  <c r="Q633" i="2"/>
  <c r="Q636" i="2"/>
  <c r="Q639" i="2"/>
  <c r="Q642" i="2"/>
  <c r="Q645" i="2"/>
  <c r="Q648" i="2"/>
  <c r="Q651" i="2"/>
  <c r="Q654" i="2"/>
  <c r="Q657" i="2"/>
  <c r="Q660" i="2"/>
  <c r="Q663" i="2"/>
  <c r="Q666" i="2"/>
  <c r="Q669" i="2"/>
  <c r="Q672" i="2"/>
  <c r="Q675" i="2"/>
  <c r="Q678" i="2"/>
  <c r="Q681" i="2"/>
  <c r="Q684" i="2"/>
  <c r="Q687" i="2"/>
  <c r="Q690" i="2"/>
  <c r="Q693" i="2"/>
  <c r="Q695" i="2"/>
  <c r="Q698" i="2"/>
  <c r="Q701" i="2"/>
  <c r="Q704" i="2"/>
  <c r="Q707" i="2"/>
  <c r="Q712" i="2"/>
  <c r="Q715" i="2"/>
  <c r="Q718" i="2"/>
  <c r="Q721" i="2"/>
  <c r="Q724" i="2"/>
  <c r="Q727" i="2"/>
  <c r="Q730" i="2"/>
  <c r="Q733" i="2"/>
  <c r="Q734" i="2"/>
  <c r="Q737" i="2"/>
  <c r="Q740" i="2"/>
  <c r="Q741" i="2"/>
  <c r="Q743" i="2"/>
  <c r="Q746" i="2"/>
  <c r="Q749" i="2"/>
  <c r="Q752" i="2"/>
  <c r="Q757" i="2"/>
  <c r="Q760" i="2"/>
  <c r="Q761" i="2"/>
  <c r="Q766" i="2"/>
  <c r="Q769" i="2"/>
  <c r="Q772" i="2"/>
  <c r="Q773" i="2"/>
  <c r="Q776" i="2"/>
  <c r="Q779" i="2"/>
  <c r="Q782" i="2"/>
  <c r="Q785" i="2"/>
  <c r="Q788" i="2"/>
  <c r="Q791" i="2"/>
  <c r="Q794" i="2"/>
  <c r="Q797" i="2"/>
  <c r="Q800" i="2"/>
  <c r="Q803" i="2"/>
  <c r="Q806" i="2"/>
  <c r="Q809" i="2"/>
  <c r="Q812" i="2"/>
  <c r="Q815" i="2"/>
  <c r="Q818" i="2"/>
  <c r="Q821" i="2"/>
  <c r="Q823" i="2"/>
  <c r="Q826" i="2"/>
  <c r="Q829" i="2"/>
  <c r="Q832" i="2"/>
  <c r="Q835" i="2"/>
  <c r="Q838" i="2"/>
  <c r="Q841" i="2"/>
  <c r="Q844" i="2"/>
  <c r="Q846" i="2"/>
  <c r="Q849" i="2"/>
  <c r="Q852" i="2"/>
  <c r="Q855" i="2"/>
  <c r="Q858" i="2"/>
  <c r="Q861" i="2"/>
  <c r="Q864" i="2"/>
  <c r="Q867" i="2"/>
  <c r="Q870" i="2"/>
  <c r="Q871" i="2"/>
  <c r="Q874" i="2"/>
  <c r="Q877" i="2"/>
  <c r="Q880" i="2"/>
  <c r="Q883" i="2"/>
  <c r="Q886" i="2"/>
  <c r="Q889" i="2"/>
  <c r="Q892" i="2"/>
  <c r="Q895" i="2"/>
  <c r="Q898" i="2"/>
  <c r="Q901" i="2"/>
  <c r="Q904" i="2"/>
  <c r="Q907" i="2"/>
  <c r="Q910" i="2"/>
  <c r="Q913" i="2"/>
  <c r="Q916" i="2"/>
  <c r="Q919" i="2"/>
  <c r="Q922" i="2"/>
  <c r="Q925" i="2"/>
  <c r="Q928" i="2"/>
  <c r="Q931" i="2"/>
  <c r="Q934" i="2"/>
  <c r="Q937" i="2"/>
  <c r="Q940" i="2"/>
  <c r="Q943" i="2"/>
  <c r="Q946" i="2"/>
  <c r="Q947" i="2"/>
  <c r="Q952" i="2"/>
  <c r="Q955" i="2"/>
  <c r="Q958" i="2"/>
  <c r="Q961" i="2"/>
  <c r="Q964" i="2"/>
  <c r="Q967" i="2"/>
  <c r="Q970" i="2"/>
  <c r="Q973" i="2"/>
  <c r="Q976" i="2"/>
  <c r="Q977" i="2"/>
  <c r="Q980" i="2"/>
  <c r="Q981" i="2"/>
  <c r="Q986" i="2"/>
  <c r="Q989" i="2"/>
  <c r="Q992" i="2"/>
  <c r="Q995" i="2"/>
  <c r="Q998" i="2"/>
  <c r="Q1001" i="2"/>
  <c r="Q1004" i="2"/>
  <c r="Q1005" i="2"/>
  <c r="Q1008" i="2"/>
  <c r="Q1011" i="2"/>
  <c r="Q1014" i="2"/>
  <c r="Q1017" i="2"/>
  <c r="Q1020" i="2"/>
  <c r="Q1023" i="2"/>
  <c r="Q1027" i="2"/>
  <c r="Q1030" i="2"/>
  <c r="Q1033" i="2"/>
  <c r="Q1036" i="2"/>
  <c r="Q1039" i="2"/>
  <c r="Q1042" i="2"/>
  <c r="Q1046" i="2"/>
  <c r="Q1049" i="2"/>
  <c r="Q1052" i="2"/>
  <c r="Q1055" i="2"/>
  <c r="Q1058" i="2"/>
  <c r="Q1060" i="2"/>
  <c r="Q1063" i="2"/>
  <c r="Q1066" i="2"/>
  <c r="Q1067" i="2"/>
  <c r="Q1070" i="2"/>
  <c r="Q1073" i="2"/>
  <c r="Q1076" i="2"/>
  <c r="Q1079" i="2"/>
  <c r="Q1082" i="2"/>
  <c r="Q1085" i="2"/>
  <c r="Q1088" i="2"/>
  <c r="Q1091" i="2"/>
  <c r="Q1094" i="2"/>
  <c r="Q1097" i="2"/>
  <c r="Q1100" i="2"/>
  <c r="Q1103" i="2"/>
  <c r="Q1106" i="2"/>
  <c r="Q1109" i="2"/>
  <c r="Q1112" i="2"/>
  <c r="Q1115" i="2"/>
  <c r="Q1116" i="2"/>
  <c r="Q1119" i="2"/>
  <c r="Q1122" i="2"/>
  <c r="Q1125" i="2"/>
  <c r="Q1128" i="2"/>
  <c r="Q1131" i="2"/>
  <c r="Q1134" i="2"/>
  <c r="Q1137" i="2"/>
  <c r="Q1140" i="2"/>
  <c r="Q1143" i="2"/>
  <c r="Q1146" i="2"/>
  <c r="Q1148" i="2"/>
  <c r="Q1151" i="2"/>
  <c r="Q1154" i="2"/>
  <c r="Q1157" i="2"/>
  <c r="Q1160" i="2"/>
  <c r="Q1163" i="2"/>
  <c r="Q1166" i="2"/>
  <c r="Q1167" i="2"/>
  <c r="Q1170" i="2"/>
  <c r="Q1173" i="2"/>
  <c r="Q1176" i="2"/>
  <c r="Q1179" i="2"/>
  <c r="Q1182" i="2"/>
  <c r="Q1185" i="2"/>
  <c r="Q1188" i="2"/>
  <c r="Q1191" i="2"/>
  <c r="Q1194" i="2"/>
  <c r="Q1197" i="2"/>
  <c r="Q1200" i="2"/>
  <c r="Q1203" i="2"/>
  <c r="Q1206" i="2"/>
  <c r="Q1209" i="2"/>
  <c r="Q1212" i="2"/>
  <c r="Q1215" i="2"/>
  <c r="Q1218" i="2"/>
  <c r="Q1221" i="2"/>
  <c r="Q1224" i="2"/>
  <c r="Q1227" i="2"/>
  <c r="Q1230" i="2"/>
  <c r="Q1233" i="2"/>
  <c r="Q1236" i="2"/>
  <c r="Q1239" i="2"/>
  <c r="Q1242" i="2"/>
  <c r="Q1245" i="2"/>
  <c r="Q1248" i="2"/>
  <c r="Q1251" i="2"/>
  <c r="Q1254" i="2"/>
  <c r="Q1255" i="2"/>
  <c r="Q1260" i="2"/>
  <c r="Q1263" i="2"/>
  <c r="Q1266" i="2"/>
  <c r="Q1267" i="2"/>
  <c r="Q1270" i="2"/>
  <c r="Q1273" i="2"/>
  <c r="Q1276" i="2"/>
  <c r="Q1279" i="2"/>
  <c r="Q1281" i="2"/>
  <c r="Q1284" i="2"/>
  <c r="Q1287" i="2"/>
  <c r="Q1290" i="2"/>
  <c r="Q1293" i="2"/>
  <c r="Q1296" i="2"/>
  <c r="Q1298" i="2"/>
  <c r="Q1301" i="2"/>
  <c r="Q1304" i="2"/>
  <c r="Q1307" i="2"/>
  <c r="Q1310" i="2"/>
  <c r="Q1313" i="2"/>
  <c r="Q1316" i="2"/>
  <c r="Q1320" i="2"/>
  <c r="Q1322" i="2"/>
  <c r="Q1325" i="2"/>
  <c r="Q1328" i="2"/>
  <c r="Q1331" i="2"/>
  <c r="Q1334" i="2"/>
  <c r="Q1337" i="2"/>
  <c r="Q1340" i="2"/>
  <c r="Q1343" i="2"/>
  <c r="Q1344" i="2"/>
  <c r="Q1347" i="2"/>
  <c r="Q1350" i="2"/>
  <c r="Q1353" i="2"/>
  <c r="Q1356" i="2"/>
  <c r="Q1359" i="2"/>
  <c r="Q1362" i="2"/>
  <c r="Q1365" i="2"/>
  <c r="Q1368" i="2"/>
  <c r="Q1371" i="2"/>
  <c r="Q1374" i="2"/>
  <c r="Q1377" i="2"/>
  <c r="Q1380" i="2"/>
  <c r="Q1383" i="2"/>
  <c r="Q1386" i="2"/>
  <c r="Q1389" i="2"/>
  <c r="Q1392" i="2"/>
  <c r="Q1395" i="2"/>
  <c r="Q1398" i="2"/>
  <c r="Q1401" i="2"/>
  <c r="Q1402" i="2"/>
  <c r="Q1405" i="2"/>
  <c r="Q1408" i="2"/>
  <c r="Q1411" i="2"/>
  <c r="Q1414" i="2"/>
  <c r="Q1417" i="2"/>
  <c r="Q1420" i="2"/>
  <c r="Q1423" i="2"/>
  <c r="Q1426" i="2"/>
  <c r="Q1429" i="2"/>
  <c r="Q1432" i="2"/>
  <c r="Q1435" i="2"/>
  <c r="Q1438" i="2"/>
  <c r="Q1441" i="2"/>
  <c r="Q1444" i="2"/>
  <c r="Q1447" i="2"/>
  <c r="Q1450" i="2"/>
  <c r="Q1453" i="2"/>
  <c r="Q1456" i="2"/>
  <c r="Q1459" i="2"/>
  <c r="Q1462" i="2"/>
  <c r="Q1465" i="2"/>
  <c r="Q1468" i="2"/>
  <c r="Q1471" i="2"/>
  <c r="Q1474" i="2"/>
  <c r="Q1477" i="2"/>
  <c r="Q1480" i="2"/>
  <c r="Q1483" i="2"/>
  <c r="Q1486" i="2"/>
  <c r="Q1489" i="2"/>
  <c r="Q1492" i="2"/>
  <c r="Q1495" i="2"/>
  <c r="Q1498" i="2"/>
  <c r="Q1501" i="2"/>
  <c r="Q1504" i="2"/>
  <c r="Q1507" i="2"/>
  <c r="Q1510" i="2"/>
  <c r="Q1513" i="2"/>
  <c r="Q1516" i="2"/>
  <c r="Q1519" i="2"/>
  <c r="Q1522" i="2"/>
  <c r="Q1525" i="2"/>
  <c r="Q1528" i="2"/>
  <c r="Q1531" i="2"/>
  <c r="Q1534" i="2"/>
  <c r="Q1537" i="2"/>
  <c r="Q1539" i="2"/>
  <c r="Q1542" i="2"/>
  <c r="Q1545" i="2"/>
  <c r="Q1548" i="2"/>
  <c r="Q1551" i="2"/>
  <c r="Q1554" i="2"/>
  <c r="Q1557" i="2"/>
  <c r="Q1560" i="2"/>
  <c r="Q1563" i="2"/>
  <c r="Q1566" i="2"/>
  <c r="Q1569" i="2"/>
  <c r="Q1572" i="2"/>
  <c r="Q1573" i="2"/>
  <c r="Q1577" i="2"/>
  <c r="Q1579" i="2"/>
  <c r="Q1582" i="2"/>
  <c r="Q1585" i="2"/>
  <c r="Q1588" i="2"/>
  <c r="Q1591" i="2"/>
  <c r="Q1594" i="2"/>
  <c r="Q1595" i="2"/>
  <c r="Q1598" i="2"/>
  <c r="Q1601" i="2"/>
  <c r="Q1604" i="2"/>
  <c r="Q1607" i="2"/>
  <c r="Q1610" i="2"/>
  <c r="Q1613" i="2"/>
  <c r="Q1616" i="2"/>
  <c r="Q1619" i="2"/>
  <c r="Q1622" i="2"/>
  <c r="Q1625" i="2"/>
  <c r="Q1628" i="2"/>
  <c r="Q1631" i="2"/>
  <c r="Q1634" i="2"/>
  <c r="Q1637" i="2"/>
  <c r="Q1640" i="2"/>
  <c r="Q1643" i="2"/>
  <c r="Q1646" i="2"/>
  <c r="Q1649" i="2"/>
  <c r="Q1652" i="2"/>
  <c r="Q1655" i="2"/>
  <c r="Q1658" i="2"/>
  <c r="Q1661" i="2"/>
  <c r="Q1664" i="2"/>
  <c r="Q1667" i="2"/>
  <c r="Q1670" i="2"/>
  <c r="Q1673" i="2"/>
  <c r="Q1676" i="2"/>
  <c r="Q1679" i="2"/>
  <c r="Q1682" i="2"/>
  <c r="Q1685" i="2"/>
  <c r="Q1688" i="2"/>
  <c r="Q1691" i="2"/>
  <c r="Q1694" i="2"/>
  <c r="Q1697" i="2"/>
  <c r="Q1698" i="2"/>
  <c r="Q1703" i="2"/>
  <c r="Q1706" i="2"/>
  <c r="Q1707" i="2"/>
  <c r="Q1710" i="2"/>
  <c r="Q1713" i="2"/>
  <c r="Q1716" i="2"/>
  <c r="Q1719" i="2"/>
  <c r="Q1722" i="2"/>
  <c r="Q1725" i="2"/>
  <c r="Q1727" i="2"/>
  <c r="Q1730" i="2"/>
  <c r="Q1733" i="2"/>
  <c r="Q1736" i="2"/>
  <c r="Q1739" i="2"/>
  <c r="Q1742" i="2"/>
  <c r="Q1744" i="2"/>
  <c r="Q1747" i="2"/>
  <c r="Q1750" i="2"/>
  <c r="Q1753" i="2"/>
  <c r="Q1756" i="2"/>
  <c r="Q1758" i="2"/>
  <c r="Q1759" i="2"/>
  <c r="Q1762" i="2"/>
  <c r="Q1765" i="2"/>
  <c r="Q1768" i="2"/>
  <c r="Q1771" i="2"/>
  <c r="Q1774" i="2"/>
  <c r="Q1777" i="2"/>
  <c r="Q1780" i="2"/>
  <c r="Q1783" i="2"/>
  <c r="Q1786" i="2"/>
  <c r="Q1789" i="2"/>
  <c r="Q1792" i="2"/>
  <c r="Q1798" i="2"/>
  <c r="Q1795" i="2"/>
  <c r="Q1801" i="2"/>
  <c r="Q1804" i="2"/>
  <c r="Q1807" i="2"/>
  <c r="Q1809" i="2"/>
  <c r="Q1812" i="2"/>
  <c r="Q1815" i="2"/>
  <c r="Q1818" i="2"/>
  <c r="Q1820" i="2"/>
  <c r="Q1823" i="2"/>
  <c r="Q1826" i="2"/>
  <c r="Q1829" i="2"/>
  <c r="Q1832" i="2"/>
  <c r="Q1835" i="2"/>
  <c r="Q1838" i="2"/>
  <c r="Q1841" i="2"/>
  <c r="Q1844" i="2"/>
  <c r="Q1845" i="2"/>
  <c r="Q1850" i="2"/>
  <c r="Q1853" i="2"/>
  <c r="Q1858" i="2"/>
  <c r="Q1861" i="2"/>
  <c r="Q1862" i="2"/>
  <c r="Q1863" i="2"/>
  <c r="Q1866" i="2"/>
  <c r="Q1869" i="2"/>
  <c r="Q1872" i="2"/>
  <c r="Q1875" i="2"/>
  <c r="Q1878" i="2"/>
  <c r="Q1881" i="2"/>
  <c r="Q1882" i="2"/>
  <c r="Q1889" i="2"/>
  <c r="Q1892" i="2"/>
  <c r="Q1895" i="2"/>
  <c r="Q1898" i="2"/>
  <c r="Q1901" i="2"/>
  <c r="Q1904" i="2"/>
  <c r="Q1907" i="2"/>
  <c r="Q1908" i="2"/>
  <c r="Q1913" i="2"/>
  <c r="Q1916" i="2"/>
  <c r="Q1919" i="2"/>
  <c r="Q1921" i="2"/>
  <c r="Q1924" i="2"/>
  <c r="Q1927" i="2"/>
  <c r="Q1930" i="2"/>
  <c r="Q1933" i="2"/>
  <c r="Q1936" i="2"/>
  <c r="Q1937" i="2"/>
  <c r="Q1940" i="2"/>
  <c r="Q1942" i="2"/>
  <c r="Q1943" i="2"/>
  <c r="Q1948" i="2"/>
  <c r="Q1949" i="2"/>
  <c r="Q1952" i="2"/>
  <c r="Q1955" i="2"/>
  <c r="Q1956" i="2"/>
  <c r="Q1959" i="2"/>
  <c r="Q1962" i="2"/>
  <c r="Q1965" i="2"/>
  <c r="Q1968" i="2"/>
  <c r="Q1971" i="2"/>
  <c r="Q1974" i="2"/>
  <c r="Q1977" i="2"/>
  <c r="Q1980" i="2"/>
  <c r="Q1983" i="2"/>
  <c r="Q1986" i="2"/>
  <c r="Q1989" i="2"/>
  <c r="Q1992" i="2"/>
  <c r="Q1995" i="2"/>
  <c r="Q1998" i="2"/>
  <c r="Q2001" i="2"/>
  <c r="Q2004" i="2"/>
  <c r="Q2007" i="2"/>
  <c r="Q2010" i="2"/>
  <c r="Q2013" i="2"/>
  <c r="Q2016" i="2"/>
  <c r="Q2019" i="2"/>
  <c r="Q2020" i="2"/>
  <c r="Q2023" i="2"/>
  <c r="Q2026" i="2"/>
  <c r="Q2029" i="2"/>
  <c r="Q2032" i="2"/>
  <c r="Q2035" i="2"/>
  <c r="Q2038" i="2"/>
  <c r="Q2041" i="2"/>
  <c r="Q2044" i="2"/>
  <c r="Q2047" i="2"/>
  <c r="Q2050" i="2"/>
  <c r="Q2053" i="2"/>
  <c r="Q2056" i="2"/>
  <c r="Q2059" i="2"/>
  <c r="Q2062" i="2"/>
  <c r="Q2065" i="2"/>
  <c r="Q2068" i="2"/>
  <c r="Q2071" i="2"/>
  <c r="Q2072" i="2"/>
  <c r="Q2075" i="2"/>
  <c r="Q2078" i="2"/>
  <c r="Q2081" i="2"/>
  <c r="Q2083" i="2"/>
  <c r="Q2086" i="2"/>
  <c r="Q2089" i="2"/>
  <c r="Q2090" i="2"/>
  <c r="Q2093" i="2"/>
  <c r="Q2096" i="2"/>
  <c r="Q2099" i="2"/>
  <c r="Q2102" i="2"/>
  <c r="Q2105" i="2"/>
  <c r="Q2108" i="2"/>
  <c r="Q2111" i="2"/>
  <c r="Q2114" i="2"/>
  <c r="Q2117" i="2"/>
  <c r="Q2120" i="2"/>
  <c r="Q2123" i="2"/>
  <c r="Q2126" i="2"/>
  <c r="Q2129" i="2"/>
  <c r="Q2132" i="2"/>
  <c r="Q2134" i="2"/>
  <c r="Q2137" i="2"/>
  <c r="Q2140" i="2"/>
  <c r="Q2143" i="2"/>
  <c r="Q2146" i="2"/>
  <c r="Q2149" i="2"/>
  <c r="Q2152" i="2"/>
  <c r="Q2155" i="2"/>
  <c r="Q2158" i="2"/>
  <c r="Q2161" i="2"/>
  <c r="Q2164" i="2"/>
  <c r="Q2167" i="2"/>
  <c r="Q2170" i="2"/>
  <c r="Q2173" i="2"/>
  <c r="Q2176" i="2"/>
  <c r="Q2179" i="2"/>
  <c r="Q2182" i="2"/>
  <c r="Q2185" i="2"/>
  <c r="Q2188" i="2"/>
  <c r="Q2191" i="2"/>
  <c r="Q2194" i="2"/>
  <c r="Q2197" i="2"/>
  <c r="Q2200" i="2"/>
  <c r="Q2203" i="2"/>
  <c r="Q2206" i="2"/>
  <c r="Q2209" i="2"/>
  <c r="Q2212" i="2"/>
  <c r="Q2213" i="2"/>
  <c r="Q2216" i="2"/>
  <c r="Q2219" i="2"/>
  <c r="Q2222" i="2"/>
  <c r="Q2225" i="2"/>
  <c r="Q2228" i="2"/>
  <c r="Q2231" i="2"/>
  <c r="Q2232" i="2"/>
  <c r="Q2237" i="2"/>
  <c r="Q2240" i="2"/>
  <c r="Q2243" i="2"/>
  <c r="Q2246" i="2"/>
  <c r="Q2249" i="2"/>
  <c r="Q2252" i="2"/>
  <c r="Q2255" i="2"/>
  <c r="Q2258" i="2"/>
  <c r="Q2261" i="2"/>
  <c r="Q2264" i="2"/>
  <c r="Q2267" i="2"/>
  <c r="Q2270" i="2"/>
  <c r="Q2273" i="2"/>
  <c r="Q2276" i="2"/>
  <c r="Q2279" i="2"/>
  <c r="Q2282" i="2"/>
  <c r="Q2285" i="2"/>
  <c r="Q2288" i="2"/>
  <c r="Q2291" i="2"/>
  <c r="Q2294" i="2"/>
  <c r="Q2297" i="2"/>
  <c r="Q2300" i="2"/>
  <c r="Q2303" i="2"/>
  <c r="Q2306" i="2"/>
  <c r="Q2309" i="2"/>
  <c r="Q2312" i="2"/>
  <c r="Q2313" i="2"/>
  <c r="Q2316" i="2"/>
  <c r="Q2319" i="2"/>
  <c r="Q2322" i="2"/>
  <c r="Q2323" i="2"/>
  <c r="Q2326" i="2"/>
  <c r="Q2329" i="2"/>
  <c r="Q2332" i="2"/>
  <c r="Q2335" i="2"/>
  <c r="Q2338" i="2"/>
  <c r="Q2341" i="2"/>
  <c r="Q2344" i="2"/>
  <c r="Q2347" i="2"/>
  <c r="Q2348" i="2"/>
  <c r="Q2353" i="2"/>
  <c r="Q2357" i="2"/>
  <c r="Q2359" i="2"/>
  <c r="Q2360" i="2"/>
  <c r="Q2365" i="2"/>
  <c r="Q2368" i="2"/>
  <c r="Q2369" i="2"/>
  <c r="Q2370" i="2"/>
  <c r="Q2372" i="2"/>
  <c r="Q2375" i="2"/>
  <c r="Q2378" i="2"/>
  <c r="Q2381" i="2"/>
  <c r="Q2384" i="2"/>
  <c r="Q2387" i="2"/>
  <c r="Q2390" i="2"/>
  <c r="Q2393" i="2"/>
  <c r="Q2396" i="2"/>
  <c r="Q2399" i="2"/>
  <c r="Q2402" i="2"/>
  <c r="Q2405" i="2"/>
  <c r="Q2408" i="2"/>
  <c r="Q2411" i="2"/>
  <c r="Q3" i="2"/>
  <c r="Q6" i="2"/>
  <c r="Q9" i="2"/>
  <c r="Q13" i="2"/>
  <c r="Q16" i="2"/>
  <c r="Q19" i="2"/>
  <c r="Q22" i="2"/>
  <c r="Q25" i="2"/>
  <c r="Q29" i="2"/>
  <c r="Q32" i="2"/>
  <c r="Q35" i="2"/>
  <c r="Q38" i="2"/>
  <c r="Q41" i="2"/>
  <c r="Q44" i="2"/>
  <c r="Q47" i="2"/>
  <c r="Q51" i="2"/>
  <c r="Q54" i="2"/>
  <c r="Q57" i="2"/>
  <c r="Q60" i="2"/>
  <c r="Q64" i="2"/>
  <c r="Q67" i="2"/>
  <c r="Q70" i="2"/>
  <c r="Q73" i="2"/>
  <c r="Q76" i="2"/>
  <c r="Q78" i="2"/>
  <c r="Q81" i="2"/>
  <c r="Q84" i="2"/>
  <c r="Q86" i="2"/>
  <c r="Q89" i="2"/>
  <c r="Q92" i="2"/>
  <c r="Q95" i="2"/>
  <c r="Q98" i="2"/>
  <c r="Q101" i="2"/>
  <c r="Q104" i="2"/>
  <c r="Q107" i="2"/>
  <c r="Q110" i="2"/>
  <c r="Q113" i="2"/>
  <c r="Q116" i="2"/>
  <c r="Q119" i="2"/>
  <c r="Q122" i="2"/>
  <c r="Q125" i="2"/>
  <c r="Q128" i="2"/>
  <c r="Q131" i="2"/>
  <c r="Q134" i="2"/>
  <c r="Q137" i="2"/>
  <c r="Q140" i="2"/>
  <c r="Q144" i="2"/>
  <c r="Q147" i="2"/>
  <c r="Q150" i="2"/>
  <c r="Q153" i="2"/>
  <c r="Q156" i="2"/>
  <c r="Q159" i="2"/>
  <c r="Q162" i="2"/>
  <c r="Q165" i="2"/>
  <c r="Q168" i="2"/>
  <c r="Q171" i="2"/>
  <c r="Q174" i="2"/>
  <c r="Q176" i="2"/>
  <c r="Q179" i="2"/>
  <c r="Q182" i="2"/>
  <c r="Q185" i="2"/>
  <c r="Q188" i="2"/>
  <c r="Q191" i="2"/>
  <c r="Q194" i="2"/>
  <c r="Q197" i="2"/>
  <c r="Q200" i="2"/>
  <c r="Q203" i="2"/>
  <c r="Q206" i="2"/>
  <c r="Q209" i="2"/>
  <c r="Q212" i="2"/>
  <c r="Q215" i="2"/>
  <c r="Q218" i="2"/>
  <c r="Q221" i="2"/>
  <c r="Q224" i="2"/>
  <c r="Q227" i="2"/>
  <c r="Q230" i="2"/>
  <c r="Q233" i="2"/>
  <c r="Q236" i="2"/>
  <c r="Q239" i="2"/>
  <c r="Q242" i="2"/>
  <c r="Q245" i="2"/>
  <c r="Q248" i="2"/>
  <c r="Q251" i="2"/>
  <c r="Q254" i="2"/>
  <c r="Q257" i="2"/>
  <c r="Q260" i="2"/>
  <c r="Q263" i="2"/>
  <c r="Q266" i="2"/>
  <c r="Q269" i="2"/>
  <c r="Q272" i="2"/>
  <c r="Q275" i="2"/>
  <c r="Q278" i="2"/>
  <c r="Q281" i="2"/>
  <c r="Q285" i="2"/>
  <c r="Q288" i="2"/>
  <c r="Q291" i="2"/>
  <c r="Q295" i="2"/>
  <c r="Q299" i="2"/>
  <c r="Q302" i="2"/>
  <c r="Q306" i="2"/>
  <c r="Q309" i="2"/>
  <c r="Q312" i="2"/>
  <c r="Q314" i="2"/>
  <c r="Q316" i="2"/>
  <c r="Q319" i="2"/>
  <c r="Q322" i="2"/>
  <c r="Q324" i="2"/>
  <c r="Q327" i="2"/>
  <c r="Q329" i="2"/>
  <c r="Q332" i="2"/>
  <c r="Q335" i="2"/>
  <c r="Q338" i="2"/>
  <c r="Q341" i="2"/>
  <c r="Q344" i="2"/>
  <c r="Q347" i="2"/>
  <c r="Q350" i="2"/>
  <c r="Q353" i="2"/>
  <c r="Q356" i="2"/>
  <c r="Q359" i="2"/>
  <c r="Q362" i="2"/>
  <c r="Q365" i="2"/>
  <c r="Q368" i="2"/>
  <c r="Q372" i="2"/>
  <c r="Q375" i="2"/>
  <c r="Q378" i="2"/>
  <c r="Q381" i="2"/>
  <c r="Q384" i="2"/>
  <c r="Q387" i="2"/>
  <c r="Q390" i="2"/>
  <c r="Q393" i="2"/>
  <c r="Q396" i="2"/>
  <c r="Q399" i="2"/>
  <c r="Q402" i="2"/>
  <c r="Q405" i="2"/>
  <c r="Q408" i="2"/>
  <c r="Q411" i="2"/>
  <c r="Q414" i="2"/>
  <c r="Q417" i="2"/>
  <c r="Q420" i="2"/>
  <c r="Q423" i="2"/>
  <c r="Q426" i="2"/>
  <c r="Q429" i="2"/>
  <c r="Q432" i="2"/>
  <c r="Q435" i="2"/>
  <c r="Q438" i="2"/>
  <c r="Q441" i="2"/>
  <c r="Q444" i="2"/>
  <c r="Q447" i="2"/>
  <c r="Q450" i="2"/>
  <c r="Q453" i="2"/>
  <c r="Q456" i="2"/>
  <c r="Q459" i="2"/>
  <c r="Q462" i="2"/>
  <c r="Q465" i="2"/>
  <c r="Q468" i="2"/>
  <c r="Q471" i="2"/>
  <c r="Q474" i="2"/>
  <c r="Q477" i="2"/>
  <c r="Q480" i="2"/>
  <c r="Q483" i="2"/>
  <c r="Q486" i="2"/>
  <c r="Q489" i="2"/>
  <c r="Q492" i="2"/>
  <c r="Q495" i="2"/>
  <c r="Q498" i="2"/>
  <c r="Q501" i="2"/>
  <c r="Q504" i="2"/>
  <c r="Q507" i="2"/>
  <c r="Q510" i="2"/>
  <c r="Q513" i="2"/>
  <c r="Q516" i="2"/>
  <c r="Q519" i="2"/>
  <c r="Q524" i="2"/>
  <c r="Q527" i="2"/>
  <c r="Q530" i="2"/>
  <c r="Q533" i="2"/>
  <c r="Q536" i="2"/>
  <c r="Q539" i="2"/>
  <c r="Q542" i="2"/>
  <c r="Q545" i="2"/>
  <c r="Q548" i="2"/>
  <c r="Q551" i="2"/>
  <c r="Q554" i="2"/>
  <c r="Q557" i="2"/>
  <c r="Q560" i="2"/>
  <c r="Q563" i="2"/>
  <c r="Q566" i="2"/>
  <c r="Q569" i="2"/>
  <c r="Q572" i="2"/>
  <c r="Q575" i="2"/>
  <c r="Q578" i="2"/>
  <c r="Q581" i="2"/>
  <c r="Q584" i="2"/>
  <c r="Q587" i="2"/>
  <c r="Q590" i="2"/>
  <c r="Q593" i="2"/>
  <c r="Q596" i="2"/>
  <c r="Q599" i="2"/>
  <c r="Q603" i="2"/>
  <c r="Q606" i="2"/>
  <c r="Q610" i="2"/>
  <c r="Q613" i="2"/>
  <c r="Q616" i="2"/>
  <c r="Q619" i="2"/>
  <c r="Q622" i="2"/>
  <c r="Q625" i="2"/>
  <c r="Q628" i="2"/>
  <c r="Q631" i="2"/>
  <c r="Q634" i="2"/>
  <c r="Q637" i="2"/>
  <c r="Q640" i="2"/>
  <c r="Q643" i="2"/>
  <c r="Q646" i="2"/>
  <c r="Q649" i="2"/>
  <c r="Q652" i="2"/>
  <c r="Q655" i="2"/>
  <c r="Q658" i="2"/>
  <c r="Q661" i="2"/>
  <c r="Q664" i="2"/>
  <c r="Q667" i="2"/>
  <c r="Q670" i="2"/>
  <c r="Q673" i="2"/>
  <c r="Q676" i="2"/>
  <c r="Q679" i="2"/>
  <c r="Q682" i="2"/>
  <c r="Q685" i="2"/>
  <c r="Q688" i="2"/>
  <c r="Q691" i="2"/>
  <c r="Q694" i="2"/>
  <c r="Q696" i="2"/>
  <c r="Q699" i="2"/>
  <c r="Q702" i="2"/>
  <c r="Q705" i="2"/>
  <c r="Q708" i="2"/>
  <c r="Q710" i="2"/>
  <c r="Q713" i="2"/>
  <c r="Q716" i="2"/>
  <c r="Q719" i="2"/>
  <c r="Q722" i="2"/>
  <c r="Q725" i="2"/>
  <c r="Q728" i="2"/>
  <c r="Q731" i="2"/>
  <c r="Q735" i="2"/>
  <c r="Q738" i="2"/>
  <c r="Q742" i="2"/>
  <c r="Q744" i="2"/>
  <c r="Q747" i="2"/>
  <c r="Q750" i="2"/>
  <c r="Q753" i="2"/>
  <c r="Q755" i="2"/>
  <c r="Q758" i="2"/>
  <c r="Q762" i="2"/>
  <c r="Q763" i="2"/>
  <c r="Q767" i="2"/>
  <c r="Q770" i="2"/>
  <c r="Q774" i="2"/>
  <c r="Q777" i="2"/>
  <c r="Q780" i="2"/>
  <c r="Q783" i="2"/>
  <c r="Q786" i="2"/>
  <c r="Q789" i="2"/>
  <c r="Q792" i="2"/>
  <c r="Q795" i="2"/>
  <c r="Q798" i="2"/>
  <c r="Q801" i="2"/>
  <c r="Q804" i="2"/>
  <c r="Q807" i="2"/>
  <c r="Q810" i="2"/>
  <c r="Q813" i="2"/>
  <c r="Q816" i="2"/>
  <c r="Q819" i="2"/>
  <c r="Q822" i="2"/>
  <c r="Q824" i="2"/>
  <c r="Q827" i="2"/>
  <c r="Q830" i="2"/>
  <c r="Q833" i="2"/>
  <c r="Q836" i="2"/>
  <c r="Q839" i="2"/>
  <c r="Q842" i="2"/>
  <c r="Q845" i="2"/>
  <c r="Q847" i="2"/>
  <c r="Q850" i="2"/>
  <c r="Q853" i="2"/>
  <c r="Q856" i="2"/>
  <c r="Q859" i="2"/>
  <c r="Q862" i="2"/>
  <c r="Q865" i="2"/>
  <c r="Q868" i="2"/>
  <c r="Q872" i="2"/>
  <c r="Q875" i="2"/>
  <c r="Q878" i="2"/>
  <c r="Q881" i="2"/>
  <c r="Q884" i="2"/>
  <c r="Q887" i="2"/>
  <c r="Q890" i="2"/>
  <c r="Q893" i="2"/>
  <c r="Q896" i="2"/>
  <c r="Q899" i="2"/>
  <c r="Q902" i="2"/>
  <c r="Q905" i="2"/>
  <c r="Q908" i="2"/>
  <c r="Q911" i="2"/>
  <c r="Q914" i="2"/>
  <c r="Q917" i="2"/>
  <c r="Q920" i="2"/>
  <c r="Q923" i="2"/>
  <c r="Q926" i="2"/>
  <c r="Q929" i="2"/>
  <c r="Q932" i="2"/>
  <c r="Q935" i="2"/>
  <c r="Q938" i="2"/>
  <c r="Q941" i="2"/>
  <c r="Q944" i="2"/>
  <c r="Q948" i="2"/>
  <c r="Q949" i="2"/>
  <c r="Q953" i="2"/>
  <c r="Q956" i="2"/>
  <c r="Q959" i="2"/>
  <c r="Q962" i="2"/>
  <c r="Q965" i="2"/>
  <c r="Q968" i="2"/>
  <c r="Q971" i="2"/>
  <c r="Q974" i="2"/>
  <c r="Q978" i="2"/>
  <c r="Q982" i="2"/>
  <c r="Q983" i="2"/>
  <c r="Q987" i="2"/>
  <c r="Q990" i="2"/>
  <c r="Q993" i="2"/>
  <c r="Q996" i="2"/>
  <c r="Q999" i="2"/>
  <c r="Q1002" i="2"/>
  <c r="Q1006" i="2"/>
  <c r="Q1009" i="2"/>
  <c r="Q1012" i="2"/>
  <c r="Q1015" i="2"/>
  <c r="Q1018" i="2"/>
  <c r="Q1021" i="2"/>
  <c r="Q1024" i="2"/>
  <c r="Q1028" i="2"/>
  <c r="Q1031" i="2"/>
  <c r="Q1034" i="2"/>
  <c r="Q1037" i="2"/>
  <c r="Q1040" i="2"/>
  <c r="Q1043" i="2"/>
  <c r="Q1047" i="2"/>
  <c r="Q1050" i="2"/>
  <c r="Q1053" i="2"/>
  <c r="Q1056" i="2"/>
  <c r="Q1059" i="2"/>
  <c r="Q1061" i="2"/>
  <c r="Q1064" i="2"/>
  <c r="Q1068" i="2"/>
  <c r="Q1071" i="2"/>
  <c r="Q1074" i="2"/>
  <c r="Q1077" i="2"/>
  <c r="Q1080" i="2"/>
  <c r="Q1083" i="2"/>
  <c r="Q1086" i="2"/>
  <c r="Q1089" i="2"/>
  <c r="Q1092" i="2"/>
  <c r="Q1095" i="2"/>
  <c r="Q1098" i="2"/>
  <c r="Q1101" i="2"/>
  <c r="Q1104" i="2"/>
  <c r="Q1107" i="2"/>
  <c r="Q1110" i="2"/>
  <c r="Q1113" i="2"/>
  <c r="Q1117" i="2"/>
  <c r="Q1120" i="2"/>
  <c r="Q1123" i="2"/>
  <c r="Q1126" i="2"/>
  <c r="Q1129" i="2"/>
  <c r="Q1132" i="2"/>
  <c r="Q1135" i="2"/>
  <c r="Q1138" i="2"/>
  <c r="Q1141" i="2"/>
  <c r="Q1144" i="2"/>
  <c r="Q1147" i="2"/>
  <c r="Q1149" i="2"/>
  <c r="Q1152" i="2"/>
  <c r="Q1155" i="2"/>
  <c r="Q1158" i="2"/>
  <c r="Q1161" i="2"/>
  <c r="Q1164" i="2"/>
  <c r="Q1168" i="2"/>
  <c r="Q1171" i="2"/>
  <c r="Q1174" i="2"/>
  <c r="Q1177" i="2"/>
  <c r="Q1180" i="2"/>
  <c r="Q1183" i="2"/>
  <c r="Q1186" i="2"/>
  <c r="Q1189" i="2"/>
  <c r="Q1192" i="2"/>
  <c r="Q1195" i="2"/>
  <c r="Q1198" i="2"/>
  <c r="Q1201" i="2"/>
  <c r="Q1204" i="2"/>
  <c r="Q1207" i="2"/>
  <c r="Q1210" i="2"/>
  <c r="Q1213" i="2"/>
  <c r="Q1216" i="2"/>
  <c r="Q1219" i="2"/>
  <c r="Q1222" i="2"/>
  <c r="Q1225" i="2"/>
  <c r="Q1228" i="2"/>
  <c r="Q1231" i="2"/>
  <c r="Q1234" i="2"/>
  <c r="Q1237" i="2"/>
  <c r="Q1240" i="2"/>
  <c r="Q1243" i="2"/>
  <c r="Q1246" i="2"/>
  <c r="Q1249" i="2"/>
  <c r="Q1252" i="2"/>
  <c r="Q1256" i="2"/>
  <c r="Q1257" i="2"/>
  <c r="Q1261" i="2"/>
  <c r="Q1264" i="2"/>
  <c r="Q1268" i="2"/>
  <c r="Q1271" i="2"/>
  <c r="Q1274" i="2"/>
  <c r="Q1277" i="2"/>
  <c r="Q1280" i="2"/>
  <c r="Q1282" i="2"/>
  <c r="Q1285" i="2"/>
  <c r="Q1288" i="2"/>
  <c r="Q1291" i="2"/>
  <c r="Q1294" i="2"/>
  <c r="Q1297" i="2"/>
  <c r="Q1299" i="2"/>
  <c r="Q1302" i="2"/>
  <c r="Q1305" i="2"/>
  <c r="Q1308" i="2"/>
  <c r="Q1311" i="2"/>
  <c r="Q1314" i="2"/>
  <c r="Q1317" i="2"/>
  <c r="Q1321" i="2"/>
  <c r="Q1323" i="2"/>
  <c r="Q1326" i="2"/>
  <c r="Q1329" i="2"/>
  <c r="Q1332" i="2"/>
  <c r="Q1335" i="2"/>
  <c r="Q1338" i="2"/>
  <c r="Q1341" i="2"/>
  <c r="Q1345" i="2"/>
  <c r="Q1348" i="2"/>
  <c r="Q1351" i="2"/>
  <c r="Q1354" i="2"/>
  <c r="Q1357" i="2"/>
  <c r="Q1360" i="2"/>
  <c r="Q1363" i="2"/>
  <c r="Q1366" i="2"/>
  <c r="Q1369" i="2"/>
  <c r="Q1372" i="2"/>
  <c r="Q1375" i="2"/>
  <c r="Q1378" i="2"/>
  <c r="Q1381" i="2"/>
  <c r="Q1384" i="2"/>
  <c r="Q1387" i="2"/>
  <c r="Q1390" i="2"/>
  <c r="Q1393" i="2"/>
  <c r="Q1396" i="2"/>
  <c r="Q1399" i="2"/>
  <c r="Q1403" i="2"/>
  <c r="Q1406" i="2"/>
  <c r="Q1409" i="2"/>
  <c r="Q1412" i="2"/>
  <c r="Q1415" i="2"/>
  <c r="Q1418" i="2"/>
  <c r="Q1421" i="2"/>
  <c r="Q1424" i="2"/>
  <c r="Q1427" i="2"/>
  <c r="Q1430" i="2"/>
  <c r="Q1433" i="2"/>
  <c r="Q1436" i="2"/>
  <c r="Q1439" i="2"/>
  <c r="Q1442" i="2"/>
  <c r="Q1445" i="2"/>
  <c r="Q1448" i="2"/>
  <c r="Q1451" i="2"/>
  <c r="Q1454" i="2"/>
  <c r="Q1457" i="2"/>
  <c r="Q1460" i="2"/>
  <c r="Q1463" i="2"/>
  <c r="Q1466" i="2"/>
  <c r="Q1469" i="2"/>
  <c r="Q1472" i="2"/>
  <c r="Q1475" i="2"/>
  <c r="Q1478" i="2"/>
  <c r="Q1481" i="2"/>
  <c r="Q1484" i="2"/>
  <c r="Q1487" i="2"/>
  <c r="Q1490" i="2"/>
  <c r="Q1493" i="2"/>
  <c r="Q1496" i="2"/>
  <c r="Q1499" i="2"/>
  <c r="Q1502" i="2"/>
  <c r="Q1505" i="2"/>
  <c r="Q1508" i="2"/>
  <c r="Q1511" i="2"/>
  <c r="Q1514" i="2"/>
  <c r="Q1517" i="2"/>
  <c r="Q1520" i="2"/>
  <c r="Q1523" i="2"/>
  <c r="Q1526" i="2"/>
  <c r="Q1529" i="2"/>
  <c r="Q1532" i="2"/>
  <c r="Q1535" i="2"/>
  <c r="Q1538" i="2"/>
  <c r="Q1540" i="2"/>
  <c r="Q1543" i="2"/>
  <c r="Q1546" i="2"/>
  <c r="Q1549" i="2"/>
  <c r="Q1552" i="2"/>
  <c r="Q1555" i="2"/>
  <c r="Q1558" i="2"/>
  <c r="Q1561" i="2"/>
  <c r="Q1564" i="2"/>
  <c r="Q1567" i="2"/>
  <c r="Q1570" i="2"/>
  <c r="Q1574" i="2"/>
  <c r="Q1578" i="2"/>
  <c r="Q1580" i="2"/>
  <c r="Q1583" i="2"/>
  <c r="Q1586" i="2"/>
  <c r="Q1589" i="2"/>
  <c r="Q1592" i="2"/>
  <c r="Q1596" i="2"/>
  <c r="Q1599" i="2"/>
  <c r="Q1602" i="2"/>
  <c r="Q1605" i="2"/>
  <c r="Q1608" i="2"/>
  <c r="Q1611" i="2"/>
  <c r="Q1614" i="2"/>
  <c r="Q1617" i="2"/>
  <c r="Q1620" i="2"/>
  <c r="Q1623" i="2"/>
  <c r="Q1626" i="2"/>
  <c r="Q1629" i="2"/>
  <c r="Q1632" i="2"/>
  <c r="Q1635" i="2"/>
  <c r="Q1638" i="2"/>
  <c r="Q1641" i="2"/>
  <c r="Q1644" i="2"/>
  <c r="Q1647" i="2"/>
  <c r="Q1650" i="2"/>
  <c r="Q1653" i="2"/>
  <c r="Q1656" i="2"/>
  <c r="Q1659" i="2"/>
  <c r="Q1662" i="2"/>
  <c r="Q1665" i="2"/>
  <c r="Q1668" i="2"/>
  <c r="Q1671" i="2"/>
  <c r="Q1674" i="2"/>
  <c r="Q1677" i="2"/>
  <c r="Q1680" i="2"/>
  <c r="Q1683" i="2"/>
  <c r="Q1686" i="2"/>
  <c r="Q1689" i="2"/>
  <c r="Q1692" i="2"/>
  <c r="Q1695" i="2"/>
  <c r="Q1699" i="2"/>
  <c r="Q1700" i="2"/>
  <c r="Q1704" i="2"/>
  <c r="Q1708" i="2"/>
  <c r="Q1711" i="2"/>
  <c r="Q1714" i="2"/>
  <c r="Q1717" i="2"/>
  <c r="Q1720" i="2"/>
  <c r="Q1723" i="2"/>
  <c r="Q1726" i="2"/>
  <c r="Q1728" i="2"/>
  <c r="Q1731" i="2"/>
  <c r="Q1734" i="2"/>
  <c r="Q1737" i="2"/>
  <c r="Q1740" i="2"/>
  <c r="Q1743" i="2"/>
  <c r="Q1745" i="2"/>
  <c r="Q1748" i="2"/>
  <c r="Q1751" i="2"/>
  <c r="Q1754" i="2"/>
  <c r="Q1757" i="2"/>
  <c r="Q1760" i="2"/>
  <c r="Q1763" i="2"/>
  <c r="Q1766" i="2"/>
  <c r="Q1769" i="2"/>
  <c r="Q1772" i="2"/>
  <c r="Q1775" i="2"/>
  <c r="Q1778" i="2"/>
  <c r="Q1781" i="2"/>
  <c r="Q1784" i="2"/>
  <c r="Q1787" i="2"/>
  <c r="Q1790" i="2"/>
  <c r="Q1793" i="2"/>
  <c r="Q1799" i="2"/>
  <c r="Q1796" i="2"/>
  <c r="Q1802" i="2"/>
  <c r="Q1805" i="2"/>
  <c r="Q1808" i="2"/>
  <c r="Q1810" i="2"/>
  <c r="Q1813" i="2"/>
  <c r="Q1816" i="2"/>
  <c r="Q1819" i="2"/>
  <c r="Q1821" i="2"/>
  <c r="Q1824" i="2"/>
  <c r="Q1827" i="2"/>
  <c r="Q1830" i="2"/>
  <c r="Q1833" i="2"/>
  <c r="Q1836" i="2"/>
  <c r="Q1839" i="2"/>
  <c r="Q1842" i="2"/>
  <c r="Q1846" i="2"/>
  <c r="Q1847" i="2"/>
  <c r="Q1851" i="2"/>
  <c r="Q1854" i="2"/>
  <c r="Q1856" i="2"/>
  <c r="Q1859" i="2"/>
  <c r="Q1864" i="2"/>
  <c r="Q1867" i="2"/>
  <c r="Q1870" i="2"/>
  <c r="Q1873" i="2"/>
  <c r="Q1876" i="2"/>
  <c r="Q1879" i="2"/>
  <c r="Q1883" i="2"/>
  <c r="Q1884" i="2"/>
  <c r="Q1885" i="2"/>
  <c r="Q1890" i="2"/>
  <c r="Q1893" i="2"/>
  <c r="Q1896" i="2"/>
  <c r="Q1899" i="2"/>
  <c r="Q1902" i="2"/>
  <c r="Q1905" i="2"/>
  <c r="Q1909" i="2"/>
  <c r="Q1910" i="2"/>
  <c r="Q1914" i="2"/>
  <c r="Q1917" i="2"/>
  <c r="Q1920" i="2"/>
  <c r="Q1922" i="2"/>
  <c r="Q1925" i="2"/>
  <c r="Q1928" i="2"/>
  <c r="Q1931" i="2"/>
  <c r="Q1934" i="2"/>
  <c r="Q1938" i="2"/>
  <c r="Q1941" i="2"/>
  <c r="Q1944" i="2"/>
  <c r="Q1945" i="2"/>
  <c r="Q1950" i="2"/>
  <c r="Q1953" i="2"/>
  <c r="Q1957" i="2"/>
  <c r="Q1960" i="2"/>
  <c r="Q1963" i="2"/>
  <c r="Q1966" i="2"/>
  <c r="Q1969" i="2"/>
  <c r="Q1972" i="2"/>
  <c r="Q1975" i="2"/>
  <c r="Q1978" i="2"/>
  <c r="Q1981" i="2"/>
  <c r="Q1984" i="2"/>
  <c r="Q1987" i="2"/>
  <c r="Q1990" i="2"/>
  <c r="Q1993" i="2"/>
  <c r="Q1996" i="2"/>
  <c r="Q1999" i="2"/>
  <c r="Q2002" i="2"/>
  <c r="Q2005" i="2"/>
  <c r="Q2008" i="2"/>
  <c r="Q2011" i="2"/>
  <c r="Q2014" i="2"/>
  <c r="Q2017" i="2"/>
  <c r="Q2021" i="2"/>
  <c r="Q2024" i="2"/>
  <c r="Q2027" i="2"/>
  <c r="Q2030" i="2"/>
  <c r="Q2033" i="2"/>
  <c r="Q2036" i="2"/>
  <c r="Q2039" i="2"/>
  <c r="Q2042" i="2"/>
  <c r="Q2045" i="2"/>
  <c r="Q2048" i="2"/>
  <c r="Q2051" i="2"/>
  <c r="Q2054" i="2"/>
  <c r="Q2057" i="2"/>
  <c r="Q2060" i="2"/>
  <c r="Q2063" i="2"/>
  <c r="Q2066" i="2"/>
  <c r="Q2069" i="2"/>
  <c r="Q2073" i="2"/>
  <c r="Q2076" i="2"/>
  <c r="Q2079" i="2"/>
  <c r="Q2082" i="2"/>
  <c r="Q2084" i="2"/>
  <c r="Q2087" i="2"/>
  <c r="Q2091" i="2"/>
  <c r="Q2094" i="2"/>
  <c r="Q2097" i="2"/>
  <c r="Q2100" i="2"/>
  <c r="Q2103" i="2"/>
  <c r="Q2106" i="2"/>
  <c r="Q2109" i="2"/>
  <c r="Q2112" i="2"/>
  <c r="Q2115" i="2"/>
  <c r="Q2118" i="2"/>
  <c r="Q2121" i="2"/>
  <c r="Q2124" i="2"/>
  <c r="Q2127" i="2"/>
  <c r="Q2130" i="2"/>
  <c r="Q2133" i="2"/>
  <c r="Q2135" i="2"/>
  <c r="Q2138" i="2"/>
  <c r="Q2141" i="2"/>
  <c r="Q2144" i="2"/>
  <c r="Q2147" i="2"/>
  <c r="Q2150" i="2"/>
  <c r="Q2153" i="2"/>
  <c r="Q2156" i="2"/>
  <c r="Q2159" i="2"/>
  <c r="Q2162" i="2"/>
  <c r="Q2165" i="2"/>
  <c r="Q2168" i="2"/>
  <c r="Q2171" i="2"/>
  <c r="Q2174" i="2"/>
  <c r="Q2177" i="2"/>
  <c r="Q2180" i="2"/>
  <c r="Q2183" i="2"/>
  <c r="Q2186" i="2"/>
  <c r="Q2189" i="2"/>
  <c r="Q2192" i="2"/>
  <c r="Q2195" i="2"/>
  <c r="Q2198" i="2"/>
  <c r="Q2201" i="2"/>
  <c r="Q2204" i="2"/>
  <c r="Q2207" i="2"/>
  <c r="Q2210" i="2"/>
  <c r="Q2214" i="2"/>
  <c r="Q2217" i="2"/>
  <c r="Q2220" i="2"/>
  <c r="Q2223" i="2"/>
  <c r="Q2226" i="2"/>
  <c r="Q2229" i="2"/>
  <c r="Q2233" i="2"/>
  <c r="Q2234" i="2"/>
  <c r="Q2238" i="2"/>
  <c r="Q2241" i="2"/>
  <c r="Q2244" i="2"/>
  <c r="Q2247" i="2"/>
  <c r="Q2250" i="2"/>
  <c r="Q2253" i="2"/>
  <c r="Q2256" i="2"/>
  <c r="Q2259" i="2"/>
  <c r="Q2262" i="2"/>
  <c r="Q2265" i="2"/>
  <c r="Q2268" i="2"/>
  <c r="Q2271" i="2"/>
  <c r="Q2274" i="2"/>
  <c r="Q2277" i="2"/>
  <c r="Q2280" i="2"/>
  <c r="Q2283" i="2"/>
  <c r="Q2286" i="2"/>
  <c r="Q2289" i="2"/>
  <c r="Q2292" i="2"/>
  <c r="Q2295" i="2"/>
  <c r="Q2298" i="2"/>
  <c r="Q2301" i="2"/>
  <c r="Q2304" i="2"/>
  <c r="Q2307" i="2"/>
  <c r="Q2310" i="2"/>
  <c r="Q2314" i="2"/>
  <c r="Q2317" i="2"/>
  <c r="Q2320" i="2"/>
  <c r="Q2324" i="2"/>
  <c r="Q2327" i="2"/>
  <c r="Q2330" i="2"/>
  <c r="Q2333" i="2"/>
  <c r="Q2336" i="2"/>
  <c r="Q2339" i="2"/>
  <c r="Q2342" i="2"/>
  <c r="Q2345" i="2"/>
  <c r="Q2349" i="2"/>
  <c r="Q2350" i="2"/>
  <c r="Q2354" i="2"/>
  <c r="Q2358" i="2"/>
  <c r="Q2361" i="2"/>
  <c r="Q2362" i="2"/>
  <c r="Q2366" i="2"/>
  <c r="Q2371" i="2"/>
  <c r="Q2373" i="2"/>
  <c r="Q2376" i="2"/>
  <c r="Q2379" i="2"/>
  <c r="Q2382" i="2"/>
  <c r="Q2385" i="2"/>
  <c r="Q2388" i="2"/>
  <c r="Q2391" i="2"/>
  <c r="Q2394" i="2"/>
  <c r="Q2397" i="2"/>
  <c r="Q2400" i="2"/>
  <c r="Q2403" i="2"/>
  <c r="Q2406" i="2"/>
  <c r="Q2409" i="2"/>
  <c r="Q2412" i="2"/>
  <c r="Q4" i="2"/>
  <c r="Q7" i="2"/>
  <c r="Q10" i="2"/>
  <c r="Q14" i="2"/>
  <c r="Q17" i="2"/>
  <c r="Q20" i="2"/>
  <c r="Q23" i="2"/>
  <c r="Q26" i="2"/>
  <c r="Q30" i="2"/>
  <c r="Q33" i="2"/>
  <c r="Q36" i="2"/>
  <c r="Q39" i="2"/>
  <c r="Q42" i="2"/>
  <c r="Q45" i="2"/>
  <c r="Q48" i="2"/>
  <c r="Q52" i="2"/>
  <c r="Q55" i="2"/>
  <c r="Q58" i="2"/>
  <c r="Q61" i="2"/>
  <c r="Q62" i="2"/>
  <c r="Q65" i="2"/>
  <c r="Q68" i="2"/>
  <c r="Q71" i="2"/>
  <c r="Q74" i="2"/>
  <c r="Q79" i="2"/>
  <c r="Q82" i="2"/>
  <c r="Q87" i="2"/>
  <c r="Q90" i="2"/>
  <c r="Q93" i="2"/>
  <c r="Q96" i="2"/>
  <c r="Q99" i="2"/>
  <c r="Q102" i="2"/>
  <c r="Q105" i="2"/>
  <c r="Q108" i="2"/>
  <c r="Q111" i="2"/>
  <c r="Q114" i="2"/>
  <c r="Q117" i="2"/>
  <c r="Q120" i="2"/>
  <c r="Q123" i="2"/>
  <c r="Q126" i="2"/>
  <c r="Q129" i="2"/>
  <c r="Q132" i="2"/>
  <c r="Q135" i="2"/>
  <c r="Q138" i="2"/>
  <c r="Q141" i="2"/>
  <c r="Q145" i="2"/>
  <c r="Q148" i="2"/>
  <c r="Q151" i="2"/>
  <c r="Q154" i="2"/>
  <c r="Q157" i="2"/>
  <c r="Q160" i="2"/>
  <c r="Q163" i="2"/>
  <c r="Q166" i="2"/>
  <c r="Q169" i="2"/>
  <c r="Q172" i="2"/>
  <c r="Q177" i="2"/>
  <c r="Q180" i="2"/>
  <c r="Q183" i="2"/>
  <c r="Q186" i="2"/>
  <c r="Q189" i="2"/>
  <c r="Q192" i="2"/>
  <c r="Q195" i="2"/>
  <c r="Q198" i="2"/>
  <c r="Q201" i="2"/>
  <c r="Q204" i="2"/>
  <c r="Q207" i="2"/>
  <c r="Q210" i="2"/>
  <c r="Q213" i="2"/>
  <c r="Q216" i="2"/>
  <c r="Q219" i="2"/>
  <c r="Q222" i="2"/>
  <c r="Q225" i="2"/>
  <c r="Q228" i="2"/>
  <c r="Q231" i="2"/>
  <c r="Q234" i="2"/>
  <c r="Q237" i="2"/>
  <c r="Q240" i="2"/>
  <c r="Q243" i="2"/>
  <c r="Q246" i="2"/>
  <c r="Q249" i="2"/>
  <c r="Q252" i="2"/>
  <c r="Q255" i="2"/>
  <c r="Q258" i="2"/>
  <c r="Q261" i="2"/>
  <c r="Q264" i="2"/>
  <c r="Q267" i="2"/>
  <c r="Q270" i="2"/>
  <c r="Q273" i="2"/>
  <c r="Q276" i="2"/>
  <c r="Q279" i="2"/>
  <c r="Q282" i="2"/>
  <c r="Q286" i="2"/>
  <c r="Q289" i="2"/>
  <c r="Q292" i="2"/>
  <c r="Q296" i="2"/>
  <c r="Q300" i="2"/>
  <c r="Q303" i="2"/>
  <c r="Q304" i="2"/>
  <c r="Q307" i="2"/>
  <c r="Q310" i="2"/>
  <c r="Q317" i="2"/>
  <c r="Q320" i="2"/>
  <c r="Q325" i="2"/>
  <c r="Q330" i="2"/>
  <c r="Q333" i="2"/>
  <c r="Q336" i="2"/>
  <c r="Q339" i="2"/>
  <c r="Q342" i="2"/>
  <c r="Q345" i="2"/>
  <c r="Q348" i="2"/>
  <c r="Q351" i="2"/>
  <c r="Q354" i="2"/>
  <c r="Q357" i="2"/>
  <c r="Q360" i="2"/>
  <c r="Q363" i="2"/>
  <c r="Q366" i="2"/>
  <c r="Q369" i="2"/>
  <c r="Q373" i="2"/>
  <c r="Q376" i="2"/>
  <c r="Q379" i="2"/>
  <c r="Q382" i="2"/>
  <c r="Q385" i="2"/>
  <c r="Q388" i="2"/>
  <c r="Q391" i="2"/>
  <c r="Q394" i="2"/>
  <c r="Q397" i="2"/>
  <c r="Q400" i="2"/>
  <c r="Q403" i="2"/>
  <c r="Q406" i="2"/>
  <c r="Q409" i="2"/>
  <c r="Q412" i="2"/>
  <c r="Q415" i="2"/>
  <c r="Q418" i="2"/>
  <c r="Q421" i="2"/>
  <c r="Q424" i="2"/>
  <c r="Q427" i="2"/>
  <c r="Q430" i="2"/>
  <c r="Q433" i="2"/>
  <c r="Q436" i="2"/>
  <c r="Q439" i="2"/>
  <c r="Q442" i="2"/>
  <c r="Q445" i="2"/>
  <c r="Q448" i="2"/>
  <c r="Q451" i="2"/>
  <c r="Q454" i="2"/>
  <c r="Q457" i="2"/>
  <c r="Q460" i="2"/>
  <c r="Q463" i="2"/>
  <c r="Q466" i="2"/>
  <c r="Q469" i="2"/>
  <c r="Q472" i="2"/>
  <c r="Q475" i="2"/>
  <c r="Q478" i="2"/>
  <c r="Q481" i="2"/>
  <c r="Q484" i="2"/>
  <c r="Q487" i="2"/>
  <c r="Q490" i="2"/>
  <c r="Q493" i="2"/>
  <c r="Q496" i="2"/>
  <c r="Q499" i="2"/>
  <c r="Q502" i="2"/>
  <c r="Q505" i="2"/>
  <c r="Q508" i="2"/>
  <c r="Q511" i="2"/>
  <c r="Q514" i="2"/>
  <c r="Q517" i="2"/>
  <c r="Q520" i="2"/>
  <c r="Q522" i="2"/>
  <c r="Q525" i="2"/>
  <c r="Q528" i="2"/>
  <c r="Q531" i="2"/>
  <c r="Q534" i="2"/>
  <c r="Q537" i="2"/>
  <c r="Q540" i="2"/>
  <c r="Q543" i="2"/>
  <c r="Q546" i="2"/>
  <c r="Q549" i="2"/>
  <c r="Q552" i="2"/>
  <c r="Q555" i="2"/>
  <c r="Q558" i="2"/>
  <c r="Q561" i="2"/>
  <c r="Q564" i="2"/>
  <c r="Q567" i="2"/>
  <c r="Q570" i="2"/>
  <c r="Q573" i="2"/>
  <c r="Q576" i="2"/>
  <c r="Q579" i="2"/>
  <c r="Q582" i="2"/>
  <c r="Q585" i="2"/>
  <c r="Q588" i="2"/>
  <c r="Q591" i="2"/>
  <c r="Q594" i="2"/>
  <c r="Q597" i="2"/>
  <c r="Q600" i="2"/>
  <c r="Q604" i="2"/>
  <c r="Q607" i="2"/>
  <c r="Q611" i="2"/>
  <c r="Q614" i="2"/>
  <c r="Q617" i="2"/>
  <c r="Q620" i="2"/>
  <c r="Q623" i="2"/>
  <c r="Q626" i="2"/>
  <c r="Q629" i="2"/>
  <c r="Q632" i="2"/>
  <c r="Q635" i="2"/>
  <c r="Q638" i="2"/>
  <c r="Q641" i="2"/>
  <c r="Q644" i="2"/>
  <c r="Q647" i="2"/>
  <c r="Q650" i="2"/>
  <c r="Q653" i="2"/>
  <c r="Q656" i="2"/>
  <c r="Q659" i="2"/>
  <c r="Q662" i="2"/>
  <c r="Q665" i="2"/>
  <c r="Q668" i="2"/>
  <c r="Q671" i="2"/>
  <c r="Q674" i="2"/>
  <c r="Q677" i="2"/>
  <c r="Q680" i="2"/>
  <c r="Q683" i="2"/>
  <c r="Q686" i="2"/>
  <c r="Q689" i="2"/>
  <c r="Q692" i="2"/>
  <c r="Q697" i="2"/>
  <c r="Q700" i="2"/>
  <c r="Q703" i="2"/>
  <c r="Q706" i="2"/>
  <c r="Q709" i="2"/>
  <c r="Q711" i="2"/>
  <c r="Q714" i="2"/>
  <c r="Q717" i="2"/>
  <c r="Q720" i="2"/>
  <c r="Q723" i="2"/>
  <c r="Q726" i="2"/>
  <c r="Q729" i="2"/>
  <c r="Q732" i="2"/>
  <c r="Q736" i="2"/>
  <c r="Q739" i="2"/>
  <c r="Q745" i="2"/>
  <c r="Q748" i="2"/>
  <c r="Q751" i="2"/>
  <c r="Q754" i="2"/>
  <c r="Q756" i="2"/>
  <c r="Q759" i="2"/>
  <c r="Q764" i="2"/>
  <c r="Q765" i="2"/>
  <c r="Q768" i="2"/>
  <c r="Q771" i="2"/>
  <c r="Q775" i="2"/>
  <c r="Q778" i="2"/>
  <c r="Q781" i="2"/>
  <c r="Q784" i="2"/>
  <c r="Q787" i="2"/>
  <c r="Q790" i="2"/>
  <c r="Q793" i="2"/>
  <c r="Q796" i="2"/>
  <c r="Q799" i="2"/>
  <c r="Q802" i="2"/>
  <c r="Q805" i="2"/>
  <c r="Q808" i="2"/>
  <c r="Q811" i="2"/>
  <c r="Q814" i="2"/>
  <c r="Q817" i="2"/>
  <c r="Q820" i="2"/>
  <c r="Q825" i="2"/>
  <c r="Q828" i="2"/>
  <c r="Q831" i="2"/>
  <c r="Q834" i="2"/>
  <c r="Q837" i="2"/>
  <c r="Q840" i="2"/>
  <c r="Q843" i="2"/>
  <c r="Q848" i="2"/>
  <c r="Q851" i="2"/>
  <c r="Q854" i="2"/>
  <c r="Q857" i="2"/>
  <c r="Q860" i="2"/>
  <c r="Q863" i="2"/>
  <c r="Q866" i="2"/>
  <c r="Q869" i="2"/>
  <c r="Q873" i="2"/>
  <c r="Q876" i="2"/>
  <c r="Q879" i="2"/>
  <c r="Q882" i="2"/>
  <c r="Q885" i="2"/>
  <c r="Q888" i="2"/>
  <c r="Q891" i="2"/>
  <c r="Q894" i="2"/>
  <c r="Q897" i="2"/>
  <c r="Q900" i="2"/>
  <c r="Q903" i="2"/>
  <c r="Q906" i="2"/>
  <c r="Q909" i="2"/>
  <c r="Q912" i="2"/>
  <c r="Q915" i="2"/>
  <c r="Q918" i="2"/>
  <c r="Q921" i="2"/>
  <c r="Q924" i="2"/>
  <c r="Q927" i="2"/>
  <c r="Q930" i="2"/>
  <c r="Q933" i="2"/>
  <c r="Q936" i="2"/>
  <c r="Q939" i="2"/>
  <c r="Q942" i="2"/>
  <c r="Q945" i="2"/>
  <c r="Q950" i="2"/>
  <c r="Q951" i="2"/>
  <c r="Q954" i="2"/>
  <c r="Q957" i="2"/>
  <c r="Q960" i="2"/>
  <c r="Q963" i="2"/>
  <c r="Q966" i="2"/>
  <c r="Q969" i="2"/>
  <c r="Q972" i="2"/>
  <c r="Q975" i="2"/>
  <c r="Q979" i="2"/>
  <c r="Q984" i="2"/>
  <c r="Q985" i="2"/>
  <c r="Q988" i="2"/>
  <c r="Q991" i="2"/>
  <c r="Q994" i="2"/>
  <c r="Q997" i="2"/>
  <c r="Q1000" i="2"/>
  <c r="Q1003" i="2"/>
  <c r="Q1007" i="2"/>
  <c r="Q1010" i="2"/>
  <c r="Q1013" i="2"/>
  <c r="Q1016" i="2"/>
  <c r="Q1019" i="2"/>
  <c r="Q1022" i="2"/>
  <c r="Q1025" i="2"/>
  <c r="Q1026" i="2"/>
  <c r="Q1029" i="2"/>
  <c r="Q1032" i="2"/>
  <c r="Q1035" i="2"/>
  <c r="Q1038" i="2"/>
  <c r="Q1041" i="2"/>
  <c r="Q1044" i="2"/>
  <c r="Q1045" i="2"/>
  <c r="Q1048" i="2"/>
  <c r="Q1051" i="2"/>
  <c r="Q1054" i="2"/>
  <c r="Q1057" i="2"/>
  <c r="Q1062" i="2"/>
  <c r="Q1065" i="2"/>
  <c r="Q1069" i="2"/>
  <c r="Q1072" i="2"/>
  <c r="Q1075" i="2"/>
  <c r="Q1078" i="2"/>
  <c r="Q1081" i="2"/>
  <c r="Q1084" i="2"/>
  <c r="Q1087" i="2"/>
  <c r="Q1090" i="2"/>
  <c r="Q1093" i="2"/>
  <c r="Q1096" i="2"/>
  <c r="Q1099" i="2"/>
  <c r="Q1102" i="2"/>
  <c r="Q1105" i="2"/>
  <c r="Q1108" i="2"/>
  <c r="Q1111" i="2"/>
  <c r="Q1114" i="2"/>
  <c r="Q1118" i="2"/>
  <c r="Q1121" i="2"/>
  <c r="Q1124" i="2"/>
  <c r="Q1127" i="2"/>
  <c r="Q1130" i="2"/>
  <c r="Q1133" i="2"/>
  <c r="Q1136" i="2"/>
  <c r="Q1139" i="2"/>
  <c r="Q1142" i="2"/>
  <c r="Q1145" i="2"/>
  <c r="Q1150" i="2"/>
  <c r="Q1153" i="2"/>
  <c r="Q1156" i="2"/>
  <c r="Q1159" i="2"/>
  <c r="Q1162" i="2"/>
  <c r="Q1165" i="2"/>
  <c r="Q1169" i="2"/>
  <c r="Q1172" i="2"/>
  <c r="Q1175" i="2"/>
  <c r="Q1178" i="2"/>
  <c r="Q1181" i="2"/>
  <c r="Q1184" i="2"/>
  <c r="Q1187" i="2"/>
  <c r="Q1190" i="2"/>
  <c r="Q1193" i="2"/>
  <c r="Q1196" i="2"/>
  <c r="Q1199" i="2"/>
  <c r="Q1202" i="2"/>
  <c r="Q1205" i="2"/>
  <c r="Q1208" i="2"/>
  <c r="Q1211" i="2"/>
  <c r="Q1214" i="2"/>
  <c r="Q1217" i="2"/>
  <c r="Q1220" i="2"/>
  <c r="Q1223" i="2"/>
  <c r="Q1226" i="2"/>
  <c r="Q1229" i="2"/>
  <c r="Q1232" i="2"/>
  <c r="Q1235" i="2"/>
  <c r="Q1238" i="2"/>
  <c r="Q1241" i="2"/>
  <c r="Q1244" i="2"/>
  <c r="Q1247" i="2"/>
  <c r="Q1250" i="2"/>
  <c r="Q1253" i="2"/>
  <c r="Q1258" i="2"/>
  <c r="Q1259" i="2"/>
  <c r="Q1262" i="2"/>
  <c r="Q1265" i="2"/>
  <c r="Q1269" i="2"/>
  <c r="Q1272" i="2"/>
  <c r="Q1275" i="2"/>
  <c r="Q1278" i="2"/>
  <c r="Q1283" i="2"/>
  <c r="Q1286" i="2"/>
  <c r="Q1289" i="2"/>
  <c r="Q1292" i="2"/>
  <c r="Q1295" i="2"/>
  <c r="Q1300" i="2"/>
  <c r="Q1303" i="2"/>
  <c r="Q1306" i="2"/>
  <c r="Q1309" i="2"/>
  <c r="Q1312" i="2"/>
  <c r="Q1315" i="2"/>
  <c r="Q1318" i="2"/>
  <c r="Q1319" i="2"/>
  <c r="Q1324" i="2"/>
  <c r="Q1327" i="2"/>
  <c r="Q1330" i="2"/>
  <c r="Q1333" i="2"/>
  <c r="Q1336" i="2"/>
  <c r="Q1339" i="2"/>
  <c r="Q1342" i="2"/>
  <c r="Q1346" i="2"/>
  <c r="Q1349" i="2"/>
  <c r="Q1352" i="2"/>
  <c r="Q1355" i="2"/>
  <c r="Q1358" i="2"/>
  <c r="Q1361" i="2"/>
  <c r="Q1364" i="2"/>
  <c r="Q1367" i="2"/>
  <c r="Q1370" i="2"/>
  <c r="Q1373" i="2"/>
  <c r="Q1376" i="2"/>
  <c r="Q1379" i="2"/>
  <c r="Q1382" i="2"/>
  <c r="Q1385" i="2"/>
  <c r="Q1388" i="2"/>
  <c r="Q1391" i="2"/>
  <c r="Q1394" i="2"/>
  <c r="Q1397" i="2"/>
  <c r="Q1400" i="2"/>
  <c r="Q1404" i="2"/>
  <c r="Q1407" i="2"/>
  <c r="Q1410" i="2"/>
  <c r="Q1413" i="2"/>
  <c r="Q1416" i="2"/>
  <c r="Q1419" i="2"/>
  <c r="Q1422" i="2"/>
  <c r="Q1425" i="2"/>
  <c r="Q1428" i="2"/>
  <c r="Q1431" i="2"/>
  <c r="Q1434" i="2"/>
  <c r="Q1437" i="2"/>
  <c r="Q1440" i="2"/>
  <c r="Q1443" i="2"/>
  <c r="Q1446" i="2"/>
  <c r="Q1449" i="2"/>
  <c r="Q1452" i="2"/>
  <c r="Q1455" i="2"/>
  <c r="Q1458" i="2"/>
  <c r="Q1461" i="2"/>
  <c r="Q1464" i="2"/>
  <c r="Q1467" i="2"/>
  <c r="Q1470" i="2"/>
  <c r="Q1473" i="2"/>
  <c r="Q1476" i="2"/>
  <c r="Q1479" i="2"/>
  <c r="Q1482" i="2"/>
  <c r="Q1485" i="2"/>
  <c r="Q1488" i="2"/>
  <c r="Q1491" i="2"/>
  <c r="Q1494" i="2"/>
  <c r="Q1497" i="2"/>
  <c r="Q1500" i="2"/>
  <c r="Q1503" i="2"/>
  <c r="Q1506" i="2"/>
  <c r="Q1509" i="2"/>
  <c r="Q1512" i="2"/>
  <c r="Q1515" i="2"/>
  <c r="Q1518" i="2"/>
  <c r="Q1521" i="2"/>
  <c r="Q1524" i="2"/>
  <c r="Q1527" i="2"/>
  <c r="Q1530" i="2"/>
  <c r="Q1533" i="2"/>
  <c r="Q1536" i="2"/>
  <c r="Q1541" i="2"/>
  <c r="Q1544" i="2"/>
  <c r="Q1547" i="2"/>
  <c r="Q1550" i="2"/>
  <c r="Q1553" i="2"/>
  <c r="Q1556" i="2"/>
  <c r="Q1559" i="2"/>
  <c r="Q1562" i="2"/>
  <c r="Q1565" i="2"/>
  <c r="Q1568" i="2"/>
  <c r="Q1571" i="2"/>
  <c r="Q1575" i="2"/>
  <c r="Q1576" i="2"/>
  <c r="Q1581" i="2"/>
  <c r="Q1584" i="2"/>
  <c r="Q1587" i="2"/>
  <c r="Q1590" i="2"/>
  <c r="Q1593" i="2"/>
  <c r="Q1597" i="2"/>
  <c r="Q1600" i="2"/>
  <c r="Q1603" i="2"/>
  <c r="Q1606" i="2"/>
  <c r="Q1609" i="2"/>
  <c r="Q1612" i="2"/>
  <c r="Q1615" i="2"/>
  <c r="Q1618" i="2"/>
  <c r="Q1621" i="2"/>
  <c r="Q1624" i="2"/>
  <c r="Q1627" i="2"/>
  <c r="Q1630" i="2"/>
  <c r="Q1633" i="2"/>
  <c r="Q1636" i="2"/>
  <c r="Q1639" i="2"/>
  <c r="Q1642" i="2"/>
  <c r="Q1645" i="2"/>
  <c r="Q1648" i="2"/>
  <c r="Q1651" i="2"/>
  <c r="Q1654" i="2"/>
  <c r="Q1657" i="2"/>
  <c r="Q1660" i="2"/>
  <c r="Q1663" i="2"/>
  <c r="Q1666" i="2"/>
  <c r="Q1669" i="2"/>
  <c r="Q1672" i="2"/>
  <c r="Q1675" i="2"/>
  <c r="Q1678" i="2"/>
  <c r="Q1681" i="2"/>
  <c r="Q1684" i="2"/>
  <c r="Q1687" i="2"/>
  <c r="Q1690" i="2"/>
  <c r="Q1693" i="2"/>
  <c r="Q1696" i="2"/>
  <c r="Q1701" i="2"/>
  <c r="Q1702" i="2"/>
  <c r="Q1705" i="2"/>
  <c r="Q1709" i="2"/>
  <c r="Q1712" i="2"/>
  <c r="Q1715" i="2"/>
  <c r="Q1718" i="2"/>
  <c r="Q1721" i="2"/>
  <c r="Q1724" i="2"/>
  <c r="Q1729" i="2"/>
  <c r="Q1732" i="2"/>
  <c r="Q1735" i="2"/>
  <c r="Q1738" i="2"/>
  <c r="Q1741" i="2"/>
  <c r="Q1746" i="2"/>
  <c r="Q1749" i="2"/>
  <c r="Q1752" i="2"/>
  <c r="Q1755" i="2"/>
  <c r="Q1761" i="2"/>
  <c r="Q1764" i="2"/>
  <c r="Q1767" i="2"/>
  <c r="Q1770" i="2"/>
  <c r="Q1773" i="2"/>
  <c r="Q1776" i="2"/>
  <c r="Q1779" i="2"/>
  <c r="Q1782" i="2"/>
  <c r="Q1785" i="2"/>
  <c r="Q1788" i="2"/>
  <c r="Q1791" i="2"/>
  <c r="Q1794" i="2"/>
  <c r="Q1800" i="2"/>
  <c r="Q1797" i="2"/>
  <c r="Q1803" i="2"/>
  <c r="Q1806" i="2"/>
  <c r="Q1811" i="2"/>
  <c r="Q1814" i="2"/>
  <c r="Q1817" i="2"/>
  <c r="Q1822" i="2"/>
  <c r="Q1825" i="2"/>
  <c r="Q1828" i="2"/>
  <c r="Q1831" i="2"/>
  <c r="Q1834" i="2"/>
  <c r="Q1837" i="2"/>
  <c r="Q1840" i="2"/>
  <c r="Q1843" i="2"/>
  <c r="Q1848" i="2"/>
  <c r="Q1849" i="2"/>
  <c r="Q1852" i="2"/>
  <c r="Q1855" i="2"/>
  <c r="Q1857" i="2"/>
  <c r="Q1860" i="2"/>
  <c r="Q1865" i="2"/>
  <c r="Q1868" i="2"/>
  <c r="Q1871" i="2"/>
  <c r="Q1874" i="2"/>
  <c r="Q1877" i="2"/>
  <c r="Q1880" i="2"/>
  <c r="Q1886" i="2"/>
  <c r="Q1887" i="2"/>
  <c r="Q1888" i="2"/>
  <c r="Q1891" i="2"/>
  <c r="Q1894" i="2"/>
  <c r="Q1897" i="2"/>
  <c r="Q1900" i="2"/>
  <c r="Q1903" i="2"/>
  <c r="Q1906" i="2"/>
  <c r="Q1911" i="2"/>
  <c r="Q1912" i="2"/>
  <c r="Q1915" i="2"/>
  <c r="Q1918" i="2"/>
  <c r="Q1923" i="2"/>
  <c r="Q1926" i="2"/>
  <c r="Q1929" i="2"/>
  <c r="Q1932" i="2"/>
  <c r="Q1935" i="2"/>
  <c r="Q1939" i="2"/>
  <c r="Q1946" i="2"/>
  <c r="Q1947" i="2"/>
  <c r="Q1951" i="2"/>
  <c r="Q1954" i="2"/>
  <c r="Q1958" i="2"/>
  <c r="Q1961" i="2"/>
  <c r="Q1964" i="2"/>
  <c r="Q1967" i="2"/>
  <c r="Q1970" i="2"/>
  <c r="Q1973" i="2"/>
  <c r="Q1976" i="2"/>
  <c r="Q1979" i="2"/>
  <c r="Q1982" i="2"/>
  <c r="Q1985" i="2"/>
  <c r="Q1988" i="2"/>
  <c r="Q1991" i="2"/>
  <c r="Q1994" i="2"/>
  <c r="Q1997" i="2"/>
  <c r="Q2000" i="2"/>
  <c r="Q2003" i="2"/>
  <c r="Q2006" i="2"/>
  <c r="Q2009" i="2"/>
  <c r="Q2012" i="2"/>
  <c r="Q2015" i="2"/>
  <c r="Q2018" i="2"/>
  <c r="Q2022" i="2"/>
  <c r="Q2025" i="2"/>
  <c r="Q2028" i="2"/>
  <c r="Q2031" i="2"/>
  <c r="Q2034" i="2"/>
  <c r="Q2037" i="2"/>
  <c r="Q2040" i="2"/>
  <c r="Q2043" i="2"/>
  <c r="Q2046" i="2"/>
  <c r="Q2049" i="2"/>
  <c r="Q2052" i="2"/>
  <c r="Q2055" i="2"/>
  <c r="Q2058" i="2"/>
  <c r="Q2061" i="2"/>
  <c r="Q2064" i="2"/>
  <c r="Q2067" i="2"/>
  <c r="Q2070" i="2"/>
  <c r="Q2074" i="2"/>
  <c r="Q2077" i="2"/>
  <c r="Q2080" i="2"/>
  <c r="Q2085" i="2"/>
  <c r="Q2088" i="2"/>
  <c r="Q2092" i="2"/>
  <c r="Q2095" i="2"/>
  <c r="Q2098" i="2"/>
  <c r="Q2101" i="2"/>
  <c r="Q2104" i="2"/>
  <c r="Q2107" i="2"/>
  <c r="Q2110" i="2"/>
  <c r="Q2113" i="2"/>
  <c r="Q2116" i="2"/>
  <c r="Q2119" i="2"/>
  <c r="Q2122" i="2"/>
  <c r="Q2125" i="2"/>
  <c r="Q2128" i="2"/>
  <c r="Q2131" i="2"/>
  <c r="Q2136" i="2"/>
  <c r="Q2139" i="2"/>
  <c r="Q2142" i="2"/>
  <c r="Q2145" i="2"/>
  <c r="Q2148" i="2"/>
  <c r="Q2151" i="2"/>
  <c r="Q2154" i="2"/>
  <c r="Q2157" i="2"/>
  <c r="Q2160" i="2"/>
  <c r="Q2163" i="2"/>
  <c r="Q2166" i="2"/>
  <c r="Q2169" i="2"/>
  <c r="Q2172" i="2"/>
  <c r="Q2175" i="2"/>
  <c r="Q2178" i="2"/>
  <c r="Q2181" i="2"/>
  <c r="Q2184" i="2"/>
  <c r="Q2187" i="2"/>
  <c r="Q2190" i="2"/>
  <c r="Q2193" i="2"/>
  <c r="Q2196" i="2"/>
  <c r="Q2199" i="2"/>
  <c r="Q2202" i="2"/>
  <c r="Q2205" i="2"/>
  <c r="Q2208" i="2"/>
  <c r="Q2211" i="2"/>
  <c r="Q2215" i="2"/>
  <c r="Q2218" i="2"/>
  <c r="Q2221" i="2"/>
  <c r="Q2224" i="2"/>
  <c r="Q2227" i="2"/>
  <c r="Q2230" i="2"/>
  <c r="Q2235" i="2"/>
  <c r="Q2236" i="2"/>
  <c r="Q2239" i="2"/>
  <c r="Q2242" i="2"/>
  <c r="Q2245" i="2"/>
  <c r="Q2248" i="2"/>
  <c r="Q2251" i="2"/>
  <c r="Q2254" i="2"/>
  <c r="Q2257" i="2"/>
  <c r="Q2260" i="2"/>
  <c r="Q2263" i="2"/>
  <c r="Q2266" i="2"/>
  <c r="Q2269" i="2"/>
  <c r="Q2272" i="2"/>
  <c r="Q2275" i="2"/>
  <c r="Q2278" i="2"/>
  <c r="Q2281" i="2"/>
  <c r="Q2284" i="2"/>
  <c r="Q2287" i="2"/>
  <c r="Q2290" i="2"/>
  <c r="Q2293" i="2"/>
  <c r="Q2296" i="2"/>
  <c r="Q2299" i="2"/>
  <c r="Q2302" i="2"/>
  <c r="Q2305" i="2"/>
  <c r="Q2308" i="2"/>
  <c r="Q2311" i="2"/>
  <c r="Q2315" i="2"/>
  <c r="Q2318" i="2"/>
  <c r="Q2321" i="2"/>
  <c r="Q2325" i="2"/>
  <c r="Q2328" i="2"/>
  <c r="Q2331" i="2"/>
  <c r="Q2334" i="2"/>
  <c r="Q2337" i="2"/>
  <c r="Q2340" i="2"/>
  <c r="Q2343" i="2"/>
  <c r="Q2346" i="2"/>
  <c r="Q2351" i="2"/>
  <c r="Q2352" i="2"/>
  <c r="Q2355" i="2"/>
  <c r="Q2356" i="2"/>
  <c r="Q2363" i="2"/>
  <c r="Q2364" i="2"/>
  <c r="Q2367" i="2"/>
  <c r="Q2374" i="2"/>
  <c r="Q2377" i="2"/>
  <c r="Q2380" i="2"/>
  <c r="Q2383" i="2"/>
  <c r="Q2386" i="2"/>
  <c r="Q2389" i="2"/>
  <c r="Q2392" i="2"/>
  <c r="Q2395" i="2"/>
  <c r="Q2398" i="2"/>
  <c r="Q2401" i="2"/>
  <c r="Q2404" i="2"/>
  <c r="Q2407" i="2"/>
  <c r="Q2410" i="2"/>
  <c r="Q2" i="2"/>
  <c r="M5" i="2"/>
  <c r="N5" i="2" s="1"/>
  <c r="O5" i="2" s="1"/>
  <c r="R5" i="2" s="1"/>
  <c r="M8" i="2"/>
  <c r="N8" i="2" s="1"/>
  <c r="O8" i="2" s="1"/>
  <c r="R8" i="2" s="1"/>
  <c r="M11" i="2"/>
  <c r="N11" i="2" s="1"/>
  <c r="O11" i="2" s="1"/>
  <c r="R11" i="2" s="1"/>
  <c r="M12" i="2"/>
  <c r="N12" i="2" s="1"/>
  <c r="O12" i="2" s="1"/>
  <c r="R12" i="2" s="1"/>
  <c r="M15" i="2"/>
  <c r="N15" i="2" s="1"/>
  <c r="O15" i="2" s="1"/>
  <c r="R15" i="2" s="1"/>
  <c r="M18" i="2"/>
  <c r="N18" i="2" s="1"/>
  <c r="O18" i="2" s="1"/>
  <c r="R18" i="2" s="1"/>
  <c r="M21" i="2"/>
  <c r="N21" i="2" s="1"/>
  <c r="O21" i="2" s="1"/>
  <c r="R21" i="2" s="1"/>
  <c r="M24" i="2"/>
  <c r="N24" i="2" s="1"/>
  <c r="O24" i="2" s="1"/>
  <c r="R24" i="2" s="1"/>
  <c r="M27" i="2"/>
  <c r="N27" i="2" s="1"/>
  <c r="O27" i="2" s="1"/>
  <c r="R27" i="2" s="1"/>
  <c r="M28" i="2"/>
  <c r="N28" i="2" s="1"/>
  <c r="O28" i="2" s="1"/>
  <c r="R28" i="2" s="1"/>
  <c r="M31" i="2"/>
  <c r="N31" i="2" s="1"/>
  <c r="O31" i="2" s="1"/>
  <c r="R31" i="2" s="1"/>
  <c r="M34" i="2"/>
  <c r="N34" i="2" s="1"/>
  <c r="O34" i="2" s="1"/>
  <c r="R34" i="2" s="1"/>
  <c r="M37" i="2"/>
  <c r="N37" i="2" s="1"/>
  <c r="O37" i="2" s="1"/>
  <c r="R37" i="2" s="1"/>
  <c r="M40" i="2"/>
  <c r="N40" i="2" s="1"/>
  <c r="O40" i="2" s="1"/>
  <c r="R40" i="2" s="1"/>
  <c r="M43" i="2"/>
  <c r="N43" i="2" s="1"/>
  <c r="O43" i="2" s="1"/>
  <c r="R43" i="2" s="1"/>
  <c r="M46" i="2"/>
  <c r="N46" i="2" s="1"/>
  <c r="O46" i="2" s="1"/>
  <c r="R46" i="2" s="1"/>
  <c r="M49" i="2"/>
  <c r="N49" i="2" s="1"/>
  <c r="O49" i="2" s="1"/>
  <c r="R49" i="2" s="1"/>
  <c r="M50" i="2"/>
  <c r="N50" i="2" s="1"/>
  <c r="O50" i="2" s="1"/>
  <c r="R50" i="2" s="1"/>
  <c r="M53" i="2"/>
  <c r="N53" i="2" s="1"/>
  <c r="O53" i="2" s="1"/>
  <c r="R53" i="2" s="1"/>
  <c r="M56" i="2"/>
  <c r="N56" i="2" s="1"/>
  <c r="O56" i="2" s="1"/>
  <c r="R56" i="2" s="1"/>
  <c r="M59" i="2"/>
  <c r="N59" i="2" s="1"/>
  <c r="O59" i="2" s="1"/>
  <c r="R59" i="2" s="1"/>
  <c r="M63" i="2"/>
  <c r="N63" i="2" s="1"/>
  <c r="O63" i="2" s="1"/>
  <c r="R63" i="2" s="1"/>
  <c r="M66" i="2"/>
  <c r="N66" i="2" s="1"/>
  <c r="O66" i="2" s="1"/>
  <c r="R66" i="2" s="1"/>
  <c r="M69" i="2"/>
  <c r="N69" i="2" s="1"/>
  <c r="O69" i="2" s="1"/>
  <c r="R69" i="2" s="1"/>
  <c r="M72" i="2"/>
  <c r="N72" i="2" s="1"/>
  <c r="O72" i="2" s="1"/>
  <c r="R72" i="2" s="1"/>
  <c r="M75" i="2"/>
  <c r="N75" i="2" s="1"/>
  <c r="O75" i="2" s="1"/>
  <c r="R75" i="2" s="1"/>
  <c r="M77" i="2"/>
  <c r="N77" i="2" s="1"/>
  <c r="O77" i="2" s="1"/>
  <c r="R77" i="2" s="1"/>
  <c r="M80" i="2"/>
  <c r="N80" i="2" s="1"/>
  <c r="O80" i="2" s="1"/>
  <c r="R80" i="2" s="1"/>
  <c r="M83" i="2"/>
  <c r="N83" i="2" s="1"/>
  <c r="O83" i="2" s="1"/>
  <c r="R83" i="2" s="1"/>
  <c r="M85" i="2"/>
  <c r="N85" i="2" s="1"/>
  <c r="O85" i="2" s="1"/>
  <c r="R85" i="2" s="1"/>
  <c r="M88" i="2"/>
  <c r="N88" i="2" s="1"/>
  <c r="O88" i="2" s="1"/>
  <c r="R88" i="2" s="1"/>
  <c r="M91" i="2"/>
  <c r="N91" i="2" s="1"/>
  <c r="O91" i="2" s="1"/>
  <c r="R91" i="2" s="1"/>
  <c r="M94" i="2"/>
  <c r="N94" i="2" s="1"/>
  <c r="O94" i="2" s="1"/>
  <c r="R94" i="2" s="1"/>
  <c r="M97" i="2"/>
  <c r="N97" i="2" s="1"/>
  <c r="O97" i="2" s="1"/>
  <c r="R97" i="2" s="1"/>
  <c r="M100" i="2"/>
  <c r="N100" i="2" s="1"/>
  <c r="O100" i="2" s="1"/>
  <c r="R100" i="2" s="1"/>
  <c r="M103" i="2"/>
  <c r="N103" i="2" s="1"/>
  <c r="O103" i="2" s="1"/>
  <c r="R103" i="2" s="1"/>
  <c r="M106" i="2"/>
  <c r="N106" i="2" s="1"/>
  <c r="O106" i="2" s="1"/>
  <c r="R106" i="2" s="1"/>
  <c r="M109" i="2"/>
  <c r="N109" i="2" s="1"/>
  <c r="O109" i="2" s="1"/>
  <c r="R109" i="2" s="1"/>
  <c r="M112" i="2"/>
  <c r="N112" i="2" s="1"/>
  <c r="O112" i="2" s="1"/>
  <c r="R112" i="2" s="1"/>
  <c r="M115" i="2"/>
  <c r="N115" i="2" s="1"/>
  <c r="O115" i="2" s="1"/>
  <c r="R115" i="2" s="1"/>
  <c r="M118" i="2"/>
  <c r="N118" i="2" s="1"/>
  <c r="O118" i="2" s="1"/>
  <c r="R118" i="2" s="1"/>
  <c r="M121" i="2"/>
  <c r="N121" i="2" s="1"/>
  <c r="O121" i="2" s="1"/>
  <c r="R121" i="2" s="1"/>
  <c r="M124" i="2"/>
  <c r="N124" i="2" s="1"/>
  <c r="O124" i="2" s="1"/>
  <c r="R124" i="2" s="1"/>
  <c r="M127" i="2"/>
  <c r="N127" i="2" s="1"/>
  <c r="O127" i="2" s="1"/>
  <c r="R127" i="2" s="1"/>
  <c r="M130" i="2"/>
  <c r="N130" i="2" s="1"/>
  <c r="O130" i="2" s="1"/>
  <c r="R130" i="2" s="1"/>
  <c r="M133" i="2"/>
  <c r="N133" i="2" s="1"/>
  <c r="O133" i="2" s="1"/>
  <c r="R133" i="2" s="1"/>
  <c r="M136" i="2"/>
  <c r="N136" i="2" s="1"/>
  <c r="O136" i="2" s="1"/>
  <c r="R136" i="2" s="1"/>
  <c r="M139" i="2"/>
  <c r="N139" i="2" s="1"/>
  <c r="O139" i="2" s="1"/>
  <c r="R139" i="2" s="1"/>
  <c r="M142" i="2"/>
  <c r="N142" i="2" s="1"/>
  <c r="O142" i="2" s="1"/>
  <c r="R142" i="2" s="1"/>
  <c r="M143" i="2"/>
  <c r="N143" i="2" s="1"/>
  <c r="O143" i="2" s="1"/>
  <c r="R143" i="2" s="1"/>
  <c r="M146" i="2"/>
  <c r="N146" i="2" s="1"/>
  <c r="O146" i="2" s="1"/>
  <c r="R146" i="2" s="1"/>
  <c r="M149" i="2"/>
  <c r="N149" i="2" s="1"/>
  <c r="O149" i="2" s="1"/>
  <c r="R149" i="2" s="1"/>
  <c r="M152" i="2"/>
  <c r="N152" i="2" s="1"/>
  <c r="O152" i="2" s="1"/>
  <c r="R152" i="2" s="1"/>
  <c r="M155" i="2"/>
  <c r="N155" i="2" s="1"/>
  <c r="O155" i="2" s="1"/>
  <c r="R155" i="2" s="1"/>
  <c r="M158" i="2"/>
  <c r="N158" i="2" s="1"/>
  <c r="O158" i="2" s="1"/>
  <c r="R158" i="2" s="1"/>
  <c r="M161" i="2"/>
  <c r="N161" i="2" s="1"/>
  <c r="O161" i="2" s="1"/>
  <c r="R161" i="2" s="1"/>
  <c r="M164" i="2"/>
  <c r="N164" i="2" s="1"/>
  <c r="O164" i="2" s="1"/>
  <c r="R164" i="2" s="1"/>
  <c r="M167" i="2"/>
  <c r="N167" i="2" s="1"/>
  <c r="O167" i="2" s="1"/>
  <c r="R167" i="2" s="1"/>
  <c r="M170" i="2"/>
  <c r="N170" i="2" s="1"/>
  <c r="O170" i="2" s="1"/>
  <c r="R170" i="2" s="1"/>
  <c r="M173" i="2"/>
  <c r="N173" i="2" s="1"/>
  <c r="O173" i="2" s="1"/>
  <c r="R173" i="2" s="1"/>
  <c r="M175" i="2"/>
  <c r="N175" i="2" s="1"/>
  <c r="O175" i="2" s="1"/>
  <c r="R175" i="2" s="1"/>
  <c r="M178" i="2"/>
  <c r="N178" i="2" s="1"/>
  <c r="O178" i="2" s="1"/>
  <c r="R178" i="2" s="1"/>
  <c r="M181" i="2"/>
  <c r="N181" i="2" s="1"/>
  <c r="O181" i="2" s="1"/>
  <c r="R181" i="2" s="1"/>
  <c r="M184" i="2"/>
  <c r="N184" i="2" s="1"/>
  <c r="O184" i="2" s="1"/>
  <c r="R184" i="2" s="1"/>
  <c r="M187" i="2"/>
  <c r="N187" i="2" s="1"/>
  <c r="O187" i="2" s="1"/>
  <c r="R187" i="2" s="1"/>
  <c r="M190" i="2"/>
  <c r="N190" i="2" s="1"/>
  <c r="O190" i="2" s="1"/>
  <c r="R190" i="2" s="1"/>
  <c r="M193" i="2"/>
  <c r="N193" i="2" s="1"/>
  <c r="O193" i="2" s="1"/>
  <c r="R193" i="2" s="1"/>
  <c r="M196" i="2"/>
  <c r="N196" i="2" s="1"/>
  <c r="O196" i="2" s="1"/>
  <c r="R196" i="2" s="1"/>
  <c r="M199" i="2"/>
  <c r="N199" i="2" s="1"/>
  <c r="O199" i="2" s="1"/>
  <c r="R199" i="2" s="1"/>
  <c r="M202" i="2"/>
  <c r="N202" i="2" s="1"/>
  <c r="O202" i="2" s="1"/>
  <c r="R202" i="2" s="1"/>
  <c r="M205" i="2"/>
  <c r="N205" i="2" s="1"/>
  <c r="O205" i="2" s="1"/>
  <c r="R205" i="2" s="1"/>
  <c r="M208" i="2"/>
  <c r="N208" i="2" s="1"/>
  <c r="O208" i="2" s="1"/>
  <c r="R208" i="2" s="1"/>
  <c r="M211" i="2"/>
  <c r="N211" i="2" s="1"/>
  <c r="O211" i="2" s="1"/>
  <c r="R211" i="2" s="1"/>
  <c r="M214" i="2"/>
  <c r="N214" i="2" s="1"/>
  <c r="O214" i="2" s="1"/>
  <c r="R214" i="2" s="1"/>
  <c r="M217" i="2"/>
  <c r="N217" i="2" s="1"/>
  <c r="O217" i="2" s="1"/>
  <c r="R217" i="2" s="1"/>
  <c r="M220" i="2"/>
  <c r="N220" i="2" s="1"/>
  <c r="O220" i="2" s="1"/>
  <c r="R220" i="2" s="1"/>
  <c r="M223" i="2"/>
  <c r="N223" i="2" s="1"/>
  <c r="O223" i="2" s="1"/>
  <c r="R223" i="2" s="1"/>
  <c r="M226" i="2"/>
  <c r="N226" i="2" s="1"/>
  <c r="O226" i="2" s="1"/>
  <c r="R226" i="2" s="1"/>
  <c r="M229" i="2"/>
  <c r="N229" i="2" s="1"/>
  <c r="O229" i="2" s="1"/>
  <c r="R229" i="2" s="1"/>
  <c r="M232" i="2"/>
  <c r="N232" i="2" s="1"/>
  <c r="O232" i="2" s="1"/>
  <c r="R232" i="2" s="1"/>
  <c r="M235" i="2"/>
  <c r="N235" i="2" s="1"/>
  <c r="O235" i="2" s="1"/>
  <c r="R235" i="2" s="1"/>
  <c r="M238" i="2"/>
  <c r="N238" i="2" s="1"/>
  <c r="O238" i="2" s="1"/>
  <c r="R238" i="2" s="1"/>
  <c r="M241" i="2"/>
  <c r="N241" i="2" s="1"/>
  <c r="O241" i="2" s="1"/>
  <c r="R241" i="2" s="1"/>
  <c r="M244" i="2"/>
  <c r="N244" i="2" s="1"/>
  <c r="O244" i="2" s="1"/>
  <c r="R244" i="2" s="1"/>
  <c r="M247" i="2"/>
  <c r="N247" i="2" s="1"/>
  <c r="O247" i="2" s="1"/>
  <c r="R247" i="2" s="1"/>
  <c r="M250" i="2"/>
  <c r="N250" i="2" s="1"/>
  <c r="O250" i="2" s="1"/>
  <c r="R250" i="2" s="1"/>
  <c r="M253" i="2"/>
  <c r="N253" i="2" s="1"/>
  <c r="O253" i="2" s="1"/>
  <c r="R253" i="2" s="1"/>
  <c r="M256" i="2"/>
  <c r="N256" i="2" s="1"/>
  <c r="O256" i="2" s="1"/>
  <c r="R256" i="2" s="1"/>
  <c r="M259" i="2"/>
  <c r="N259" i="2" s="1"/>
  <c r="O259" i="2" s="1"/>
  <c r="R259" i="2" s="1"/>
  <c r="M262" i="2"/>
  <c r="N262" i="2" s="1"/>
  <c r="O262" i="2" s="1"/>
  <c r="R262" i="2" s="1"/>
  <c r="M265" i="2"/>
  <c r="N265" i="2" s="1"/>
  <c r="O265" i="2" s="1"/>
  <c r="R265" i="2" s="1"/>
  <c r="M268" i="2"/>
  <c r="N268" i="2" s="1"/>
  <c r="O268" i="2" s="1"/>
  <c r="R268" i="2" s="1"/>
  <c r="M271" i="2"/>
  <c r="N271" i="2" s="1"/>
  <c r="O271" i="2" s="1"/>
  <c r="R271" i="2" s="1"/>
  <c r="M274" i="2"/>
  <c r="N274" i="2" s="1"/>
  <c r="O274" i="2" s="1"/>
  <c r="R274" i="2" s="1"/>
  <c r="M277" i="2"/>
  <c r="N277" i="2" s="1"/>
  <c r="O277" i="2" s="1"/>
  <c r="R277" i="2" s="1"/>
  <c r="M280" i="2"/>
  <c r="N280" i="2" s="1"/>
  <c r="O280" i="2" s="1"/>
  <c r="R280" i="2" s="1"/>
  <c r="M283" i="2"/>
  <c r="N283" i="2" s="1"/>
  <c r="O283" i="2" s="1"/>
  <c r="R283" i="2" s="1"/>
  <c r="M284" i="2"/>
  <c r="N284" i="2" s="1"/>
  <c r="O284" i="2" s="1"/>
  <c r="R284" i="2" s="1"/>
  <c r="M287" i="2"/>
  <c r="N287" i="2" s="1"/>
  <c r="O287" i="2" s="1"/>
  <c r="R287" i="2" s="1"/>
  <c r="M290" i="2"/>
  <c r="N290" i="2" s="1"/>
  <c r="O290" i="2" s="1"/>
  <c r="R290" i="2" s="1"/>
  <c r="M293" i="2"/>
  <c r="N293" i="2" s="1"/>
  <c r="O293" i="2" s="1"/>
  <c r="R293" i="2" s="1"/>
  <c r="M294" i="2"/>
  <c r="N294" i="2" s="1"/>
  <c r="O294" i="2" s="1"/>
  <c r="R294" i="2" s="1"/>
  <c r="M297" i="2"/>
  <c r="N297" i="2" s="1"/>
  <c r="O297" i="2" s="1"/>
  <c r="R297" i="2" s="1"/>
  <c r="M298" i="2"/>
  <c r="N298" i="2" s="1"/>
  <c r="O298" i="2" s="1"/>
  <c r="R298" i="2" s="1"/>
  <c r="M301" i="2"/>
  <c r="N301" i="2" s="1"/>
  <c r="O301" i="2" s="1"/>
  <c r="R301" i="2" s="1"/>
  <c r="M305" i="2"/>
  <c r="N305" i="2" s="1"/>
  <c r="O305" i="2" s="1"/>
  <c r="R305" i="2" s="1"/>
  <c r="M308" i="2"/>
  <c r="N308" i="2" s="1"/>
  <c r="O308" i="2" s="1"/>
  <c r="R308" i="2" s="1"/>
  <c r="M311" i="2"/>
  <c r="N311" i="2" s="1"/>
  <c r="O311" i="2" s="1"/>
  <c r="R311" i="2" s="1"/>
  <c r="M313" i="2"/>
  <c r="N313" i="2" s="1"/>
  <c r="O313" i="2" s="1"/>
  <c r="R313" i="2" s="1"/>
  <c r="M315" i="2"/>
  <c r="N315" i="2" s="1"/>
  <c r="O315" i="2" s="1"/>
  <c r="R315" i="2" s="1"/>
  <c r="M318" i="2"/>
  <c r="N318" i="2" s="1"/>
  <c r="O318" i="2" s="1"/>
  <c r="R318" i="2" s="1"/>
  <c r="M321" i="2"/>
  <c r="N321" i="2" s="1"/>
  <c r="O321" i="2" s="1"/>
  <c r="R321" i="2" s="1"/>
  <c r="M323" i="2"/>
  <c r="N323" i="2" s="1"/>
  <c r="O323" i="2" s="1"/>
  <c r="R323" i="2" s="1"/>
  <c r="M326" i="2"/>
  <c r="N326" i="2" s="1"/>
  <c r="O326" i="2" s="1"/>
  <c r="R326" i="2" s="1"/>
  <c r="M328" i="2"/>
  <c r="N328" i="2" s="1"/>
  <c r="O328" i="2" s="1"/>
  <c r="R328" i="2" s="1"/>
  <c r="M331" i="2"/>
  <c r="N331" i="2" s="1"/>
  <c r="O331" i="2" s="1"/>
  <c r="R331" i="2" s="1"/>
  <c r="M334" i="2"/>
  <c r="N334" i="2" s="1"/>
  <c r="O334" i="2" s="1"/>
  <c r="R334" i="2" s="1"/>
  <c r="M337" i="2"/>
  <c r="N337" i="2" s="1"/>
  <c r="O337" i="2" s="1"/>
  <c r="R337" i="2" s="1"/>
  <c r="M340" i="2"/>
  <c r="N340" i="2" s="1"/>
  <c r="O340" i="2" s="1"/>
  <c r="R340" i="2" s="1"/>
  <c r="M343" i="2"/>
  <c r="N343" i="2" s="1"/>
  <c r="O343" i="2" s="1"/>
  <c r="R343" i="2" s="1"/>
  <c r="M346" i="2"/>
  <c r="N346" i="2" s="1"/>
  <c r="O346" i="2" s="1"/>
  <c r="R346" i="2" s="1"/>
  <c r="M349" i="2"/>
  <c r="N349" i="2" s="1"/>
  <c r="O349" i="2" s="1"/>
  <c r="R349" i="2" s="1"/>
  <c r="M352" i="2"/>
  <c r="N352" i="2" s="1"/>
  <c r="O352" i="2" s="1"/>
  <c r="R352" i="2" s="1"/>
  <c r="M355" i="2"/>
  <c r="N355" i="2" s="1"/>
  <c r="O355" i="2" s="1"/>
  <c r="R355" i="2" s="1"/>
  <c r="M358" i="2"/>
  <c r="N358" i="2" s="1"/>
  <c r="O358" i="2" s="1"/>
  <c r="R358" i="2" s="1"/>
  <c r="M361" i="2"/>
  <c r="N361" i="2" s="1"/>
  <c r="O361" i="2" s="1"/>
  <c r="R361" i="2" s="1"/>
  <c r="M364" i="2"/>
  <c r="N364" i="2" s="1"/>
  <c r="O364" i="2" s="1"/>
  <c r="R364" i="2" s="1"/>
  <c r="M367" i="2"/>
  <c r="N367" i="2" s="1"/>
  <c r="O367" i="2" s="1"/>
  <c r="R367" i="2" s="1"/>
  <c r="M370" i="2"/>
  <c r="N370" i="2" s="1"/>
  <c r="O370" i="2" s="1"/>
  <c r="R370" i="2" s="1"/>
  <c r="M371" i="2"/>
  <c r="N371" i="2" s="1"/>
  <c r="O371" i="2" s="1"/>
  <c r="R371" i="2" s="1"/>
  <c r="M374" i="2"/>
  <c r="N374" i="2" s="1"/>
  <c r="O374" i="2" s="1"/>
  <c r="R374" i="2" s="1"/>
  <c r="M377" i="2"/>
  <c r="N377" i="2" s="1"/>
  <c r="O377" i="2" s="1"/>
  <c r="R377" i="2" s="1"/>
  <c r="M380" i="2"/>
  <c r="N380" i="2" s="1"/>
  <c r="O380" i="2" s="1"/>
  <c r="R380" i="2" s="1"/>
  <c r="M383" i="2"/>
  <c r="N383" i="2" s="1"/>
  <c r="O383" i="2" s="1"/>
  <c r="R383" i="2" s="1"/>
  <c r="M386" i="2"/>
  <c r="N386" i="2" s="1"/>
  <c r="O386" i="2" s="1"/>
  <c r="R386" i="2" s="1"/>
  <c r="M389" i="2"/>
  <c r="N389" i="2" s="1"/>
  <c r="O389" i="2" s="1"/>
  <c r="R389" i="2" s="1"/>
  <c r="M392" i="2"/>
  <c r="N392" i="2" s="1"/>
  <c r="O392" i="2" s="1"/>
  <c r="R392" i="2" s="1"/>
  <c r="M395" i="2"/>
  <c r="N395" i="2" s="1"/>
  <c r="O395" i="2" s="1"/>
  <c r="R395" i="2" s="1"/>
  <c r="M398" i="2"/>
  <c r="N398" i="2" s="1"/>
  <c r="O398" i="2" s="1"/>
  <c r="R398" i="2" s="1"/>
  <c r="M401" i="2"/>
  <c r="N401" i="2" s="1"/>
  <c r="O401" i="2" s="1"/>
  <c r="R401" i="2" s="1"/>
  <c r="M404" i="2"/>
  <c r="N404" i="2" s="1"/>
  <c r="O404" i="2" s="1"/>
  <c r="R404" i="2" s="1"/>
  <c r="M407" i="2"/>
  <c r="N407" i="2" s="1"/>
  <c r="O407" i="2" s="1"/>
  <c r="R407" i="2" s="1"/>
  <c r="M410" i="2"/>
  <c r="N410" i="2" s="1"/>
  <c r="O410" i="2" s="1"/>
  <c r="R410" i="2" s="1"/>
  <c r="M413" i="2"/>
  <c r="N413" i="2" s="1"/>
  <c r="O413" i="2" s="1"/>
  <c r="R413" i="2" s="1"/>
  <c r="M416" i="2"/>
  <c r="N416" i="2" s="1"/>
  <c r="O416" i="2" s="1"/>
  <c r="R416" i="2" s="1"/>
  <c r="M419" i="2"/>
  <c r="N419" i="2" s="1"/>
  <c r="O419" i="2" s="1"/>
  <c r="R419" i="2" s="1"/>
  <c r="M422" i="2"/>
  <c r="N422" i="2" s="1"/>
  <c r="O422" i="2" s="1"/>
  <c r="R422" i="2" s="1"/>
  <c r="M425" i="2"/>
  <c r="N425" i="2" s="1"/>
  <c r="O425" i="2" s="1"/>
  <c r="R425" i="2" s="1"/>
  <c r="M428" i="2"/>
  <c r="N428" i="2" s="1"/>
  <c r="O428" i="2" s="1"/>
  <c r="R428" i="2" s="1"/>
  <c r="M431" i="2"/>
  <c r="N431" i="2" s="1"/>
  <c r="O431" i="2" s="1"/>
  <c r="R431" i="2" s="1"/>
  <c r="M434" i="2"/>
  <c r="N434" i="2" s="1"/>
  <c r="O434" i="2" s="1"/>
  <c r="R434" i="2" s="1"/>
  <c r="M437" i="2"/>
  <c r="N437" i="2" s="1"/>
  <c r="O437" i="2" s="1"/>
  <c r="R437" i="2" s="1"/>
  <c r="M440" i="2"/>
  <c r="N440" i="2" s="1"/>
  <c r="O440" i="2" s="1"/>
  <c r="R440" i="2" s="1"/>
  <c r="M443" i="2"/>
  <c r="N443" i="2" s="1"/>
  <c r="O443" i="2" s="1"/>
  <c r="R443" i="2" s="1"/>
  <c r="M446" i="2"/>
  <c r="N446" i="2" s="1"/>
  <c r="O446" i="2" s="1"/>
  <c r="R446" i="2" s="1"/>
  <c r="M449" i="2"/>
  <c r="N449" i="2" s="1"/>
  <c r="O449" i="2" s="1"/>
  <c r="R449" i="2" s="1"/>
  <c r="M452" i="2"/>
  <c r="N452" i="2" s="1"/>
  <c r="O452" i="2" s="1"/>
  <c r="R452" i="2" s="1"/>
  <c r="M455" i="2"/>
  <c r="N455" i="2" s="1"/>
  <c r="O455" i="2" s="1"/>
  <c r="R455" i="2" s="1"/>
  <c r="M458" i="2"/>
  <c r="N458" i="2" s="1"/>
  <c r="O458" i="2" s="1"/>
  <c r="R458" i="2" s="1"/>
  <c r="M461" i="2"/>
  <c r="N461" i="2" s="1"/>
  <c r="O461" i="2" s="1"/>
  <c r="R461" i="2" s="1"/>
  <c r="M464" i="2"/>
  <c r="N464" i="2" s="1"/>
  <c r="O464" i="2" s="1"/>
  <c r="R464" i="2" s="1"/>
  <c r="M467" i="2"/>
  <c r="N467" i="2" s="1"/>
  <c r="O467" i="2" s="1"/>
  <c r="R467" i="2" s="1"/>
  <c r="M470" i="2"/>
  <c r="N470" i="2" s="1"/>
  <c r="O470" i="2" s="1"/>
  <c r="R470" i="2" s="1"/>
  <c r="M473" i="2"/>
  <c r="N473" i="2" s="1"/>
  <c r="O473" i="2" s="1"/>
  <c r="R473" i="2" s="1"/>
  <c r="M476" i="2"/>
  <c r="N476" i="2" s="1"/>
  <c r="O476" i="2" s="1"/>
  <c r="R476" i="2" s="1"/>
  <c r="M479" i="2"/>
  <c r="N479" i="2" s="1"/>
  <c r="O479" i="2" s="1"/>
  <c r="R479" i="2" s="1"/>
  <c r="M482" i="2"/>
  <c r="N482" i="2" s="1"/>
  <c r="O482" i="2" s="1"/>
  <c r="R482" i="2" s="1"/>
  <c r="M485" i="2"/>
  <c r="N485" i="2" s="1"/>
  <c r="O485" i="2" s="1"/>
  <c r="R485" i="2" s="1"/>
  <c r="M488" i="2"/>
  <c r="N488" i="2" s="1"/>
  <c r="O488" i="2" s="1"/>
  <c r="R488" i="2" s="1"/>
  <c r="M491" i="2"/>
  <c r="N491" i="2" s="1"/>
  <c r="O491" i="2" s="1"/>
  <c r="R491" i="2" s="1"/>
  <c r="M494" i="2"/>
  <c r="N494" i="2" s="1"/>
  <c r="O494" i="2" s="1"/>
  <c r="R494" i="2" s="1"/>
  <c r="M497" i="2"/>
  <c r="N497" i="2" s="1"/>
  <c r="O497" i="2" s="1"/>
  <c r="R497" i="2" s="1"/>
  <c r="M500" i="2"/>
  <c r="N500" i="2" s="1"/>
  <c r="O500" i="2" s="1"/>
  <c r="R500" i="2" s="1"/>
  <c r="M503" i="2"/>
  <c r="N503" i="2" s="1"/>
  <c r="O503" i="2" s="1"/>
  <c r="R503" i="2" s="1"/>
  <c r="M506" i="2"/>
  <c r="N506" i="2" s="1"/>
  <c r="O506" i="2" s="1"/>
  <c r="R506" i="2" s="1"/>
  <c r="M509" i="2"/>
  <c r="N509" i="2" s="1"/>
  <c r="O509" i="2" s="1"/>
  <c r="R509" i="2" s="1"/>
  <c r="M512" i="2"/>
  <c r="N512" i="2" s="1"/>
  <c r="O512" i="2" s="1"/>
  <c r="R512" i="2" s="1"/>
  <c r="M515" i="2"/>
  <c r="N515" i="2" s="1"/>
  <c r="O515" i="2" s="1"/>
  <c r="R515" i="2" s="1"/>
  <c r="M518" i="2"/>
  <c r="N518" i="2" s="1"/>
  <c r="O518" i="2" s="1"/>
  <c r="R518" i="2" s="1"/>
  <c r="M521" i="2"/>
  <c r="N521" i="2" s="1"/>
  <c r="O521" i="2" s="1"/>
  <c r="R521" i="2" s="1"/>
  <c r="M523" i="2"/>
  <c r="N523" i="2" s="1"/>
  <c r="O523" i="2" s="1"/>
  <c r="R523" i="2" s="1"/>
  <c r="M526" i="2"/>
  <c r="N526" i="2" s="1"/>
  <c r="O526" i="2" s="1"/>
  <c r="R526" i="2" s="1"/>
  <c r="M529" i="2"/>
  <c r="N529" i="2" s="1"/>
  <c r="O529" i="2" s="1"/>
  <c r="R529" i="2" s="1"/>
  <c r="M532" i="2"/>
  <c r="N532" i="2" s="1"/>
  <c r="O532" i="2" s="1"/>
  <c r="R532" i="2" s="1"/>
  <c r="M535" i="2"/>
  <c r="N535" i="2" s="1"/>
  <c r="O535" i="2" s="1"/>
  <c r="R535" i="2" s="1"/>
  <c r="M538" i="2"/>
  <c r="N538" i="2" s="1"/>
  <c r="O538" i="2" s="1"/>
  <c r="R538" i="2" s="1"/>
  <c r="M541" i="2"/>
  <c r="N541" i="2" s="1"/>
  <c r="O541" i="2" s="1"/>
  <c r="R541" i="2" s="1"/>
  <c r="M544" i="2"/>
  <c r="N544" i="2" s="1"/>
  <c r="O544" i="2" s="1"/>
  <c r="R544" i="2" s="1"/>
  <c r="M547" i="2"/>
  <c r="N547" i="2" s="1"/>
  <c r="O547" i="2" s="1"/>
  <c r="R547" i="2" s="1"/>
  <c r="M550" i="2"/>
  <c r="N550" i="2" s="1"/>
  <c r="O550" i="2" s="1"/>
  <c r="R550" i="2" s="1"/>
  <c r="M553" i="2"/>
  <c r="N553" i="2" s="1"/>
  <c r="O553" i="2" s="1"/>
  <c r="R553" i="2" s="1"/>
  <c r="M556" i="2"/>
  <c r="N556" i="2" s="1"/>
  <c r="O556" i="2" s="1"/>
  <c r="R556" i="2" s="1"/>
  <c r="M559" i="2"/>
  <c r="N559" i="2" s="1"/>
  <c r="O559" i="2" s="1"/>
  <c r="R559" i="2" s="1"/>
  <c r="M562" i="2"/>
  <c r="N562" i="2" s="1"/>
  <c r="O562" i="2" s="1"/>
  <c r="R562" i="2" s="1"/>
  <c r="M565" i="2"/>
  <c r="N565" i="2" s="1"/>
  <c r="O565" i="2" s="1"/>
  <c r="R565" i="2" s="1"/>
  <c r="M568" i="2"/>
  <c r="N568" i="2" s="1"/>
  <c r="O568" i="2" s="1"/>
  <c r="R568" i="2" s="1"/>
  <c r="M571" i="2"/>
  <c r="N571" i="2" s="1"/>
  <c r="O571" i="2" s="1"/>
  <c r="R571" i="2" s="1"/>
  <c r="M574" i="2"/>
  <c r="N574" i="2" s="1"/>
  <c r="O574" i="2" s="1"/>
  <c r="R574" i="2" s="1"/>
  <c r="M577" i="2"/>
  <c r="N577" i="2" s="1"/>
  <c r="O577" i="2" s="1"/>
  <c r="R577" i="2" s="1"/>
  <c r="M580" i="2"/>
  <c r="N580" i="2" s="1"/>
  <c r="O580" i="2" s="1"/>
  <c r="R580" i="2" s="1"/>
  <c r="M583" i="2"/>
  <c r="N583" i="2" s="1"/>
  <c r="O583" i="2" s="1"/>
  <c r="R583" i="2" s="1"/>
  <c r="M586" i="2"/>
  <c r="N586" i="2" s="1"/>
  <c r="O586" i="2" s="1"/>
  <c r="R586" i="2" s="1"/>
  <c r="M589" i="2"/>
  <c r="N589" i="2" s="1"/>
  <c r="O589" i="2" s="1"/>
  <c r="R589" i="2" s="1"/>
  <c r="M592" i="2"/>
  <c r="N592" i="2" s="1"/>
  <c r="O592" i="2" s="1"/>
  <c r="R592" i="2" s="1"/>
  <c r="M595" i="2"/>
  <c r="N595" i="2" s="1"/>
  <c r="O595" i="2" s="1"/>
  <c r="R595" i="2" s="1"/>
  <c r="M598" i="2"/>
  <c r="N598" i="2" s="1"/>
  <c r="O598" i="2" s="1"/>
  <c r="R598" i="2" s="1"/>
  <c r="M601" i="2"/>
  <c r="N601" i="2" s="1"/>
  <c r="O601" i="2" s="1"/>
  <c r="R601" i="2" s="1"/>
  <c r="M602" i="2"/>
  <c r="N602" i="2" s="1"/>
  <c r="O602" i="2" s="1"/>
  <c r="R602" i="2" s="1"/>
  <c r="M605" i="2"/>
  <c r="N605" i="2" s="1"/>
  <c r="O605" i="2" s="1"/>
  <c r="R605" i="2" s="1"/>
  <c r="M608" i="2"/>
  <c r="N608" i="2" s="1"/>
  <c r="O608" i="2" s="1"/>
  <c r="R608" i="2" s="1"/>
  <c r="M609" i="2"/>
  <c r="N609" i="2" s="1"/>
  <c r="O609" i="2" s="1"/>
  <c r="R609" i="2" s="1"/>
  <c r="M612" i="2"/>
  <c r="N612" i="2" s="1"/>
  <c r="O612" i="2" s="1"/>
  <c r="R612" i="2" s="1"/>
  <c r="M615" i="2"/>
  <c r="N615" i="2" s="1"/>
  <c r="O615" i="2" s="1"/>
  <c r="R615" i="2" s="1"/>
  <c r="M618" i="2"/>
  <c r="N618" i="2" s="1"/>
  <c r="O618" i="2" s="1"/>
  <c r="R618" i="2" s="1"/>
  <c r="M621" i="2"/>
  <c r="N621" i="2" s="1"/>
  <c r="O621" i="2" s="1"/>
  <c r="R621" i="2" s="1"/>
  <c r="M624" i="2"/>
  <c r="N624" i="2" s="1"/>
  <c r="O624" i="2" s="1"/>
  <c r="R624" i="2" s="1"/>
  <c r="M627" i="2"/>
  <c r="N627" i="2" s="1"/>
  <c r="O627" i="2" s="1"/>
  <c r="R627" i="2" s="1"/>
  <c r="M630" i="2"/>
  <c r="N630" i="2" s="1"/>
  <c r="O630" i="2" s="1"/>
  <c r="R630" i="2" s="1"/>
  <c r="M633" i="2"/>
  <c r="N633" i="2" s="1"/>
  <c r="O633" i="2" s="1"/>
  <c r="R633" i="2" s="1"/>
  <c r="M636" i="2"/>
  <c r="N636" i="2" s="1"/>
  <c r="O636" i="2" s="1"/>
  <c r="R636" i="2" s="1"/>
  <c r="M639" i="2"/>
  <c r="N639" i="2" s="1"/>
  <c r="O639" i="2" s="1"/>
  <c r="R639" i="2" s="1"/>
  <c r="M642" i="2"/>
  <c r="N642" i="2" s="1"/>
  <c r="O642" i="2" s="1"/>
  <c r="R642" i="2" s="1"/>
  <c r="M645" i="2"/>
  <c r="N645" i="2" s="1"/>
  <c r="O645" i="2" s="1"/>
  <c r="R645" i="2" s="1"/>
  <c r="M648" i="2"/>
  <c r="N648" i="2" s="1"/>
  <c r="O648" i="2" s="1"/>
  <c r="R648" i="2" s="1"/>
  <c r="M651" i="2"/>
  <c r="N651" i="2" s="1"/>
  <c r="O651" i="2" s="1"/>
  <c r="R651" i="2" s="1"/>
  <c r="M654" i="2"/>
  <c r="N654" i="2" s="1"/>
  <c r="O654" i="2" s="1"/>
  <c r="R654" i="2" s="1"/>
  <c r="M657" i="2"/>
  <c r="N657" i="2" s="1"/>
  <c r="O657" i="2" s="1"/>
  <c r="R657" i="2" s="1"/>
  <c r="M660" i="2"/>
  <c r="N660" i="2" s="1"/>
  <c r="O660" i="2" s="1"/>
  <c r="R660" i="2" s="1"/>
  <c r="M663" i="2"/>
  <c r="N663" i="2" s="1"/>
  <c r="O663" i="2" s="1"/>
  <c r="R663" i="2" s="1"/>
  <c r="M666" i="2"/>
  <c r="N666" i="2" s="1"/>
  <c r="O666" i="2" s="1"/>
  <c r="R666" i="2" s="1"/>
  <c r="M669" i="2"/>
  <c r="N669" i="2" s="1"/>
  <c r="O669" i="2" s="1"/>
  <c r="R669" i="2" s="1"/>
  <c r="M672" i="2"/>
  <c r="N672" i="2" s="1"/>
  <c r="O672" i="2" s="1"/>
  <c r="R672" i="2" s="1"/>
  <c r="M675" i="2"/>
  <c r="N675" i="2" s="1"/>
  <c r="O675" i="2" s="1"/>
  <c r="R675" i="2" s="1"/>
  <c r="M678" i="2"/>
  <c r="N678" i="2" s="1"/>
  <c r="O678" i="2" s="1"/>
  <c r="R678" i="2" s="1"/>
  <c r="M681" i="2"/>
  <c r="N681" i="2" s="1"/>
  <c r="O681" i="2" s="1"/>
  <c r="R681" i="2" s="1"/>
  <c r="M684" i="2"/>
  <c r="N684" i="2" s="1"/>
  <c r="O684" i="2" s="1"/>
  <c r="R684" i="2" s="1"/>
  <c r="M687" i="2"/>
  <c r="N687" i="2" s="1"/>
  <c r="O687" i="2" s="1"/>
  <c r="R687" i="2" s="1"/>
  <c r="M690" i="2"/>
  <c r="N690" i="2" s="1"/>
  <c r="O690" i="2" s="1"/>
  <c r="R690" i="2" s="1"/>
  <c r="M693" i="2"/>
  <c r="N693" i="2" s="1"/>
  <c r="O693" i="2" s="1"/>
  <c r="R693" i="2" s="1"/>
  <c r="M695" i="2"/>
  <c r="N695" i="2" s="1"/>
  <c r="O695" i="2" s="1"/>
  <c r="R695" i="2" s="1"/>
  <c r="M698" i="2"/>
  <c r="N698" i="2" s="1"/>
  <c r="O698" i="2" s="1"/>
  <c r="R698" i="2" s="1"/>
  <c r="M701" i="2"/>
  <c r="N701" i="2" s="1"/>
  <c r="O701" i="2" s="1"/>
  <c r="R701" i="2" s="1"/>
  <c r="M704" i="2"/>
  <c r="N704" i="2" s="1"/>
  <c r="O704" i="2" s="1"/>
  <c r="R704" i="2" s="1"/>
  <c r="M707" i="2"/>
  <c r="N707" i="2" s="1"/>
  <c r="O707" i="2" s="1"/>
  <c r="R707" i="2" s="1"/>
  <c r="M712" i="2"/>
  <c r="N712" i="2" s="1"/>
  <c r="O712" i="2" s="1"/>
  <c r="R712" i="2" s="1"/>
  <c r="M715" i="2"/>
  <c r="N715" i="2" s="1"/>
  <c r="O715" i="2" s="1"/>
  <c r="R715" i="2" s="1"/>
  <c r="M718" i="2"/>
  <c r="N718" i="2" s="1"/>
  <c r="O718" i="2" s="1"/>
  <c r="R718" i="2" s="1"/>
  <c r="M721" i="2"/>
  <c r="N721" i="2" s="1"/>
  <c r="O721" i="2" s="1"/>
  <c r="R721" i="2" s="1"/>
  <c r="M724" i="2"/>
  <c r="N724" i="2" s="1"/>
  <c r="O724" i="2" s="1"/>
  <c r="R724" i="2" s="1"/>
  <c r="M727" i="2"/>
  <c r="N727" i="2" s="1"/>
  <c r="O727" i="2" s="1"/>
  <c r="R727" i="2" s="1"/>
  <c r="M730" i="2"/>
  <c r="N730" i="2" s="1"/>
  <c r="O730" i="2" s="1"/>
  <c r="R730" i="2" s="1"/>
  <c r="M733" i="2"/>
  <c r="N733" i="2" s="1"/>
  <c r="O733" i="2" s="1"/>
  <c r="R733" i="2" s="1"/>
  <c r="M734" i="2"/>
  <c r="N734" i="2" s="1"/>
  <c r="O734" i="2" s="1"/>
  <c r="R734" i="2" s="1"/>
  <c r="M737" i="2"/>
  <c r="N737" i="2" s="1"/>
  <c r="O737" i="2" s="1"/>
  <c r="R737" i="2" s="1"/>
  <c r="M740" i="2"/>
  <c r="N740" i="2" s="1"/>
  <c r="O740" i="2" s="1"/>
  <c r="R740" i="2" s="1"/>
  <c r="M741" i="2"/>
  <c r="N741" i="2" s="1"/>
  <c r="O741" i="2" s="1"/>
  <c r="R741" i="2" s="1"/>
  <c r="M743" i="2"/>
  <c r="N743" i="2" s="1"/>
  <c r="O743" i="2" s="1"/>
  <c r="R743" i="2" s="1"/>
  <c r="M746" i="2"/>
  <c r="N746" i="2" s="1"/>
  <c r="O746" i="2" s="1"/>
  <c r="R746" i="2" s="1"/>
  <c r="M749" i="2"/>
  <c r="N749" i="2" s="1"/>
  <c r="O749" i="2" s="1"/>
  <c r="R749" i="2" s="1"/>
  <c r="M752" i="2"/>
  <c r="N752" i="2" s="1"/>
  <c r="O752" i="2" s="1"/>
  <c r="R752" i="2" s="1"/>
  <c r="M757" i="2"/>
  <c r="N757" i="2" s="1"/>
  <c r="O757" i="2" s="1"/>
  <c r="R757" i="2" s="1"/>
  <c r="M760" i="2"/>
  <c r="N760" i="2" s="1"/>
  <c r="O760" i="2" s="1"/>
  <c r="R760" i="2" s="1"/>
  <c r="M761" i="2"/>
  <c r="N761" i="2" s="1"/>
  <c r="O761" i="2" s="1"/>
  <c r="R761" i="2" s="1"/>
  <c r="M766" i="2"/>
  <c r="N766" i="2" s="1"/>
  <c r="O766" i="2" s="1"/>
  <c r="R766" i="2" s="1"/>
  <c r="M769" i="2"/>
  <c r="N769" i="2" s="1"/>
  <c r="O769" i="2" s="1"/>
  <c r="R769" i="2" s="1"/>
  <c r="M772" i="2"/>
  <c r="N772" i="2" s="1"/>
  <c r="O772" i="2" s="1"/>
  <c r="R772" i="2" s="1"/>
  <c r="M773" i="2"/>
  <c r="N773" i="2" s="1"/>
  <c r="O773" i="2" s="1"/>
  <c r="R773" i="2" s="1"/>
  <c r="M776" i="2"/>
  <c r="N776" i="2" s="1"/>
  <c r="O776" i="2" s="1"/>
  <c r="R776" i="2" s="1"/>
  <c r="M779" i="2"/>
  <c r="N779" i="2" s="1"/>
  <c r="O779" i="2" s="1"/>
  <c r="R779" i="2" s="1"/>
  <c r="M782" i="2"/>
  <c r="N782" i="2" s="1"/>
  <c r="O782" i="2" s="1"/>
  <c r="R782" i="2" s="1"/>
  <c r="M785" i="2"/>
  <c r="N785" i="2" s="1"/>
  <c r="O785" i="2" s="1"/>
  <c r="R785" i="2" s="1"/>
  <c r="M788" i="2"/>
  <c r="N788" i="2" s="1"/>
  <c r="O788" i="2" s="1"/>
  <c r="R788" i="2" s="1"/>
  <c r="M791" i="2"/>
  <c r="N791" i="2" s="1"/>
  <c r="O791" i="2" s="1"/>
  <c r="R791" i="2" s="1"/>
  <c r="M794" i="2"/>
  <c r="N794" i="2" s="1"/>
  <c r="O794" i="2" s="1"/>
  <c r="R794" i="2" s="1"/>
  <c r="M797" i="2"/>
  <c r="N797" i="2" s="1"/>
  <c r="O797" i="2" s="1"/>
  <c r="R797" i="2" s="1"/>
  <c r="M800" i="2"/>
  <c r="N800" i="2" s="1"/>
  <c r="O800" i="2" s="1"/>
  <c r="R800" i="2" s="1"/>
  <c r="M803" i="2"/>
  <c r="N803" i="2" s="1"/>
  <c r="O803" i="2" s="1"/>
  <c r="R803" i="2" s="1"/>
  <c r="M806" i="2"/>
  <c r="N806" i="2" s="1"/>
  <c r="O806" i="2" s="1"/>
  <c r="R806" i="2" s="1"/>
  <c r="M809" i="2"/>
  <c r="N809" i="2" s="1"/>
  <c r="O809" i="2" s="1"/>
  <c r="R809" i="2" s="1"/>
  <c r="M812" i="2"/>
  <c r="N812" i="2" s="1"/>
  <c r="O812" i="2" s="1"/>
  <c r="R812" i="2" s="1"/>
  <c r="M815" i="2"/>
  <c r="N815" i="2" s="1"/>
  <c r="O815" i="2" s="1"/>
  <c r="R815" i="2" s="1"/>
  <c r="M818" i="2"/>
  <c r="N818" i="2" s="1"/>
  <c r="O818" i="2" s="1"/>
  <c r="R818" i="2" s="1"/>
  <c r="M821" i="2"/>
  <c r="N821" i="2" s="1"/>
  <c r="O821" i="2" s="1"/>
  <c r="R821" i="2" s="1"/>
  <c r="M823" i="2"/>
  <c r="N823" i="2" s="1"/>
  <c r="O823" i="2" s="1"/>
  <c r="R823" i="2" s="1"/>
  <c r="M826" i="2"/>
  <c r="N826" i="2" s="1"/>
  <c r="O826" i="2" s="1"/>
  <c r="R826" i="2" s="1"/>
  <c r="M829" i="2"/>
  <c r="N829" i="2" s="1"/>
  <c r="O829" i="2" s="1"/>
  <c r="R829" i="2" s="1"/>
  <c r="M832" i="2"/>
  <c r="N832" i="2" s="1"/>
  <c r="O832" i="2" s="1"/>
  <c r="R832" i="2" s="1"/>
  <c r="M835" i="2"/>
  <c r="N835" i="2" s="1"/>
  <c r="O835" i="2" s="1"/>
  <c r="R835" i="2" s="1"/>
  <c r="M838" i="2"/>
  <c r="N838" i="2" s="1"/>
  <c r="O838" i="2" s="1"/>
  <c r="R838" i="2" s="1"/>
  <c r="M841" i="2"/>
  <c r="N841" i="2" s="1"/>
  <c r="O841" i="2" s="1"/>
  <c r="R841" i="2" s="1"/>
  <c r="M844" i="2"/>
  <c r="N844" i="2" s="1"/>
  <c r="O844" i="2" s="1"/>
  <c r="R844" i="2" s="1"/>
  <c r="M846" i="2"/>
  <c r="N846" i="2" s="1"/>
  <c r="O846" i="2" s="1"/>
  <c r="R846" i="2" s="1"/>
  <c r="M849" i="2"/>
  <c r="N849" i="2" s="1"/>
  <c r="O849" i="2" s="1"/>
  <c r="R849" i="2" s="1"/>
  <c r="M852" i="2"/>
  <c r="N852" i="2" s="1"/>
  <c r="O852" i="2" s="1"/>
  <c r="R852" i="2" s="1"/>
  <c r="M855" i="2"/>
  <c r="N855" i="2" s="1"/>
  <c r="O855" i="2" s="1"/>
  <c r="R855" i="2" s="1"/>
  <c r="M858" i="2"/>
  <c r="N858" i="2" s="1"/>
  <c r="O858" i="2" s="1"/>
  <c r="R858" i="2" s="1"/>
  <c r="M861" i="2"/>
  <c r="N861" i="2" s="1"/>
  <c r="O861" i="2" s="1"/>
  <c r="R861" i="2" s="1"/>
  <c r="M864" i="2"/>
  <c r="N864" i="2" s="1"/>
  <c r="O864" i="2" s="1"/>
  <c r="R864" i="2" s="1"/>
  <c r="M867" i="2"/>
  <c r="N867" i="2" s="1"/>
  <c r="O867" i="2" s="1"/>
  <c r="R867" i="2" s="1"/>
  <c r="M870" i="2"/>
  <c r="N870" i="2" s="1"/>
  <c r="O870" i="2" s="1"/>
  <c r="R870" i="2" s="1"/>
  <c r="M871" i="2"/>
  <c r="N871" i="2" s="1"/>
  <c r="O871" i="2" s="1"/>
  <c r="R871" i="2" s="1"/>
  <c r="M874" i="2"/>
  <c r="N874" i="2" s="1"/>
  <c r="O874" i="2" s="1"/>
  <c r="R874" i="2" s="1"/>
  <c r="M877" i="2"/>
  <c r="N877" i="2" s="1"/>
  <c r="O877" i="2" s="1"/>
  <c r="R877" i="2" s="1"/>
  <c r="M880" i="2"/>
  <c r="N880" i="2" s="1"/>
  <c r="O880" i="2" s="1"/>
  <c r="R880" i="2" s="1"/>
  <c r="M883" i="2"/>
  <c r="N883" i="2" s="1"/>
  <c r="O883" i="2" s="1"/>
  <c r="R883" i="2" s="1"/>
  <c r="M886" i="2"/>
  <c r="N886" i="2" s="1"/>
  <c r="O886" i="2" s="1"/>
  <c r="R886" i="2" s="1"/>
  <c r="M889" i="2"/>
  <c r="N889" i="2" s="1"/>
  <c r="O889" i="2" s="1"/>
  <c r="R889" i="2" s="1"/>
  <c r="M892" i="2"/>
  <c r="N892" i="2" s="1"/>
  <c r="O892" i="2" s="1"/>
  <c r="R892" i="2" s="1"/>
  <c r="M895" i="2"/>
  <c r="N895" i="2" s="1"/>
  <c r="O895" i="2" s="1"/>
  <c r="R895" i="2" s="1"/>
  <c r="M898" i="2"/>
  <c r="N898" i="2" s="1"/>
  <c r="O898" i="2" s="1"/>
  <c r="R898" i="2" s="1"/>
  <c r="M901" i="2"/>
  <c r="N901" i="2" s="1"/>
  <c r="O901" i="2" s="1"/>
  <c r="R901" i="2" s="1"/>
  <c r="M904" i="2"/>
  <c r="N904" i="2" s="1"/>
  <c r="O904" i="2" s="1"/>
  <c r="R904" i="2" s="1"/>
  <c r="M907" i="2"/>
  <c r="N907" i="2" s="1"/>
  <c r="O907" i="2" s="1"/>
  <c r="R907" i="2" s="1"/>
  <c r="M910" i="2"/>
  <c r="N910" i="2" s="1"/>
  <c r="O910" i="2" s="1"/>
  <c r="R910" i="2" s="1"/>
  <c r="M913" i="2"/>
  <c r="N913" i="2" s="1"/>
  <c r="O913" i="2" s="1"/>
  <c r="R913" i="2" s="1"/>
  <c r="M916" i="2"/>
  <c r="N916" i="2" s="1"/>
  <c r="O916" i="2" s="1"/>
  <c r="R916" i="2" s="1"/>
  <c r="M919" i="2"/>
  <c r="N919" i="2" s="1"/>
  <c r="O919" i="2" s="1"/>
  <c r="R919" i="2" s="1"/>
  <c r="M922" i="2"/>
  <c r="N922" i="2" s="1"/>
  <c r="O922" i="2" s="1"/>
  <c r="R922" i="2" s="1"/>
  <c r="M925" i="2"/>
  <c r="N925" i="2" s="1"/>
  <c r="O925" i="2" s="1"/>
  <c r="R925" i="2" s="1"/>
  <c r="M928" i="2"/>
  <c r="N928" i="2" s="1"/>
  <c r="O928" i="2" s="1"/>
  <c r="R928" i="2" s="1"/>
  <c r="M931" i="2"/>
  <c r="N931" i="2" s="1"/>
  <c r="O931" i="2" s="1"/>
  <c r="R931" i="2" s="1"/>
  <c r="M934" i="2"/>
  <c r="N934" i="2" s="1"/>
  <c r="O934" i="2" s="1"/>
  <c r="R934" i="2" s="1"/>
  <c r="M937" i="2"/>
  <c r="N937" i="2" s="1"/>
  <c r="O937" i="2" s="1"/>
  <c r="R937" i="2" s="1"/>
  <c r="M940" i="2"/>
  <c r="N940" i="2" s="1"/>
  <c r="O940" i="2" s="1"/>
  <c r="R940" i="2" s="1"/>
  <c r="M943" i="2"/>
  <c r="N943" i="2" s="1"/>
  <c r="O943" i="2" s="1"/>
  <c r="R943" i="2" s="1"/>
  <c r="M946" i="2"/>
  <c r="N946" i="2" s="1"/>
  <c r="O946" i="2" s="1"/>
  <c r="R946" i="2" s="1"/>
  <c r="M947" i="2"/>
  <c r="N947" i="2" s="1"/>
  <c r="O947" i="2" s="1"/>
  <c r="R947" i="2" s="1"/>
  <c r="M952" i="2"/>
  <c r="N952" i="2" s="1"/>
  <c r="O952" i="2" s="1"/>
  <c r="R952" i="2" s="1"/>
  <c r="M955" i="2"/>
  <c r="N955" i="2" s="1"/>
  <c r="O955" i="2" s="1"/>
  <c r="R955" i="2" s="1"/>
  <c r="M958" i="2"/>
  <c r="N958" i="2" s="1"/>
  <c r="O958" i="2" s="1"/>
  <c r="R958" i="2" s="1"/>
  <c r="M961" i="2"/>
  <c r="N961" i="2" s="1"/>
  <c r="O961" i="2" s="1"/>
  <c r="R961" i="2" s="1"/>
  <c r="M964" i="2"/>
  <c r="N964" i="2" s="1"/>
  <c r="O964" i="2" s="1"/>
  <c r="R964" i="2" s="1"/>
  <c r="M967" i="2"/>
  <c r="N967" i="2" s="1"/>
  <c r="O967" i="2" s="1"/>
  <c r="R967" i="2" s="1"/>
  <c r="M970" i="2"/>
  <c r="N970" i="2" s="1"/>
  <c r="O970" i="2" s="1"/>
  <c r="R970" i="2" s="1"/>
  <c r="M973" i="2"/>
  <c r="N973" i="2" s="1"/>
  <c r="O973" i="2" s="1"/>
  <c r="R973" i="2" s="1"/>
  <c r="M976" i="2"/>
  <c r="N976" i="2" s="1"/>
  <c r="O976" i="2" s="1"/>
  <c r="R976" i="2" s="1"/>
  <c r="M977" i="2"/>
  <c r="N977" i="2" s="1"/>
  <c r="O977" i="2" s="1"/>
  <c r="R977" i="2" s="1"/>
  <c r="M980" i="2"/>
  <c r="N980" i="2" s="1"/>
  <c r="O980" i="2" s="1"/>
  <c r="R980" i="2" s="1"/>
  <c r="M981" i="2"/>
  <c r="N981" i="2" s="1"/>
  <c r="O981" i="2" s="1"/>
  <c r="R981" i="2" s="1"/>
  <c r="M986" i="2"/>
  <c r="N986" i="2" s="1"/>
  <c r="O986" i="2" s="1"/>
  <c r="R986" i="2" s="1"/>
  <c r="M989" i="2"/>
  <c r="N989" i="2" s="1"/>
  <c r="O989" i="2" s="1"/>
  <c r="R989" i="2" s="1"/>
  <c r="M992" i="2"/>
  <c r="N992" i="2" s="1"/>
  <c r="O992" i="2" s="1"/>
  <c r="R992" i="2" s="1"/>
  <c r="M995" i="2"/>
  <c r="N995" i="2" s="1"/>
  <c r="O995" i="2" s="1"/>
  <c r="R995" i="2" s="1"/>
  <c r="M998" i="2"/>
  <c r="N998" i="2" s="1"/>
  <c r="O998" i="2" s="1"/>
  <c r="R998" i="2" s="1"/>
  <c r="M1001" i="2"/>
  <c r="N1001" i="2" s="1"/>
  <c r="O1001" i="2" s="1"/>
  <c r="R1001" i="2" s="1"/>
  <c r="M1004" i="2"/>
  <c r="N1004" i="2" s="1"/>
  <c r="O1004" i="2" s="1"/>
  <c r="R1004" i="2" s="1"/>
  <c r="M1005" i="2"/>
  <c r="N1005" i="2" s="1"/>
  <c r="O1005" i="2" s="1"/>
  <c r="R1005" i="2" s="1"/>
  <c r="M1008" i="2"/>
  <c r="N1008" i="2" s="1"/>
  <c r="O1008" i="2" s="1"/>
  <c r="R1008" i="2" s="1"/>
  <c r="M1011" i="2"/>
  <c r="N1011" i="2" s="1"/>
  <c r="O1011" i="2" s="1"/>
  <c r="R1011" i="2" s="1"/>
  <c r="M1014" i="2"/>
  <c r="N1014" i="2" s="1"/>
  <c r="O1014" i="2" s="1"/>
  <c r="R1014" i="2" s="1"/>
  <c r="M1017" i="2"/>
  <c r="N1017" i="2" s="1"/>
  <c r="O1017" i="2" s="1"/>
  <c r="R1017" i="2" s="1"/>
  <c r="M1020" i="2"/>
  <c r="N1020" i="2" s="1"/>
  <c r="O1020" i="2" s="1"/>
  <c r="R1020" i="2" s="1"/>
  <c r="M1023" i="2"/>
  <c r="N1023" i="2" s="1"/>
  <c r="O1023" i="2" s="1"/>
  <c r="R1023" i="2" s="1"/>
  <c r="M1027" i="2"/>
  <c r="N1027" i="2" s="1"/>
  <c r="O1027" i="2" s="1"/>
  <c r="R1027" i="2" s="1"/>
  <c r="M1030" i="2"/>
  <c r="N1030" i="2" s="1"/>
  <c r="O1030" i="2" s="1"/>
  <c r="R1030" i="2" s="1"/>
  <c r="M1033" i="2"/>
  <c r="N1033" i="2" s="1"/>
  <c r="O1033" i="2" s="1"/>
  <c r="R1033" i="2" s="1"/>
  <c r="M1036" i="2"/>
  <c r="N1036" i="2" s="1"/>
  <c r="O1036" i="2" s="1"/>
  <c r="R1036" i="2" s="1"/>
  <c r="M1039" i="2"/>
  <c r="N1039" i="2" s="1"/>
  <c r="O1039" i="2" s="1"/>
  <c r="R1039" i="2" s="1"/>
  <c r="M1042" i="2"/>
  <c r="N1042" i="2" s="1"/>
  <c r="O1042" i="2" s="1"/>
  <c r="R1042" i="2" s="1"/>
  <c r="M1046" i="2"/>
  <c r="N1046" i="2" s="1"/>
  <c r="O1046" i="2" s="1"/>
  <c r="R1046" i="2" s="1"/>
  <c r="M1049" i="2"/>
  <c r="N1049" i="2" s="1"/>
  <c r="O1049" i="2" s="1"/>
  <c r="R1049" i="2" s="1"/>
  <c r="M1052" i="2"/>
  <c r="N1052" i="2" s="1"/>
  <c r="O1052" i="2" s="1"/>
  <c r="R1052" i="2" s="1"/>
  <c r="M1055" i="2"/>
  <c r="N1055" i="2" s="1"/>
  <c r="O1055" i="2" s="1"/>
  <c r="R1055" i="2" s="1"/>
  <c r="M1058" i="2"/>
  <c r="N1058" i="2" s="1"/>
  <c r="O1058" i="2" s="1"/>
  <c r="R1058" i="2" s="1"/>
  <c r="M1060" i="2"/>
  <c r="N1060" i="2" s="1"/>
  <c r="O1060" i="2" s="1"/>
  <c r="R1060" i="2" s="1"/>
  <c r="M1063" i="2"/>
  <c r="N1063" i="2" s="1"/>
  <c r="O1063" i="2" s="1"/>
  <c r="R1063" i="2" s="1"/>
  <c r="M1066" i="2"/>
  <c r="N1066" i="2" s="1"/>
  <c r="O1066" i="2" s="1"/>
  <c r="R1066" i="2" s="1"/>
  <c r="M1067" i="2"/>
  <c r="N1067" i="2" s="1"/>
  <c r="O1067" i="2" s="1"/>
  <c r="R1067" i="2" s="1"/>
  <c r="M1070" i="2"/>
  <c r="N1070" i="2" s="1"/>
  <c r="O1070" i="2" s="1"/>
  <c r="R1070" i="2" s="1"/>
  <c r="M1073" i="2"/>
  <c r="N1073" i="2" s="1"/>
  <c r="O1073" i="2" s="1"/>
  <c r="R1073" i="2" s="1"/>
  <c r="M1076" i="2"/>
  <c r="N1076" i="2" s="1"/>
  <c r="O1076" i="2" s="1"/>
  <c r="R1076" i="2" s="1"/>
  <c r="M1079" i="2"/>
  <c r="N1079" i="2" s="1"/>
  <c r="O1079" i="2" s="1"/>
  <c r="R1079" i="2" s="1"/>
  <c r="M1082" i="2"/>
  <c r="N1082" i="2" s="1"/>
  <c r="O1082" i="2" s="1"/>
  <c r="R1082" i="2" s="1"/>
  <c r="M1085" i="2"/>
  <c r="N1085" i="2" s="1"/>
  <c r="O1085" i="2" s="1"/>
  <c r="R1085" i="2" s="1"/>
  <c r="M1088" i="2"/>
  <c r="N1088" i="2" s="1"/>
  <c r="O1088" i="2" s="1"/>
  <c r="R1088" i="2" s="1"/>
  <c r="M1091" i="2"/>
  <c r="N1091" i="2" s="1"/>
  <c r="O1091" i="2" s="1"/>
  <c r="R1091" i="2" s="1"/>
  <c r="M1094" i="2"/>
  <c r="N1094" i="2" s="1"/>
  <c r="O1094" i="2" s="1"/>
  <c r="R1094" i="2" s="1"/>
  <c r="M1097" i="2"/>
  <c r="N1097" i="2" s="1"/>
  <c r="O1097" i="2" s="1"/>
  <c r="R1097" i="2" s="1"/>
  <c r="M1100" i="2"/>
  <c r="N1100" i="2" s="1"/>
  <c r="O1100" i="2" s="1"/>
  <c r="R1100" i="2" s="1"/>
  <c r="M1103" i="2"/>
  <c r="N1103" i="2" s="1"/>
  <c r="O1103" i="2" s="1"/>
  <c r="R1103" i="2" s="1"/>
  <c r="M1106" i="2"/>
  <c r="N1106" i="2" s="1"/>
  <c r="O1106" i="2" s="1"/>
  <c r="R1106" i="2" s="1"/>
  <c r="M1109" i="2"/>
  <c r="N1109" i="2" s="1"/>
  <c r="O1109" i="2" s="1"/>
  <c r="R1109" i="2" s="1"/>
  <c r="M1112" i="2"/>
  <c r="N1112" i="2" s="1"/>
  <c r="O1112" i="2" s="1"/>
  <c r="R1112" i="2" s="1"/>
  <c r="M1115" i="2"/>
  <c r="N1115" i="2" s="1"/>
  <c r="O1115" i="2" s="1"/>
  <c r="R1115" i="2" s="1"/>
  <c r="M1116" i="2"/>
  <c r="N1116" i="2" s="1"/>
  <c r="O1116" i="2" s="1"/>
  <c r="R1116" i="2" s="1"/>
  <c r="M1119" i="2"/>
  <c r="N1119" i="2" s="1"/>
  <c r="O1119" i="2" s="1"/>
  <c r="R1119" i="2" s="1"/>
  <c r="M1122" i="2"/>
  <c r="N1122" i="2" s="1"/>
  <c r="O1122" i="2" s="1"/>
  <c r="R1122" i="2" s="1"/>
  <c r="M1125" i="2"/>
  <c r="N1125" i="2" s="1"/>
  <c r="O1125" i="2" s="1"/>
  <c r="R1125" i="2" s="1"/>
  <c r="M1128" i="2"/>
  <c r="N1128" i="2" s="1"/>
  <c r="O1128" i="2" s="1"/>
  <c r="R1128" i="2" s="1"/>
  <c r="M1131" i="2"/>
  <c r="N1131" i="2" s="1"/>
  <c r="O1131" i="2" s="1"/>
  <c r="R1131" i="2" s="1"/>
  <c r="M1134" i="2"/>
  <c r="N1134" i="2" s="1"/>
  <c r="O1134" i="2" s="1"/>
  <c r="R1134" i="2" s="1"/>
  <c r="M1137" i="2"/>
  <c r="N1137" i="2" s="1"/>
  <c r="O1137" i="2" s="1"/>
  <c r="R1137" i="2" s="1"/>
  <c r="M1140" i="2"/>
  <c r="N1140" i="2" s="1"/>
  <c r="O1140" i="2" s="1"/>
  <c r="R1140" i="2" s="1"/>
  <c r="M1143" i="2"/>
  <c r="N1143" i="2" s="1"/>
  <c r="O1143" i="2" s="1"/>
  <c r="R1143" i="2" s="1"/>
  <c r="M1146" i="2"/>
  <c r="N1146" i="2" s="1"/>
  <c r="O1146" i="2" s="1"/>
  <c r="R1146" i="2" s="1"/>
  <c r="M1148" i="2"/>
  <c r="N1148" i="2" s="1"/>
  <c r="O1148" i="2" s="1"/>
  <c r="R1148" i="2" s="1"/>
  <c r="M1151" i="2"/>
  <c r="N1151" i="2" s="1"/>
  <c r="O1151" i="2" s="1"/>
  <c r="R1151" i="2" s="1"/>
  <c r="M1154" i="2"/>
  <c r="N1154" i="2" s="1"/>
  <c r="O1154" i="2" s="1"/>
  <c r="R1154" i="2" s="1"/>
  <c r="M1157" i="2"/>
  <c r="N1157" i="2" s="1"/>
  <c r="O1157" i="2" s="1"/>
  <c r="R1157" i="2" s="1"/>
  <c r="M1160" i="2"/>
  <c r="N1160" i="2" s="1"/>
  <c r="O1160" i="2" s="1"/>
  <c r="R1160" i="2" s="1"/>
  <c r="M1163" i="2"/>
  <c r="N1163" i="2" s="1"/>
  <c r="O1163" i="2" s="1"/>
  <c r="R1163" i="2" s="1"/>
  <c r="M1166" i="2"/>
  <c r="N1166" i="2" s="1"/>
  <c r="O1166" i="2" s="1"/>
  <c r="R1166" i="2" s="1"/>
  <c r="M1167" i="2"/>
  <c r="N1167" i="2" s="1"/>
  <c r="O1167" i="2" s="1"/>
  <c r="R1167" i="2" s="1"/>
  <c r="M1170" i="2"/>
  <c r="N1170" i="2" s="1"/>
  <c r="O1170" i="2" s="1"/>
  <c r="R1170" i="2" s="1"/>
  <c r="M1173" i="2"/>
  <c r="N1173" i="2" s="1"/>
  <c r="O1173" i="2" s="1"/>
  <c r="R1173" i="2" s="1"/>
  <c r="M1176" i="2"/>
  <c r="N1176" i="2" s="1"/>
  <c r="O1176" i="2" s="1"/>
  <c r="R1176" i="2" s="1"/>
  <c r="M1179" i="2"/>
  <c r="N1179" i="2" s="1"/>
  <c r="O1179" i="2" s="1"/>
  <c r="R1179" i="2" s="1"/>
  <c r="M1182" i="2"/>
  <c r="N1182" i="2" s="1"/>
  <c r="O1182" i="2" s="1"/>
  <c r="R1182" i="2" s="1"/>
  <c r="M1185" i="2"/>
  <c r="N1185" i="2" s="1"/>
  <c r="O1185" i="2" s="1"/>
  <c r="R1185" i="2" s="1"/>
  <c r="M1188" i="2"/>
  <c r="N1188" i="2" s="1"/>
  <c r="O1188" i="2" s="1"/>
  <c r="R1188" i="2" s="1"/>
  <c r="M1191" i="2"/>
  <c r="N1191" i="2" s="1"/>
  <c r="O1191" i="2" s="1"/>
  <c r="R1191" i="2" s="1"/>
  <c r="M1194" i="2"/>
  <c r="N1194" i="2" s="1"/>
  <c r="O1194" i="2" s="1"/>
  <c r="R1194" i="2" s="1"/>
  <c r="M1197" i="2"/>
  <c r="N1197" i="2" s="1"/>
  <c r="O1197" i="2" s="1"/>
  <c r="R1197" i="2" s="1"/>
  <c r="M1200" i="2"/>
  <c r="N1200" i="2" s="1"/>
  <c r="O1200" i="2" s="1"/>
  <c r="R1200" i="2" s="1"/>
  <c r="M1203" i="2"/>
  <c r="N1203" i="2" s="1"/>
  <c r="O1203" i="2" s="1"/>
  <c r="R1203" i="2" s="1"/>
  <c r="M1206" i="2"/>
  <c r="N1206" i="2" s="1"/>
  <c r="O1206" i="2" s="1"/>
  <c r="R1206" i="2" s="1"/>
  <c r="M1209" i="2"/>
  <c r="N1209" i="2" s="1"/>
  <c r="O1209" i="2" s="1"/>
  <c r="R1209" i="2" s="1"/>
  <c r="M1212" i="2"/>
  <c r="N1212" i="2" s="1"/>
  <c r="O1212" i="2" s="1"/>
  <c r="R1212" i="2" s="1"/>
  <c r="M1215" i="2"/>
  <c r="N1215" i="2" s="1"/>
  <c r="O1215" i="2" s="1"/>
  <c r="R1215" i="2" s="1"/>
  <c r="M1218" i="2"/>
  <c r="N1218" i="2" s="1"/>
  <c r="O1218" i="2" s="1"/>
  <c r="R1218" i="2" s="1"/>
  <c r="M1221" i="2"/>
  <c r="N1221" i="2" s="1"/>
  <c r="O1221" i="2" s="1"/>
  <c r="R1221" i="2" s="1"/>
  <c r="M1224" i="2"/>
  <c r="N1224" i="2" s="1"/>
  <c r="O1224" i="2" s="1"/>
  <c r="R1224" i="2" s="1"/>
  <c r="M1227" i="2"/>
  <c r="N1227" i="2" s="1"/>
  <c r="O1227" i="2" s="1"/>
  <c r="R1227" i="2" s="1"/>
  <c r="M1230" i="2"/>
  <c r="N1230" i="2" s="1"/>
  <c r="O1230" i="2" s="1"/>
  <c r="R1230" i="2" s="1"/>
  <c r="M1233" i="2"/>
  <c r="N1233" i="2" s="1"/>
  <c r="O1233" i="2" s="1"/>
  <c r="R1233" i="2" s="1"/>
  <c r="M1236" i="2"/>
  <c r="N1236" i="2" s="1"/>
  <c r="O1236" i="2" s="1"/>
  <c r="R1236" i="2" s="1"/>
  <c r="M1239" i="2"/>
  <c r="N1239" i="2" s="1"/>
  <c r="O1239" i="2" s="1"/>
  <c r="R1239" i="2" s="1"/>
  <c r="M1242" i="2"/>
  <c r="N1242" i="2" s="1"/>
  <c r="O1242" i="2" s="1"/>
  <c r="R1242" i="2" s="1"/>
  <c r="M1245" i="2"/>
  <c r="N1245" i="2" s="1"/>
  <c r="O1245" i="2" s="1"/>
  <c r="R1245" i="2" s="1"/>
  <c r="M1248" i="2"/>
  <c r="N1248" i="2" s="1"/>
  <c r="O1248" i="2" s="1"/>
  <c r="R1248" i="2" s="1"/>
  <c r="M1251" i="2"/>
  <c r="N1251" i="2" s="1"/>
  <c r="O1251" i="2" s="1"/>
  <c r="R1251" i="2" s="1"/>
  <c r="M1254" i="2"/>
  <c r="N1254" i="2" s="1"/>
  <c r="O1254" i="2" s="1"/>
  <c r="R1254" i="2" s="1"/>
  <c r="M1255" i="2"/>
  <c r="N1255" i="2" s="1"/>
  <c r="O1255" i="2" s="1"/>
  <c r="R1255" i="2" s="1"/>
  <c r="M1260" i="2"/>
  <c r="N1260" i="2" s="1"/>
  <c r="O1260" i="2" s="1"/>
  <c r="R1260" i="2" s="1"/>
  <c r="M1263" i="2"/>
  <c r="N1263" i="2" s="1"/>
  <c r="O1263" i="2" s="1"/>
  <c r="R1263" i="2" s="1"/>
  <c r="M1266" i="2"/>
  <c r="N1266" i="2" s="1"/>
  <c r="O1266" i="2" s="1"/>
  <c r="R1266" i="2" s="1"/>
  <c r="M1267" i="2"/>
  <c r="N1267" i="2" s="1"/>
  <c r="O1267" i="2" s="1"/>
  <c r="R1267" i="2" s="1"/>
  <c r="M1270" i="2"/>
  <c r="N1270" i="2" s="1"/>
  <c r="O1270" i="2" s="1"/>
  <c r="R1270" i="2" s="1"/>
  <c r="M1273" i="2"/>
  <c r="N1273" i="2" s="1"/>
  <c r="O1273" i="2" s="1"/>
  <c r="R1273" i="2" s="1"/>
  <c r="M1276" i="2"/>
  <c r="N1276" i="2" s="1"/>
  <c r="O1276" i="2" s="1"/>
  <c r="R1276" i="2" s="1"/>
  <c r="M1279" i="2"/>
  <c r="N1279" i="2" s="1"/>
  <c r="O1279" i="2" s="1"/>
  <c r="R1279" i="2" s="1"/>
  <c r="M1281" i="2"/>
  <c r="N1281" i="2" s="1"/>
  <c r="O1281" i="2" s="1"/>
  <c r="R1281" i="2" s="1"/>
  <c r="M1284" i="2"/>
  <c r="N1284" i="2" s="1"/>
  <c r="O1284" i="2" s="1"/>
  <c r="R1284" i="2" s="1"/>
  <c r="M1287" i="2"/>
  <c r="N1287" i="2" s="1"/>
  <c r="O1287" i="2" s="1"/>
  <c r="R1287" i="2" s="1"/>
  <c r="M1290" i="2"/>
  <c r="N1290" i="2" s="1"/>
  <c r="O1290" i="2" s="1"/>
  <c r="R1290" i="2" s="1"/>
  <c r="M1293" i="2"/>
  <c r="N1293" i="2" s="1"/>
  <c r="O1293" i="2" s="1"/>
  <c r="R1293" i="2" s="1"/>
  <c r="M1296" i="2"/>
  <c r="N1296" i="2" s="1"/>
  <c r="O1296" i="2" s="1"/>
  <c r="R1296" i="2" s="1"/>
  <c r="M1298" i="2"/>
  <c r="N1298" i="2" s="1"/>
  <c r="O1298" i="2" s="1"/>
  <c r="R1298" i="2" s="1"/>
  <c r="M1301" i="2"/>
  <c r="N1301" i="2" s="1"/>
  <c r="O1301" i="2" s="1"/>
  <c r="R1301" i="2" s="1"/>
  <c r="M1304" i="2"/>
  <c r="N1304" i="2" s="1"/>
  <c r="O1304" i="2" s="1"/>
  <c r="R1304" i="2" s="1"/>
  <c r="M1307" i="2"/>
  <c r="N1307" i="2" s="1"/>
  <c r="O1307" i="2" s="1"/>
  <c r="R1307" i="2" s="1"/>
  <c r="M1310" i="2"/>
  <c r="N1310" i="2" s="1"/>
  <c r="O1310" i="2" s="1"/>
  <c r="R1310" i="2" s="1"/>
  <c r="M1313" i="2"/>
  <c r="N1313" i="2" s="1"/>
  <c r="O1313" i="2" s="1"/>
  <c r="R1313" i="2" s="1"/>
  <c r="M1316" i="2"/>
  <c r="N1316" i="2" s="1"/>
  <c r="O1316" i="2" s="1"/>
  <c r="R1316" i="2" s="1"/>
  <c r="M1320" i="2"/>
  <c r="N1320" i="2" s="1"/>
  <c r="O1320" i="2" s="1"/>
  <c r="R1320" i="2" s="1"/>
  <c r="M1322" i="2"/>
  <c r="N1322" i="2" s="1"/>
  <c r="O1322" i="2" s="1"/>
  <c r="R1322" i="2" s="1"/>
  <c r="M1325" i="2"/>
  <c r="N1325" i="2" s="1"/>
  <c r="O1325" i="2" s="1"/>
  <c r="R1325" i="2" s="1"/>
  <c r="M1328" i="2"/>
  <c r="N1328" i="2" s="1"/>
  <c r="O1328" i="2" s="1"/>
  <c r="R1328" i="2" s="1"/>
  <c r="M1331" i="2"/>
  <c r="N1331" i="2" s="1"/>
  <c r="O1331" i="2" s="1"/>
  <c r="R1331" i="2" s="1"/>
  <c r="M1334" i="2"/>
  <c r="N1334" i="2" s="1"/>
  <c r="O1334" i="2" s="1"/>
  <c r="R1334" i="2" s="1"/>
  <c r="M1337" i="2"/>
  <c r="N1337" i="2" s="1"/>
  <c r="O1337" i="2" s="1"/>
  <c r="R1337" i="2" s="1"/>
  <c r="M1340" i="2"/>
  <c r="N1340" i="2" s="1"/>
  <c r="O1340" i="2" s="1"/>
  <c r="R1340" i="2" s="1"/>
  <c r="M1343" i="2"/>
  <c r="N1343" i="2" s="1"/>
  <c r="O1343" i="2" s="1"/>
  <c r="R1343" i="2" s="1"/>
  <c r="M1344" i="2"/>
  <c r="N1344" i="2" s="1"/>
  <c r="O1344" i="2" s="1"/>
  <c r="R1344" i="2" s="1"/>
  <c r="M1347" i="2"/>
  <c r="N1347" i="2" s="1"/>
  <c r="O1347" i="2" s="1"/>
  <c r="R1347" i="2" s="1"/>
  <c r="M1350" i="2"/>
  <c r="N1350" i="2" s="1"/>
  <c r="O1350" i="2" s="1"/>
  <c r="R1350" i="2" s="1"/>
  <c r="M1353" i="2"/>
  <c r="N1353" i="2" s="1"/>
  <c r="O1353" i="2" s="1"/>
  <c r="R1353" i="2" s="1"/>
  <c r="M1356" i="2"/>
  <c r="N1356" i="2" s="1"/>
  <c r="O1356" i="2" s="1"/>
  <c r="R1356" i="2" s="1"/>
  <c r="M1359" i="2"/>
  <c r="N1359" i="2" s="1"/>
  <c r="O1359" i="2" s="1"/>
  <c r="R1359" i="2" s="1"/>
  <c r="M1362" i="2"/>
  <c r="N1362" i="2" s="1"/>
  <c r="O1362" i="2" s="1"/>
  <c r="R1362" i="2" s="1"/>
  <c r="M1365" i="2"/>
  <c r="N1365" i="2" s="1"/>
  <c r="O1365" i="2" s="1"/>
  <c r="R1365" i="2" s="1"/>
  <c r="M1368" i="2"/>
  <c r="N1368" i="2" s="1"/>
  <c r="O1368" i="2" s="1"/>
  <c r="R1368" i="2" s="1"/>
  <c r="M1371" i="2"/>
  <c r="N1371" i="2" s="1"/>
  <c r="O1371" i="2" s="1"/>
  <c r="R1371" i="2" s="1"/>
  <c r="M1374" i="2"/>
  <c r="N1374" i="2" s="1"/>
  <c r="O1374" i="2" s="1"/>
  <c r="R1374" i="2" s="1"/>
  <c r="M1377" i="2"/>
  <c r="N1377" i="2" s="1"/>
  <c r="O1377" i="2" s="1"/>
  <c r="R1377" i="2" s="1"/>
  <c r="M1380" i="2"/>
  <c r="N1380" i="2" s="1"/>
  <c r="O1380" i="2" s="1"/>
  <c r="R1380" i="2" s="1"/>
  <c r="M1383" i="2"/>
  <c r="N1383" i="2" s="1"/>
  <c r="O1383" i="2" s="1"/>
  <c r="R1383" i="2" s="1"/>
  <c r="M1386" i="2"/>
  <c r="N1386" i="2" s="1"/>
  <c r="O1386" i="2" s="1"/>
  <c r="R1386" i="2" s="1"/>
  <c r="M1389" i="2"/>
  <c r="N1389" i="2" s="1"/>
  <c r="O1389" i="2" s="1"/>
  <c r="R1389" i="2" s="1"/>
  <c r="M1392" i="2"/>
  <c r="N1392" i="2" s="1"/>
  <c r="O1392" i="2" s="1"/>
  <c r="R1392" i="2" s="1"/>
  <c r="M1395" i="2"/>
  <c r="N1395" i="2" s="1"/>
  <c r="O1395" i="2" s="1"/>
  <c r="R1395" i="2" s="1"/>
  <c r="M1398" i="2"/>
  <c r="N1398" i="2" s="1"/>
  <c r="O1398" i="2" s="1"/>
  <c r="R1398" i="2" s="1"/>
  <c r="M1401" i="2"/>
  <c r="N1401" i="2" s="1"/>
  <c r="O1401" i="2" s="1"/>
  <c r="R1401" i="2" s="1"/>
  <c r="M1402" i="2"/>
  <c r="N1402" i="2" s="1"/>
  <c r="O1402" i="2" s="1"/>
  <c r="R1402" i="2" s="1"/>
  <c r="M1405" i="2"/>
  <c r="N1405" i="2" s="1"/>
  <c r="O1405" i="2" s="1"/>
  <c r="R1405" i="2" s="1"/>
  <c r="M1408" i="2"/>
  <c r="N1408" i="2" s="1"/>
  <c r="O1408" i="2" s="1"/>
  <c r="R1408" i="2" s="1"/>
  <c r="M1411" i="2"/>
  <c r="N1411" i="2" s="1"/>
  <c r="O1411" i="2" s="1"/>
  <c r="R1411" i="2" s="1"/>
  <c r="M1414" i="2"/>
  <c r="N1414" i="2" s="1"/>
  <c r="O1414" i="2" s="1"/>
  <c r="R1414" i="2" s="1"/>
  <c r="M1417" i="2"/>
  <c r="N1417" i="2" s="1"/>
  <c r="O1417" i="2" s="1"/>
  <c r="R1417" i="2" s="1"/>
  <c r="M1420" i="2"/>
  <c r="N1420" i="2" s="1"/>
  <c r="O1420" i="2" s="1"/>
  <c r="R1420" i="2" s="1"/>
  <c r="M1423" i="2"/>
  <c r="N1423" i="2" s="1"/>
  <c r="O1423" i="2" s="1"/>
  <c r="R1423" i="2" s="1"/>
  <c r="M1426" i="2"/>
  <c r="N1426" i="2" s="1"/>
  <c r="O1426" i="2" s="1"/>
  <c r="R1426" i="2" s="1"/>
  <c r="M1429" i="2"/>
  <c r="N1429" i="2" s="1"/>
  <c r="O1429" i="2" s="1"/>
  <c r="R1429" i="2" s="1"/>
  <c r="M1432" i="2"/>
  <c r="N1432" i="2" s="1"/>
  <c r="O1432" i="2" s="1"/>
  <c r="R1432" i="2" s="1"/>
  <c r="M1435" i="2"/>
  <c r="N1435" i="2" s="1"/>
  <c r="O1435" i="2" s="1"/>
  <c r="R1435" i="2" s="1"/>
  <c r="M1438" i="2"/>
  <c r="N1438" i="2" s="1"/>
  <c r="O1438" i="2" s="1"/>
  <c r="R1438" i="2" s="1"/>
  <c r="M1441" i="2"/>
  <c r="N1441" i="2" s="1"/>
  <c r="O1441" i="2" s="1"/>
  <c r="R1441" i="2" s="1"/>
  <c r="M1444" i="2"/>
  <c r="N1444" i="2" s="1"/>
  <c r="O1444" i="2" s="1"/>
  <c r="R1444" i="2" s="1"/>
  <c r="M1447" i="2"/>
  <c r="N1447" i="2" s="1"/>
  <c r="O1447" i="2" s="1"/>
  <c r="R1447" i="2" s="1"/>
  <c r="M1450" i="2"/>
  <c r="N1450" i="2" s="1"/>
  <c r="O1450" i="2" s="1"/>
  <c r="R1450" i="2" s="1"/>
  <c r="M1453" i="2"/>
  <c r="N1453" i="2" s="1"/>
  <c r="O1453" i="2" s="1"/>
  <c r="R1453" i="2" s="1"/>
  <c r="M1456" i="2"/>
  <c r="N1456" i="2" s="1"/>
  <c r="O1456" i="2" s="1"/>
  <c r="R1456" i="2" s="1"/>
  <c r="M1459" i="2"/>
  <c r="N1459" i="2" s="1"/>
  <c r="O1459" i="2" s="1"/>
  <c r="R1459" i="2" s="1"/>
  <c r="M1462" i="2"/>
  <c r="N1462" i="2" s="1"/>
  <c r="O1462" i="2" s="1"/>
  <c r="R1462" i="2" s="1"/>
  <c r="M1465" i="2"/>
  <c r="N1465" i="2" s="1"/>
  <c r="O1465" i="2" s="1"/>
  <c r="R1465" i="2" s="1"/>
  <c r="M1468" i="2"/>
  <c r="N1468" i="2" s="1"/>
  <c r="O1468" i="2" s="1"/>
  <c r="R1468" i="2" s="1"/>
  <c r="M1471" i="2"/>
  <c r="N1471" i="2" s="1"/>
  <c r="O1471" i="2" s="1"/>
  <c r="R1471" i="2" s="1"/>
  <c r="M1474" i="2"/>
  <c r="N1474" i="2" s="1"/>
  <c r="O1474" i="2" s="1"/>
  <c r="R1474" i="2" s="1"/>
  <c r="M1477" i="2"/>
  <c r="N1477" i="2" s="1"/>
  <c r="O1477" i="2" s="1"/>
  <c r="R1477" i="2" s="1"/>
  <c r="M1480" i="2"/>
  <c r="N1480" i="2" s="1"/>
  <c r="O1480" i="2" s="1"/>
  <c r="R1480" i="2" s="1"/>
  <c r="M1483" i="2"/>
  <c r="N1483" i="2" s="1"/>
  <c r="O1483" i="2" s="1"/>
  <c r="R1483" i="2" s="1"/>
  <c r="M1486" i="2"/>
  <c r="N1486" i="2" s="1"/>
  <c r="O1486" i="2" s="1"/>
  <c r="R1486" i="2" s="1"/>
  <c r="M1489" i="2"/>
  <c r="N1489" i="2" s="1"/>
  <c r="O1489" i="2" s="1"/>
  <c r="R1489" i="2" s="1"/>
  <c r="M1492" i="2"/>
  <c r="N1492" i="2" s="1"/>
  <c r="O1492" i="2" s="1"/>
  <c r="R1492" i="2" s="1"/>
  <c r="M1495" i="2"/>
  <c r="N1495" i="2" s="1"/>
  <c r="O1495" i="2" s="1"/>
  <c r="R1495" i="2" s="1"/>
  <c r="M1498" i="2"/>
  <c r="N1498" i="2" s="1"/>
  <c r="O1498" i="2" s="1"/>
  <c r="R1498" i="2" s="1"/>
  <c r="M1501" i="2"/>
  <c r="N1501" i="2" s="1"/>
  <c r="O1501" i="2" s="1"/>
  <c r="R1501" i="2" s="1"/>
  <c r="M1504" i="2"/>
  <c r="N1504" i="2" s="1"/>
  <c r="O1504" i="2" s="1"/>
  <c r="R1504" i="2" s="1"/>
  <c r="M1507" i="2"/>
  <c r="N1507" i="2" s="1"/>
  <c r="O1507" i="2" s="1"/>
  <c r="R1507" i="2" s="1"/>
  <c r="M1510" i="2"/>
  <c r="N1510" i="2" s="1"/>
  <c r="O1510" i="2" s="1"/>
  <c r="R1510" i="2" s="1"/>
  <c r="M1513" i="2"/>
  <c r="N1513" i="2" s="1"/>
  <c r="O1513" i="2" s="1"/>
  <c r="R1513" i="2" s="1"/>
  <c r="M1516" i="2"/>
  <c r="N1516" i="2" s="1"/>
  <c r="O1516" i="2" s="1"/>
  <c r="R1516" i="2" s="1"/>
  <c r="M1519" i="2"/>
  <c r="N1519" i="2" s="1"/>
  <c r="O1519" i="2" s="1"/>
  <c r="R1519" i="2" s="1"/>
  <c r="M1522" i="2"/>
  <c r="N1522" i="2" s="1"/>
  <c r="O1522" i="2" s="1"/>
  <c r="R1522" i="2" s="1"/>
  <c r="M1525" i="2"/>
  <c r="N1525" i="2" s="1"/>
  <c r="O1525" i="2" s="1"/>
  <c r="R1525" i="2" s="1"/>
  <c r="M1528" i="2"/>
  <c r="N1528" i="2" s="1"/>
  <c r="O1528" i="2" s="1"/>
  <c r="R1528" i="2" s="1"/>
  <c r="M1531" i="2"/>
  <c r="N1531" i="2" s="1"/>
  <c r="O1531" i="2" s="1"/>
  <c r="R1531" i="2" s="1"/>
  <c r="M1534" i="2"/>
  <c r="N1534" i="2" s="1"/>
  <c r="O1534" i="2" s="1"/>
  <c r="R1534" i="2" s="1"/>
  <c r="M1537" i="2"/>
  <c r="N1537" i="2" s="1"/>
  <c r="O1537" i="2" s="1"/>
  <c r="R1537" i="2" s="1"/>
  <c r="M1539" i="2"/>
  <c r="N1539" i="2" s="1"/>
  <c r="O1539" i="2" s="1"/>
  <c r="R1539" i="2" s="1"/>
  <c r="M1542" i="2"/>
  <c r="N1542" i="2" s="1"/>
  <c r="O1542" i="2" s="1"/>
  <c r="R1542" i="2" s="1"/>
  <c r="M1545" i="2"/>
  <c r="N1545" i="2" s="1"/>
  <c r="O1545" i="2" s="1"/>
  <c r="R1545" i="2" s="1"/>
  <c r="M1548" i="2"/>
  <c r="N1548" i="2" s="1"/>
  <c r="O1548" i="2" s="1"/>
  <c r="R1548" i="2" s="1"/>
  <c r="M1551" i="2"/>
  <c r="N1551" i="2" s="1"/>
  <c r="O1551" i="2" s="1"/>
  <c r="R1551" i="2" s="1"/>
  <c r="M1554" i="2"/>
  <c r="N1554" i="2" s="1"/>
  <c r="O1554" i="2" s="1"/>
  <c r="R1554" i="2" s="1"/>
  <c r="M1557" i="2"/>
  <c r="N1557" i="2" s="1"/>
  <c r="O1557" i="2" s="1"/>
  <c r="R1557" i="2" s="1"/>
  <c r="M1560" i="2"/>
  <c r="N1560" i="2" s="1"/>
  <c r="O1560" i="2" s="1"/>
  <c r="R1560" i="2" s="1"/>
  <c r="M1563" i="2"/>
  <c r="N1563" i="2" s="1"/>
  <c r="O1563" i="2" s="1"/>
  <c r="R1563" i="2" s="1"/>
  <c r="M1566" i="2"/>
  <c r="N1566" i="2" s="1"/>
  <c r="O1566" i="2" s="1"/>
  <c r="R1566" i="2" s="1"/>
  <c r="M1569" i="2"/>
  <c r="N1569" i="2" s="1"/>
  <c r="O1569" i="2" s="1"/>
  <c r="R1569" i="2" s="1"/>
  <c r="M1572" i="2"/>
  <c r="N1572" i="2" s="1"/>
  <c r="O1572" i="2" s="1"/>
  <c r="R1572" i="2" s="1"/>
  <c r="M1573" i="2"/>
  <c r="N1573" i="2" s="1"/>
  <c r="O1573" i="2" s="1"/>
  <c r="R1573" i="2" s="1"/>
  <c r="M1577" i="2"/>
  <c r="N1577" i="2" s="1"/>
  <c r="O1577" i="2" s="1"/>
  <c r="R1577" i="2" s="1"/>
  <c r="M1579" i="2"/>
  <c r="N1579" i="2" s="1"/>
  <c r="O1579" i="2" s="1"/>
  <c r="R1579" i="2" s="1"/>
  <c r="M1582" i="2"/>
  <c r="N1582" i="2" s="1"/>
  <c r="O1582" i="2" s="1"/>
  <c r="R1582" i="2" s="1"/>
  <c r="M1585" i="2"/>
  <c r="N1585" i="2" s="1"/>
  <c r="O1585" i="2" s="1"/>
  <c r="R1585" i="2" s="1"/>
  <c r="M1588" i="2"/>
  <c r="N1588" i="2" s="1"/>
  <c r="O1588" i="2" s="1"/>
  <c r="R1588" i="2" s="1"/>
  <c r="M1591" i="2"/>
  <c r="N1591" i="2" s="1"/>
  <c r="O1591" i="2" s="1"/>
  <c r="R1591" i="2" s="1"/>
  <c r="M1594" i="2"/>
  <c r="N1594" i="2" s="1"/>
  <c r="O1594" i="2" s="1"/>
  <c r="R1594" i="2" s="1"/>
  <c r="M1595" i="2"/>
  <c r="N1595" i="2" s="1"/>
  <c r="O1595" i="2" s="1"/>
  <c r="R1595" i="2" s="1"/>
  <c r="M1598" i="2"/>
  <c r="N1598" i="2" s="1"/>
  <c r="O1598" i="2" s="1"/>
  <c r="R1598" i="2" s="1"/>
  <c r="M1601" i="2"/>
  <c r="N1601" i="2" s="1"/>
  <c r="O1601" i="2" s="1"/>
  <c r="R1601" i="2" s="1"/>
  <c r="M1604" i="2"/>
  <c r="N1604" i="2" s="1"/>
  <c r="O1604" i="2" s="1"/>
  <c r="R1604" i="2" s="1"/>
  <c r="M1607" i="2"/>
  <c r="N1607" i="2" s="1"/>
  <c r="O1607" i="2" s="1"/>
  <c r="R1607" i="2" s="1"/>
  <c r="M1610" i="2"/>
  <c r="N1610" i="2" s="1"/>
  <c r="O1610" i="2" s="1"/>
  <c r="R1610" i="2" s="1"/>
  <c r="M1613" i="2"/>
  <c r="N1613" i="2" s="1"/>
  <c r="O1613" i="2" s="1"/>
  <c r="R1613" i="2" s="1"/>
  <c r="M1616" i="2"/>
  <c r="N1616" i="2" s="1"/>
  <c r="O1616" i="2" s="1"/>
  <c r="R1616" i="2" s="1"/>
  <c r="M1619" i="2"/>
  <c r="N1619" i="2" s="1"/>
  <c r="O1619" i="2" s="1"/>
  <c r="R1619" i="2" s="1"/>
  <c r="M1622" i="2"/>
  <c r="N1622" i="2" s="1"/>
  <c r="O1622" i="2" s="1"/>
  <c r="R1622" i="2" s="1"/>
  <c r="M1625" i="2"/>
  <c r="N1625" i="2" s="1"/>
  <c r="O1625" i="2" s="1"/>
  <c r="R1625" i="2" s="1"/>
  <c r="M1628" i="2"/>
  <c r="N1628" i="2" s="1"/>
  <c r="O1628" i="2" s="1"/>
  <c r="R1628" i="2" s="1"/>
  <c r="M1631" i="2"/>
  <c r="N1631" i="2" s="1"/>
  <c r="O1631" i="2" s="1"/>
  <c r="R1631" i="2" s="1"/>
  <c r="M1634" i="2"/>
  <c r="N1634" i="2" s="1"/>
  <c r="O1634" i="2" s="1"/>
  <c r="R1634" i="2" s="1"/>
  <c r="M1637" i="2"/>
  <c r="N1637" i="2" s="1"/>
  <c r="O1637" i="2" s="1"/>
  <c r="R1637" i="2" s="1"/>
  <c r="M1640" i="2"/>
  <c r="N1640" i="2" s="1"/>
  <c r="O1640" i="2" s="1"/>
  <c r="R1640" i="2" s="1"/>
  <c r="M1643" i="2"/>
  <c r="N1643" i="2" s="1"/>
  <c r="O1643" i="2" s="1"/>
  <c r="R1643" i="2" s="1"/>
  <c r="M1646" i="2"/>
  <c r="N1646" i="2" s="1"/>
  <c r="O1646" i="2" s="1"/>
  <c r="R1646" i="2" s="1"/>
  <c r="M1649" i="2"/>
  <c r="N1649" i="2" s="1"/>
  <c r="O1649" i="2" s="1"/>
  <c r="R1649" i="2" s="1"/>
  <c r="M1652" i="2"/>
  <c r="N1652" i="2" s="1"/>
  <c r="O1652" i="2" s="1"/>
  <c r="R1652" i="2" s="1"/>
  <c r="M1655" i="2"/>
  <c r="N1655" i="2" s="1"/>
  <c r="O1655" i="2" s="1"/>
  <c r="R1655" i="2" s="1"/>
  <c r="M1658" i="2"/>
  <c r="N1658" i="2" s="1"/>
  <c r="O1658" i="2" s="1"/>
  <c r="R1658" i="2" s="1"/>
  <c r="M1661" i="2"/>
  <c r="N1661" i="2" s="1"/>
  <c r="O1661" i="2" s="1"/>
  <c r="R1661" i="2" s="1"/>
  <c r="M1664" i="2"/>
  <c r="N1664" i="2" s="1"/>
  <c r="O1664" i="2" s="1"/>
  <c r="R1664" i="2" s="1"/>
  <c r="M1667" i="2"/>
  <c r="N1667" i="2" s="1"/>
  <c r="O1667" i="2" s="1"/>
  <c r="R1667" i="2" s="1"/>
  <c r="M1670" i="2"/>
  <c r="N1670" i="2" s="1"/>
  <c r="O1670" i="2" s="1"/>
  <c r="R1670" i="2" s="1"/>
  <c r="M1673" i="2"/>
  <c r="N1673" i="2" s="1"/>
  <c r="O1673" i="2" s="1"/>
  <c r="R1673" i="2" s="1"/>
  <c r="M1676" i="2"/>
  <c r="N1676" i="2" s="1"/>
  <c r="O1676" i="2" s="1"/>
  <c r="R1676" i="2" s="1"/>
  <c r="M1679" i="2"/>
  <c r="N1679" i="2" s="1"/>
  <c r="O1679" i="2" s="1"/>
  <c r="R1679" i="2" s="1"/>
  <c r="M1682" i="2"/>
  <c r="N1682" i="2" s="1"/>
  <c r="O1682" i="2" s="1"/>
  <c r="R1682" i="2" s="1"/>
  <c r="M1685" i="2"/>
  <c r="N1685" i="2" s="1"/>
  <c r="O1685" i="2" s="1"/>
  <c r="R1685" i="2" s="1"/>
  <c r="M1688" i="2"/>
  <c r="N1688" i="2" s="1"/>
  <c r="O1688" i="2" s="1"/>
  <c r="R1688" i="2" s="1"/>
  <c r="M1691" i="2"/>
  <c r="N1691" i="2" s="1"/>
  <c r="O1691" i="2" s="1"/>
  <c r="R1691" i="2" s="1"/>
  <c r="M1694" i="2"/>
  <c r="N1694" i="2" s="1"/>
  <c r="O1694" i="2" s="1"/>
  <c r="R1694" i="2" s="1"/>
  <c r="M1697" i="2"/>
  <c r="N1697" i="2" s="1"/>
  <c r="O1697" i="2" s="1"/>
  <c r="R1697" i="2" s="1"/>
  <c r="M1698" i="2"/>
  <c r="N1698" i="2" s="1"/>
  <c r="O1698" i="2" s="1"/>
  <c r="R1698" i="2" s="1"/>
  <c r="M1703" i="2"/>
  <c r="N1703" i="2" s="1"/>
  <c r="O1703" i="2" s="1"/>
  <c r="R1703" i="2" s="1"/>
  <c r="M1706" i="2"/>
  <c r="N1706" i="2" s="1"/>
  <c r="O1706" i="2" s="1"/>
  <c r="R1706" i="2" s="1"/>
  <c r="M1707" i="2"/>
  <c r="N1707" i="2" s="1"/>
  <c r="O1707" i="2" s="1"/>
  <c r="R1707" i="2" s="1"/>
  <c r="M1710" i="2"/>
  <c r="N1710" i="2" s="1"/>
  <c r="O1710" i="2" s="1"/>
  <c r="R1710" i="2" s="1"/>
  <c r="M1713" i="2"/>
  <c r="N1713" i="2" s="1"/>
  <c r="O1713" i="2" s="1"/>
  <c r="R1713" i="2" s="1"/>
  <c r="M1716" i="2"/>
  <c r="N1716" i="2" s="1"/>
  <c r="O1716" i="2" s="1"/>
  <c r="R1716" i="2" s="1"/>
  <c r="M1719" i="2"/>
  <c r="N1719" i="2" s="1"/>
  <c r="O1719" i="2" s="1"/>
  <c r="R1719" i="2" s="1"/>
  <c r="M1722" i="2"/>
  <c r="N1722" i="2" s="1"/>
  <c r="O1722" i="2" s="1"/>
  <c r="R1722" i="2" s="1"/>
  <c r="M1725" i="2"/>
  <c r="N1725" i="2" s="1"/>
  <c r="O1725" i="2" s="1"/>
  <c r="R1725" i="2" s="1"/>
  <c r="M1727" i="2"/>
  <c r="N1727" i="2" s="1"/>
  <c r="O1727" i="2" s="1"/>
  <c r="R1727" i="2" s="1"/>
  <c r="M1730" i="2"/>
  <c r="N1730" i="2" s="1"/>
  <c r="O1730" i="2" s="1"/>
  <c r="R1730" i="2" s="1"/>
  <c r="M1733" i="2"/>
  <c r="N1733" i="2" s="1"/>
  <c r="O1733" i="2" s="1"/>
  <c r="R1733" i="2" s="1"/>
  <c r="M1736" i="2"/>
  <c r="N1736" i="2" s="1"/>
  <c r="O1736" i="2" s="1"/>
  <c r="R1736" i="2" s="1"/>
  <c r="M1739" i="2"/>
  <c r="N1739" i="2" s="1"/>
  <c r="O1739" i="2" s="1"/>
  <c r="R1739" i="2" s="1"/>
  <c r="M1742" i="2"/>
  <c r="N1742" i="2" s="1"/>
  <c r="O1742" i="2" s="1"/>
  <c r="R1742" i="2" s="1"/>
  <c r="M1744" i="2"/>
  <c r="N1744" i="2" s="1"/>
  <c r="O1744" i="2" s="1"/>
  <c r="R1744" i="2" s="1"/>
  <c r="M1747" i="2"/>
  <c r="N1747" i="2" s="1"/>
  <c r="O1747" i="2" s="1"/>
  <c r="R1747" i="2" s="1"/>
  <c r="M1750" i="2"/>
  <c r="N1750" i="2" s="1"/>
  <c r="O1750" i="2" s="1"/>
  <c r="R1750" i="2" s="1"/>
  <c r="M1753" i="2"/>
  <c r="N1753" i="2" s="1"/>
  <c r="O1753" i="2" s="1"/>
  <c r="R1753" i="2" s="1"/>
  <c r="M1756" i="2"/>
  <c r="N1756" i="2" s="1"/>
  <c r="O1756" i="2" s="1"/>
  <c r="R1756" i="2" s="1"/>
  <c r="M1758" i="2"/>
  <c r="N1758" i="2" s="1"/>
  <c r="O1758" i="2" s="1"/>
  <c r="R1758" i="2" s="1"/>
  <c r="M1759" i="2"/>
  <c r="N1759" i="2" s="1"/>
  <c r="O1759" i="2" s="1"/>
  <c r="R1759" i="2" s="1"/>
  <c r="M1762" i="2"/>
  <c r="N1762" i="2" s="1"/>
  <c r="O1762" i="2" s="1"/>
  <c r="R1762" i="2" s="1"/>
  <c r="M1765" i="2"/>
  <c r="N1765" i="2" s="1"/>
  <c r="O1765" i="2" s="1"/>
  <c r="R1765" i="2" s="1"/>
  <c r="M1768" i="2"/>
  <c r="N1768" i="2" s="1"/>
  <c r="O1768" i="2" s="1"/>
  <c r="R1768" i="2" s="1"/>
  <c r="M1771" i="2"/>
  <c r="N1771" i="2" s="1"/>
  <c r="O1771" i="2" s="1"/>
  <c r="R1771" i="2" s="1"/>
  <c r="M1774" i="2"/>
  <c r="N1774" i="2" s="1"/>
  <c r="O1774" i="2" s="1"/>
  <c r="R1774" i="2" s="1"/>
  <c r="M1777" i="2"/>
  <c r="N1777" i="2" s="1"/>
  <c r="O1777" i="2" s="1"/>
  <c r="R1777" i="2" s="1"/>
  <c r="M1780" i="2"/>
  <c r="N1780" i="2" s="1"/>
  <c r="O1780" i="2" s="1"/>
  <c r="R1780" i="2" s="1"/>
  <c r="M1783" i="2"/>
  <c r="N1783" i="2" s="1"/>
  <c r="O1783" i="2" s="1"/>
  <c r="R1783" i="2" s="1"/>
  <c r="M1786" i="2"/>
  <c r="N1786" i="2" s="1"/>
  <c r="O1786" i="2" s="1"/>
  <c r="R1786" i="2" s="1"/>
  <c r="M1789" i="2"/>
  <c r="N1789" i="2" s="1"/>
  <c r="O1789" i="2" s="1"/>
  <c r="R1789" i="2" s="1"/>
  <c r="M1792" i="2"/>
  <c r="N1792" i="2" s="1"/>
  <c r="O1792" i="2" s="1"/>
  <c r="R1792" i="2" s="1"/>
  <c r="M1798" i="2"/>
  <c r="N1798" i="2" s="1"/>
  <c r="O1798" i="2" s="1"/>
  <c r="R1798" i="2" s="1"/>
  <c r="M1795" i="2"/>
  <c r="N1795" i="2" s="1"/>
  <c r="O1795" i="2" s="1"/>
  <c r="R1795" i="2" s="1"/>
  <c r="M1801" i="2"/>
  <c r="N1801" i="2" s="1"/>
  <c r="O1801" i="2" s="1"/>
  <c r="R1801" i="2" s="1"/>
  <c r="M1804" i="2"/>
  <c r="N1804" i="2" s="1"/>
  <c r="O1804" i="2" s="1"/>
  <c r="R1804" i="2" s="1"/>
  <c r="M1807" i="2"/>
  <c r="N1807" i="2" s="1"/>
  <c r="O1807" i="2" s="1"/>
  <c r="R1807" i="2" s="1"/>
  <c r="M1809" i="2"/>
  <c r="N1809" i="2" s="1"/>
  <c r="O1809" i="2" s="1"/>
  <c r="R1809" i="2" s="1"/>
  <c r="M1812" i="2"/>
  <c r="N1812" i="2" s="1"/>
  <c r="O1812" i="2" s="1"/>
  <c r="R1812" i="2" s="1"/>
  <c r="M1815" i="2"/>
  <c r="N1815" i="2" s="1"/>
  <c r="O1815" i="2" s="1"/>
  <c r="R1815" i="2" s="1"/>
  <c r="M1818" i="2"/>
  <c r="N1818" i="2" s="1"/>
  <c r="O1818" i="2" s="1"/>
  <c r="R1818" i="2" s="1"/>
  <c r="M1820" i="2"/>
  <c r="N1820" i="2" s="1"/>
  <c r="O1820" i="2" s="1"/>
  <c r="R1820" i="2" s="1"/>
  <c r="M1823" i="2"/>
  <c r="N1823" i="2" s="1"/>
  <c r="O1823" i="2" s="1"/>
  <c r="R1823" i="2" s="1"/>
  <c r="M1826" i="2"/>
  <c r="N1826" i="2" s="1"/>
  <c r="O1826" i="2" s="1"/>
  <c r="R1826" i="2" s="1"/>
  <c r="M1829" i="2"/>
  <c r="N1829" i="2" s="1"/>
  <c r="O1829" i="2" s="1"/>
  <c r="R1829" i="2" s="1"/>
  <c r="M1832" i="2"/>
  <c r="N1832" i="2" s="1"/>
  <c r="O1832" i="2" s="1"/>
  <c r="R1832" i="2" s="1"/>
  <c r="M1835" i="2"/>
  <c r="N1835" i="2" s="1"/>
  <c r="O1835" i="2" s="1"/>
  <c r="R1835" i="2" s="1"/>
  <c r="M1838" i="2"/>
  <c r="N1838" i="2" s="1"/>
  <c r="O1838" i="2" s="1"/>
  <c r="R1838" i="2" s="1"/>
  <c r="M1841" i="2"/>
  <c r="N1841" i="2" s="1"/>
  <c r="O1841" i="2" s="1"/>
  <c r="R1841" i="2" s="1"/>
  <c r="M1844" i="2"/>
  <c r="N1844" i="2" s="1"/>
  <c r="O1844" i="2" s="1"/>
  <c r="R1844" i="2" s="1"/>
  <c r="M1845" i="2"/>
  <c r="N1845" i="2" s="1"/>
  <c r="O1845" i="2" s="1"/>
  <c r="R1845" i="2" s="1"/>
  <c r="M1850" i="2"/>
  <c r="N1850" i="2" s="1"/>
  <c r="O1850" i="2" s="1"/>
  <c r="R1850" i="2" s="1"/>
  <c r="M1853" i="2"/>
  <c r="N1853" i="2" s="1"/>
  <c r="O1853" i="2" s="1"/>
  <c r="R1853" i="2" s="1"/>
  <c r="M1858" i="2"/>
  <c r="N1858" i="2" s="1"/>
  <c r="O1858" i="2" s="1"/>
  <c r="R1858" i="2" s="1"/>
  <c r="M1861" i="2"/>
  <c r="N1861" i="2" s="1"/>
  <c r="O1861" i="2" s="1"/>
  <c r="R1861" i="2" s="1"/>
  <c r="M1862" i="2"/>
  <c r="N1862" i="2" s="1"/>
  <c r="O1862" i="2" s="1"/>
  <c r="R1862" i="2" s="1"/>
  <c r="M1863" i="2"/>
  <c r="N1863" i="2" s="1"/>
  <c r="O1863" i="2" s="1"/>
  <c r="R1863" i="2" s="1"/>
  <c r="M1866" i="2"/>
  <c r="N1866" i="2" s="1"/>
  <c r="O1866" i="2" s="1"/>
  <c r="R1866" i="2" s="1"/>
  <c r="M1869" i="2"/>
  <c r="N1869" i="2" s="1"/>
  <c r="O1869" i="2" s="1"/>
  <c r="R1869" i="2" s="1"/>
  <c r="M1872" i="2"/>
  <c r="N1872" i="2" s="1"/>
  <c r="O1872" i="2" s="1"/>
  <c r="R1872" i="2" s="1"/>
  <c r="M1875" i="2"/>
  <c r="N1875" i="2" s="1"/>
  <c r="O1875" i="2" s="1"/>
  <c r="R1875" i="2" s="1"/>
  <c r="M1878" i="2"/>
  <c r="N1878" i="2" s="1"/>
  <c r="O1878" i="2" s="1"/>
  <c r="R1878" i="2" s="1"/>
  <c r="M1881" i="2"/>
  <c r="N1881" i="2" s="1"/>
  <c r="O1881" i="2" s="1"/>
  <c r="R1881" i="2" s="1"/>
  <c r="M1882" i="2"/>
  <c r="N1882" i="2" s="1"/>
  <c r="O1882" i="2" s="1"/>
  <c r="R1882" i="2" s="1"/>
  <c r="M1889" i="2"/>
  <c r="N1889" i="2" s="1"/>
  <c r="O1889" i="2" s="1"/>
  <c r="R1889" i="2" s="1"/>
  <c r="M1892" i="2"/>
  <c r="N1892" i="2" s="1"/>
  <c r="O1892" i="2" s="1"/>
  <c r="R1892" i="2" s="1"/>
  <c r="M1895" i="2"/>
  <c r="N1895" i="2" s="1"/>
  <c r="O1895" i="2" s="1"/>
  <c r="R1895" i="2" s="1"/>
  <c r="M1898" i="2"/>
  <c r="N1898" i="2" s="1"/>
  <c r="O1898" i="2" s="1"/>
  <c r="R1898" i="2" s="1"/>
  <c r="M1901" i="2"/>
  <c r="N1901" i="2" s="1"/>
  <c r="O1901" i="2" s="1"/>
  <c r="R1901" i="2" s="1"/>
  <c r="M1904" i="2"/>
  <c r="N1904" i="2" s="1"/>
  <c r="O1904" i="2" s="1"/>
  <c r="R1904" i="2" s="1"/>
  <c r="M1907" i="2"/>
  <c r="N1907" i="2" s="1"/>
  <c r="O1907" i="2" s="1"/>
  <c r="R1907" i="2" s="1"/>
  <c r="M1908" i="2"/>
  <c r="N1908" i="2" s="1"/>
  <c r="O1908" i="2" s="1"/>
  <c r="R1908" i="2" s="1"/>
  <c r="M1913" i="2"/>
  <c r="N1913" i="2" s="1"/>
  <c r="O1913" i="2" s="1"/>
  <c r="R1913" i="2" s="1"/>
  <c r="M1916" i="2"/>
  <c r="N1916" i="2" s="1"/>
  <c r="O1916" i="2" s="1"/>
  <c r="R1916" i="2" s="1"/>
  <c r="M1919" i="2"/>
  <c r="N1919" i="2" s="1"/>
  <c r="O1919" i="2" s="1"/>
  <c r="R1919" i="2" s="1"/>
  <c r="M1921" i="2"/>
  <c r="N1921" i="2" s="1"/>
  <c r="O1921" i="2" s="1"/>
  <c r="R1921" i="2" s="1"/>
  <c r="M1924" i="2"/>
  <c r="N1924" i="2" s="1"/>
  <c r="O1924" i="2" s="1"/>
  <c r="R1924" i="2" s="1"/>
  <c r="M1927" i="2"/>
  <c r="N1927" i="2" s="1"/>
  <c r="O1927" i="2" s="1"/>
  <c r="R1927" i="2" s="1"/>
  <c r="M1930" i="2"/>
  <c r="N1930" i="2" s="1"/>
  <c r="O1930" i="2" s="1"/>
  <c r="R1930" i="2" s="1"/>
  <c r="M1933" i="2"/>
  <c r="N1933" i="2" s="1"/>
  <c r="O1933" i="2" s="1"/>
  <c r="R1933" i="2" s="1"/>
  <c r="M1936" i="2"/>
  <c r="N1936" i="2" s="1"/>
  <c r="O1936" i="2" s="1"/>
  <c r="R1936" i="2" s="1"/>
  <c r="M1937" i="2"/>
  <c r="N1937" i="2" s="1"/>
  <c r="O1937" i="2" s="1"/>
  <c r="R1937" i="2" s="1"/>
  <c r="M1940" i="2"/>
  <c r="N1940" i="2" s="1"/>
  <c r="O1940" i="2" s="1"/>
  <c r="R1940" i="2" s="1"/>
  <c r="M1942" i="2"/>
  <c r="N1942" i="2" s="1"/>
  <c r="O1942" i="2" s="1"/>
  <c r="R1942" i="2" s="1"/>
  <c r="M1943" i="2"/>
  <c r="N1943" i="2" s="1"/>
  <c r="O1943" i="2" s="1"/>
  <c r="R1943" i="2" s="1"/>
  <c r="M1948" i="2"/>
  <c r="N1948" i="2" s="1"/>
  <c r="O1948" i="2" s="1"/>
  <c r="R1948" i="2" s="1"/>
  <c r="M1949" i="2"/>
  <c r="N1949" i="2" s="1"/>
  <c r="O1949" i="2" s="1"/>
  <c r="R1949" i="2" s="1"/>
  <c r="M1952" i="2"/>
  <c r="N1952" i="2" s="1"/>
  <c r="O1952" i="2" s="1"/>
  <c r="R1952" i="2" s="1"/>
  <c r="M1955" i="2"/>
  <c r="N1955" i="2" s="1"/>
  <c r="O1955" i="2" s="1"/>
  <c r="R1955" i="2" s="1"/>
  <c r="M1956" i="2"/>
  <c r="N1956" i="2" s="1"/>
  <c r="O1956" i="2" s="1"/>
  <c r="R1956" i="2" s="1"/>
  <c r="M1959" i="2"/>
  <c r="N1959" i="2" s="1"/>
  <c r="O1959" i="2" s="1"/>
  <c r="R1959" i="2" s="1"/>
  <c r="M1962" i="2"/>
  <c r="N1962" i="2" s="1"/>
  <c r="O1962" i="2" s="1"/>
  <c r="R1962" i="2" s="1"/>
  <c r="M1965" i="2"/>
  <c r="N1965" i="2" s="1"/>
  <c r="O1965" i="2" s="1"/>
  <c r="R1965" i="2" s="1"/>
  <c r="M1968" i="2"/>
  <c r="N1968" i="2" s="1"/>
  <c r="O1968" i="2" s="1"/>
  <c r="R1968" i="2" s="1"/>
  <c r="M1971" i="2"/>
  <c r="N1971" i="2" s="1"/>
  <c r="O1971" i="2" s="1"/>
  <c r="R1971" i="2" s="1"/>
  <c r="M1974" i="2"/>
  <c r="N1974" i="2" s="1"/>
  <c r="O1974" i="2" s="1"/>
  <c r="R1974" i="2" s="1"/>
  <c r="M1977" i="2"/>
  <c r="N1977" i="2" s="1"/>
  <c r="O1977" i="2" s="1"/>
  <c r="R1977" i="2" s="1"/>
  <c r="M1980" i="2"/>
  <c r="N1980" i="2" s="1"/>
  <c r="O1980" i="2" s="1"/>
  <c r="R1980" i="2" s="1"/>
  <c r="M1983" i="2"/>
  <c r="N1983" i="2" s="1"/>
  <c r="O1983" i="2" s="1"/>
  <c r="R1983" i="2" s="1"/>
  <c r="M1986" i="2"/>
  <c r="N1986" i="2" s="1"/>
  <c r="O1986" i="2" s="1"/>
  <c r="R1986" i="2" s="1"/>
  <c r="M1989" i="2"/>
  <c r="N1989" i="2" s="1"/>
  <c r="O1989" i="2" s="1"/>
  <c r="R1989" i="2" s="1"/>
  <c r="M1992" i="2"/>
  <c r="N1992" i="2" s="1"/>
  <c r="O1992" i="2" s="1"/>
  <c r="R1992" i="2" s="1"/>
  <c r="M1995" i="2"/>
  <c r="N1995" i="2" s="1"/>
  <c r="O1995" i="2" s="1"/>
  <c r="R1995" i="2" s="1"/>
  <c r="M1998" i="2"/>
  <c r="N1998" i="2" s="1"/>
  <c r="O1998" i="2" s="1"/>
  <c r="R1998" i="2" s="1"/>
  <c r="M2001" i="2"/>
  <c r="N2001" i="2" s="1"/>
  <c r="O2001" i="2" s="1"/>
  <c r="R2001" i="2" s="1"/>
  <c r="M2004" i="2"/>
  <c r="N2004" i="2" s="1"/>
  <c r="O2004" i="2" s="1"/>
  <c r="R2004" i="2" s="1"/>
  <c r="M2007" i="2"/>
  <c r="N2007" i="2" s="1"/>
  <c r="O2007" i="2" s="1"/>
  <c r="R2007" i="2" s="1"/>
  <c r="M2010" i="2"/>
  <c r="N2010" i="2" s="1"/>
  <c r="O2010" i="2" s="1"/>
  <c r="R2010" i="2" s="1"/>
  <c r="M2013" i="2"/>
  <c r="N2013" i="2" s="1"/>
  <c r="O2013" i="2" s="1"/>
  <c r="R2013" i="2" s="1"/>
  <c r="M2016" i="2"/>
  <c r="N2016" i="2" s="1"/>
  <c r="O2016" i="2" s="1"/>
  <c r="R2016" i="2" s="1"/>
  <c r="M2019" i="2"/>
  <c r="N2019" i="2" s="1"/>
  <c r="O2019" i="2" s="1"/>
  <c r="R2019" i="2" s="1"/>
  <c r="M2020" i="2"/>
  <c r="N2020" i="2" s="1"/>
  <c r="O2020" i="2" s="1"/>
  <c r="R2020" i="2" s="1"/>
  <c r="M2023" i="2"/>
  <c r="N2023" i="2" s="1"/>
  <c r="O2023" i="2" s="1"/>
  <c r="R2023" i="2" s="1"/>
  <c r="M2026" i="2"/>
  <c r="N2026" i="2" s="1"/>
  <c r="O2026" i="2" s="1"/>
  <c r="R2026" i="2" s="1"/>
  <c r="M2029" i="2"/>
  <c r="N2029" i="2" s="1"/>
  <c r="O2029" i="2" s="1"/>
  <c r="R2029" i="2" s="1"/>
  <c r="M2032" i="2"/>
  <c r="N2032" i="2" s="1"/>
  <c r="O2032" i="2" s="1"/>
  <c r="R2032" i="2" s="1"/>
  <c r="M2035" i="2"/>
  <c r="N2035" i="2" s="1"/>
  <c r="O2035" i="2" s="1"/>
  <c r="R2035" i="2" s="1"/>
  <c r="M2038" i="2"/>
  <c r="N2038" i="2" s="1"/>
  <c r="O2038" i="2" s="1"/>
  <c r="R2038" i="2" s="1"/>
  <c r="M2041" i="2"/>
  <c r="N2041" i="2" s="1"/>
  <c r="O2041" i="2" s="1"/>
  <c r="R2041" i="2" s="1"/>
  <c r="M2044" i="2"/>
  <c r="N2044" i="2" s="1"/>
  <c r="O2044" i="2" s="1"/>
  <c r="R2044" i="2" s="1"/>
  <c r="M2047" i="2"/>
  <c r="N2047" i="2" s="1"/>
  <c r="O2047" i="2" s="1"/>
  <c r="R2047" i="2" s="1"/>
  <c r="M2050" i="2"/>
  <c r="N2050" i="2" s="1"/>
  <c r="O2050" i="2" s="1"/>
  <c r="R2050" i="2" s="1"/>
  <c r="M2053" i="2"/>
  <c r="N2053" i="2" s="1"/>
  <c r="O2053" i="2" s="1"/>
  <c r="R2053" i="2" s="1"/>
  <c r="M2056" i="2"/>
  <c r="N2056" i="2" s="1"/>
  <c r="O2056" i="2" s="1"/>
  <c r="R2056" i="2" s="1"/>
  <c r="M2059" i="2"/>
  <c r="N2059" i="2" s="1"/>
  <c r="O2059" i="2" s="1"/>
  <c r="R2059" i="2" s="1"/>
  <c r="M2062" i="2"/>
  <c r="N2062" i="2" s="1"/>
  <c r="O2062" i="2" s="1"/>
  <c r="R2062" i="2" s="1"/>
  <c r="M2065" i="2"/>
  <c r="N2065" i="2" s="1"/>
  <c r="O2065" i="2" s="1"/>
  <c r="R2065" i="2" s="1"/>
  <c r="M2068" i="2"/>
  <c r="N2068" i="2" s="1"/>
  <c r="O2068" i="2" s="1"/>
  <c r="R2068" i="2" s="1"/>
  <c r="M2071" i="2"/>
  <c r="N2071" i="2" s="1"/>
  <c r="O2071" i="2" s="1"/>
  <c r="R2071" i="2" s="1"/>
  <c r="M2072" i="2"/>
  <c r="N2072" i="2" s="1"/>
  <c r="O2072" i="2" s="1"/>
  <c r="R2072" i="2" s="1"/>
  <c r="M2075" i="2"/>
  <c r="N2075" i="2" s="1"/>
  <c r="O2075" i="2" s="1"/>
  <c r="R2075" i="2" s="1"/>
  <c r="M2078" i="2"/>
  <c r="N2078" i="2" s="1"/>
  <c r="O2078" i="2" s="1"/>
  <c r="R2078" i="2" s="1"/>
  <c r="M2081" i="2"/>
  <c r="N2081" i="2" s="1"/>
  <c r="O2081" i="2" s="1"/>
  <c r="R2081" i="2" s="1"/>
  <c r="M2083" i="2"/>
  <c r="N2083" i="2" s="1"/>
  <c r="O2083" i="2" s="1"/>
  <c r="R2083" i="2" s="1"/>
  <c r="M2086" i="2"/>
  <c r="N2086" i="2" s="1"/>
  <c r="O2086" i="2" s="1"/>
  <c r="R2086" i="2" s="1"/>
  <c r="M2089" i="2"/>
  <c r="N2089" i="2" s="1"/>
  <c r="O2089" i="2" s="1"/>
  <c r="R2089" i="2" s="1"/>
  <c r="M2090" i="2"/>
  <c r="N2090" i="2" s="1"/>
  <c r="O2090" i="2" s="1"/>
  <c r="R2090" i="2" s="1"/>
  <c r="M2093" i="2"/>
  <c r="N2093" i="2" s="1"/>
  <c r="O2093" i="2" s="1"/>
  <c r="R2093" i="2" s="1"/>
  <c r="M2096" i="2"/>
  <c r="N2096" i="2" s="1"/>
  <c r="O2096" i="2" s="1"/>
  <c r="R2096" i="2" s="1"/>
  <c r="M2099" i="2"/>
  <c r="N2099" i="2" s="1"/>
  <c r="O2099" i="2" s="1"/>
  <c r="R2099" i="2" s="1"/>
  <c r="M2102" i="2"/>
  <c r="N2102" i="2" s="1"/>
  <c r="O2102" i="2" s="1"/>
  <c r="R2102" i="2" s="1"/>
  <c r="M2105" i="2"/>
  <c r="N2105" i="2" s="1"/>
  <c r="O2105" i="2" s="1"/>
  <c r="R2105" i="2" s="1"/>
  <c r="M2108" i="2"/>
  <c r="N2108" i="2" s="1"/>
  <c r="O2108" i="2" s="1"/>
  <c r="R2108" i="2" s="1"/>
  <c r="M2111" i="2"/>
  <c r="N2111" i="2" s="1"/>
  <c r="O2111" i="2" s="1"/>
  <c r="R2111" i="2" s="1"/>
  <c r="M2114" i="2"/>
  <c r="N2114" i="2" s="1"/>
  <c r="O2114" i="2" s="1"/>
  <c r="R2114" i="2" s="1"/>
  <c r="M2117" i="2"/>
  <c r="N2117" i="2" s="1"/>
  <c r="O2117" i="2" s="1"/>
  <c r="R2117" i="2" s="1"/>
  <c r="M2120" i="2"/>
  <c r="N2120" i="2" s="1"/>
  <c r="O2120" i="2" s="1"/>
  <c r="R2120" i="2" s="1"/>
  <c r="M2123" i="2"/>
  <c r="N2123" i="2" s="1"/>
  <c r="O2123" i="2" s="1"/>
  <c r="R2123" i="2" s="1"/>
  <c r="M2126" i="2"/>
  <c r="N2126" i="2" s="1"/>
  <c r="O2126" i="2" s="1"/>
  <c r="R2126" i="2" s="1"/>
  <c r="M2129" i="2"/>
  <c r="N2129" i="2" s="1"/>
  <c r="O2129" i="2" s="1"/>
  <c r="R2129" i="2" s="1"/>
  <c r="M2132" i="2"/>
  <c r="N2132" i="2" s="1"/>
  <c r="O2132" i="2" s="1"/>
  <c r="R2132" i="2" s="1"/>
  <c r="M2134" i="2"/>
  <c r="N2134" i="2" s="1"/>
  <c r="O2134" i="2" s="1"/>
  <c r="R2134" i="2" s="1"/>
  <c r="M2137" i="2"/>
  <c r="N2137" i="2" s="1"/>
  <c r="O2137" i="2" s="1"/>
  <c r="R2137" i="2" s="1"/>
  <c r="M2140" i="2"/>
  <c r="N2140" i="2" s="1"/>
  <c r="O2140" i="2" s="1"/>
  <c r="R2140" i="2" s="1"/>
  <c r="M2143" i="2"/>
  <c r="N2143" i="2" s="1"/>
  <c r="O2143" i="2" s="1"/>
  <c r="R2143" i="2" s="1"/>
  <c r="M2146" i="2"/>
  <c r="N2146" i="2" s="1"/>
  <c r="O2146" i="2" s="1"/>
  <c r="R2146" i="2" s="1"/>
  <c r="M2149" i="2"/>
  <c r="N2149" i="2" s="1"/>
  <c r="O2149" i="2" s="1"/>
  <c r="R2149" i="2" s="1"/>
  <c r="M2152" i="2"/>
  <c r="N2152" i="2" s="1"/>
  <c r="O2152" i="2" s="1"/>
  <c r="R2152" i="2" s="1"/>
  <c r="M2155" i="2"/>
  <c r="N2155" i="2" s="1"/>
  <c r="O2155" i="2" s="1"/>
  <c r="R2155" i="2" s="1"/>
  <c r="M2158" i="2"/>
  <c r="N2158" i="2" s="1"/>
  <c r="O2158" i="2" s="1"/>
  <c r="R2158" i="2" s="1"/>
  <c r="M2161" i="2"/>
  <c r="N2161" i="2" s="1"/>
  <c r="O2161" i="2" s="1"/>
  <c r="R2161" i="2" s="1"/>
  <c r="M2164" i="2"/>
  <c r="N2164" i="2" s="1"/>
  <c r="O2164" i="2" s="1"/>
  <c r="R2164" i="2" s="1"/>
  <c r="M2167" i="2"/>
  <c r="N2167" i="2" s="1"/>
  <c r="O2167" i="2" s="1"/>
  <c r="R2167" i="2" s="1"/>
  <c r="M2170" i="2"/>
  <c r="N2170" i="2" s="1"/>
  <c r="O2170" i="2" s="1"/>
  <c r="R2170" i="2" s="1"/>
  <c r="M2173" i="2"/>
  <c r="N2173" i="2" s="1"/>
  <c r="O2173" i="2" s="1"/>
  <c r="R2173" i="2" s="1"/>
  <c r="M2176" i="2"/>
  <c r="N2176" i="2" s="1"/>
  <c r="O2176" i="2" s="1"/>
  <c r="R2176" i="2" s="1"/>
  <c r="M2179" i="2"/>
  <c r="N2179" i="2" s="1"/>
  <c r="O2179" i="2" s="1"/>
  <c r="R2179" i="2" s="1"/>
  <c r="M2182" i="2"/>
  <c r="N2182" i="2" s="1"/>
  <c r="O2182" i="2" s="1"/>
  <c r="R2182" i="2" s="1"/>
  <c r="M2185" i="2"/>
  <c r="N2185" i="2" s="1"/>
  <c r="O2185" i="2" s="1"/>
  <c r="R2185" i="2" s="1"/>
  <c r="M2188" i="2"/>
  <c r="N2188" i="2" s="1"/>
  <c r="O2188" i="2" s="1"/>
  <c r="R2188" i="2" s="1"/>
  <c r="M2191" i="2"/>
  <c r="N2191" i="2" s="1"/>
  <c r="O2191" i="2" s="1"/>
  <c r="R2191" i="2" s="1"/>
  <c r="M2194" i="2"/>
  <c r="N2194" i="2" s="1"/>
  <c r="O2194" i="2" s="1"/>
  <c r="R2194" i="2" s="1"/>
  <c r="M2197" i="2"/>
  <c r="N2197" i="2" s="1"/>
  <c r="O2197" i="2" s="1"/>
  <c r="R2197" i="2" s="1"/>
  <c r="M2200" i="2"/>
  <c r="N2200" i="2" s="1"/>
  <c r="O2200" i="2" s="1"/>
  <c r="R2200" i="2" s="1"/>
  <c r="M2203" i="2"/>
  <c r="N2203" i="2" s="1"/>
  <c r="O2203" i="2" s="1"/>
  <c r="R2203" i="2" s="1"/>
  <c r="M2206" i="2"/>
  <c r="N2206" i="2" s="1"/>
  <c r="O2206" i="2" s="1"/>
  <c r="R2206" i="2" s="1"/>
  <c r="M2209" i="2"/>
  <c r="N2209" i="2" s="1"/>
  <c r="O2209" i="2" s="1"/>
  <c r="R2209" i="2" s="1"/>
  <c r="M2212" i="2"/>
  <c r="N2212" i="2" s="1"/>
  <c r="O2212" i="2" s="1"/>
  <c r="R2212" i="2" s="1"/>
  <c r="M2213" i="2"/>
  <c r="N2213" i="2" s="1"/>
  <c r="O2213" i="2" s="1"/>
  <c r="R2213" i="2" s="1"/>
  <c r="M2216" i="2"/>
  <c r="N2216" i="2" s="1"/>
  <c r="O2216" i="2" s="1"/>
  <c r="R2216" i="2" s="1"/>
  <c r="M2219" i="2"/>
  <c r="N2219" i="2" s="1"/>
  <c r="O2219" i="2" s="1"/>
  <c r="R2219" i="2" s="1"/>
  <c r="M2222" i="2"/>
  <c r="N2222" i="2" s="1"/>
  <c r="O2222" i="2" s="1"/>
  <c r="R2222" i="2" s="1"/>
  <c r="M2225" i="2"/>
  <c r="N2225" i="2" s="1"/>
  <c r="O2225" i="2" s="1"/>
  <c r="R2225" i="2" s="1"/>
  <c r="M2228" i="2"/>
  <c r="N2228" i="2" s="1"/>
  <c r="O2228" i="2" s="1"/>
  <c r="R2228" i="2" s="1"/>
  <c r="M2231" i="2"/>
  <c r="N2231" i="2" s="1"/>
  <c r="O2231" i="2" s="1"/>
  <c r="R2231" i="2" s="1"/>
  <c r="M2232" i="2"/>
  <c r="N2232" i="2" s="1"/>
  <c r="O2232" i="2" s="1"/>
  <c r="R2232" i="2" s="1"/>
  <c r="M2237" i="2"/>
  <c r="N2237" i="2" s="1"/>
  <c r="O2237" i="2" s="1"/>
  <c r="R2237" i="2" s="1"/>
  <c r="M2240" i="2"/>
  <c r="N2240" i="2" s="1"/>
  <c r="O2240" i="2" s="1"/>
  <c r="R2240" i="2" s="1"/>
  <c r="M2243" i="2"/>
  <c r="N2243" i="2" s="1"/>
  <c r="O2243" i="2" s="1"/>
  <c r="R2243" i="2" s="1"/>
  <c r="M2246" i="2"/>
  <c r="N2246" i="2" s="1"/>
  <c r="O2246" i="2" s="1"/>
  <c r="R2246" i="2" s="1"/>
  <c r="M2249" i="2"/>
  <c r="N2249" i="2" s="1"/>
  <c r="O2249" i="2" s="1"/>
  <c r="R2249" i="2" s="1"/>
  <c r="M2252" i="2"/>
  <c r="N2252" i="2" s="1"/>
  <c r="O2252" i="2" s="1"/>
  <c r="R2252" i="2" s="1"/>
  <c r="M2255" i="2"/>
  <c r="N2255" i="2" s="1"/>
  <c r="O2255" i="2" s="1"/>
  <c r="R2255" i="2" s="1"/>
  <c r="M2258" i="2"/>
  <c r="N2258" i="2" s="1"/>
  <c r="O2258" i="2" s="1"/>
  <c r="R2258" i="2" s="1"/>
  <c r="M2261" i="2"/>
  <c r="N2261" i="2" s="1"/>
  <c r="O2261" i="2" s="1"/>
  <c r="R2261" i="2" s="1"/>
  <c r="M2264" i="2"/>
  <c r="N2264" i="2" s="1"/>
  <c r="O2264" i="2" s="1"/>
  <c r="R2264" i="2" s="1"/>
  <c r="M2267" i="2"/>
  <c r="N2267" i="2" s="1"/>
  <c r="O2267" i="2" s="1"/>
  <c r="R2267" i="2" s="1"/>
  <c r="M2270" i="2"/>
  <c r="N2270" i="2" s="1"/>
  <c r="O2270" i="2" s="1"/>
  <c r="R2270" i="2" s="1"/>
  <c r="M2273" i="2"/>
  <c r="N2273" i="2" s="1"/>
  <c r="O2273" i="2" s="1"/>
  <c r="R2273" i="2" s="1"/>
  <c r="M2276" i="2"/>
  <c r="N2276" i="2" s="1"/>
  <c r="O2276" i="2" s="1"/>
  <c r="R2276" i="2" s="1"/>
  <c r="M2279" i="2"/>
  <c r="N2279" i="2" s="1"/>
  <c r="O2279" i="2" s="1"/>
  <c r="R2279" i="2" s="1"/>
  <c r="M2282" i="2"/>
  <c r="N2282" i="2" s="1"/>
  <c r="O2282" i="2" s="1"/>
  <c r="R2282" i="2" s="1"/>
  <c r="M2285" i="2"/>
  <c r="N2285" i="2" s="1"/>
  <c r="O2285" i="2" s="1"/>
  <c r="R2285" i="2" s="1"/>
  <c r="M2288" i="2"/>
  <c r="N2288" i="2" s="1"/>
  <c r="O2288" i="2" s="1"/>
  <c r="R2288" i="2" s="1"/>
  <c r="M2291" i="2"/>
  <c r="N2291" i="2" s="1"/>
  <c r="O2291" i="2" s="1"/>
  <c r="R2291" i="2" s="1"/>
  <c r="M2294" i="2"/>
  <c r="N2294" i="2" s="1"/>
  <c r="O2294" i="2" s="1"/>
  <c r="R2294" i="2" s="1"/>
  <c r="M2297" i="2"/>
  <c r="N2297" i="2" s="1"/>
  <c r="O2297" i="2" s="1"/>
  <c r="R2297" i="2" s="1"/>
  <c r="M2300" i="2"/>
  <c r="N2300" i="2" s="1"/>
  <c r="O2300" i="2" s="1"/>
  <c r="R2300" i="2" s="1"/>
  <c r="M2303" i="2"/>
  <c r="N2303" i="2" s="1"/>
  <c r="O2303" i="2" s="1"/>
  <c r="R2303" i="2" s="1"/>
  <c r="M2306" i="2"/>
  <c r="N2306" i="2" s="1"/>
  <c r="O2306" i="2" s="1"/>
  <c r="R2306" i="2" s="1"/>
  <c r="M2309" i="2"/>
  <c r="N2309" i="2" s="1"/>
  <c r="O2309" i="2" s="1"/>
  <c r="R2309" i="2" s="1"/>
  <c r="M2312" i="2"/>
  <c r="N2312" i="2" s="1"/>
  <c r="O2312" i="2" s="1"/>
  <c r="R2312" i="2" s="1"/>
  <c r="M2313" i="2"/>
  <c r="N2313" i="2" s="1"/>
  <c r="O2313" i="2" s="1"/>
  <c r="R2313" i="2" s="1"/>
  <c r="M2316" i="2"/>
  <c r="N2316" i="2" s="1"/>
  <c r="O2316" i="2" s="1"/>
  <c r="R2316" i="2" s="1"/>
  <c r="M2319" i="2"/>
  <c r="N2319" i="2" s="1"/>
  <c r="O2319" i="2" s="1"/>
  <c r="R2319" i="2" s="1"/>
  <c r="M2322" i="2"/>
  <c r="N2322" i="2" s="1"/>
  <c r="O2322" i="2" s="1"/>
  <c r="R2322" i="2" s="1"/>
  <c r="M2323" i="2"/>
  <c r="N2323" i="2" s="1"/>
  <c r="O2323" i="2" s="1"/>
  <c r="R2323" i="2" s="1"/>
  <c r="M2326" i="2"/>
  <c r="N2326" i="2" s="1"/>
  <c r="O2326" i="2" s="1"/>
  <c r="R2326" i="2" s="1"/>
  <c r="M2329" i="2"/>
  <c r="N2329" i="2" s="1"/>
  <c r="O2329" i="2" s="1"/>
  <c r="R2329" i="2" s="1"/>
  <c r="M2332" i="2"/>
  <c r="N2332" i="2" s="1"/>
  <c r="O2332" i="2" s="1"/>
  <c r="R2332" i="2" s="1"/>
  <c r="M2335" i="2"/>
  <c r="N2335" i="2" s="1"/>
  <c r="O2335" i="2" s="1"/>
  <c r="R2335" i="2" s="1"/>
  <c r="M2338" i="2"/>
  <c r="N2338" i="2" s="1"/>
  <c r="O2338" i="2" s="1"/>
  <c r="R2338" i="2" s="1"/>
  <c r="M2341" i="2"/>
  <c r="N2341" i="2" s="1"/>
  <c r="O2341" i="2" s="1"/>
  <c r="R2341" i="2" s="1"/>
  <c r="M2344" i="2"/>
  <c r="N2344" i="2" s="1"/>
  <c r="O2344" i="2" s="1"/>
  <c r="R2344" i="2" s="1"/>
  <c r="M2347" i="2"/>
  <c r="N2347" i="2" s="1"/>
  <c r="O2347" i="2" s="1"/>
  <c r="R2347" i="2" s="1"/>
  <c r="M2348" i="2"/>
  <c r="N2348" i="2" s="1"/>
  <c r="O2348" i="2" s="1"/>
  <c r="R2348" i="2" s="1"/>
  <c r="M2353" i="2"/>
  <c r="N2353" i="2" s="1"/>
  <c r="O2353" i="2" s="1"/>
  <c r="R2353" i="2" s="1"/>
  <c r="M2357" i="2"/>
  <c r="N2357" i="2" s="1"/>
  <c r="O2357" i="2" s="1"/>
  <c r="R2357" i="2" s="1"/>
  <c r="M2359" i="2"/>
  <c r="N2359" i="2" s="1"/>
  <c r="O2359" i="2" s="1"/>
  <c r="R2359" i="2" s="1"/>
  <c r="M2360" i="2"/>
  <c r="N2360" i="2" s="1"/>
  <c r="O2360" i="2" s="1"/>
  <c r="R2360" i="2" s="1"/>
  <c r="M2365" i="2"/>
  <c r="N2365" i="2" s="1"/>
  <c r="O2365" i="2" s="1"/>
  <c r="R2365" i="2" s="1"/>
  <c r="M2368" i="2"/>
  <c r="N2368" i="2" s="1"/>
  <c r="O2368" i="2" s="1"/>
  <c r="R2368" i="2" s="1"/>
  <c r="M2369" i="2"/>
  <c r="N2369" i="2" s="1"/>
  <c r="O2369" i="2" s="1"/>
  <c r="R2369" i="2" s="1"/>
  <c r="M2370" i="2"/>
  <c r="N2370" i="2" s="1"/>
  <c r="O2370" i="2" s="1"/>
  <c r="R2370" i="2" s="1"/>
  <c r="M2372" i="2"/>
  <c r="N2372" i="2" s="1"/>
  <c r="O2372" i="2" s="1"/>
  <c r="R2372" i="2" s="1"/>
  <c r="M2375" i="2"/>
  <c r="N2375" i="2" s="1"/>
  <c r="O2375" i="2" s="1"/>
  <c r="R2375" i="2" s="1"/>
  <c r="M2378" i="2"/>
  <c r="N2378" i="2" s="1"/>
  <c r="O2378" i="2" s="1"/>
  <c r="R2378" i="2" s="1"/>
  <c r="M2381" i="2"/>
  <c r="N2381" i="2" s="1"/>
  <c r="O2381" i="2" s="1"/>
  <c r="R2381" i="2" s="1"/>
  <c r="M2384" i="2"/>
  <c r="N2384" i="2" s="1"/>
  <c r="O2384" i="2" s="1"/>
  <c r="R2384" i="2" s="1"/>
  <c r="M2387" i="2"/>
  <c r="N2387" i="2" s="1"/>
  <c r="O2387" i="2" s="1"/>
  <c r="R2387" i="2" s="1"/>
  <c r="M2390" i="2"/>
  <c r="N2390" i="2" s="1"/>
  <c r="O2390" i="2" s="1"/>
  <c r="R2390" i="2" s="1"/>
  <c r="M2393" i="2"/>
  <c r="N2393" i="2" s="1"/>
  <c r="O2393" i="2" s="1"/>
  <c r="R2393" i="2" s="1"/>
  <c r="M2396" i="2"/>
  <c r="N2396" i="2" s="1"/>
  <c r="O2396" i="2" s="1"/>
  <c r="R2396" i="2" s="1"/>
  <c r="M2399" i="2"/>
  <c r="N2399" i="2" s="1"/>
  <c r="O2399" i="2" s="1"/>
  <c r="R2399" i="2" s="1"/>
  <c r="M2402" i="2"/>
  <c r="N2402" i="2" s="1"/>
  <c r="O2402" i="2" s="1"/>
  <c r="R2402" i="2" s="1"/>
  <c r="M2405" i="2"/>
  <c r="N2405" i="2" s="1"/>
  <c r="O2405" i="2" s="1"/>
  <c r="R2405" i="2" s="1"/>
  <c r="M2408" i="2"/>
  <c r="N2408" i="2" s="1"/>
  <c r="O2408" i="2" s="1"/>
  <c r="R2408" i="2" s="1"/>
  <c r="M2411" i="2"/>
  <c r="N2411" i="2" s="1"/>
  <c r="O2411" i="2" s="1"/>
  <c r="R2411" i="2" s="1"/>
  <c r="M3" i="2"/>
  <c r="N3" i="2" s="1"/>
  <c r="O3" i="2" s="1"/>
  <c r="R3" i="2" s="1"/>
  <c r="M6" i="2"/>
  <c r="N6" i="2" s="1"/>
  <c r="O6" i="2" s="1"/>
  <c r="R6" i="2" s="1"/>
  <c r="M9" i="2"/>
  <c r="N9" i="2" s="1"/>
  <c r="O9" i="2" s="1"/>
  <c r="R9" i="2" s="1"/>
  <c r="M13" i="2"/>
  <c r="N13" i="2" s="1"/>
  <c r="O13" i="2" s="1"/>
  <c r="R13" i="2" s="1"/>
  <c r="M16" i="2"/>
  <c r="N16" i="2" s="1"/>
  <c r="O16" i="2" s="1"/>
  <c r="R16" i="2" s="1"/>
  <c r="M19" i="2"/>
  <c r="N19" i="2" s="1"/>
  <c r="O19" i="2" s="1"/>
  <c r="R19" i="2" s="1"/>
  <c r="M22" i="2"/>
  <c r="N22" i="2" s="1"/>
  <c r="O22" i="2" s="1"/>
  <c r="R22" i="2" s="1"/>
  <c r="M25" i="2"/>
  <c r="N25" i="2" s="1"/>
  <c r="O25" i="2" s="1"/>
  <c r="R25" i="2" s="1"/>
  <c r="M29" i="2"/>
  <c r="N29" i="2" s="1"/>
  <c r="O29" i="2" s="1"/>
  <c r="R29" i="2" s="1"/>
  <c r="M32" i="2"/>
  <c r="N32" i="2" s="1"/>
  <c r="O32" i="2" s="1"/>
  <c r="R32" i="2" s="1"/>
  <c r="M35" i="2"/>
  <c r="N35" i="2" s="1"/>
  <c r="O35" i="2" s="1"/>
  <c r="R35" i="2" s="1"/>
  <c r="M38" i="2"/>
  <c r="N38" i="2" s="1"/>
  <c r="O38" i="2" s="1"/>
  <c r="R38" i="2" s="1"/>
  <c r="M41" i="2"/>
  <c r="N41" i="2" s="1"/>
  <c r="O41" i="2" s="1"/>
  <c r="R41" i="2" s="1"/>
  <c r="M44" i="2"/>
  <c r="N44" i="2" s="1"/>
  <c r="O44" i="2" s="1"/>
  <c r="R44" i="2" s="1"/>
  <c r="M47" i="2"/>
  <c r="N47" i="2" s="1"/>
  <c r="O47" i="2" s="1"/>
  <c r="R47" i="2" s="1"/>
  <c r="M51" i="2"/>
  <c r="N51" i="2" s="1"/>
  <c r="O51" i="2" s="1"/>
  <c r="R51" i="2" s="1"/>
  <c r="M54" i="2"/>
  <c r="N54" i="2" s="1"/>
  <c r="O54" i="2" s="1"/>
  <c r="R54" i="2" s="1"/>
  <c r="M57" i="2"/>
  <c r="N57" i="2" s="1"/>
  <c r="O57" i="2" s="1"/>
  <c r="R57" i="2" s="1"/>
  <c r="M60" i="2"/>
  <c r="N60" i="2" s="1"/>
  <c r="O60" i="2" s="1"/>
  <c r="R60" i="2" s="1"/>
  <c r="M64" i="2"/>
  <c r="N64" i="2" s="1"/>
  <c r="O64" i="2" s="1"/>
  <c r="R64" i="2" s="1"/>
  <c r="M67" i="2"/>
  <c r="N67" i="2" s="1"/>
  <c r="O67" i="2" s="1"/>
  <c r="R67" i="2" s="1"/>
  <c r="M70" i="2"/>
  <c r="N70" i="2" s="1"/>
  <c r="O70" i="2" s="1"/>
  <c r="R70" i="2" s="1"/>
  <c r="M73" i="2"/>
  <c r="N73" i="2" s="1"/>
  <c r="O73" i="2" s="1"/>
  <c r="R73" i="2" s="1"/>
  <c r="M76" i="2"/>
  <c r="N76" i="2" s="1"/>
  <c r="O76" i="2" s="1"/>
  <c r="R76" i="2" s="1"/>
  <c r="M78" i="2"/>
  <c r="N78" i="2" s="1"/>
  <c r="O78" i="2" s="1"/>
  <c r="R78" i="2" s="1"/>
  <c r="M81" i="2"/>
  <c r="N81" i="2" s="1"/>
  <c r="O81" i="2" s="1"/>
  <c r="R81" i="2" s="1"/>
  <c r="M84" i="2"/>
  <c r="N84" i="2" s="1"/>
  <c r="O84" i="2" s="1"/>
  <c r="R84" i="2" s="1"/>
  <c r="M86" i="2"/>
  <c r="N86" i="2" s="1"/>
  <c r="O86" i="2" s="1"/>
  <c r="R86" i="2" s="1"/>
  <c r="M89" i="2"/>
  <c r="N89" i="2" s="1"/>
  <c r="O89" i="2" s="1"/>
  <c r="R89" i="2" s="1"/>
  <c r="M92" i="2"/>
  <c r="N92" i="2" s="1"/>
  <c r="O92" i="2" s="1"/>
  <c r="R92" i="2" s="1"/>
  <c r="M95" i="2"/>
  <c r="N95" i="2" s="1"/>
  <c r="O95" i="2" s="1"/>
  <c r="R95" i="2" s="1"/>
  <c r="M98" i="2"/>
  <c r="N98" i="2" s="1"/>
  <c r="O98" i="2" s="1"/>
  <c r="R98" i="2" s="1"/>
  <c r="M101" i="2"/>
  <c r="N101" i="2" s="1"/>
  <c r="O101" i="2" s="1"/>
  <c r="R101" i="2" s="1"/>
  <c r="M104" i="2"/>
  <c r="N104" i="2" s="1"/>
  <c r="O104" i="2" s="1"/>
  <c r="R104" i="2" s="1"/>
  <c r="M107" i="2"/>
  <c r="N107" i="2" s="1"/>
  <c r="O107" i="2" s="1"/>
  <c r="R107" i="2" s="1"/>
  <c r="M110" i="2"/>
  <c r="N110" i="2" s="1"/>
  <c r="O110" i="2" s="1"/>
  <c r="R110" i="2" s="1"/>
  <c r="M113" i="2"/>
  <c r="N113" i="2" s="1"/>
  <c r="O113" i="2" s="1"/>
  <c r="R113" i="2" s="1"/>
  <c r="M116" i="2"/>
  <c r="N116" i="2" s="1"/>
  <c r="O116" i="2" s="1"/>
  <c r="R116" i="2" s="1"/>
  <c r="M119" i="2"/>
  <c r="N119" i="2" s="1"/>
  <c r="O119" i="2" s="1"/>
  <c r="R119" i="2" s="1"/>
  <c r="M122" i="2"/>
  <c r="N122" i="2" s="1"/>
  <c r="O122" i="2" s="1"/>
  <c r="R122" i="2" s="1"/>
  <c r="M125" i="2"/>
  <c r="N125" i="2" s="1"/>
  <c r="O125" i="2" s="1"/>
  <c r="R125" i="2" s="1"/>
  <c r="M128" i="2"/>
  <c r="N128" i="2" s="1"/>
  <c r="O128" i="2" s="1"/>
  <c r="R128" i="2" s="1"/>
  <c r="M131" i="2"/>
  <c r="N131" i="2" s="1"/>
  <c r="O131" i="2" s="1"/>
  <c r="R131" i="2" s="1"/>
  <c r="M134" i="2"/>
  <c r="N134" i="2" s="1"/>
  <c r="O134" i="2" s="1"/>
  <c r="R134" i="2" s="1"/>
  <c r="M137" i="2"/>
  <c r="N137" i="2" s="1"/>
  <c r="O137" i="2" s="1"/>
  <c r="R137" i="2" s="1"/>
  <c r="M140" i="2"/>
  <c r="N140" i="2" s="1"/>
  <c r="O140" i="2" s="1"/>
  <c r="R140" i="2" s="1"/>
  <c r="M144" i="2"/>
  <c r="N144" i="2" s="1"/>
  <c r="O144" i="2" s="1"/>
  <c r="R144" i="2" s="1"/>
  <c r="M147" i="2"/>
  <c r="N147" i="2" s="1"/>
  <c r="O147" i="2" s="1"/>
  <c r="R147" i="2" s="1"/>
  <c r="M150" i="2"/>
  <c r="N150" i="2" s="1"/>
  <c r="O150" i="2" s="1"/>
  <c r="R150" i="2" s="1"/>
  <c r="M153" i="2"/>
  <c r="N153" i="2" s="1"/>
  <c r="O153" i="2" s="1"/>
  <c r="R153" i="2" s="1"/>
  <c r="M156" i="2"/>
  <c r="N156" i="2" s="1"/>
  <c r="O156" i="2" s="1"/>
  <c r="R156" i="2" s="1"/>
  <c r="M159" i="2"/>
  <c r="N159" i="2" s="1"/>
  <c r="O159" i="2" s="1"/>
  <c r="R159" i="2" s="1"/>
  <c r="M162" i="2"/>
  <c r="N162" i="2" s="1"/>
  <c r="O162" i="2" s="1"/>
  <c r="R162" i="2" s="1"/>
  <c r="M165" i="2"/>
  <c r="N165" i="2" s="1"/>
  <c r="O165" i="2" s="1"/>
  <c r="R165" i="2" s="1"/>
  <c r="M168" i="2"/>
  <c r="N168" i="2" s="1"/>
  <c r="O168" i="2" s="1"/>
  <c r="R168" i="2" s="1"/>
  <c r="M171" i="2"/>
  <c r="N171" i="2" s="1"/>
  <c r="O171" i="2" s="1"/>
  <c r="R171" i="2" s="1"/>
  <c r="M174" i="2"/>
  <c r="N174" i="2" s="1"/>
  <c r="O174" i="2" s="1"/>
  <c r="R174" i="2" s="1"/>
  <c r="M176" i="2"/>
  <c r="N176" i="2" s="1"/>
  <c r="O176" i="2" s="1"/>
  <c r="R176" i="2" s="1"/>
  <c r="M179" i="2"/>
  <c r="N179" i="2" s="1"/>
  <c r="O179" i="2" s="1"/>
  <c r="R179" i="2" s="1"/>
  <c r="M182" i="2"/>
  <c r="N182" i="2" s="1"/>
  <c r="O182" i="2" s="1"/>
  <c r="R182" i="2" s="1"/>
  <c r="M185" i="2"/>
  <c r="N185" i="2" s="1"/>
  <c r="O185" i="2" s="1"/>
  <c r="R185" i="2" s="1"/>
  <c r="M188" i="2"/>
  <c r="N188" i="2" s="1"/>
  <c r="O188" i="2" s="1"/>
  <c r="R188" i="2" s="1"/>
  <c r="M191" i="2"/>
  <c r="N191" i="2" s="1"/>
  <c r="O191" i="2" s="1"/>
  <c r="R191" i="2" s="1"/>
  <c r="M194" i="2"/>
  <c r="N194" i="2" s="1"/>
  <c r="O194" i="2" s="1"/>
  <c r="R194" i="2" s="1"/>
  <c r="M197" i="2"/>
  <c r="N197" i="2" s="1"/>
  <c r="O197" i="2" s="1"/>
  <c r="R197" i="2" s="1"/>
  <c r="M200" i="2"/>
  <c r="N200" i="2" s="1"/>
  <c r="O200" i="2" s="1"/>
  <c r="R200" i="2" s="1"/>
  <c r="M203" i="2"/>
  <c r="N203" i="2" s="1"/>
  <c r="O203" i="2" s="1"/>
  <c r="R203" i="2" s="1"/>
  <c r="M206" i="2"/>
  <c r="N206" i="2" s="1"/>
  <c r="O206" i="2" s="1"/>
  <c r="R206" i="2" s="1"/>
  <c r="M209" i="2"/>
  <c r="N209" i="2" s="1"/>
  <c r="O209" i="2" s="1"/>
  <c r="R209" i="2" s="1"/>
  <c r="M212" i="2"/>
  <c r="N212" i="2" s="1"/>
  <c r="O212" i="2" s="1"/>
  <c r="R212" i="2" s="1"/>
  <c r="M215" i="2"/>
  <c r="N215" i="2" s="1"/>
  <c r="O215" i="2" s="1"/>
  <c r="R215" i="2" s="1"/>
  <c r="M218" i="2"/>
  <c r="N218" i="2" s="1"/>
  <c r="O218" i="2" s="1"/>
  <c r="R218" i="2" s="1"/>
  <c r="M221" i="2"/>
  <c r="N221" i="2" s="1"/>
  <c r="O221" i="2" s="1"/>
  <c r="R221" i="2" s="1"/>
  <c r="M224" i="2"/>
  <c r="N224" i="2" s="1"/>
  <c r="O224" i="2" s="1"/>
  <c r="R224" i="2" s="1"/>
  <c r="M227" i="2"/>
  <c r="N227" i="2" s="1"/>
  <c r="O227" i="2" s="1"/>
  <c r="R227" i="2" s="1"/>
  <c r="M230" i="2"/>
  <c r="N230" i="2" s="1"/>
  <c r="O230" i="2" s="1"/>
  <c r="R230" i="2" s="1"/>
  <c r="M233" i="2"/>
  <c r="N233" i="2" s="1"/>
  <c r="O233" i="2" s="1"/>
  <c r="R233" i="2" s="1"/>
  <c r="M236" i="2"/>
  <c r="N236" i="2" s="1"/>
  <c r="O236" i="2" s="1"/>
  <c r="R236" i="2" s="1"/>
  <c r="M239" i="2"/>
  <c r="N239" i="2" s="1"/>
  <c r="O239" i="2" s="1"/>
  <c r="R239" i="2" s="1"/>
  <c r="M242" i="2"/>
  <c r="N242" i="2" s="1"/>
  <c r="O242" i="2" s="1"/>
  <c r="R242" i="2" s="1"/>
  <c r="M245" i="2"/>
  <c r="N245" i="2" s="1"/>
  <c r="O245" i="2" s="1"/>
  <c r="R245" i="2" s="1"/>
  <c r="M248" i="2"/>
  <c r="N248" i="2" s="1"/>
  <c r="O248" i="2" s="1"/>
  <c r="R248" i="2" s="1"/>
  <c r="M251" i="2"/>
  <c r="N251" i="2" s="1"/>
  <c r="O251" i="2" s="1"/>
  <c r="R251" i="2" s="1"/>
  <c r="M254" i="2"/>
  <c r="N254" i="2" s="1"/>
  <c r="O254" i="2" s="1"/>
  <c r="R254" i="2" s="1"/>
  <c r="M257" i="2"/>
  <c r="N257" i="2" s="1"/>
  <c r="O257" i="2" s="1"/>
  <c r="R257" i="2" s="1"/>
  <c r="M260" i="2"/>
  <c r="N260" i="2" s="1"/>
  <c r="O260" i="2" s="1"/>
  <c r="R260" i="2" s="1"/>
  <c r="M263" i="2"/>
  <c r="N263" i="2" s="1"/>
  <c r="O263" i="2" s="1"/>
  <c r="R263" i="2" s="1"/>
  <c r="M266" i="2"/>
  <c r="N266" i="2" s="1"/>
  <c r="O266" i="2" s="1"/>
  <c r="R266" i="2" s="1"/>
  <c r="M269" i="2"/>
  <c r="N269" i="2" s="1"/>
  <c r="O269" i="2" s="1"/>
  <c r="R269" i="2" s="1"/>
  <c r="M272" i="2"/>
  <c r="N272" i="2" s="1"/>
  <c r="O272" i="2" s="1"/>
  <c r="R272" i="2" s="1"/>
  <c r="M275" i="2"/>
  <c r="N275" i="2" s="1"/>
  <c r="O275" i="2" s="1"/>
  <c r="R275" i="2" s="1"/>
  <c r="M278" i="2"/>
  <c r="N278" i="2" s="1"/>
  <c r="O278" i="2" s="1"/>
  <c r="R278" i="2" s="1"/>
  <c r="M281" i="2"/>
  <c r="N281" i="2" s="1"/>
  <c r="O281" i="2" s="1"/>
  <c r="R281" i="2" s="1"/>
  <c r="M285" i="2"/>
  <c r="N285" i="2" s="1"/>
  <c r="O285" i="2" s="1"/>
  <c r="R285" i="2" s="1"/>
  <c r="M288" i="2"/>
  <c r="N288" i="2" s="1"/>
  <c r="O288" i="2" s="1"/>
  <c r="R288" i="2" s="1"/>
  <c r="M291" i="2"/>
  <c r="N291" i="2" s="1"/>
  <c r="O291" i="2" s="1"/>
  <c r="R291" i="2" s="1"/>
  <c r="M295" i="2"/>
  <c r="N295" i="2" s="1"/>
  <c r="O295" i="2" s="1"/>
  <c r="R295" i="2" s="1"/>
  <c r="M299" i="2"/>
  <c r="N299" i="2" s="1"/>
  <c r="O299" i="2" s="1"/>
  <c r="R299" i="2" s="1"/>
  <c r="M302" i="2"/>
  <c r="N302" i="2" s="1"/>
  <c r="O302" i="2" s="1"/>
  <c r="R302" i="2" s="1"/>
  <c r="M306" i="2"/>
  <c r="N306" i="2" s="1"/>
  <c r="O306" i="2" s="1"/>
  <c r="R306" i="2" s="1"/>
  <c r="M309" i="2"/>
  <c r="N309" i="2" s="1"/>
  <c r="O309" i="2" s="1"/>
  <c r="R309" i="2" s="1"/>
  <c r="M312" i="2"/>
  <c r="N312" i="2" s="1"/>
  <c r="O312" i="2" s="1"/>
  <c r="R312" i="2" s="1"/>
  <c r="M314" i="2"/>
  <c r="N314" i="2" s="1"/>
  <c r="O314" i="2" s="1"/>
  <c r="R314" i="2" s="1"/>
  <c r="M316" i="2"/>
  <c r="N316" i="2" s="1"/>
  <c r="O316" i="2" s="1"/>
  <c r="R316" i="2" s="1"/>
  <c r="M319" i="2"/>
  <c r="N319" i="2" s="1"/>
  <c r="O319" i="2" s="1"/>
  <c r="R319" i="2" s="1"/>
  <c r="M322" i="2"/>
  <c r="N322" i="2" s="1"/>
  <c r="O322" i="2" s="1"/>
  <c r="R322" i="2" s="1"/>
  <c r="M324" i="2"/>
  <c r="N324" i="2" s="1"/>
  <c r="O324" i="2" s="1"/>
  <c r="R324" i="2" s="1"/>
  <c r="M327" i="2"/>
  <c r="N327" i="2" s="1"/>
  <c r="O327" i="2" s="1"/>
  <c r="R327" i="2" s="1"/>
  <c r="M329" i="2"/>
  <c r="N329" i="2" s="1"/>
  <c r="O329" i="2" s="1"/>
  <c r="R329" i="2" s="1"/>
  <c r="M332" i="2"/>
  <c r="N332" i="2" s="1"/>
  <c r="O332" i="2" s="1"/>
  <c r="R332" i="2" s="1"/>
  <c r="M335" i="2"/>
  <c r="N335" i="2" s="1"/>
  <c r="O335" i="2" s="1"/>
  <c r="R335" i="2" s="1"/>
  <c r="M338" i="2"/>
  <c r="N338" i="2" s="1"/>
  <c r="O338" i="2" s="1"/>
  <c r="R338" i="2" s="1"/>
  <c r="M341" i="2"/>
  <c r="N341" i="2" s="1"/>
  <c r="O341" i="2" s="1"/>
  <c r="R341" i="2" s="1"/>
  <c r="M344" i="2"/>
  <c r="N344" i="2" s="1"/>
  <c r="O344" i="2" s="1"/>
  <c r="R344" i="2" s="1"/>
  <c r="M347" i="2"/>
  <c r="N347" i="2" s="1"/>
  <c r="O347" i="2" s="1"/>
  <c r="R347" i="2" s="1"/>
  <c r="M350" i="2"/>
  <c r="N350" i="2" s="1"/>
  <c r="O350" i="2" s="1"/>
  <c r="R350" i="2" s="1"/>
  <c r="M353" i="2"/>
  <c r="N353" i="2" s="1"/>
  <c r="O353" i="2" s="1"/>
  <c r="R353" i="2" s="1"/>
  <c r="M356" i="2"/>
  <c r="N356" i="2" s="1"/>
  <c r="O356" i="2" s="1"/>
  <c r="R356" i="2" s="1"/>
  <c r="M359" i="2"/>
  <c r="N359" i="2" s="1"/>
  <c r="O359" i="2" s="1"/>
  <c r="R359" i="2" s="1"/>
  <c r="M362" i="2"/>
  <c r="N362" i="2" s="1"/>
  <c r="O362" i="2" s="1"/>
  <c r="R362" i="2" s="1"/>
  <c r="M365" i="2"/>
  <c r="N365" i="2" s="1"/>
  <c r="O365" i="2" s="1"/>
  <c r="R365" i="2" s="1"/>
  <c r="M368" i="2"/>
  <c r="N368" i="2" s="1"/>
  <c r="O368" i="2" s="1"/>
  <c r="R368" i="2" s="1"/>
  <c r="M372" i="2"/>
  <c r="N372" i="2" s="1"/>
  <c r="O372" i="2" s="1"/>
  <c r="R372" i="2" s="1"/>
  <c r="M375" i="2"/>
  <c r="N375" i="2" s="1"/>
  <c r="O375" i="2" s="1"/>
  <c r="R375" i="2" s="1"/>
  <c r="M378" i="2"/>
  <c r="N378" i="2" s="1"/>
  <c r="O378" i="2" s="1"/>
  <c r="R378" i="2" s="1"/>
  <c r="M381" i="2"/>
  <c r="N381" i="2" s="1"/>
  <c r="O381" i="2" s="1"/>
  <c r="R381" i="2" s="1"/>
  <c r="M384" i="2"/>
  <c r="N384" i="2" s="1"/>
  <c r="O384" i="2" s="1"/>
  <c r="R384" i="2" s="1"/>
  <c r="M387" i="2"/>
  <c r="N387" i="2" s="1"/>
  <c r="O387" i="2" s="1"/>
  <c r="R387" i="2" s="1"/>
  <c r="M390" i="2"/>
  <c r="N390" i="2" s="1"/>
  <c r="O390" i="2" s="1"/>
  <c r="R390" i="2" s="1"/>
  <c r="M393" i="2"/>
  <c r="N393" i="2" s="1"/>
  <c r="O393" i="2" s="1"/>
  <c r="R393" i="2" s="1"/>
  <c r="M396" i="2"/>
  <c r="N396" i="2" s="1"/>
  <c r="O396" i="2" s="1"/>
  <c r="R396" i="2" s="1"/>
  <c r="M399" i="2"/>
  <c r="N399" i="2" s="1"/>
  <c r="O399" i="2" s="1"/>
  <c r="R399" i="2" s="1"/>
  <c r="M402" i="2"/>
  <c r="N402" i="2" s="1"/>
  <c r="O402" i="2" s="1"/>
  <c r="R402" i="2" s="1"/>
  <c r="M405" i="2"/>
  <c r="N405" i="2" s="1"/>
  <c r="O405" i="2" s="1"/>
  <c r="R405" i="2" s="1"/>
  <c r="M408" i="2"/>
  <c r="N408" i="2" s="1"/>
  <c r="O408" i="2" s="1"/>
  <c r="R408" i="2" s="1"/>
  <c r="M411" i="2"/>
  <c r="N411" i="2" s="1"/>
  <c r="O411" i="2" s="1"/>
  <c r="R411" i="2" s="1"/>
  <c r="M414" i="2"/>
  <c r="N414" i="2" s="1"/>
  <c r="O414" i="2" s="1"/>
  <c r="R414" i="2" s="1"/>
  <c r="M417" i="2"/>
  <c r="N417" i="2" s="1"/>
  <c r="O417" i="2" s="1"/>
  <c r="R417" i="2" s="1"/>
  <c r="M420" i="2"/>
  <c r="N420" i="2" s="1"/>
  <c r="O420" i="2" s="1"/>
  <c r="R420" i="2" s="1"/>
  <c r="M423" i="2"/>
  <c r="N423" i="2" s="1"/>
  <c r="O423" i="2" s="1"/>
  <c r="R423" i="2" s="1"/>
  <c r="M426" i="2"/>
  <c r="N426" i="2" s="1"/>
  <c r="O426" i="2" s="1"/>
  <c r="R426" i="2" s="1"/>
  <c r="M429" i="2"/>
  <c r="N429" i="2" s="1"/>
  <c r="O429" i="2" s="1"/>
  <c r="R429" i="2" s="1"/>
  <c r="M432" i="2"/>
  <c r="N432" i="2" s="1"/>
  <c r="O432" i="2" s="1"/>
  <c r="R432" i="2" s="1"/>
  <c r="M435" i="2"/>
  <c r="N435" i="2" s="1"/>
  <c r="O435" i="2" s="1"/>
  <c r="R435" i="2" s="1"/>
  <c r="M438" i="2"/>
  <c r="N438" i="2" s="1"/>
  <c r="O438" i="2" s="1"/>
  <c r="R438" i="2" s="1"/>
  <c r="M441" i="2"/>
  <c r="N441" i="2" s="1"/>
  <c r="O441" i="2" s="1"/>
  <c r="R441" i="2" s="1"/>
  <c r="M444" i="2"/>
  <c r="N444" i="2" s="1"/>
  <c r="O444" i="2" s="1"/>
  <c r="R444" i="2" s="1"/>
  <c r="M447" i="2"/>
  <c r="N447" i="2" s="1"/>
  <c r="O447" i="2" s="1"/>
  <c r="R447" i="2" s="1"/>
  <c r="M450" i="2"/>
  <c r="N450" i="2" s="1"/>
  <c r="O450" i="2" s="1"/>
  <c r="R450" i="2" s="1"/>
  <c r="M453" i="2"/>
  <c r="N453" i="2" s="1"/>
  <c r="O453" i="2" s="1"/>
  <c r="R453" i="2" s="1"/>
  <c r="M456" i="2"/>
  <c r="N456" i="2" s="1"/>
  <c r="O456" i="2" s="1"/>
  <c r="R456" i="2" s="1"/>
  <c r="M459" i="2"/>
  <c r="N459" i="2" s="1"/>
  <c r="O459" i="2" s="1"/>
  <c r="R459" i="2" s="1"/>
  <c r="M462" i="2"/>
  <c r="N462" i="2" s="1"/>
  <c r="O462" i="2" s="1"/>
  <c r="R462" i="2" s="1"/>
  <c r="M465" i="2"/>
  <c r="N465" i="2" s="1"/>
  <c r="O465" i="2" s="1"/>
  <c r="R465" i="2" s="1"/>
  <c r="M468" i="2"/>
  <c r="N468" i="2" s="1"/>
  <c r="O468" i="2" s="1"/>
  <c r="R468" i="2" s="1"/>
  <c r="M471" i="2"/>
  <c r="N471" i="2" s="1"/>
  <c r="O471" i="2" s="1"/>
  <c r="R471" i="2" s="1"/>
  <c r="M474" i="2"/>
  <c r="N474" i="2" s="1"/>
  <c r="O474" i="2" s="1"/>
  <c r="R474" i="2" s="1"/>
  <c r="M477" i="2"/>
  <c r="N477" i="2" s="1"/>
  <c r="O477" i="2" s="1"/>
  <c r="R477" i="2" s="1"/>
  <c r="M480" i="2"/>
  <c r="N480" i="2" s="1"/>
  <c r="O480" i="2" s="1"/>
  <c r="R480" i="2" s="1"/>
  <c r="M483" i="2"/>
  <c r="N483" i="2" s="1"/>
  <c r="O483" i="2" s="1"/>
  <c r="R483" i="2" s="1"/>
  <c r="M486" i="2"/>
  <c r="N486" i="2" s="1"/>
  <c r="O486" i="2" s="1"/>
  <c r="R486" i="2" s="1"/>
  <c r="M489" i="2"/>
  <c r="N489" i="2" s="1"/>
  <c r="O489" i="2" s="1"/>
  <c r="R489" i="2" s="1"/>
  <c r="M492" i="2"/>
  <c r="N492" i="2" s="1"/>
  <c r="O492" i="2" s="1"/>
  <c r="R492" i="2" s="1"/>
  <c r="M495" i="2"/>
  <c r="N495" i="2" s="1"/>
  <c r="O495" i="2" s="1"/>
  <c r="R495" i="2" s="1"/>
  <c r="M498" i="2"/>
  <c r="N498" i="2" s="1"/>
  <c r="O498" i="2" s="1"/>
  <c r="R498" i="2" s="1"/>
  <c r="M501" i="2"/>
  <c r="N501" i="2" s="1"/>
  <c r="O501" i="2" s="1"/>
  <c r="R501" i="2" s="1"/>
  <c r="M504" i="2"/>
  <c r="N504" i="2" s="1"/>
  <c r="O504" i="2" s="1"/>
  <c r="R504" i="2" s="1"/>
  <c r="M507" i="2"/>
  <c r="N507" i="2" s="1"/>
  <c r="O507" i="2" s="1"/>
  <c r="R507" i="2" s="1"/>
  <c r="M510" i="2"/>
  <c r="N510" i="2" s="1"/>
  <c r="O510" i="2" s="1"/>
  <c r="R510" i="2" s="1"/>
  <c r="M513" i="2"/>
  <c r="N513" i="2" s="1"/>
  <c r="O513" i="2" s="1"/>
  <c r="R513" i="2" s="1"/>
  <c r="M516" i="2"/>
  <c r="N516" i="2" s="1"/>
  <c r="O516" i="2" s="1"/>
  <c r="R516" i="2" s="1"/>
  <c r="M519" i="2"/>
  <c r="N519" i="2" s="1"/>
  <c r="O519" i="2" s="1"/>
  <c r="R519" i="2" s="1"/>
  <c r="M524" i="2"/>
  <c r="N524" i="2" s="1"/>
  <c r="O524" i="2" s="1"/>
  <c r="R524" i="2" s="1"/>
  <c r="M527" i="2"/>
  <c r="N527" i="2" s="1"/>
  <c r="O527" i="2" s="1"/>
  <c r="R527" i="2" s="1"/>
  <c r="M530" i="2"/>
  <c r="N530" i="2" s="1"/>
  <c r="O530" i="2" s="1"/>
  <c r="R530" i="2" s="1"/>
  <c r="M533" i="2"/>
  <c r="N533" i="2" s="1"/>
  <c r="O533" i="2" s="1"/>
  <c r="R533" i="2" s="1"/>
  <c r="M536" i="2"/>
  <c r="N536" i="2" s="1"/>
  <c r="O536" i="2" s="1"/>
  <c r="R536" i="2" s="1"/>
  <c r="M539" i="2"/>
  <c r="N539" i="2" s="1"/>
  <c r="O539" i="2" s="1"/>
  <c r="R539" i="2" s="1"/>
  <c r="M542" i="2"/>
  <c r="N542" i="2" s="1"/>
  <c r="O542" i="2" s="1"/>
  <c r="R542" i="2" s="1"/>
  <c r="M545" i="2"/>
  <c r="N545" i="2" s="1"/>
  <c r="O545" i="2" s="1"/>
  <c r="R545" i="2" s="1"/>
  <c r="M548" i="2"/>
  <c r="N548" i="2" s="1"/>
  <c r="O548" i="2" s="1"/>
  <c r="R548" i="2" s="1"/>
  <c r="M551" i="2"/>
  <c r="N551" i="2" s="1"/>
  <c r="O551" i="2" s="1"/>
  <c r="R551" i="2" s="1"/>
  <c r="M554" i="2"/>
  <c r="N554" i="2" s="1"/>
  <c r="O554" i="2" s="1"/>
  <c r="R554" i="2" s="1"/>
  <c r="M557" i="2"/>
  <c r="N557" i="2" s="1"/>
  <c r="O557" i="2" s="1"/>
  <c r="R557" i="2" s="1"/>
  <c r="M560" i="2"/>
  <c r="N560" i="2" s="1"/>
  <c r="O560" i="2" s="1"/>
  <c r="R560" i="2" s="1"/>
  <c r="M563" i="2"/>
  <c r="N563" i="2" s="1"/>
  <c r="O563" i="2" s="1"/>
  <c r="R563" i="2" s="1"/>
  <c r="M566" i="2"/>
  <c r="N566" i="2" s="1"/>
  <c r="O566" i="2" s="1"/>
  <c r="R566" i="2" s="1"/>
  <c r="M569" i="2"/>
  <c r="N569" i="2" s="1"/>
  <c r="O569" i="2" s="1"/>
  <c r="R569" i="2" s="1"/>
  <c r="M572" i="2"/>
  <c r="N572" i="2" s="1"/>
  <c r="O572" i="2" s="1"/>
  <c r="R572" i="2" s="1"/>
  <c r="M575" i="2"/>
  <c r="N575" i="2" s="1"/>
  <c r="O575" i="2" s="1"/>
  <c r="R575" i="2" s="1"/>
  <c r="M578" i="2"/>
  <c r="N578" i="2" s="1"/>
  <c r="O578" i="2" s="1"/>
  <c r="R578" i="2" s="1"/>
  <c r="M581" i="2"/>
  <c r="N581" i="2" s="1"/>
  <c r="O581" i="2" s="1"/>
  <c r="R581" i="2" s="1"/>
  <c r="M584" i="2"/>
  <c r="N584" i="2" s="1"/>
  <c r="O584" i="2" s="1"/>
  <c r="R584" i="2" s="1"/>
  <c r="M587" i="2"/>
  <c r="N587" i="2" s="1"/>
  <c r="O587" i="2" s="1"/>
  <c r="R587" i="2" s="1"/>
  <c r="M590" i="2"/>
  <c r="N590" i="2" s="1"/>
  <c r="O590" i="2" s="1"/>
  <c r="R590" i="2" s="1"/>
  <c r="M593" i="2"/>
  <c r="N593" i="2" s="1"/>
  <c r="O593" i="2" s="1"/>
  <c r="R593" i="2" s="1"/>
  <c r="M596" i="2"/>
  <c r="N596" i="2" s="1"/>
  <c r="O596" i="2" s="1"/>
  <c r="R596" i="2" s="1"/>
  <c r="M599" i="2"/>
  <c r="N599" i="2" s="1"/>
  <c r="O599" i="2" s="1"/>
  <c r="R599" i="2" s="1"/>
  <c r="M603" i="2"/>
  <c r="N603" i="2" s="1"/>
  <c r="O603" i="2" s="1"/>
  <c r="R603" i="2" s="1"/>
  <c r="M606" i="2"/>
  <c r="N606" i="2" s="1"/>
  <c r="O606" i="2" s="1"/>
  <c r="R606" i="2" s="1"/>
  <c r="M610" i="2"/>
  <c r="N610" i="2" s="1"/>
  <c r="O610" i="2" s="1"/>
  <c r="R610" i="2" s="1"/>
  <c r="M613" i="2"/>
  <c r="N613" i="2" s="1"/>
  <c r="O613" i="2" s="1"/>
  <c r="R613" i="2" s="1"/>
  <c r="M616" i="2"/>
  <c r="N616" i="2" s="1"/>
  <c r="O616" i="2" s="1"/>
  <c r="R616" i="2" s="1"/>
  <c r="M619" i="2"/>
  <c r="N619" i="2" s="1"/>
  <c r="O619" i="2" s="1"/>
  <c r="R619" i="2" s="1"/>
  <c r="M622" i="2"/>
  <c r="N622" i="2" s="1"/>
  <c r="O622" i="2" s="1"/>
  <c r="R622" i="2" s="1"/>
  <c r="M625" i="2"/>
  <c r="N625" i="2" s="1"/>
  <c r="O625" i="2" s="1"/>
  <c r="R625" i="2" s="1"/>
  <c r="M628" i="2"/>
  <c r="N628" i="2" s="1"/>
  <c r="O628" i="2" s="1"/>
  <c r="R628" i="2" s="1"/>
  <c r="M631" i="2"/>
  <c r="N631" i="2" s="1"/>
  <c r="O631" i="2" s="1"/>
  <c r="R631" i="2" s="1"/>
  <c r="M634" i="2"/>
  <c r="N634" i="2" s="1"/>
  <c r="O634" i="2" s="1"/>
  <c r="R634" i="2" s="1"/>
  <c r="M637" i="2"/>
  <c r="N637" i="2" s="1"/>
  <c r="O637" i="2" s="1"/>
  <c r="R637" i="2" s="1"/>
  <c r="M640" i="2"/>
  <c r="N640" i="2" s="1"/>
  <c r="O640" i="2" s="1"/>
  <c r="R640" i="2" s="1"/>
  <c r="M643" i="2"/>
  <c r="N643" i="2" s="1"/>
  <c r="O643" i="2" s="1"/>
  <c r="R643" i="2" s="1"/>
  <c r="M646" i="2"/>
  <c r="N646" i="2" s="1"/>
  <c r="O646" i="2" s="1"/>
  <c r="R646" i="2" s="1"/>
  <c r="M649" i="2"/>
  <c r="N649" i="2" s="1"/>
  <c r="O649" i="2" s="1"/>
  <c r="R649" i="2" s="1"/>
  <c r="M652" i="2"/>
  <c r="N652" i="2" s="1"/>
  <c r="O652" i="2" s="1"/>
  <c r="R652" i="2" s="1"/>
  <c r="M655" i="2"/>
  <c r="N655" i="2" s="1"/>
  <c r="O655" i="2" s="1"/>
  <c r="R655" i="2" s="1"/>
  <c r="M658" i="2"/>
  <c r="N658" i="2" s="1"/>
  <c r="O658" i="2" s="1"/>
  <c r="R658" i="2" s="1"/>
  <c r="M661" i="2"/>
  <c r="N661" i="2" s="1"/>
  <c r="O661" i="2" s="1"/>
  <c r="R661" i="2" s="1"/>
  <c r="M664" i="2"/>
  <c r="N664" i="2" s="1"/>
  <c r="O664" i="2" s="1"/>
  <c r="R664" i="2" s="1"/>
  <c r="M667" i="2"/>
  <c r="N667" i="2" s="1"/>
  <c r="O667" i="2" s="1"/>
  <c r="R667" i="2" s="1"/>
  <c r="M670" i="2"/>
  <c r="N670" i="2" s="1"/>
  <c r="O670" i="2" s="1"/>
  <c r="R670" i="2" s="1"/>
  <c r="M673" i="2"/>
  <c r="N673" i="2" s="1"/>
  <c r="O673" i="2" s="1"/>
  <c r="R673" i="2" s="1"/>
  <c r="M676" i="2"/>
  <c r="N676" i="2" s="1"/>
  <c r="O676" i="2" s="1"/>
  <c r="R676" i="2" s="1"/>
  <c r="M679" i="2"/>
  <c r="N679" i="2" s="1"/>
  <c r="O679" i="2" s="1"/>
  <c r="R679" i="2" s="1"/>
  <c r="M682" i="2"/>
  <c r="N682" i="2" s="1"/>
  <c r="O682" i="2" s="1"/>
  <c r="R682" i="2" s="1"/>
  <c r="M685" i="2"/>
  <c r="N685" i="2" s="1"/>
  <c r="O685" i="2" s="1"/>
  <c r="R685" i="2" s="1"/>
  <c r="M688" i="2"/>
  <c r="N688" i="2" s="1"/>
  <c r="O688" i="2" s="1"/>
  <c r="R688" i="2" s="1"/>
  <c r="M691" i="2"/>
  <c r="N691" i="2" s="1"/>
  <c r="O691" i="2" s="1"/>
  <c r="R691" i="2" s="1"/>
  <c r="M694" i="2"/>
  <c r="N694" i="2" s="1"/>
  <c r="O694" i="2" s="1"/>
  <c r="R694" i="2" s="1"/>
  <c r="M696" i="2"/>
  <c r="N696" i="2" s="1"/>
  <c r="O696" i="2" s="1"/>
  <c r="R696" i="2" s="1"/>
  <c r="M699" i="2"/>
  <c r="N699" i="2" s="1"/>
  <c r="O699" i="2" s="1"/>
  <c r="R699" i="2" s="1"/>
  <c r="M702" i="2"/>
  <c r="N702" i="2" s="1"/>
  <c r="O702" i="2" s="1"/>
  <c r="R702" i="2" s="1"/>
  <c r="M705" i="2"/>
  <c r="N705" i="2" s="1"/>
  <c r="O705" i="2" s="1"/>
  <c r="R705" i="2" s="1"/>
  <c r="M708" i="2"/>
  <c r="N708" i="2" s="1"/>
  <c r="O708" i="2" s="1"/>
  <c r="R708" i="2" s="1"/>
  <c r="M710" i="2"/>
  <c r="N710" i="2" s="1"/>
  <c r="O710" i="2" s="1"/>
  <c r="R710" i="2" s="1"/>
  <c r="M713" i="2"/>
  <c r="N713" i="2" s="1"/>
  <c r="O713" i="2" s="1"/>
  <c r="R713" i="2" s="1"/>
  <c r="M716" i="2"/>
  <c r="N716" i="2" s="1"/>
  <c r="O716" i="2" s="1"/>
  <c r="R716" i="2" s="1"/>
  <c r="M719" i="2"/>
  <c r="N719" i="2" s="1"/>
  <c r="O719" i="2" s="1"/>
  <c r="R719" i="2" s="1"/>
  <c r="M722" i="2"/>
  <c r="N722" i="2" s="1"/>
  <c r="O722" i="2" s="1"/>
  <c r="R722" i="2" s="1"/>
  <c r="M725" i="2"/>
  <c r="N725" i="2" s="1"/>
  <c r="O725" i="2" s="1"/>
  <c r="R725" i="2" s="1"/>
  <c r="M728" i="2"/>
  <c r="N728" i="2" s="1"/>
  <c r="O728" i="2" s="1"/>
  <c r="R728" i="2" s="1"/>
  <c r="M731" i="2"/>
  <c r="N731" i="2" s="1"/>
  <c r="O731" i="2" s="1"/>
  <c r="R731" i="2" s="1"/>
  <c r="M735" i="2"/>
  <c r="N735" i="2" s="1"/>
  <c r="O735" i="2" s="1"/>
  <c r="R735" i="2" s="1"/>
  <c r="M738" i="2"/>
  <c r="N738" i="2" s="1"/>
  <c r="O738" i="2" s="1"/>
  <c r="R738" i="2" s="1"/>
  <c r="M742" i="2"/>
  <c r="N742" i="2" s="1"/>
  <c r="O742" i="2" s="1"/>
  <c r="R742" i="2" s="1"/>
  <c r="M744" i="2"/>
  <c r="N744" i="2" s="1"/>
  <c r="O744" i="2" s="1"/>
  <c r="R744" i="2" s="1"/>
  <c r="M747" i="2"/>
  <c r="N747" i="2" s="1"/>
  <c r="O747" i="2" s="1"/>
  <c r="R747" i="2" s="1"/>
  <c r="M750" i="2"/>
  <c r="N750" i="2" s="1"/>
  <c r="O750" i="2" s="1"/>
  <c r="R750" i="2" s="1"/>
  <c r="M753" i="2"/>
  <c r="N753" i="2" s="1"/>
  <c r="O753" i="2" s="1"/>
  <c r="R753" i="2" s="1"/>
  <c r="M755" i="2"/>
  <c r="N755" i="2" s="1"/>
  <c r="O755" i="2" s="1"/>
  <c r="R755" i="2" s="1"/>
  <c r="M758" i="2"/>
  <c r="N758" i="2" s="1"/>
  <c r="O758" i="2" s="1"/>
  <c r="R758" i="2" s="1"/>
  <c r="M762" i="2"/>
  <c r="N762" i="2" s="1"/>
  <c r="O762" i="2" s="1"/>
  <c r="R762" i="2" s="1"/>
  <c r="M763" i="2"/>
  <c r="N763" i="2" s="1"/>
  <c r="O763" i="2" s="1"/>
  <c r="R763" i="2" s="1"/>
  <c r="M767" i="2"/>
  <c r="N767" i="2" s="1"/>
  <c r="O767" i="2" s="1"/>
  <c r="R767" i="2" s="1"/>
  <c r="M770" i="2"/>
  <c r="N770" i="2" s="1"/>
  <c r="O770" i="2" s="1"/>
  <c r="R770" i="2" s="1"/>
  <c r="M774" i="2"/>
  <c r="N774" i="2" s="1"/>
  <c r="O774" i="2" s="1"/>
  <c r="R774" i="2" s="1"/>
  <c r="M777" i="2"/>
  <c r="N777" i="2" s="1"/>
  <c r="O777" i="2" s="1"/>
  <c r="R777" i="2" s="1"/>
  <c r="M780" i="2"/>
  <c r="N780" i="2" s="1"/>
  <c r="O780" i="2" s="1"/>
  <c r="R780" i="2" s="1"/>
  <c r="M783" i="2"/>
  <c r="N783" i="2" s="1"/>
  <c r="O783" i="2" s="1"/>
  <c r="R783" i="2" s="1"/>
  <c r="M786" i="2"/>
  <c r="N786" i="2" s="1"/>
  <c r="O786" i="2" s="1"/>
  <c r="R786" i="2" s="1"/>
  <c r="M789" i="2"/>
  <c r="N789" i="2" s="1"/>
  <c r="O789" i="2" s="1"/>
  <c r="R789" i="2" s="1"/>
  <c r="M792" i="2"/>
  <c r="N792" i="2" s="1"/>
  <c r="O792" i="2" s="1"/>
  <c r="R792" i="2" s="1"/>
  <c r="M795" i="2"/>
  <c r="N795" i="2" s="1"/>
  <c r="O795" i="2" s="1"/>
  <c r="R795" i="2" s="1"/>
  <c r="M798" i="2"/>
  <c r="N798" i="2" s="1"/>
  <c r="O798" i="2" s="1"/>
  <c r="R798" i="2" s="1"/>
  <c r="M801" i="2"/>
  <c r="N801" i="2" s="1"/>
  <c r="O801" i="2" s="1"/>
  <c r="R801" i="2" s="1"/>
  <c r="M804" i="2"/>
  <c r="N804" i="2" s="1"/>
  <c r="O804" i="2" s="1"/>
  <c r="R804" i="2" s="1"/>
  <c r="M807" i="2"/>
  <c r="N807" i="2" s="1"/>
  <c r="O807" i="2" s="1"/>
  <c r="R807" i="2" s="1"/>
  <c r="M810" i="2"/>
  <c r="N810" i="2" s="1"/>
  <c r="O810" i="2" s="1"/>
  <c r="R810" i="2" s="1"/>
  <c r="M813" i="2"/>
  <c r="N813" i="2" s="1"/>
  <c r="O813" i="2" s="1"/>
  <c r="R813" i="2" s="1"/>
  <c r="M816" i="2"/>
  <c r="N816" i="2" s="1"/>
  <c r="O816" i="2" s="1"/>
  <c r="R816" i="2" s="1"/>
  <c r="M819" i="2"/>
  <c r="N819" i="2" s="1"/>
  <c r="O819" i="2" s="1"/>
  <c r="R819" i="2" s="1"/>
  <c r="M822" i="2"/>
  <c r="N822" i="2" s="1"/>
  <c r="O822" i="2" s="1"/>
  <c r="R822" i="2" s="1"/>
  <c r="M824" i="2"/>
  <c r="N824" i="2" s="1"/>
  <c r="O824" i="2" s="1"/>
  <c r="R824" i="2" s="1"/>
  <c r="M827" i="2"/>
  <c r="N827" i="2" s="1"/>
  <c r="O827" i="2" s="1"/>
  <c r="R827" i="2" s="1"/>
  <c r="M830" i="2"/>
  <c r="N830" i="2" s="1"/>
  <c r="O830" i="2" s="1"/>
  <c r="R830" i="2" s="1"/>
  <c r="M833" i="2"/>
  <c r="N833" i="2" s="1"/>
  <c r="O833" i="2" s="1"/>
  <c r="R833" i="2" s="1"/>
  <c r="M836" i="2"/>
  <c r="N836" i="2" s="1"/>
  <c r="O836" i="2" s="1"/>
  <c r="R836" i="2" s="1"/>
  <c r="M839" i="2"/>
  <c r="N839" i="2" s="1"/>
  <c r="O839" i="2" s="1"/>
  <c r="R839" i="2" s="1"/>
  <c r="M842" i="2"/>
  <c r="N842" i="2" s="1"/>
  <c r="O842" i="2" s="1"/>
  <c r="R842" i="2" s="1"/>
  <c r="M845" i="2"/>
  <c r="N845" i="2" s="1"/>
  <c r="O845" i="2" s="1"/>
  <c r="R845" i="2" s="1"/>
  <c r="M847" i="2"/>
  <c r="N847" i="2" s="1"/>
  <c r="O847" i="2" s="1"/>
  <c r="R847" i="2" s="1"/>
  <c r="M850" i="2"/>
  <c r="N850" i="2" s="1"/>
  <c r="O850" i="2" s="1"/>
  <c r="R850" i="2" s="1"/>
  <c r="M853" i="2"/>
  <c r="N853" i="2" s="1"/>
  <c r="O853" i="2" s="1"/>
  <c r="R853" i="2" s="1"/>
  <c r="M856" i="2"/>
  <c r="N856" i="2" s="1"/>
  <c r="O856" i="2" s="1"/>
  <c r="R856" i="2" s="1"/>
  <c r="M859" i="2"/>
  <c r="N859" i="2" s="1"/>
  <c r="O859" i="2" s="1"/>
  <c r="R859" i="2" s="1"/>
  <c r="M862" i="2"/>
  <c r="N862" i="2" s="1"/>
  <c r="O862" i="2" s="1"/>
  <c r="R862" i="2" s="1"/>
  <c r="M865" i="2"/>
  <c r="N865" i="2" s="1"/>
  <c r="O865" i="2" s="1"/>
  <c r="R865" i="2" s="1"/>
  <c r="M868" i="2"/>
  <c r="N868" i="2" s="1"/>
  <c r="O868" i="2" s="1"/>
  <c r="R868" i="2" s="1"/>
  <c r="M872" i="2"/>
  <c r="N872" i="2" s="1"/>
  <c r="O872" i="2" s="1"/>
  <c r="R872" i="2" s="1"/>
  <c r="M875" i="2"/>
  <c r="N875" i="2" s="1"/>
  <c r="O875" i="2" s="1"/>
  <c r="R875" i="2" s="1"/>
  <c r="M878" i="2"/>
  <c r="N878" i="2" s="1"/>
  <c r="O878" i="2" s="1"/>
  <c r="R878" i="2" s="1"/>
  <c r="M881" i="2"/>
  <c r="N881" i="2" s="1"/>
  <c r="O881" i="2" s="1"/>
  <c r="R881" i="2" s="1"/>
  <c r="M884" i="2"/>
  <c r="N884" i="2" s="1"/>
  <c r="O884" i="2" s="1"/>
  <c r="R884" i="2" s="1"/>
  <c r="M887" i="2"/>
  <c r="N887" i="2" s="1"/>
  <c r="O887" i="2" s="1"/>
  <c r="R887" i="2" s="1"/>
  <c r="M890" i="2"/>
  <c r="N890" i="2" s="1"/>
  <c r="O890" i="2" s="1"/>
  <c r="R890" i="2" s="1"/>
  <c r="M893" i="2"/>
  <c r="N893" i="2" s="1"/>
  <c r="O893" i="2" s="1"/>
  <c r="R893" i="2" s="1"/>
  <c r="M896" i="2"/>
  <c r="N896" i="2" s="1"/>
  <c r="O896" i="2" s="1"/>
  <c r="R896" i="2" s="1"/>
  <c r="M899" i="2"/>
  <c r="N899" i="2" s="1"/>
  <c r="O899" i="2" s="1"/>
  <c r="R899" i="2" s="1"/>
  <c r="M902" i="2"/>
  <c r="N902" i="2" s="1"/>
  <c r="O902" i="2" s="1"/>
  <c r="R902" i="2" s="1"/>
  <c r="M905" i="2"/>
  <c r="N905" i="2" s="1"/>
  <c r="O905" i="2" s="1"/>
  <c r="R905" i="2" s="1"/>
  <c r="M908" i="2"/>
  <c r="N908" i="2" s="1"/>
  <c r="O908" i="2" s="1"/>
  <c r="R908" i="2" s="1"/>
  <c r="M911" i="2"/>
  <c r="N911" i="2" s="1"/>
  <c r="O911" i="2" s="1"/>
  <c r="R911" i="2" s="1"/>
  <c r="M914" i="2"/>
  <c r="N914" i="2" s="1"/>
  <c r="O914" i="2" s="1"/>
  <c r="R914" i="2" s="1"/>
  <c r="M917" i="2"/>
  <c r="N917" i="2" s="1"/>
  <c r="O917" i="2" s="1"/>
  <c r="R917" i="2" s="1"/>
  <c r="M920" i="2"/>
  <c r="N920" i="2" s="1"/>
  <c r="O920" i="2" s="1"/>
  <c r="R920" i="2" s="1"/>
  <c r="M923" i="2"/>
  <c r="N923" i="2" s="1"/>
  <c r="O923" i="2" s="1"/>
  <c r="R923" i="2" s="1"/>
  <c r="M926" i="2"/>
  <c r="N926" i="2" s="1"/>
  <c r="O926" i="2" s="1"/>
  <c r="R926" i="2" s="1"/>
  <c r="M929" i="2"/>
  <c r="N929" i="2" s="1"/>
  <c r="O929" i="2" s="1"/>
  <c r="R929" i="2" s="1"/>
  <c r="M932" i="2"/>
  <c r="N932" i="2" s="1"/>
  <c r="O932" i="2" s="1"/>
  <c r="R932" i="2" s="1"/>
  <c r="M935" i="2"/>
  <c r="N935" i="2" s="1"/>
  <c r="O935" i="2" s="1"/>
  <c r="R935" i="2" s="1"/>
  <c r="M938" i="2"/>
  <c r="N938" i="2" s="1"/>
  <c r="O938" i="2" s="1"/>
  <c r="R938" i="2" s="1"/>
  <c r="M941" i="2"/>
  <c r="N941" i="2" s="1"/>
  <c r="O941" i="2" s="1"/>
  <c r="R941" i="2" s="1"/>
  <c r="M944" i="2"/>
  <c r="N944" i="2" s="1"/>
  <c r="O944" i="2" s="1"/>
  <c r="R944" i="2" s="1"/>
  <c r="M948" i="2"/>
  <c r="N948" i="2" s="1"/>
  <c r="O948" i="2" s="1"/>
  <c r="R948" i="2" s="1"/>
  <c r="M949" i="2"/>
  <c r="N949" i="2" s="1"/>
  <c r="O949" i="2" s="1"/>
  <c r="R949" i="2" s="1"/>
  <c r="M953" i="2"/>
  <c r="N953" i="2" s="1"/>
  <c r="O953" i="2" s="1"/>
  <c r="R953" i="2" s="1"/>
  <c r="M956" i="2"/>
  <c r="N956" i="2" s="1"/>
  <c r="O956" i="2" s="1"/>
  <c r="R956" i="2" s="1"/>
  <c r="M959" i="2"/>
  <c r="N959" i="2" s="1"/>
  <c r="O959" i="2" s="1"/>
  <c r="R959" i="2" s="1"/>
  <c r="M962" i="2"/>
  <c r="N962" i="2" s="1"/>
  <c r="O962" i="2" s="1"/>
  <c r="R962" i="2" s="1"/>
  <c r="M965" i="2"/>
  <c r="N965" i="2" s="1"/>
  <c r="O965" i="2" s="1"/>
  <c r="R965" i="2" s="1"/>
  <c r="M968" i="2"/>
  <c r="N968" i="2" s="1"/>
  <c r="O968" i="2" s="1"/>
  <c r="R968" i="2" s="1"/>
  <c r="M971" i="2"/>
  <c r="N971" i="2" s="1"/>
  <c r="O971" i="2" s="1"/>
  <c r="R971" i="2" s="1"/>
  <c r="M974" i="2"/>
  <c r="N974" i="2" s="1"/>
  <c r="O974" i="2" s="1"/>
  <c r="R974" i="2" s="1"/>
  <c r="M978" i="2"/>
  <c r="N978" i="2" s="1"/>
  <c r="O978" i="2" s="1"/>
  <c r="R978" i="2" s="1"/>
  <c r="M982" i="2"/>
  <c r="N982" i="2" s="1"/>
  <c r="O982" i="2" s="1"/>
  <c r="R982" i="2" s="1"/>
  <c r="M983" i="2"/>
  <c r="N983" i="2" s="1"/>
  <c r="O983" i="2" s="1"/>
  <c r="R983" i="2" s="1"/>
  <c r="M987" i="2"/>
  <c r="N987" i="2" s="1"/>
  <c r="O987" i="2" s="1"/>
  <c r="R987" i="2" s="1"/>
  <c r="M990" i="2"/>
  <c r="N990" i="2" s="1"/>
  <c r="O990" i="2" s="1"/>
  <c r="R990" i="2" s="1"/>
  <c r="M993" i="2"/>
  <c r="N993" i="2" s="1"/>
  <c r="O993" i="2" s="1"/>
  <c r="R993" i="2" s="1"/>
  <c r="M996" i="2"/>
  <c r="N996" i="2" s="1"/>
  <c r="O996" i="2" s="1"/>
  <c r="R996" i="2" s="1"/>
  <c r="M999" i="2"/>
  <c r="N999" i="2" s="1"/>
  <c r="O999" i="2" s="1"/>
  <c r="R999" i="2" s="1"/>
  <c r="M1002" i="2"/>
  <c r="N1002" i="2" s="1"/>
  <c r="O1002" i="2" s="1"/>
  <c r="R1002" i="2" s="1"/>
  <c r="M1006" i="2"/>
  <c r="N1006" i="2" s="1"/>
  <c r="O1006" i="2" s="1"/>
  <c r="R1006" i="2" s="1"/>
  <c r="M1009" i="2"/>
  <c r="N1009" i="2" s="1"/>
  <c r="O1009" i="2" s="1"/>
  <c r="R1009" i="2" s="1"/>
  <c r="M1012" i="2"/>
  <c r="N1012" i="2" s="1"/>
  <c r="O1012" i="2" s="1"/>
  <c r="R1012" i="2" s="1"/>
  <c r="M1015" i="2"/>
  <c r="N1015" i="2" s="1"/>
  <c r="O1015" i="2" s="1"/>
  <c r="R1015" i="2" s="1"/>
  <c r="M1018" i="2"/>
  <c r="N1018" i="2" s="1"/>
  <c r="O1018" i="2" s="1"/>
  <c r="R1018" i="2" s="1"/>
  <c r="M1021" i="2"/>
  <c r="N1021" i="2" s="1"/>
  <c r="O1021" i="2" s="1"/>
  <c r="R1021" i="2" s="1"/>
  <c r="M1024" i="2"/>
  <c r="N1024" i="2" s="1"/>
  <c r="O1024" i="2" s="1"/>
  <c r="R1024" i="2" s="1"/>
  <c r="M1028" i="2"/>
  <c r="N1028" i="2" s="1"/>
  <c r="O1028" i="2" s="1"/>
  <c r="R1028" i="2" s="1"/>
  <c r="M1031" i="2"/>
  <c r="N1031" i="2" s="1"/>
  <c r="O1031" i="2" s="1"/>
  <c r="R1031" i="2" s="1"/>
  <c r="M1034" i="2"/>
  <c r="N1034" i="2" s="1"/>
  <c r="O1034" i="2" s="1"/>
  <c r="R1034" i="2" s="1"/>
  <c r="M1037" i="2"/>
  <c r="N1037" i="2" s="1"/>
  <c r="O1037" i="2" s="1"/>
  <c r="R1037" i="2" s="1"/>
  <c r="M1040" i="2"/>
  <c r="N1040" i="2" s="1"/>
  <c r="O1040" i="2" s="1"/>
  <c r="R1040" i="2" s="1"/>
  <c r="M1043" i="2"/>
  <c r="N1043" i="2" s="1"/>
  <c r="O1043" i="2" s="1"/>
  <c r="R1043" i="2" s="1"/>
  <c r="M1047" i="2"/>
  <c r="N1047" i="2" s="1"/>
  <c r="O1047" i="2" s="1"/>
  <c r="R1047" i="2" s="1"/>
  <c r="M1050" i="2"/>
  <c r="N1050" i="2" s="1"/>
  <c r="O1050" i="2" s="1"/>
  <c r="R1050" i="2" s="1"/>
  <c r="M1053" i="2"/>
  <c r="N1053" i="2" s="1"/>
  <c r="O1053" i="2" s="1"/>
  <c r="R1053" i="2" s="1"/>
  <c r="M1056" i="2"/>
  <c r="N1056" i="2" s="1"/>
  <c r="O1056" i="2" s="1"/>
  <c r="R1056" i="2" s="1"/>
  <c r="M1059" i="2"/>
  <c r="N1059" i="2" s="1"/>
  <c r="O1059" i="2" s="1"/>
  <c r="R1059" i="2" s="1"/>
  <c r="M1061" i="2"/>
  <c r="N1061" i="2" s="1"/>
  <c r="O1061" i="2" s="1"/>
  <c r="R1061" i="2" s="1"/>
  <c r="M1064" i="2"/>
  <c r="N1064" i="2" s="1"/>
  <c r="O1064" i="2" s="1"/>
  <c r="R1064" i="2" s="1"/>
  <c r="M1068" i="2"/>
  <c r="N1068" i="2" s="1"/>
  <c r="O1068" i="2" s="1"/>
  <c r="R1068" i="2" s="1"/>
  <c r="M1071" i="2"/>
  <c r="N1071" i="2" s="1"/>
  <c r="O1071" i="2" s="1"/>
  <c r="R1071" i="2" s="1"/>
  <c r="M1074" i="2"/>
  <c r="N1074" i="2" s="1"/>
  <c r="O1074" i="2" s="1"/>
  <c r="R1074" i="2" s="1"/>
  <c r="M1077" i="2"/>
  <c r="N1077" i="2" s="1"/>
  <c r="O1077" i="2" s="1"/>
  <c r="R1077" i="2" s="1"/>
  <c r="M1080" i="2"/>
  <c r="N1080" i="2" s="1"/>
  <c r="O1080" i="2" s="1"/>
  <c r="R1080" i="2" s="1"/>
  <c r="M1083" i="2"/>
  <c r="N1083" i="2" s="1"/>
  <c r="O1083" i="2" s="1"/>
  <c r="R1083" i="2" s="1"/>
  <c r="M1086" i="2"/>
  <c r="N1086" i="2" s="1"/>
  <c r="O1086" i="2" s="1"/>
  <c r="R1086" i="2" s="1"/>
  <c r="M1089" i="2"/>
  <c r="N1089" i="2" s="1"/>
  <c r="O1089" i="2" s="1"/>
  <c r="R1089" i="2" s="1"/>
  <c r="M1092" i="2"/>
  <c r="N1092" i="2" s="1"/>
  <c r="O1092" i="2" s="1"/>
  <c r="R1092" i="2" s="1"/>
  <c r="M1095" i="2"/>
  <c r="N1095" i="2" s="1"/>
  <c r="O1095" i="2" s="1"/>
  <c r="R1095" i="2" s="1"/>
  <c r="M1098" i="2"/>
  <c r="N1098" i="2" s="1"/>
  <c r="O1098" i="2" s="1"/>
  <c r="R1098" i="2" s="1"/>
  <c r="M1101" i="2"/>
  <c r="N1101" i="2" s="1"/>
  <c r="O1101" i="2" s="1"/>
  <c r="R1101" i="2" s="1"/>
  <c r="M1104" i="2"/>
  <c r="N1104" i="2" s="1"/>
  <c r="O1104" i="2" s="1"/>
  <c r="R1104" i="2" s="1"/>
  <c r="M1107" i="2"/>
  <c r="N1107" i="2" s="1"/>
  <c r="O1107" i="2" s="1"/>
  <c r="R1107" i="2" s="1"/>
  <c r="M1110" i="2"/>
  <c r="N1110" i="2" s="1"/>
  <c r="O1110" i="2" s="1"/>
  <c r="R1110" i="2" s="1"/>
  <c r="M1113" i="2"/>
  <c r="N1113" i="2" s="1"/>
  <c r="O1113" i="2" s="1"/>
  <c r="R1113" i="2" s="1"/>
  <c r="M1117" i="2"/>
  <c r="N1117" i="2" s="1"/>
  <c r="O1117" i="2" s="1"/>
  <c r="R1117" i="2" s="1"/>
  <c r="M1120" i="2"/>
  <c r="N1120" i="2" s="1"/>
  <c r="O1120" i="2" s="1"/>
  <c r="R1120" i="2" s="1"/>
  <c r="M1123" i="2"/>
  <c r="N1123" i="2" s="1"/>
  <c r="O1123" i="2" s="1"/>
  <c r="R1123" i="2" s="1"/>
  <c r="M1126" i="2"/>
  <c r="N1126" i="2" s="1"/>
  <c r="O1126" i="2" s="1"/>
  <c r="R1126" i="2" s="1"/>
  <c r="M1129" i="2"/>
  <c r="N1129" i="2" s="1"/>
  <c r="O1129" i="2" s="1"/>
  <c r="R1129" i="2" s="1"/>
  <c r="M1132" i="2"/>
  <c r="N1132" i="2" s="1"/>
  <c r="O1132" i="2" s="1"/>
  <c r="R1132" i="2" s="1"/>
  <c r="M1135" i="2"/>
  <c r="N1135" i="2" s="1"/>
  <c r="O1135" i="2" s="1"/>
  <c r="R1135" i="2" s="1"/>
  <c r="M1138" i="2"/>
  <c r="N1138" i="2" s="1"/>
  <c r="O1138" i="2" s="1"/>
  <c r="R1138" i="2" s="1"/>
  <c r="M1141" i="2"/>
  <c r="N1141" i="2" s="1"/>
  <c r="O1141" i="2" s="1"/>
  <c r="R1141" i="2" s="1"/>
  <c r="M1144" i="2"/>
  <c r="N1144" i="2" s="1"/>
  <c r="O1144" i="2" s="1"/>
  <c r="R1144" i="2" s="1"/>
  <c r="M1147" i="2"/>
  <c r="N1147" i="2" s="1"/>
  <c r="O1147" i="2" s="1"/>
  <c r="R1147" i="2" s="1"/>
  <c r="M1149" i="2"/>
  <c r="N1149" i="2" s="1"/>
  <c r="O1149" i="2" s="1"/>
  <c r="R1149" i="2" s="1"/>
  <c r="M1152" i="2"/>
  <c r="N1152" i="2" s="1"/>
  <c r="O1152" i="2" s="1"/>
  <c r="R1152" i="2" s="1"/>
  <c r="M1155" i="2"/>
  <c r="N1155" i="2" s="1"/>
  <c r="O1155" i="2" s="1"/>
  <c r="R1155" i="2" s="1"/>
  <c r="M1158" i="2"/>
  <c r="N1158" i="2" s="1"/>
  <c r="O1158" i="2" s="1"/>
  <c r="R1158" i="2" s="1"/>
  <c r="M1161" i="2"/>
  <c r="N1161" i="2" s="1"/>
  <c r="O1161" i="2" s="1"/>
  <c r="R1161" i="2" s="1"/>
  <c r="M1164" i="2"/>
  <c r="N1164" i="2" s="1"/>
  <c r="O1164" i="2" s="1"/>
  <c r="R1164" i="2" s="1"/>
  <c r="M1168" i="2"/>
  <c r="N1168" i="2" s="1"/>
  <c r="O1168" i="2" s="1"/>
  <c r="R1168" i="2" s="1"/>
  <c r="M1171" i="2"/>
  <c r="N1171" i="2" s="1"/>
  <c r="O1171" i="2" s="1"/>
  <c r="R1171" i="2" s="1"/>
  <c r="M1174" i="2"/>
  <c r="N1174" i="2" s="1"/>
  <c r="O1174" i="2" s="1"/>
  <c r="R1174" i="2" s="1"/>
  <c r="M1177" i="2"/>
  <c r="N1177" i="2" s="1"/>
  <c r="O1177" i="2" s="1"/>
  <c r="R1177" i="2" s="1"/>
  <c r="M1180" i="2"/>
  <c r="N1180" i="2" s="1"/>
  <c r="O1180" i="2" s="1"/>
  <c r="R1180" i="2" s="1"/>
  <c r="M1183" i="2"/>
  <c r="N1183" i="2" s="1"/>
  <c r="O1183" i="2" s="1"/>
  <c r="R1183" i="2" s="1"/>
  <c r="M1186" i="2"/>
  <c r="N1186" i="2" s="1"/>
  <c r="O1186" i="2" s="1"/>
  <c r="R1186" i="2" s="1"/>
  <c r="M1189" i="2"/>
  <c r="N1189" i="2" s="1"/>
  <c r="O1189" i="2" s="1"/>
  <c r="R1189" i="2" s="1"/>
  <c r="M1192" i="2"/>
  <c r="N1192" i="2" s="1"/>
  <c r="O1192" i="2" s="1"/>
  <c r="R1192" i="2" s="1"/>
  <c r="M1195" i="2"/>
  <c r="N1195" i="2" s="1"/>
  <c r="O1195" i="2" s="1"/>
  <c r="R1195" i="2" s="1"/>
  <c r="M1198" i="2"/>
  <c r="N1198" i="2" s="1"/>
  <c r="O1198" i="2" s="1"/>
  <c r="R1198" i="2" s="1"/>
  <c r="M1201" i="2"/>
  <c r="N1201" i="2" s="1"/>
  <c r="O1201" i="2" s="1"/>
  <c r="R1201" i="2" s="1"/>
  <c r="M1204" i="2"/>
  <c r="N1204" i="2" s="1"/>
  <c r="O1204" i="2" s="1"/>
  <c r="R1204" i="2" s="1"/>
  <c r="M1207" i="2"/>
  <c r="N1207" i="2" s="1"/>
  <c r="O1207" i="2" s="1"/>
  <c r="R1207" i="2" s="1"/>
  <c r="M1210" i="2"/>
  <c r="N1210" i="2" s="1"/>
  <c r="O1210" i="2" s="1"/>
  <c r="R1210" i="2" s="1"/>
  <c r="M1213" i="2"/>
  <c r="N1213" i="2" s="1"/>
  <c r="O1213" i="2" s="1"/>
  <c r="R1213" i="2" s="1"/>
  <c r="M1216" i="2"/>
  <c r="N1216" i="2" s="1"/>
  <c r="O1216" i="2" s="1"/>
  <c r="R1216" i="2" s="1"/>
  <c r="M1219" i="2"/>
  <c r="N1219" i="2" s="1"/>
  <c r="O1219" i="2" s="1"/>
  <c r="R1219" i="2" s="1"/>
  <c r="M1222" i="2"/>
  <c r="N1222" i="2" s="1"/>
  <c r="O1222" i="2" s="1"/>
  <c r="R1222" i="2" s="1"/>
  <c r="M1225" i="2"/>
  <c r="N1225" i="2" s="1"/>
  <c r="O1225" i="2" s="1"/>
  <c r="R1225" i="2" s="1"/>
  <c r="M1228" i="2"/>
  <c r="N1228" i="2" s="1"/>
  <c r="O1228" i="2" s="1"/>
  <c r="R1228" i="2" s="1"/>
  <c r="M1231" i="2"/>
  <c r="N1231" i="2" s="1"/>
  <c r="O1231" i="2" s="1"/>
  <c r="R1231" i="2" s="1"/>
  <c r="M1234" i="2"/>
  <c r="N1234" i="2" s="1"/>
  <c r="O1234" i="2" s="1"/>
  <c r="R1234" i="2" s="1"/>
  <c r="M1237" i="2"/>
  <c r="N1237" i="2" s="1"/>
  <c r="O1237" i="2" s="1"/>
  <c r="R1237" i="2" s="1"/>
  <c r="M1240" i="2"/>
  <c r="N1240" i="2" s="1"/>
  <c r="O1240" i="2" s="1"/>
  <c r="R1240" i="2" s="1"/>
  <c r="M1243" i="2"/>
  <c r="N1243" i="2" s="1"/>
  <c r="O1243" i="2" s="1"/>
  <c r="R1243" i="2" s="1"/>
  <c r="M1246" i="2"/>
  <c r="N1246" i="2" s="1"/>
  <c r="O1246" i="2" s="1"/>
  <c r="R1246" i="2" s="1"/>
  <c r="M1249" i="2"/>
  <c r="N1249" i="2" s="1"/>
  <c r="O1249" i="2" s="1"/>
  <c r="R1249" i="2" s="1"/>
  <c r="M1252" i="2"/>
  <c r="N1252" i="2" s="1"/>
  <c r="O1252" i="2" s="1"/>
  <c r="R1252" i="2" s="1"/>
  <c r="M1256" i="2"/>
  <c r="N1256" i="2" s="1"/>
  <c r="O1256" i="2" s="1"/>
  <c r="R1256" i="2" s="1"/>
  <c r="M1257" i="2"/>
  <c r="N1257" i="2" s="1"/>
  <c r="O1257" i="2" s="1"/>
  <c r="R1257" i="2" s="1"/>
  <c r="M1261" i="2"/>
  <c r="N1261" i="2" s="1"/>
  <c r="O1261" i="2" s="1"/>
  <c r="R1261" i="2" s="1"/>
  <c r="M1264" i="2"/>
  <c r="N1264" i="2" s="1"/>
  <c r="O1264" i="2" s="1"/>
  <c r="R1264" i="2" s="1"/>
  <c r="M1268" i="2"/>
  <c r="N1268" i="2" s="1"/>
  <c r="O1268" i="2" s="1"/>
  <c r="R1268" i="2" s="1"/>
  <c r="M1271" i="2"/>
  <c r="N1271" i="2" s="1"/>
  <c r="O1271" i="2" s="1"/>
  <c r="R1271" i="2" s="1"/>
  <c r="M1274" i="2"/>
  <c r="N1274" i="2" s="1"/>
  <c r="O1274" i="2" s="1"/>
  <c r="R1274" i="2" s="1"/>
  <c r="M1277" i="2"/>
  <c r="N1277" i="2" s="1"/>
  <c r="O1277" i="2" s="1"/>
  <c r="R1277" i="2" s="1"/>
  <c r="M1280" i="2"/>
  <c r="N1280" i="2" s="1"/>
  <c r="O1280" i="2" s="1"/>
  <c r="R1280" i="2" s="1"/>
  <c r="M1282" i="2"/>
  <c r="N1282" i="2" s="1"/>
  <c r="O1282" i="2" s="1"/>
  <c r="R1282" i="2" s="1"/>
  <c r="M1285" i="2"/>
  <c r="N1285" i="2" s="1"/>
  <c r="O1285" i="2" s="1"/>
  <c r="R1285" i="2" s="1"/>
  <c r="M1288" i="2"/>
  <c r="N1288" i="2" s="1"/>
  <c r="O1288" i="2" s="1"/>
  <c r="R1288" i="2" s="1"/>
  <c r="M1291" i="2"/>
  <c r="N1291" i="2" s="1"/>
  <c r="O1291" i="2" s="1"/>
  <c r="R1291" i="2" s="1"/>
  <c r="M1294" i="2"/>
  <c r="N1294" i="2" s="1"/>
  <c r="O1294" i="2" s="1"/>
  <c r="R1294" i="2" s="1"/>
  <c r="M1297" i="2"/>
  <c r="N1297" i="2" s="1"/>
  <c r="O1297" i="2" s="1"/>
  <c r="R1297" i="2" s="1"/>
  <c r="M1299" i="2"/>
  <c r="N1299" i="2" s="1"/>
  <c r="O1299" i="2" s="1"/>
  <c r="R1299" i="2" s="1"/>
  <c r="M1302" i="2"/>
  <c r="N1302" i="2" s="1"/>
  <c r="O1302" i="2" s="1"/>
  <c r="R1302" i="2" s="1"/>
  <c r="M1305" i="2"/>
  <c r="N1305" i="2" s="1"/>
  <c r="O1305" i="2" s="1"/>
  <c r="R1305" i="2" s="1"/>
  <c r="M1308" i="2"/>
  <c r="N1308" i="2" s="1"/>
  <c r="O1308" i="2" s="1"/>
  <c r="R1308" i="2" s="1"/>
  <c r="M1311" i="2"/>
  <c r="N1311" i="2" s="1"/>
  <c r="O1311" i="2" s="1"/>
  <c r="R1311" i="2" s="1"/>
  <c r="M1314" i="2"/>
  <c r="N1314" i="2" s="1"/>
  <c r="O1314" i="2" s="1"/>
  <c r="R1314" i="2" s="1"/>
  <c r="M1317" i="2"/>
  <c r="N1317" i="2" s="1"/>
  <c r="O1317" i="2" s="1"/>
  <c r="R1317" i="2" s="1"/>
  <c r="M1321" i="2"/>
  <c r="N1321" i="2" s="1"/>
  <c r="O1321" i="2" s="1"/>
  <c r="R1321" i="2" s="1"/>
  <c r="M1323" i="2"/>
  <c r="N1323" i="2" s="1"/>
  <c r="O1323" i="2" s="1"/>
  <c r="R1323" i="2" s="1"/>
  <c r="M1326" i="2"/>
  <c r="N1326" i="2" s="1"/>
  <c r="O1326" i="2" s="1"/>
  <c r="R1326" i="2" s="1"/>
  <c r="M1329" i="2"/>
  <c r="N1329" i="2" s="1"/>
  <c r="O1329" i="2" s="1"/>
  <c r="R1329" i="2" s="1"/>
  <c r="M1332" i="2"/>
  <c r="N1332" i="2" s="1"/>
  <c r="O1332" i="2" s="1"/>
  <c r="R1332" i="2" s="1"/>
  <c r="M1335" i="2"/>
  <c r="N1335" i="2" s="1"/>
  <c r="O1335" i="2" s="1"/>
  <c r="R1335" i="2" s="1"/>
  <c r="M1338" i="2"/>
  <c r="N1338" i="2" s="1"/>
  <c r="O1338" i="2" s="1"/>
  <c r="R1338" i="2" s="1"/>
  <c r="M1341" i="2"/>
  <c r="N1341" i="2" s="1"/>
  <c r="O1341" i="2" s="1"/>
  <c r="R1341" i="2" s="1"/>
  <c r="M1345" i="2"/>
  <c r="N1345" i="2" s="1"/>
  <c r="O1345" i="2" s="1"/>
  <c r="R1345" i="2" s="1"/>
  <c r="M1348" i="2"/>
  <c r="N1348" i="2" s="1"/>
  <c r="O1348" i="2" s="1"/>
  <c r="R1348" i="2" s="1"/>
  <c r="M1351" i="2"/>
  <c r="N1351" i="2" s="1"/>
  <c r="O1351" i="2" s="1"/>
  <c r="R1351" i="2" s="1"/>
  <c r="M1354" i="2"/>
  <c r="N1354" i="2" s="1"/>
  <c r="O1354" i="2" s="1"/>
  <c r="R1354" i="2" s="1"/>
  <c r="M1357" i="2"/>
  <c r="N1357" i="2" s="1"/>
  <c r="O1357" i="2" s="1"/>
  <c r="R1357" i="2" s="1"/>
  <c r="M1360" i="2"/>
  <c r="N1360" i="2" s="1"/>
  <c r="O1360" i="2" s="1"/>
  <c r="R1360" i="2" s="1"/>
  <c r="M1363" i="2"/>
  <c r="N1363" i="2" s="1"/>
  <c r="O1363" i="2" s="1"/>
  <c r="R1363" i="2" s="1"/>
  <c r="M1366" i="2"/>
  <c r="N1366" i="2" s="1"/>
  <c r="O1366" i="2" s="1"/>
  <c r="R1366" i="2" s="1"/>
  <c r="M1369" i="2"/>
  <c r="N1369" i="2" s="1"/>
  <c r="O1369" i="2" s="1"/>
  <c r="R1369" i="2" s="1"/>
  <c r="M1372" i="2"/>
  <c r="N1372" i="2" s="1"/>
  <c r="O1372" i="2" s="1"/>
  <c r="R1372" i="2" s="1"/>
  <c r="M1375" i="2"/>
  <c r="N1375" i="2" s="1"/>
  <c r="O1375" i="2" s="1"/>
  <c r="R1375" i="2" s="1"/>
  <c r="M1378" i="2"/>
  <c r="N1378" i="2" s="1"/>
  <c r="O1378" i="2" s="1"/>
  <c r="R1378" i="2" s="1"/>
  <c r="M1381" i="2"/>
  <c r="N1381" i="2" s="1"/>
  <c r="O1381" i="2" s="1"/>
  <c r="R1381" i="2" s="1"/>
  <c r="M1384" i="2"/>
  <c r="N1384" i="2" s="1"/>
  <c r="O1384" i="2" s="1"/>
  <c r="R1384" i="2" s="1"/>
  <c r="M1387" i="2"/>
  <c r="N1387" i="2" s="1"/>
  <c r="O1387" i="2" s="1"/>
  <c r="R1387" i="2" s="1"/>
  <c r="M1390" i="2"/>
  <c r="N1390" i="2" s="1"/>
  <c r="O1390" i="2" s="1"/>
  <c r="R1390" i="2" s="1"/>
  <c r="M1393" i="2"/>
  <c r="N1393" i="2" s="1"/>
  <c r="O1393" i="2" s="1"/>
  <c r="R1393" i="2" s="1"/>
  <c r="M1396" i="2"/>
  <c r="N1396" i="2" s="1"/>
  <c r="O1396" i="2" s="1"/>
  <c r="R1396" i="2" s="1"/>
  <c r="M1399" i="2"/>
  <c r="N1399" i="2" s="1"/>
  <c r="O1399" i="2" s="1"/>
  <c r="R1399" i="2" s="1"/>
  <c r="M1403" i="2"/>
  <c r="N1403" i="2" s="1"/>
  <c r="O1403" i="2" s="1"/>
  <c r="R1403" i="2" s="1"/>
  <c r="M1406" i="2"/>
  <c r="N1406" i="2" s="1"/>
  <c r="O1406" i="2" s="1"/>
  <c r="R1406" i="2" s="1"/>
  <c r="M1409" i="2"/>
  <c r="N1409" i="2" s="1"/>
  <c r="O1409" i="2" s="1"/>
  <c r="R1409" i="2" s="1"/>
  <c r="M1412" i="2"/>
  <c r="N1412" i="2" s="1"/>
  <c r="O1412" i="2" s="1"/>
  <c r="R1412" i="2" s="1"/>
  <c r="M1415" i="2"/>
  <c r="N1415" i="2" s="1"/>
  <c r="O1415" i="2" s="1"/>
  <c r="R1415" i="2" s="1"/>
  <c r="M1418" i="2"/>
  <c r="N1418" i="2" s="1"/>
  <c r="O1418" i="2" s="1"/>
  <c r="R1418" i="2" s="1"/>
  <c r="M1421" i="2"/>
  <c r="N1421" i="2" s="1"/>
  <c r="O1421" i="2" s="1"/>
  <c r="R1421" i="2" s="1"/>
  <c r="M1424" i="2"/>
  <c r="N1424" i="2" s="1"/>
  <c r="O1424" i="2" s="1"/>
  <c r="R1424" i="2" s="1"/>
  <c r="M1427" i="2"/>
  <c r="N1427" i="2" s="1"/>
  <c r="O1427" i="2" s="1"/>
  <c r="R1427" i="2" s="1"/>
  <c r="M1430" i="2"/>
  <c r="N1430" i="2" s="1"/>
  <c r="O1430" i="2" s="1"/>
  <c r="R1430" i="2" s="1"/>
  <c r="M1433" i="2"/>
  <c r="N1433" i="2" s="1"/>
  <c r="O1433" i="2" s="1"/>
  <c r="R1433" i="2" s="1"/>
  <c r="M1436" i="2"/>
  <c r="N1436" i="2" s="1"/>
  <c r="O1436" i="2" s="1"/>
  <c r="R1436" i="2" s="1"/>
  <c r="M1439" i="2"/>
  <c r="N1439" i="2" s="1"/>
  <c r="O1439" i="2" s="1"/>
  <c r="R1439" i="2" s="1"/>
  <c r="M1442" i="2"/>
  <c r="N1442" i="2" s="1"/>
  <c r="O1442" i="2" s="1"/>
  <c r="R1442" i="2" s="1"/>
  <c r="M1445" i="2"/>
  <c r="N1445" i="2" s="1"/>
  <c r="O1445" i="2" s="1"/>
  <c r="R1445" i="2" s="1"/>
  <c r="M1448" i="2"/>
  <c r="N1448" i="2" s="1"/>
  <c r="O1448" i="2" s="1"/>
  <c r="R1448" i="2" s="1"/>
  <c r="M1451" i="2"/>
  <c r="N1451" i="2" s="1"/>
  <c r="O1451" i="2" s="1"/>
  <c r="R1451" i="2" s="1"/>
  <c r="M1454" i="2"/>
  <c r="N1454" i="2" s="1"/>
  <c r="O1454" i="2" s="1"/>
  <c r="R1454" i="2" s="1"/>
  <c r="M1457" i="2"/>
  <c r="N1457" i="2" s="1"/>
  <c r="O1457" i="2" s="1"/>
  <c r="R1457" i="2" s="1"/>
  <c r="M1460" i="2"/>
  <c r="N1460" i="2" s="1"/>
  <c r="O1460" i="2" s="1"/>
  <c r="R1460" i="2" s="1"/>
  <c r="M1463" i="2"/>
  <c r="N1463" i="2" s="1"/>
  <c r="O1463" i="2" s="1"/>
  <c r="R1463" i="2" s="1"/>
  <c r="M1466" i="2"/>
  <c r="N1466" i="2" s="1"/>
  <c r="O1466" i="2" s="1"/>
  <c r="R1466" i="2" s="1"/>
  <c r="M1469" i="2"/>
  <c r="N1469" i="2" s="1"/>
  <c r="O1469" i="2" s="1"/>
  <c r="R1469" i="2" s="1"/>
  <c r="M1472" i="2"/>
  <c r="N1472" i="2" s="1"/>
  <c r="O1472" i="2" s="1"/>
  <c r="R1472" i="2" s="1"/>
  <c r="M1475" i="2"/>
  <c r="N1475" i="2" s="1"/>
  <c r="O1475" i="2" s="1"/>
  <c r="R1475" i="2" s="1"/>
  <c r="M1478" i="2"/>
  <c r="N1478" i="2" s="1"/>
  <c r="O1478" i="2" s="1"/>
  <c r="R1478" i="2" s="1"/>
  <c r="M1481" i="2"/>
  <c r="N1481" i="2" s="1"/>
  <c r="O1481" i="2" s="1"/>
  <c r="R1481" i="2" s="1"/>
  <c r="M1484" i="2"/>
  <c r="N1484" i="2" s="1"/>
  <c r="O1484" i="2" s="1"/>
  <c r="R1484" i="2" s="1"/>
  <c r="M1487" i="2"/>
  <c r="N1487" i="2" s="1"/>
  <c r="O1487" i="2" s="1"/>
  <c r="R1487" i="2" s="1"/>
  <c r="M1490" i="2"/>
  <c r="N1490" i="2" s="1"/>
  <c r="O1490" i="2" s="1"/>
  <c r="R1490" i="2" s="1"/>
  <c r="M1493" i="2"/>
  <c r="N1493" i="2" s="1"/>
  <c r="O1493" i="2" s="1"/>
  <c r="R1493" i="2" s="1"/>
  <c r="M1496" i="2"/>
  <c r="N1496" i="2" s="1"/>
  <c r="O1496" i="2" s="1"/>
  <c r="R1496" i="2" s="1"/>
  <c r="M1499" i="2"/>
  <c r="N1499" i="2" s="1"/>
  <c r="O1499" i="2" s="1"/>
  <c r="R1499" i="2" s="1"/>
  <c r="M1502" i="2"/>
  <c r="N1502" i="2" s="1"/>
  <c r="O1502" i="2" s="1"/>
  <c r="R1502" i="2" s="1"/>
  <c r="M1505" i="2"/>
  <c r="N1505" i="2" s="1"/>
  <c r="O1505" i="2" s="1"/>
  <c r="R1505" i="2" s="1"/>
  <c r="M1508" i="2"/>
  <c r="N1508" i="2" s="1"/>
  <c r="O1508" i="2" s="1"/>
  <c r="R1508" i="2" s="1"/>
  <c r="M1511" i="2"/>
  <c r="N1511" i="2" s="1"/>
  <c r="O1511" i="2" s="1"/>
  <c r="R1511" i="2" s="1"/>
  <c r="M1514" i="2"/>
  <c r="N1514" i="2" s="1"/>
  <c r="O1514" i="2" s="1"/>
  <c r="R1514" i="2" s="1"/>
  <c r="M1517" i="2"/>
  <c r="N1517" i="2" s="1"/>
  <c r="O1517" i="2" s="1"/>
  <c r="R1517" i="2" s="1"/>
  <c r="M1520" i="2"/>
  <c r="N1520" i="2" s="1"/>
  <c r="O1520" i="2" s="1"/>
  <c r="R1520" i="2" s="1"/>
  <c r="M1523" i="2"/>
  <c r="N1523" i="2" s="1"/>
  <c r="O1523" i="2" s="1"/>
  <c r="R1523" i="2" s="1"/>
  <c r="M1526" i="2"/>
  <c r="N1526" i="2" s="1"/>
  <c r="O1526" i="2" s="1"/>
  <c r="R1526" i="2" s="1"/>
  <c r="M1529" i="2"/>
  <c r="N1529" i="2" s="1"/>
  <c r="O1529" i="2" s="1"/>
  <c r="R1529" i="2" s="1"/>
  <c r="M1532" i="2"/>
  <c r="N1532" i="2" s="1"/>
  <c r="O1532" i="2" s="1"/>
  <c r="R1532" i="2" s="1"/>
  <c r="M1535" i="2"/>
  <c r="N1535" i="2" s="1"/>
  <c r="O1535" i="2" s="1"/>
  <c r="R1535" i="2" s="1"/>
  <c r="M1538" i="2"/>
  <c r="N1538" i="2" s="1"/>
  <c r="O1538" i="2" s="1"/>
  <c r="R1538" i="2" s="1"/>
  <c r="M1540" i="2"/>
  <c r="N1540" i="2" s="1"/>
  <c r="O1540" i="2" s="1"/>
  <c r="R1540" i="2" s="1"/>
  <c r="M1543" i="2"/>
  <c r="N1543" i="2" s="1"/>
  <c r="O1543" i="2" s="1"/>
  <c r="R1543" i="2" s="1"/>
  <c r="M1546" i="2"/>
  <c r="N1546" i="2" s="1"/>
  <c r="O1546" i="2" s="1"/>
  <c r="R1546" i="2" s="1"/>
  <c r="M1549" i="2"/>
  <c r="N1549" i="2" s="1"/>
  <c r="O1549" i="2" s="1"/>
  <c r="R1549" i="2" s="1"/>
  <c r="M1552" i="2"/>
  <c r="N1552" i="2" s="1"/>
  <c r="O1552" i="2" s="1"/>
  <c r="R1552" i="2" s="1"/>
  <c r="M1555" i="2"/>
  <c r="N1555" i="2" s="1"/>
  <c r="O1555" i="2" s="1"/>
  <c r="R1555" i="2" s="1"/>
  <c r="M1558" i="2"/>
  <c r="N1558" i="2" s="1"/>
  <c r="O1558" i="2" s="1"/>
  <c r="R1558" i="2" s="1"/>
  <c r="M1561" i="2"/>
  <c r="N1561" i="2" s="1"/>
  <c r="O1561" i="2" s="1"/>
  <c r="R1561" i="2" s="1"/>
  <c r="M1564" i="2"/>
  <c r="N1564" i="2" s="1"/>
  <c r="O1564" i="2" s="1"/>
  <c r="R1564" i="2" s="1"/>
  <c r="M1567" i="2"/>
  <c r="N1567" i="2" s="1"/>
  <c r="O1567" i="2" s="1"/>
  <c r="R1567" i="2" s="1"/>
  <c r="M1570" i="2"/>
  <c r="N1570" i="2" s="1"/>
  <c r="O1570" i="2" s="1"/>
  <c r="R1570" i="2" s="1"/>
  <c r="M1574" i="2"/>
  <c r="N1574" i="2" s="1"/>
  <c r="O1574" i="2" s="1"/>
  <c r="R1574" i="2" s="1"/>
  <c r="M1578" i="2"/>
  <c r="N1578" i="2" s="1"/>
  <c r="O1578" i="2" s="1"/>
  <c r="R1578" i="2" s="1"/>
  <c r="M1580" i="2"/>
  <c r="N1580" i="2" s="1"/>
  <c r="O1580" i="2" s="1"/>
  <c r="R1580" i="2" s="1"/>
  <c r="M1583" i="2"/>
  <c r="N1583" i="2" s="1"/>
  <c r="O1583" i="2" s="1"/>
  <c r="R1583" i="2" s="1"/>
  <c r="M1586" i="2"/>
  <c r="N1586" i="2" s="1"/>
  <c r="O1586" i="2" s="1"/>
  <c r="R1586" i="2" s="1"/>
  <c r="M1589" i="2"/>
  <c r="N1589" i="2" s="1"/>
  <c r="O1589" i="2" s="1"/>
  <c r="R1589" i="2" s="1"/>
  <c r="M1592" i="2"/>
  <c r="N1592" i="2" s="1"/>
  <c r="O1592" i="2" s="1"/>
  <c r="R1592" i="2" s="1"/>
  <c r="M1596" i="2"/>
  <c r="N1596" i="2" s="1"/>
  <c r="O1596" i="2" s="1"/>
  <c r="R1596" i="2" s="1"/>
  <c r="M1599" i="2"/>
  <c r="N1599" i="2" s="1"/>
  <c r="O1599" i="2" s="1"/>
  <c r="R1599" i="2" s="1"/>
  <c r="M1602" i="2"/>
  <c r="N1602" i="2" s="1"/>
  <c r="O1602" i="2" s="1"/>
  <c r="R1602" i="2" s="1"/>
  <c r="M1605" i="2"/>
  <c r="N1605" i="2" s="1"/>
  <c r="O1605" i="2" s="1"/>
  <c r="R1605" i="2" s="1"/>
  <c r="M1608" i="2"/>
  <c r="N1608" i="2" s="1"/>
  <c r="O1608" i="2" s="1"/>
  <c r="R1608" i="2" s="1"/>
  <c r="M1611" i="2"/>
  <c r="N1611" i="2" s="1"/>
  <c r="O1611" i="2" s="1"/>
  <c r="R1611" i="2" s="1"/>
  <c r="M1614" i="2"/>
  <c r="N1614" i="2" s="1"/>
  <c r="O1614" i="2" s="1"/>
  <c r="R1614" i="2" s="1"/>
  <c r="M1617" i="2"/>
  <c r="N1617" i="2" s="1"/>
  <c r="O1617" i="2" s="1"/>
  <c r="R1617" i="2" s="1"/>
  <c r="M1620" i="2"/>
  <c r="N1620" i="2" s="1"/>
  <c r="O1620" i="2" s="1"/>
  <c r="R1620" i="2" s="1"/>
  <c r="M1623" i="2"/>
  <c r="N1623" i="2" s="1"/>
  <c r="O1623" i="2" s="1"/>
  <c r="R1623" i="2" s="1"/>
  <c r="M1626" i="2"/>
  <c r="N1626" i="2" s="1"/>
  <c r="O1626" i="2" s="1"/>
  <c r="R1626" i="2" s="1"/>
  <c r="M1629" i="2"/>
  <c r="N1629" i="2" s="1"/>
  <c r="O1629" i="2" s="1"/>
  <c r="R1629" i="2" s="1"/>
  <c r="M1632" i="2"/>
  <c r="N1632" i="2" s="1"/>
  <c r="O1632" i="2" s="1"/>
  <c r="R1632" i="2" s="1"/>
  <c r="M1635" i="2"/>
  <c r="N1635" i="2" s="1"/>
  <c r="O1635" i="2" s="1"/>
  <c r="R1635" i="2" s="1"/>
  <c r="M1638" i="2"/>
  <c r="N1638" i="2" s="1"/>
  <c r="O1638" i="2" s="1"/>
  <c r="R1638" i="2" s="1"/>
  <c r="M1641" i="2"/>
  <c r="N1641" i="2" s="1"/>
  <c r="O1641" i="2" s="1"/>
  <c r="R1641" i="2" s="1"/>
  <c r="M1644" i="2"/>
  <c r="N1644" i="2" s="1"/>
  <c r="O1644" i="2" s="1"/>
  <c r="R1644" i="2" s="1"/>
  <c r="M1647" i="2"/>
  <c r="N1647" i="2" s="1"/>
  <c r="O1647" i="2" s="1"/>
  <c r="R1647" i="2" s="1"/>
  <c r="M1650" i="2"/>
  <c r="N1650" i="2" s="1"/>
  <c r="O1650" i="2" s="1"/>
  <c r="R1650" i="2" s="1"/>
  <c r="M1653" i="2"/>
  <c r="N1653" i="2" s="1"/>
  <c r="O1653" i="2" s="1"/>
  <c r="R1653" i="2" s="1"/>
  <c r="M1656" i="2"/>
  <c r="N1656" i="2" s="1"/>
  <c r="O1656" i="2" s="1"/>
  <c r="R1656" i="2" s="1"/>
  <c r="M1659" i="2"/>
  <c r="N1659" i="2" s="1"/>
  <c r="O1659" i="2" s="1"/>
  <c r="R1659" i="2" s="1"/>
  <c r="M1662" i="2"/>
  <c r="N1662" i="2" s="1"/>
  <c r="O1662" i="2" s="1"/>
  <c r="R1662" i="2" s="1"/>
  <c r="M1665" i="2"/>
  <c r="N1665" i="2" s="1"/>
  <c r="O1665" i="2" s="1"/>
  <c r="R1665" i="2" s="1"/>
  <c r="M1668" i="2"/>
  <c r="N1668" i="2" s="1"/>
  <c r="O1668" i="2" s="1"/>
  <c r="R1668" i="2" s="1"/>
  <c r="M1671" i="2"/>
  <c r="N1671" i="2" s="1"/>
  <c r="O1671" i="2" s="1"/>
  <c r="R1671" i="2" s="1"/>
  <c r="M1674" i="2"/>
  <c r="N1674" i="2" s="1"/>
  <c r="O1674" i="2" s="1"/>
  <c r="R1674" i="2" s="1"/>
  <c r="M1677" i="2"/>
  <c r="N1677" i="2" s="1"/>
  <c r="O1677" i="2" s="1"/>
  <c r="R1677" i="2" s="1"/>
  <c r="M1680" i="2"/>
  <c r="N1680" i="2" s="1"/>
  <c r="O1680" i="2" s="1"/>
  <c r="R1680" i="2" s="1"/>
  <c r="M1683" i="2"/>
  <c r="N1683" i="2" s="1"/>
  <c r="O1683" i="2" s="1"/>
  <c r="R1683" i="2" s="1"/>
  <c r="M1686" i="2"/>
  <c r="N1686" i="2" s="1"/>
  <c r="O1686" i="2" s="1"/>
  <c r="R1686" i="2" s="1"/>
  <c r="M1689" i="2"/>
  <c r="N1689" i="2" s="1"/>
  <c r="O1689" i="2" s="1"/>
  <c r="R1689" i="2" s="1"/>
  <c r="M1692" i="2"/>
  <c r="N1692" i="2" s="1"/>
  <c r="O1692" i="2" s="1"/>
  <c r="R1692" i="2" s="1"/>
  <c r="M1695" i="2"/>
  <c r="N1695" i="2" s="1"/>
  <c r="O1695" i="2" s="1"/>
  <c r="R1695" i="2" s="1"/>
  <c r="M1699" i="2"/>
  <c r="N1699" i="2" s="1"/>
  <c r="O1699" i="2" s="1"/>
  <c r="R1699" i="2" s="1"/>
  <c r="M1700" i="2"/>
  <c r="N1700" i="2" s="1"/>
  <c r="O1700" i="2" s="1"/>
  <c r="R1700" i="2" s="1"/>
  <c r="M1704" i="2"/>
  <c r="N1704" i="2" s="1"/>
  <c r="O1704" i="2" s="1"/>
  <c r="R1704" i="2" s="1"/>
  <c r="M1708" i="2"/>
  <c r="N1708" i="2" s="1"/>
  <c r="O1708" i="2" s="1"/>
  <c r="R1708" i="2" s="1"/>
  <c r="M1711" i="2"/>
  <c r="N1711" i="2" s="1"/>
  <c r="O1711" i="2" s="1"/>
  <c r="R1711" i="2" s="1"/>
  <c r="M1714" i="2"/>
  <c r="N1714" i="2" s="1"/>
  <c r="O1714" i="2" s="1"/>
  <c r="R1714" i="2" s="1"/>
  <c r="M1717" i="2"/>
  <c r="N1717" i="2" s="1"/>
  <c r="O1717" i="2" s="1"/>
  <c r="R1717" i="2" s="1"/>
  <c r="M1720" i="2"/>
  <c r="N1720" i="2" s="1"/>
  <c r="O1720" i="2" s="1"/>
  <c r="R1720" i="2" s="1"/>
  <c r="M1723" i="2"/>
  <c r="N1723" i="2" s="1"/>
  <c r="O1723" i="2" s="1"/>
  <c r="R1723" i="2" s="1"/>
  <c r="M1726" i="2"/>
  <c r="N1726" i="2" s="1"/>
  <c r="O1726" i="2" s="1"/>
  <c r="R1726" i="2" s="1"/>
  <c r="M1728" i="2"/>
  <c r="N1728" i="2" s="1"/>
  <c r="O1728" i="2" s="1"/>
  <c r="R1728" i="2" s="1"/>
  <c r="M1731" i="2"/>
  <c r="N1731" i="2" s="1"/>
  <c r="O1731" i="2" s="1"/>
  <c r="R1731" i="2" s="1"/>
  <c r="M1734" i="2"/>
  <c r="N1734" i="2" s="1"/>
  <c r="O1734" i="2" s="1"/>
  <c r="R1734" i="2" s="1"/>
  <c r="M1737" i="2"/>
  <c r="N1737" i="2" s="1"/>
  <c r="O1737" i="2" s="1"/>
  <c r="R1737" i="2" s="1"/>
  <c r="M1740" i="2"/>
  <c r="N1740" i="2" s="1"/>
  <c r="O1740" i="2" s="1"/>
  <c r="R1740" i="2" s="1"/>
  <c r="M1743" i="2"/>
  <c r="N1743" i="2" s="1"/>
  <c r="O1743" i="2" s="1"/>
  <c r="R1743" i="2" s="1"/>
  <c r="M1745" i="2"/>
  <c r="N1745" i="2" s="1"/>
  <c r="O1745" i="2" s="1"/>
  <c r="R1745" i="2" s="1"/>
  <c r="M1748" i="2"/>
  <c r="N1748" i="2" s="1"/>
  <c r="O1748" i="2" s="1"/>
  <c r="R1748" i="2" s="1"/>
  <c r="M1751" i="2"/>
  <c r="N1751" i="2" s="1"/>
  <c r="O1751" i="2" s="1"/>
  <c r="R1751" i="2" s="1"/>
  <c r="M1754" i="2"/>
  <c r="N1754" i="2" s="1"/>
  <c r="O1754" i="2" s="1"/>
  <c r="R1754" i="2" s="1"/>
  <c r="M1757" i="2"/>
  <c r="N1757" i="2" s="1"/>
  <c r="O1757" i="2" s="1"/>
  <c r="R1757" i="2" s="1"/>
  <c r="M1760" i="2"/>
  <c r="N1760" i="2" s="1"/>
  <c r="O1760" i="2" s="1"/>
  <c r="R1760" i="2" s="1"/>
  <c r="M1763" i="2"/>
  <c r="N1763" i="2" s="1"/>
  <c r="O1763" i="2" s="1"/>
  <c r="R1763" i="2" s="1"/>
  <c r="M1766" i="2"/>
  <c r="N1766" i="2" s="1"/>
  <c r="O1766" i="2" s="1"/>
  <c r="R1766" i="2" s="1"/>
  <c r="M1769" i="2"/>
  <c r="N1769" i="2" s="1"/>
  <c r="O1769" i="2" s="1"/>
  <c r="R1769" i="2" s="1"/>
  <c r="M1772" i="2"/>
  <c r="N1772" i="2" s="1"/>
  <c r="O1772" i="2" s="1"/>
  <c r="R1772" i="2" s="1"/>
  <c r="M1775" i="2"/>
  <c r="N1775" i="2" s="1"/>
  <c r="O1775" i="2" s="1"/>
  <c r="R1775" i="2" s="1"/>
  <c r="M1778" i="2"/>
  <c r="N1778" i="2" s="1"/>
  <c r="O1778" i="2" s="1"/>
  <c r="R1778" i="2" s="1"/>
  <c r="M1781" i="2"/>
  <c r="N1781" i="2" s="1"/>
  <c r="O1781" i="2" s="1"/>
  <c r="R1781" i="2" s="1"/>
  <c r="M1784" i="2"/>
  <c r="N1784" i="2" s="1"/>
  <c r="O1784" i="2" s="1"/>
  <c r="R1784" i="2" s="1"/>
  <c r="M1787" i="2"/>
  <c r="N1787" i="2" s="1"/>
  <c r="O1787" i="2" s="1"/>
  <c r="R1787" i="2" s="1"/>
  <c r="M1790" i="2"/>
  <c r="N1790" i="2" s="1"/>
  <c r="O1790" i="2" s="1"/>
  <c r="R1790" i="2" s="1"/>
  <c r="M1793" i="2"/>
  <c r="N1793" i="2" s="1"/>
  <c r="O1793" i="2" s="1"/>
  <c r="R1793" i="2" s="1"/>
  <c r="M1799" i="2"/>
  <c r="N1799" i="2" s="1"/>
  <c r="O1799" i="2" s="1"/>
  <c r="R1799" i="2" s="1"/>
  <c r="M1796" i="2"/>
  <c r="N1796" i="2" s="1"/>
  <c r="O1796" i="2" s="1"/>
  <c r="R1796" i="2" s="1"/>
  <c r="M1802" i="2"/>
  <c r="N1802" i="2" s="1"/>
  <c r="O1802" i="2" s="1"/>
  <c r="R1802" i="2" s="1"/>
  <c r="M1805" i="2"/>
  <c r="N1805" i="2" s="1"/>
  <c r="O1805" i="2" s="1"/>
  <c r="R1805" i="2" s="1"/>
  <c r="M1808" i="2"/>
  <c r="N1808" i="2" s="1"/>
  <c r="O1808" i="2" s="1"/>
  <c r="R1808" i="2" s="1"/>
  <c r="M1810" i="2"/>
  <c r="N1810" i="2" s="1"/>
  <c r="O1810" i="2" s="1"/>
  <c r="R1810" i="2" s="1"/>
  <c r="M1813" i="2"/>
  <c r="N1813" i="2" s="1"/>
  <c r="O1813" i="2" s="1"/>
  <c r="R1813" i="2" s="1"/>
  <c r="M1816" i="2"/>
  <c r="N1816" i="2" s="1"/>
  <c r="O1816" i="2" s="1"/>
  <c r="R1816" i="2" s="1"/>
  <c r="M1819" i="2"/>
  <c r="N1819" i="2" s="1"/>
  <c r="O1819" i="2" s="1"/>
  <c r="R1819" i="2" s="1"/>
  <c r="M1821" i="2"/>
  <c r="N1821" i="2" s="1"/>
  <c r="O1821" i="2" s="1"/>
  <c r="R1821" i="2" s="1"/>
  <c r="M1824" i="2"/>
  <c r="N1824" i="2" s="1"/>
  <c r="O1824" i="2" s="1"/>
  <c r="R1824" i="2" s="1"/>
  <c r="M1827" i="2"/>
  <c r="N1827" i="2" s="1"/>
  <c r="O1827" i="2" s="1"/>
  <c r="R1827" i="2" s="1"/>
  <c r="M1830" i="2"/>
  <c r="N1830" i="2" s="1"/>
  <c r="O1830" i="2" s="1"/>
  <c r="R1830" i="2" s="1"/>
  <c r="M1833" i="2"/>
  <c r="N1833" i="2" s="1"/>
  <c r="O1833" i="2" s="1"/>
  <c r="R1833" i="2" s="1"/>
  <c r="M1836" i="2"/>
  <c r="N1836" i="2" s="1"/>
  <c r="O1836" i="2" s="1"/>
  <c r="R1836" i="2" s="1"/>
  <c r="M1839" i="2"/>
  <c r="N1839" i="2" s="1"/>
  <c r="O1839" i="2" s="1"/>
  <c r="R1839" i="2" s="1"/>
  <c r="M1842" i="2"/>
  <c r="N1842" i="2" s="1"/>
  <c r="O1842" i="2" s="1"/>
  <c r="R1842" i="2" s="1"/>
  <c r="M1846" i="2"/>
  <c r="N1846" i="2" s="1"/>
  <c r="O1846" i="2" s="1"/>
  <c r="R1846" i="2" s="1"/>
  <c r="M1847" i="2"/>
  <c r="N1847" i="2" s="1"/>
  <c r="O1847" i="2" s="1"/>
  <c r="R1847" i="2" s="1"/>
  <c r="M1851" i="2"/>
  <c r="N1851" i="2" s="1"/>
  <c r="O1851" i="2" s="1"/>
  <c r="R1851" i="2" s="1"/>
  <c r="M1854" i="2"/>
  <c r="N1854" i="2" s="1"/>
  <c r="O1854" i="2" s="1"/>
  <c r="R1854" i="2" s="1"/>
  <c r="M1856" i="2"/>
  <c r="N1856" i="2" s="1"/>
  <c r="O1856" i="2" s="1"/>
  <c r="R1856" i="2" s="1"/>
  <c r="M1859" i="2"/>
  <c r="N1859" i="2" s="1"/>
  <c r="O1859" i="2" s="1"/>
  <c r="R1859" i="2" s="1"/>
  <c r="M1864" i="2"/>
  <c r="N1864" i="2" s="1"/>
  <c r="O1864" i="2" s="1"/>
  <c r="R1864" i="2" s="1"/>
  <c r="M1867" i="2"/>
  <c r="N1867" i="2" s="1"/>
  <c r="O1867" i="2" s="1"/>
  <c r="R1867" i="2" s="1"/>
  <c r="M1870" i="2"/>
  <c r="N1870" i="2" s="1"/>
  <c r="O1870" i="2" s="1"/>
  <c r="R1870" i="2" s="1"/>
  <c r="M1873" i="2"/>
  <c r="N1873" i="2" s="1"/>
  <c r="O1873" i="2" s="1"/>
  <c r="R1873" i="2" s="1"/>
  <c r="M1876" i="2"/>
  <c r="N1876" i="2" s="1"/>
  <c r="O1876" i="2" s="1"/>
  <c r="R1876" i="2" s="1"/>
  <c r="M1879" i="2"/>
  <c r="N1879" i="2" s="1"/>
  <c r="O1879" i="2" s="1"/>
  <c r="R1879" i="2" s="1"/>
  <c r="M1883" i="2"/>
  <c r="N1883" i="2" s="1"/>
  <c r="O1883" i="2" s="1"/>
  <c r="R1883" i="2" s="1"/>
  <c r="M1884" i="2"/>
  <c r="N1884" i="2" s="1"/>
  <c r="O1884" i="2" s="1"/>
  <c r="R1884" i="2" s="1"/>
  <c r="M1885" i="2"/>
  <c r="N1885" i="2" s="1"/>
  <c r="O1885" i="2" s="1"/>
  <c r="R1885" i="2" s="1"/>
  <c r="M1890" i="2"/>
  <c r="N1890" i="2" s="1"/>
  <c r="O1890" i="2" s="1"/>
  <c r="R1890" i="2" s="1"/>
  <c r="M1893" i="2"/>
  <c r="N1893" i="2" s="1"/>
  <c r="O1893" i="2" s="1"/>
  <c r="R1893" i="2" s="1"/>
  <c r="M1896" i="2"/>
  <c r="N1896" i="2" s="1"/>
  <c r="O1896" i="2" s="1"/>
  <c r="R1896" i="2" s="1"/>
  <c r="M1899" i="2"/>
  <c r="N1899" i="2" s="1"/>
  <c r="O1899" i="2" s="1"/>
  <c r="R1899" i="2" s="1"/>
  <c r="M1902" i="2"/>
  <c r="N1902" i="2" s="1"/>
  <c r="O1902" i="2" s="1"/>
  <c r="R1902" i="2" s="1"/>
  <c r="M1905" i="2"/>
  <c r="N1905" i="2" s="1"/>
  <c r="O1905" i="2" s="1"/>
  <c r="R1905" i="2" s="1"/>
  <c r="M1909" i="2"/>
  <c r="N1909" i="2" s="1"/>
  <c r="O1909" i="2" s="1"/>
  <c r="R1909" i="2" s="1"/>
  <c r="M1910" i="2"/>
  <c r="N1910" i="2" s="1"/>
  <c r="O1910" i="2" s="1"/>
  <c r="R1910" i="2" s="1"/>
  <c r="M1914" i="2"/>
  <c r="N1914" i="2" s="1"/>
  <c r="O1914" i="2" s="1"/>
  <c r="R1914" i="2" s="1"/>
  <c r="M1917" i="2"/>
  <c r="N1917" i="2" s="1"/>
  <c r="O1917" i="2" s="1"/>
  <c r="R1917" i="2" s="1"/>
  <c r="M1920" i="2"/>
  <c r="N1920" i="2" s="1"/>
  <c r="O1920" i="2" s="1"/>
  <c r="R1920" i="2" s="1"/>
  <c r="M1922" i="2"/>
  <c r="N1922" i="2" s="1"/>
  <c r="O1922" i="2" s="1"/>
  <c r="R1922" i="2" s="1"/>
  <c r="M1925" i="2"/>
  <c r="N1925" i="2" s="1"/>
  <c r="O1925" i="2" s="1"/>
  <c r="R1925" i="2" s="1"/>
  <c r="M1928" i="2"/>
  <c r="N1928" i="2" s="1"/>
  <c r="O1928" i="2" s="1"/>
  <c r="R1928" i="2" s="1"/>
  <c r="M1931" i="2"/>
  <c r="N1931" i="2" s="1"/>
  <c r="O1931" i="2" s="1"/>
  <c r="R1931" i="2" s="1"/>
  <c r="M1934" i="2"/>
  <c r="N1934" i="2" s="1"/>
  <c r="O1934" i="2" s="1"/>
  <c r="R1934" i="2" s="1"/>
  <c r="M1938" i="2"/>
  <c r="N1938" i="2" s="1"/>
  <c r="O1938" i="2" s="1"/>
  <c r="R1938" i="2" s="1"/>
  <c r="M1941" i="2"/>
  <c r="N1941" i="2" s="1"/>
  <c r="O1941" i="2" s="1"/>
  <c r="R1941" i="2" s="1"/>
  <c r="M1944" i="2"/>
  <c r="N1944" i="2" s="1"/>
  <c r="O1944" i="2" s="1"/>
  <c r="R1944" i="2" s="1"/>
  <c r="M1945" i="2"/>
  <c r="N1945" i="2" s="1"/>
  <c r="O1945" i="2" s="1"/>
  <c r="R1945" i="2" s="1"/>
  <c r="M1950" i="2"/>
  <c r="N1950" i="2" s="1"/>
  <c r="O1950" i="2" s="1"/>
  <c r="R1950" i="2" s="1"/>
  <c r="M1953" i="2"/>
  <c r="N1953" i="2" s="1"/>
  <c r="O1953" i="2" s="1"/>
  <c r="R1953" i="2" s="1"/>
  <c r="M1957" i="2"/>
  <c r="N1957" i="2" s="1"/>
  <c r="O1957" i="2" s="1"/>
  <c r="R1957" i="2" s="1"/>
  <c r="M1960" i="2"/>
  <c r="N1960" i="2" s="1"/>
  <c r="O1960" i="2" s="1"/>
  <c r="R1960" i="2" s="1"/>
  <c r="M1963" i="2"/>
  <c r="N1963" i="2" s="1"/>
  <c r="O1963" i="2" s="1"/>
  <c r="R1963" i="2" s="1"/>
  <c r="M1966" i="2"/>
  <c r="N1966" i="2" s="1"/>
  <c r="O1966" i="2" s="1"/>
  <c r="R1966" i="2" s="1"/>
  <c r="M1969" i="2"/>
  <c r="N1969" i="2" s="1"/>
  <c r="O1969" i="2" s="1"/>
  <c r="R1969" i="2" s="1"/>
  <c r="M1972" i="2"/>
  <c r="N1972" i="2" s="1"/>
  <c r="O1972" i="2" s="1"/>
  <c r="R1972" i="2" s="1"/>
  <c r="M1975" i="2"/>
  <c r="N1975" i="2" s="1"/>
  <c r="O1975" i="2" s="1"/>
  <c r="R1975" i="2" s="1"/>
  <c r="M1978" i="2"/>
  <c r="N1978" i="2" s="1"/>
  <c r="O1978" i="2" s="1"/>
  <c r="R1978" i="2" s="1"/>
  <c r="M1981" i="2"/>
  <c r="N1981" i="2" s="1"/>
  <c r="O1981" i="2" s="1"/>
  <c r="R1981" i="2" s="1"/>
  <c r="M1984" i="2"/>
  <c r="N1984" i="2" s="1"/>
  <c r="O1984" i="2" s="1"/>
  <c r="R1984" i="2" s="1"/>
  <c r="M1987" i="2"/>
  <c r="N1987" i="2" s="1"/>
  <c r="O1987" i="2" s="1"/>
  <c r="R1987" i="2" s="1"/>
  <c r="M1990" i="2"/>
  <c r="N1990" i="2" s="1"/>
  <c r="O1990" i="2" s="1"/>
  <c r="R1990" i="2" s="1"/>
  <c r="M1993" i="2"/>
  <c r="N1993" i="2" s="1"/>
  <c r="O1993" i="2" s="1"/>
  <c r="R1993" i="2" s="1"/>
  <c r="M1996" i="2"/>
  <c r="N1996" i="2" s="1"/>
  <c r="O1996" i="2" s="1"/>
  <c r="R1996" i="2" s="1"/>
  <c r="M1999" i="2"/>
  <c r="N1999" i="2" s="1"/>
  <c r="O1999" i="2" s="1"/>
  <c r="R1999" i="2" s="1"/>
  <c r="M2002" i="2"/>
  <c r="N2002" i="2" s="1"/>
  <c r="O2002" i="2" s="1"/>
  <c r="R2002" i="2" s="1"/>
  <c r="M2005" i="2"/>
  <c r="N2005" i="2" s="1"/>
  <c r="O2005" i="2" s="1"/>
  <c r="R2005" i="2" s="1"/>
  <c r="M2008" i="2"/>
  <c r="N2008" i="2" s="1"/>
  <c r="O2008" i="2" s="1"/>
  <c r="R2008" i="2" s="1"/>
  <c r="M2011" i="2"/>
  <c r="N2011" i="2" s="1"/>
  <c r="O2011" i="2" s="1"/>
  <c r="R2011" i="2" s="1"/>
  <c r="M2014" i="2"/>
  <c r="N2014" i="2" s="1"/>
  <c r="O2014" i="2" s="1"/>
  <c r="R2014" i="2" s="1"/>
  <c r="M2017" i="2"/>
  <c r="N2017" i="2" s="1"/>
  <c r="O2017" i="2" s="1"/>
  <c r="R2017" i="2" s="1"/>
  <c r="M2021" i="2"/>
  <c r="N2021" i="2" s="1"/>
  <c r="O2021" i="2" s="1"/>
  <c r="R2021" i="2" s="1"/>
  <c r="M2024" i="2"/>
  <c r="N2024" i="2" s="1"/>
  <c r="O2024" i="2" s="1"/>
  <c r="R2024" i="2" s="1"/>
  <c r="M2027" i="2"/>
  <c r="N2027" i="2" s="1"/>
  <c r="O2027" i="2" s="1"/>
  <c r="R2027" i="2" s="1"/>
  <c r="M2030" i="2"/>
  <c r="N2030" i="2" s="1"/>
  <c r="O2030" i="2" s="1"/>
  <c r="R2030" i="2" s="1"/>
  <c r="M2033" i="2"/>
  <c r="N2033" i="2" s="1"/>
  <c r="O2033" i="2" s="1"/>
  <c r="R2033" i="2" s="1"/>
  <c r="M2036" i="2"/>
  <c r="N2036" i="2" s="1"/>
  <c r="O2036" i="2" s="1"/>
  <c r="R2036" i="2" s="1"/>
  <c r="M2039" i="2"/>
  <c r="N2039" i="2" s="1"/>
  <c r="O2039" i="2" s="1"/>
  <c r="R2039" i="2" s="1"/>
  <c r="M2042" i="2"/>
  <c r="N2042" i="2" s="1"/>
  <c r="O2042" i="2" s="1"/>
  <c r="R2042" i="2" s="1"/>
  <c r="M2045" i="2"/>
  <c r="N2045" i="2" s="1"/>
  <c r="O2045" i="2" s="1"/>
  <c r="R2045" i="2" s="1"/>
  <c r="M2048" i="2"/>
  <c r="N2048" i="2" s="1"/>
  <c r="O2048" i="2" s="1"/>
  <c r="R2048" i="2" s="1"/>
  <c r="M2051" i="2"/>
  <c r="N2051" i="2" s="1"/>
  <c r="O2051" i="2" s="1"/>
  <c r="R2051" i="2" s="1"/>
  <c r="M2054" i="2"/>
  <c r="N2054" i="2" s="1"/>
  <c r="O2054" i="2" s="1"/>
  <c r="R2054" i="2" s="1"/>
  <c r="M2057" i="2"/>
  <c r="N2057" i="2" s="1"/>
  <c r="O2057" i="2" s="1"/>
  <c r="R2057" i="2" s="1"/>
  <c r="M2060" i="2"/>
  <c r="N2060" i="2" s="1"/>
  <c r="O2060" i="2" s="1"/>
  <c r="R2060" i="2" s="1"/>
  <c r="M2063" i="2"/>
  <c r="N2063" i="2" s="1"/>
  <c r="O2063" i="2" s="1"/>
  <c r="R2063" i="2" s="1"/>
  <c r="M2066" i="2"/>
  <c r="N2066" i="2" s="1"/>
  <c r="O2066" i="2" s="1"/>
  <c r="R2066" i="2" s="1"/>
  <c r="M2069" i="2"/>
  <c r="N2069" i="2" s="1"/>
  <c r="O2069" i="2" s="1"/>
  <c r="R2069" i="2" s="1"/>
  <c r="M2073" i="2"/>
  <c r="N2073" i="2" s="1"/>
  <c r="O2073" i="2" s="1"/>
  <c r="R2073" i="2" s="1"/>
  <c r="M2076" i="2"/>
  <c r="N2076" i="2" s="1"/>
  <c r="O2076" i="2" s="1"/>
  <c r="R2076" i="2" s="1"/>
  <c r="M2079" i="2"/>
  <c r="N2079" i="2" s="1"/>
  <c r="O2079" i="2" s="1"/>
  <c r="R2079" i="2" s="1"/>
  <c r="M2082" i="2"/>
  <c r="N2082" i="2" s="1"/>
  <c r="O2082" i="2" s="1"/>
  <c r="R2082" i="2" s="1"/>
  <c r="M2084" i="2"/>
  <c r="N2084" i="2" s="1"/>
  <c r="O2084" i="2" s="1"/>
  <c r="R2084" i="2" s="1"/>
  <c r="M2087" i="2"/>
  <c r="N2087" i="2" s="1"/>
  <c r="O2087" i="2" s="1"/>
  <c r="R2087" i="2" s="1"/>
  <c r="M2091" i="2"/>
  <c r="N2091" i="2" s="1"/>
  <c r="O2091" i="2" s="1"/>
  <c r="R2091" i="2" s="1"/>
  <c r="M2094" i="2"/>
  <c r="N2094" i="2" s="1"/>
  <c r="O2094" i="2" s="1"/>
  <c r="R2094" i="2" s="1"/>
  <c r="M2097" i="2"/>
  <c r="N2097" i="2" s="1"/>
  <c r="O2097" i="2" s="1"/>
  <c r="R2097" i="2" s="1"/>
  <c r="M2100" i="2"/>
  <c r="N2100" i="2" s="1"/>
  <c r="O2100" i="2" s="1"/>
  <c r="R2100" i="2" s="1"/>
  <c r="M2103" i="2"/>
  <c r="N2103" i="2" s="1"/>
  <c r="O2103" i="2" s="1"/>
  <c r="R2103" i="2" s="1"/>
  <c r="M2106" i="2"/>
  <c r="N2106" i="2" s="1"/>
  <c r="O2106" i="2" s="1"/>
  <c r="R2106" i="2" s="1"/>
  <c r="M2109" i="2"/>
  <c r="N2109" i="2" s="1"/>
  <c r="O2109" i="2" s="1"/>
  <c r="R2109" i="2" s="1"/>
  <c r="M2112" i="2"/>
  <c r="N2112" i="2" s="1"/>
  <c r="O2112" i="2" s="1"/>
  <c r="R2112" i="2" s="1"/>
  <c r="M2115" i="2"/>
  <c r="N2115" i="2" s="1"/>
  <c r="O2115" i="2" s="1"/>
  <c r="R2115" i="2" s="1"/>
  <c r="M2118" i="2"/>
  <c r="N2118" i="2" s="1"/>
  <c r="O2118" i="2" s="1"/>
  <c r="R2118" i="2" s="1"/>
  <c r="M2121" i="2"/>
  <c r="N2121" i="2" s="1"/>
  <c r="O2121" i="2" s="1"/>
  <c r="R2121" i="2" s="1"/>
  <c r="M2124" i="2"/>
  <c r="N2124" i="2" s="1"/>
  <c r="O2124" i="2" s="1"/>
  <c r="R2124" i="2" s="1"/>
  <c r="M2127" i="2"/>
  <c r="N2127" i="2" s="1"/>
  <c r="O2127" i="2" s="1"/>
  <c r="R2127" i="2" s="1"/>
  <c r="M2130" i="2"/>
  <c r="N2130" i="2" s="1"/>
  <c r="O2130" i="2" s="1"/>
  <c r="R2130" i="2" s="1"/>
  <c r="M2133" i="2"/>
  <c r="N2133" i="2" s="1"/>
  <c r="O2133" i="2" s="1"/>
  <c r="R2133" i="2" s="1"/>
  <c r="M2135" i="2"/>
  <c r="N2135" i="2" s="1"/>
  <c r="O2135" i="2" s="1"/>
  <c r="R2135" i="2" s="1"/>
  <c r="M2138" i="2"/>
  <c r="N2138" i="2" s="1"/>
  <c r="O2138" i="2" s="1"/>
  <c r="R2138" i="2" s="1"/>
  <c r="M2141" i="2"/>
  <c r="N2141" i="2" s="1"/>
  <c r="O2141" i="2" s="1"/>
  <c r="R2141" i="2" s="1"/>
  <c r="M2144" i="2"/>
  <c r="N2144" i="2" s="1"/>
  <c r="O2144" i="2" s="1"/>
  <c r="R2144" i="2" s="1"/>
  <c r="M2147" i="2"/>
  <c r="N2147" i="2" s="1"/>
  <c r="O2147" i="2" s="1"/>
  <c r="R2147" i="2" s="1"/>
  <c r="M2150" i="2"/>
  <c r="N2150" i="2" s="1"/>
  <c r="O2150" i="2" s="1"/>
  <c r="R2150" i="2" s="1"/>
  <c r="M2153" i="2"/>
  <c r="N2153" i="2" s="1"/>
  <c r="O2153" i="2" s="1"/>
  <c r="R2153" i="2" s="1"/>
  <c r="M2156" i="2"/>
  <c r="N2156" i="2" s="1"/>
  <c r="O2156" i="2" s="1"/>
  <c r="R2156" i="2" s="1"/>
  <c r="M2159" i="2"/>
  <c r="N2159" i="2" s="1"/>
  <c r="O2159" i="2" s="1"/>
  <c r="R2159" i="2" s="1"/>
  <c r="M2162" i="2"/>
  <c r="N2162" i="2" s="1"/>
  <c r="O2162" i="2" s="1"/>
  <c r="R2162" i="2" s="1"/>
  <c r="M2165" i="2"/>
  <c r="N2165" i="2" s="1"/>
  <c r="O2165" i="2" s="1"/>
  <c r="R2165" i="2" s="1"/>
  <c r="M2168" i="2"/>
  <c r="N2168" i="2" s="1"/>
  <c r="O2168" i="2" s="1"/>
  <c r="R2168" i="2" s="1"/>
  <c r="M2171" i="2"/>
  <c r="N2171" i="2" s="1"/>
  <c r="O2171" i="2" s="1"/>
  <c r="R2171" i="2" s="1"/>
  <c r="M2174" i="2"/>
  <c r="N2174" i="2" s="1"/>
  <c r="O2174" i="2" s="1"/>
  <c r="R2174" i="2" s="1"/>
  <c r="M2177" i="2"/>
  <c r="N2177" i="2" s="1"/>
  <c r="O2177" i="2" s="1"/>
  <c r="R2177" i="2" s="1"/>
  <c r="M2180" i="2"/>
  <c r="N2180" i="2" s="1"/>
  <c r="O2180" i="2" s="1"/>
  <c r="R2180" i="2" s="1"/>
  <c r="M2183" i="2"/>
  <c r="N2183" i="2" s="1"/>
  <c r="O2183" i="2" s="1"/>
  <c r="R2183" i="2" s="1"/>
  <c r="M2186" i="2"/>
  <c r="N2186" i="2" s="1"/>
  <c r="O2186" i="2" s="1"/>
  <c r="R2186" i="2" s="1"/>
  <c r="M2189" i="2"/>
  <c r="N2189" i="2" s="1"/>
  <c r="O2189" i="2" s="1"/>
  <c r="R2189" i="2" s="1"/>
  <c r="M2192" i="2"/>
  <c r="N2192" i="2" s="1"/>
  <c r="O2192" i="2" s="1"/>
  <c r="R2192" i="2" s="1"/>
  <c r="M2195" i="2"/>
  <c r="N2195" i="2" s="1"/>
  <c r="O2195" i="2" s="1"/>
  <c r="R2195" i="2" s="1"/>
  <c r="M2198" i="2"/>
  <c r="N2198" i="2" s="1"/>
  <c r="O2198" i="2" s="1"/>
  <c r="R2198" i="2" s="1"/>
  <c r="M2201" i="2"/>
  <c r="N2201" i="2" s="1"/>
  <c r="O2201" i="2" s="1"/>
  <c r="R2201" i="2" s="1"/>
  <c r="M2204" i="2"/>
  <c r="N2204" i="2" s="1"/>
  <c r="O2204" i="2" s="1"/>
  <c r="R2204" i="2" s="1"/>
  <c r="M2207" i="2"/>
  <c r="N2207" i="2" s="1"/>
  <c r="O2207" i="2" s="1"/>
  <c r="R2207" i="2" s="1"/>
  <c r="M2210" i="2"/>
  <c r="N2210" i="2" s="1"/>
  <c r="O2210" i="2" s="1"/>
  <c r="R2210" i="2" s="1"/>
  <c r="M2214" i="2"/>
  <c r="N2214" i="2" s="1"/>
  <c r="O2214" i="2" s="1"/>
  <c r="R2214" i="2" s="1"/>
  <c r="M2217" i="2"/>
  <c r="N2217" i="2" s="1"/>
  <c r="O2217" i="2" s="1"/>
  <c r="R2217" i="2" s="1"/>
  <c r="M2220" i="2"/>
  <c r="N2220" i="2" s="1"/>
  <c r="O2220" i="2" s="1"/>
  <c r="R2220" i="2" s="1"/>
  <c r="M2223" i="2"/>
  <c r="N2223" i="2" s="1"/>
  <c r="O2223" i="2" s="1"/>
  <c r="R2223" i="2" s="1"/>
  <c r="M2226" i="2"/>
  <c r="N2226" i="2" s="1"/>
  <c r="O2226" i="2" s="1"/>
  <c r="R2226" i="2" s="1"/>
  <c r="M2229" i="2"/>
  <c r="N2229" i="2" s="1"/>
  <c r="O2229" i="2" s="1"/>
  <c r="R2229" i="2" s="1"/>
  <c r="M2233" i="2"/>
  <c r="N2233" i="2" s="1"/>
  <c r="O2233" i="2" s="1"/>
  <c r="R2233" i="2" s="1"/>
  <c r="M2234" i="2"/>
  <c r="N2234" i="2" s="1"/>
  <c r="O2234" i="2" s="1"/>
  <c r="R2234" i="2" s="1"/>
  <c r="M2238" i="2"/>
  <c r="N2238" i="2" s="1"/>
  <c r="O2238" i="2" s="1"/>
  <c r="R2238" i="2" s="1"/>
  <c r="M2241" i="2"/>
  <c r="N2241" i="2" s="1"/>
  <c r="O2241" i="2" s="1"/>
  <c r="R2241" i="2" s="1"/>
  <c r="M2244" i="2"/>
  <c r="N2244" i="2" s="1"/>
  <c r="O2244" i="2" s="1"/>
  <c r="R2244" i="2" s="1"/>
  <c r="M2247" i="2"/>
  <c r="N2247" i="2" s="1"/>
  <c r="O2247" i="2" s="1"/>
  <c r="R2247" i="2" s="1"/>
  <c r="M2250" i="2"/>
  <c r="N2250" i="2" s="1"/>
  <c r="O2250" i="2" s="1"/>
  <c r="R2250" i="2" s="1"/>
  <c r="M2253" i="2"/>
  <c r="N2253" i="2" s="1"/>
  <c r="O2253" i="2" s="1"/>
  <c r="R2253" i="2" s="1"/>
  <c r="M2256" i="2"/>
  <c r="N2256" i="2" s="1"/>
  <c r="O2256" i="2" s="1"/>
  <c r="R2256" i="2" s="1"/>
  <c r="M2259" i="2"/>
  <c r="N2259" i="2" s="1"/>
  <c r="O2259" i="2" s="1"/>
  <c r="R2259" i="2" s="1"/>
  <c r="M2262" i="2"/>
  <c r="N2262" i="2" s="1"/>
  <c r="O2262" i="2" s="1"/>
  <c r="R2262" i="2" s="1"/>
  <c r="M2265" i="2"/>
  <c r="N2265" i="2" s="1"/>
  <c r="O2265" i="2" s="1"/>
  <c r="R2265" i="2" s="1"/>
  <c r="M2268" i="2"/>
  <c r="N2268" i="2" s="1"/>
  <c r="O2268" i="2" s="1"/>
  <c r="R2268" i="2" s="1"/>
  <c r="M2271" i="2"/>
  <c r="N2271" i="2" s="1"/>
  <c r="O2271" i="2" s="1"/>
  <c r="R2271" i="2" s="1"/>
  <c r="M2274" i="2"/>
  <c r="N2274" i="2" s="1"/>
  <c r="O2274" i="2" s="1"/>
  <c r="R2274" i="2" s="1"/>
  <c r="M2277" i="2"/>
  <c r="N2277" i="2" s="1"/>
  <c r="O2277" i="2" s="1"/>
  <c r="R2277" i="2" s="1"/>
  <c r="M2280" i="2"/>
  <c r="N2280" i="2" s="1"/>
  <c r="O2280" i="2" s="1"/>
  <c r="R2280" i="2" s="1"/>
  <c r="M2283" i="2"/>
  <c r="N2283" i="2" s="1"/>
  <c r="O2283" i="2" s="1"/>
  <c r="R2283" i="2" s="1"/>
  <c r="M2286" i="2"/>
  <c r="N2286" i="2" s="1"/>
  <c r="O2286" i="2" s="1"/>
  <c r="R2286" i="2" s="1"/>
  <c r="M2289" i="2"/>
  <c r="N2289" i="2" s="1"/>
  <c r="O2289" i="2" s="1"/>
  <c r="R2289" i="2" s="1"/>
  <c r="M2292" i="2"/>
  <c r="N2292" i="2" s="1"/>
  <c r="O2292" i="2" s="1"/>
  <c r="R2292" i="2" s="1"/>
  <c r="M2295" i="2"/>
  <c r="N2295" i="2" s="1"/>
  <c r="O2295" i="2" s="1"/>
  <c r="R2295" i="2" s="1"/>
  <c r="M2298" i="2"/>
  <c r="N2298" i="2" s="1"/>
  <c r="O2298" i="2" s="1"/>
  <c r="R2298" i="2" s="1"/>
  <c r="M2301" i="2"/>
  <c r="N2301" i="2" s="1"/>
  <c r="O2301" i="2" s="1"/>
  <c r="R2301" i="2" s="1"/>
  <c r="M2304" i="2"/>
  <c r="N2304" i="2" s="1"/>
  <c r="O2304" i="2" s="1"/>
  <c r="R2304" i="2" s="1"/>
  <c r="M2307" i="2"/>
  <c r="N2307" i="2" s="1"/>
  <c r="O2307" i="2" s="1"/>
  <c r="R2307" i="2" s="1"/>
  <c r="M2310" i="2"/>
  <c r="N2310" i="2" s="1"/>
  <c r="O2310" i="2" s="1"/>
  <c r="R2310" i="2" s="1"/>
  <c r="M2314" i="2"/>
  <c r="N2314" i="2" s="1"/>
  <c r="O2314" i="2" s="1"/>
  <c r="R2314" i="2" s="1"/>
  <c r="M2317" i="2"/>
  <c r="N2317" i="2" s="1"/>
  <c r="O2317" i="2" s="1"/>
  <c r="R2317" i="2" s="1"/>
  <c r="M2320" i="2"/>
  <c r="N2320" i="2" s="1"/>
  <c r="O2320" i="2" s="1"/>
  <c r="R2320" i="2" s="1"/>
  <c r="M2324" i="2"/>
  <c r="N2324" i="2" s="1"/>
  <c r="O2324" i="2" s="1"/>
  <c r="R2324" i="2" s="1"/>
  <c r="M2327" i="2"/>
  <c r="N2327" i="2" s="1"/>
  <c r="O2327" i="2" s="1"/>
  <c r="R2327" i="2" s="1"/>
  <c r="M2330" i="2"/>
  <c r="N2330" i="2" s="1"/>
  <c r="O2330" i="2" s="1"/>
  <c r="R2330" i="2" s="1"/>
  <c r="M2333" i="2"/>
  <c r="N2333" i="2" s="1"/>
  <c r="O2333" i="2" s="1"/>
  <c r="R2333" i="2" s="1"/>
  <c r="M2336" i="2"/>
  <c r="N2336" i="2" s="1"/>
  <c r="O2336" i="2" s="1"/>
  <c r="R2336" i="2" s="1"/>
  <c r="M2339" i="2"/>
  <c r="N2339" i="2" s="1"/>
  <c r="O2339" i="2" s="1"/>
  <c r="R2339" i="2" s="1"/>
  <c r="M2342" i="2"/>
  <c r="N2342" i="2" s="1"/>
  <c r="O2342" i="2" s="1"/>
  <c r="R2342" i="2" s="1"/>
  <c r="M2345" i="2"/>
  <c r="N2345" i="2" s="1"/>
  <c r="O2345" i="2" s="1"/>
  <c r="R2345" i="2" s="1"/>
  <c r="M2349" i="2"/>
  <c r="N2349" i="2" s="1"/>
  <c r="O2349" i="2" s="1"/>
  <c r="R2349" i="2" s="1"/>
  <c r="M2350" i="2"/>
  <c r="N2350" i="2" s="1"/>
  <c r="O2350" i="2" s="1"/>
  <c r="R2350" i="2" s="1"/>
  <c r="M2354" i="2"/>
  <c r="N2354" i="2" s="1"/>
  <c r="O2354" i="2" s="1"/>
  <c r="R2354" i="2" s="1"/>
  <c r="M2358" i="2"/>
  <c r="N2358" i="2" s="1"/>
  <c r="O2358" i="2" s="1"/>
  <c r="R2358" i="2" s="1"/>
  <c r="M2361" i="2"/>
  <c r="N2361" i="2" s="1"/>
  <c r="O2361" i="2" s="1"/>
  <c r="R2361" i="2" s="1"/>
  <c r="M2362" i="2"/>
  <c r="N2362" i="2" s="1"/>
  <c r="O2362" i="2" s="1"/>
  <c r="R2362" i="2" s="1"/>
  <c r="M2366" i="2"/>
  <c r="N2366" i="2" s="1"/>
  <c r="O2366" i="2" s="1"/>
  <c r="R2366" i="2" s="1"/>
  <c r="M2371" i="2"/>
  <c r="N2371" i="2" s="1"/>
  <c r="O2371" i="2" s="1"/>
  <c r="R2371" i="2" s="1"/>
  <c r="M2373" i="2"/>
  <c r="N2373" i="2" s="1"/>
  <c r="O2373" i="2" s="1"/>
  <c r="R2373" i="2" s="1"/>
  <c r="M2376" i="2"/>
  <c r="N2376" i="2" s="1"/>
  <c r="O2376" i="2" s="1"/>
  <c r="R2376" i="2" s="1"/>
  <c r="M2379" i="2"/>
  <c r="N2379" i="2" s="1"/>
  <c r="O2379" i="2" s="1"/>
  <c r="R2379" i="2" s="1"/>
  <c r="M2382" i="2"/>
  <c r="N2382" i="2" s="1"/>
  <c r="O2382" i="2" s="1"/>
  <c r="R2382" i="2" s="1"/>
  <c r="M2385" i="2"/>
  <c r="N2385" i="2" s="1"/>
  <c r="O2385" i="2" s="1"/>
  <c r="R2385" i="2" s="1"/>
  <c r="M2388" i="2"/>
  <c r="N2388" i="2" s="1"/>
  <c r="O2388" i="2" s="1"/>
  <c r="R2388" i="2" s="1"/>
  <c r="M2391" i="2"/>
  <c r="N2391" i="2" s="1"/>
  <c r="O2391" i="2" s="1"/>
  <c r="R2391" i="2" s="1"/>
  <c r="M2394" i="2"/>
  <c r="N2394" i="2" s="1"/>
  <c r="O2394" i="2" s="1"/>
  <c r="R2394" i="2" s="1"/>
  <c r="M2397" i="2"/>
  <c r="N2397" i="2" s="1"/>
  <c r="O2397" i="2" s="1"/>
  <c r="R2397" i="2" s="1"/>
  <c r="M2400" i="2"/>
  <c r="N2400" i="2" s="1"/>
  <c r="O2400" i="2" s="1"/>
  <c r="R2400" i="2" s="1"/>
  <c r="M2403" i="2"/>
  <c r="N2403" i="2" s="1"/>
  <c r="O2403" i="2" s="1"/>
  <c r="R2403" i="2" s="1"/>
  <c r="M2406" i="2"/>
  <c r="N2406" i="2" s="1"/>
  <c r="O2406" i="2" s="1"/>
  <c r="R2406" i="2" s="1"/>
  <c r="M2409" i="2"/>
  <c r="N2409" i="2" s="1"/>
  <c r="O2409" i="2" s="1"/>
  <c r="R2409" i="2" s="1"/>
  <c r="M2412" i="2"/>
  <c r="N2412" i="2" s="1"/>
  <c r="O2412" i="2" s="1"/>
  <c r="R2412" i="2" s="1"/>
  <c r="M4" i="2"/>
  <c r="N4" i="2" s="1"/>
  <c r="O4" i="2" s="1"/>
  <c r="R4" i="2" s="1"/>
  <c r="M7" i="2"/>
  <c r="N7" i="2" s="1"/>
  <c r="O7" i="2" s="1"/>
  <c r="R7" i="2" s="1"/>
  <c r="M10" i="2"/>
  <c r="N10" i="2" s="1"/>
  <c r="O10" i="2" s="1"/>
  <c r="R10" i="2" s="1"/>
  <c r="M14" i="2"/>
  <c r="N14" i="2" s="1"/>
  <c r="O14" i="2" s="1"/>
  <c r="R14" i="2" s="1"/>
  <c r="M17" i="2"/>
  <c r="N17" i="2" s="1"/>
  <c r="O17" i="2" s="1"/>
  <c r="R17" i="2" s="1"/>
  <c r="M20" i="2"/>
  <c r="N20" i="2" s="1"/>
  <c r="O20" i="2" s="1"/>
  <c r="R20" i="2" s="1"/>
  <c r="M23" i="2"/>
  <c r="N23" i="2" s="1"/>
  <c r="O23" i="2" s="1"/>
  <c r="R23" i="2" s="1"/>
  <c r="M26" i="2"/>
  <c r="N26" i="2" s="1"/>
  <c r="O26" i="2" s="1"/>
  <c r="R26" i="2" s="1"/>
  <c r="M30" i="2"/>
  <c r="N30" i="2" s="1"/>
  <c r="O30" i="2" s="1"/>
  <c r="R30" i="2" s="1"/>
  <c r="M33" i="2"/>
  <c r="N33" i="2" s="1"/>
  <c r="O33" i="2" s="1"/>
  <c r="R33" i="2" s="1"/>
  <c r="M36" i="2"/>
  <c r="N36" i="2" s="1"/>
  <c r="O36" i="2" s="1"/>
  <c r="R36" i="2" s="1"/>
  <c r="M39" i="2"/>
  <c r="N39" i="2" s="1"/>
  <c r="O39" i="2" s="1"/>
  <c r="R39" i="2" s="1"/>
  <c r="M42" i="2"/>
  <c r="N42" i="2" s="1"/>
  <c r="O42" i="2" s="1"/>
  <c r="R42" i="2" s="1"/>
  <c r="M45" i="2"/>
  <c r="N45" i="2" s="1"/>
  <c r="O45" i="2" s="1"/>
  <c r="R45" i="2" s="1"/>
  <c r="M48" i="2"/>
  <c r="N48" i="2" s="1"/>
  <c r="O48" i="2" s="1"/>
  <c r="R48" i="2" s="1"/>
  <c r="M52" i="2"/>
  <c r="N52" i="2" s="1"/>
  <c r="O52" i="2" s="1"/>
  <c r="R52" i="2" s="1"/>
  <c r="M55" i="2"/>
  <c r="N55" i="2" s="1"/>
  <c r="O55" i="2" s="1"/>
  <c r="R55" i="2" s="1"/>
  <c r="M58" i="2"/>
  <c r="N58" i="2" s="1"/>
  <c r="O58" i="2" s="1"/>
  <c r="R58" i="2" s="1"/>
  <c r="M61" i="2"/>
  <c r="N61" i="2" s="1"/>
  <c r="O61" i="2" s="1"/>
  <c r="R61" i="2" s="1"/>
  <c r="M62" i="2"/>
  <c r="N62" i="2" s="1"/>
  <c r="O62" i="2" s="1"/>
  <c r="R62" i="2" s="1"/>
  <c r="M65" i="2"/>
  <c r="N65" i="2" s="1"/>
  <c r="O65" i="2" s="1"/>
  <c r="R65" i="2" s="1"/>
  <c r="M68" i="2"/>
  <c r="N68" i="2" s="1"/>
  <c r="O68" i="2" s="1"/>
  <c r="R68" i="2" s="1"/>
  <c r="M71" i="2"/>
  <c r="N71" i="2" s="1"/>
  <c r="O71" i="2" s="1"/>
  <c r="R71" i="2" s="1"/>
  <c r="M74" i="2"/>
  <c r="N74" i="2" s="1"/>
  <c r="O74" i="2" s="1"/>
  <c r="R74" i="2" s="1"/>
  <c r="M79" i="2"/>
  <c r="N79" i="2" s="1"/>
  <c r="O79" i="2" s="1"/>
  <c r="R79" i="2" s="1"/>
  <c r="M82" i="2"/>
  <c r="N82" i="2" s="1"/>
  <c r="O82" i="2" s="1"/>
  <c r="R82" i="2" s="1"/>
  <c r="M87" i="2"/>
  <c r="N87" i="2" s="1"/>
  <c r="O87" i="2" s="1"/>
  <c r="R87" i="2" s="1"/>
  <c r="M90" i="2"/>
  <c r="N90" i="2" s="1"/>
  <c r="O90" i="2" s="1"/>
  <c r="R90" i="2" s="1"/>
  <c r="M93" i="2"/>
  <c r="N93" i="2" s="1"/>
  <c r="O93" i="2" s="1"/>
  <c r="R93" i="2" s="1"/>
  <c r="M96" i="2"/>
  <c r="N96" i="2" s="1"/>
  <c r="O96" i="2" s="1"/>
  <c r="R96" i="2" s="1"/>
  <c r="M99" i="2"/>
  <c r="N99" i="2" s="1"/>
  <c r="O99" i="2" s="1"/>
  <c r="R99" i="2" s="1"/>
  <c r="M102" i="2"/>
  <c r="N102" i="2" s="1"/>
  <c r="O102" i="2" s="1"/>
  <c r="R102" i="2" s="1"/>
  <c r="M105" i="2"/>
  <c r="N105" i="2" s="1"/>
  <c r="O105" i="2" s="1"/>
  <c r="R105" i="2" s="1"/>
  <c r="M108" i="2"/>
  <c r="N108" i="2" s="1"/>
  <c r="O108" i="2" s="1"/>
  <c r="R108" i="2" s="1"/>
  <c r="M111" i="2"/>
  <c r="N111" i="2" s="1"/>
  <c r="O111" i="2" s="1"/>
  <c r="R111" i="2" s="1"/>
  <c r="M114" i="2"/>
  <c r="N114" i="2" s="1"/>
  <c r="O114" i="2" s="1"/>
  <c r="R114" i="2" s="1"/>
  <c r="M117" i="2"/>
  <c r="N117" i="2" s="1"/>
  <c r="O117" i="2" s="1"/>
  <c r="R117" i="2" s="1"/>
  <c r="M120" i="2"/>
  <c r="N120" i="2" s="1"/>
  <c r="O120" i="2" s="1"/>
  <c r="R120" i="2" s="1"/>
  <c r="M123" i="2"/>
  <c r="N123" i="2" s="1"/>
  <c r="O123" i="2" s="1"/>
  <c r="R123" i="2" s="1"/>
  <c r="M126" i="2"/>
  <c r="N126" i="2" s="1"/>
  <c r="O126" i="2" s="1"/>
  <c r="R126" i="2" s="1"/>
  <c r="M129" i="2"/>
  <c r="N129" i="2" s="1"/>
  <c r="O129" i="2" s="1"/>
  <c r="R129" i="2" s="1"/>
  <c r="M132" i="2"/>
  <c r="N132" i="2" s="1"/>
  <c r="O132" i="2" s="1"/>
  <c r="R132" i="2" s="1"/>
  <c r="M135" i="2"/>
  <c r="N135" i="2" s="1"/>
  <c r="O135" i="2" s="1"/>
  <c r="R135" i="2" s="1"/>
  <c r="M138" i="2"/>
  <c r="N138" i="2" s="1"/>
  <c r="O138" i="2" s="1"/>
  <c r="R138" i="2" s="1"/>
  <c r="M141" i="2"/>
  <c r="N141" i="2" s="1"/>
  <c r="O141" i="2" s="1"/>
  <c r="R141" i="2" s="1"/>
  <c r="M145" i="2"/>
  <c r="N145" i="2" s="1"/>
  <c r="O145" i="2" s="1"/>
  <c r="R145" i="2" s="1"/>
  <c r="M148" i="2"/>
  <c r="N148" i="2" s="1"/>
  <c r="O148" i="2" s="1"/>
  <c r="R148" i="2" s="1"/>
  <c r="M151" i="2"/>
  <c r="N151" i="2" s="1"/>
  <c r="O151" i="2" s="1"/>
  <c r="R151" i="2" s="1"/>
  <c r="M154" i="2"/>
  <c r="N154" i="2" s="1"/>
  <c r="O154" i="2" s="1"/>
  <c r="R154" i="2" s="1"/>
  <c r="M157" i="2"/>
  <c r="N157" i="2" s="1"/>
  <c r="O157" i="2" s="1"/>
  <c r="R157" i="2" s="1"/>
  <c r="M160" i="2"/>
  <c r="N160" i="2" s="1"/>
  <c r="O160" i="2" s="1"/>
  <c r="R160" i="2" s="1"/>
  <c r="M163" i="2"/>
  <c r="N163" i="2" s="1"/>
  <c r="O163" i="2" s="1"/>
  <c r="R163" i="2" s="1"/>
  <c r="M166" i="2"/>
  <c r="N166" i="2" s="1"/>
  <c r="O166" i="2" s="1"/>
  <c r="R166" i="2" s="1"/>
  <c r="M169" i="2"/>
  <c r="N169" i="2" s="1"/>
  <c r="O169" i="2" s="1"/>
  <c r="R169" i="2" s="1"/>
  <c r="M172" i="2"/>
  <c r="N172" i="2" s="1"/>
  <c r="O172" i="2" s="1"/>
  <c r="R172" i="2" s="1"/>
  <c r="M177" i="2"/>
  <c r="N177" i="2" s="1"/>
  <c r="O177" i="2" s="1"/>
  <c r="R177" i="2" s="1"/>
  <c r="M180" i="2"/>
  <c r="N180" i="2" s="1"/>
  <c r="O180" i="2" s="1"/>
  <c r="R180" i="2" s="1"/>
  <c r="M183" i="2"/>
  <c r="N183" i="2" s="1"/>
  <c r="O183" i="2" s="1"/>
  <c r="R183" i="2" s="1"/>
  <c r="M186" i="2"/>
  <c r="N186" i="2" s="1"/>
  <c r="O186" i="2" s="1"/>
  <c r="R186" i="2" s="1"/>
  <c r="M189" i="2"/>
  <c r="N189" i="2" s="1"/>
  <c r="O189" i="2" s="1"/>
  <c r="R189" i="2" s="1"/>
  <c r="M192" i="2"/>
  <c r="N192" i="2" s="1"/>
  <c r="O192" i="2" s="1"/>
  <c r="R192" i="2" s="1"/>
  <c r="M195" i="2"/>
  <c r="N195" i="2" s="1"/>
  <c r="O195" i="2" s="1"/>
  <c r="R195" i="2" s="1"/>
  <c r="M198" i="2"/>
  <c r="N198" i="2" s="1"/>
  <c r="O198" i="2" s="1"/>
  <c r="R198" i="2" s="1"/>
  <c r="M201" i="2"/>
  <c r="N201" i="2" s="1"/>
  <c r="O201" i="2" s="1"/>
  <c r="R201" i="2" s="1"/>
  <c r="M204" i="2"/>
  <c r="N204" i="2" s="1"/>
  <c r="O204" i="2" s="1"/>
  <c r="R204" i="2" s="1"/>
  <c r="M207" i="2"/>
  <c r="N207" i="2" s="1"/>
  <c r="O207" i="2" s="1"/>
  <c r="R207" i="2" s="1"/>
  <c r="M210" i="2"/>
  <c r="N210" i="2" s="1"/>
  <c r="O210" i="2" s="1"/>
  <c r="R210" i="2" s="1"/>
  <c r="M213" i="2"/>
  <c r="N213" i="2" s="1"/>
  <c r="O213" i="2" s="1"/>
  <c r="R213" i="2" s="1"/>
  <c r="M216" i="2"/>
  <c r="N216" i="2" s="1"/>
  <c r="O216" i="2" s="1"/>
  <c r="R216" i="2" s="1"/>
  <c r="M219" i="2"/>
  <c r="N219" i="2" s="1"/>
  <c r="O219" i="2" s="1"/>
  <c r="R219" i="2" s="1"/>
  <c r="M222" i="2"/>
  <c r="N222" i="2" s="1"/>
  <c r="O222" i="2" s="1"/>
  <c r="R222" i="2" s="1"/>
  <c r="M225" i="2"/>
  <c r="N225" i="2" s="1"/>
  <c r="O225" i="2" s="1"/>
  <c r="R225" i="2" s="1"/>
  <c r="M228" i="2"/>
  <c r="N228" i="2" s="1"/>
  <c r="O228" i="2" s="1"/>
  <c r="R228" i="2" s="1"/>
  <c r="M231" i="2"/>
  <c r="N231" i="2" s="1"/>
  <c r="O231" i="2" s="1"/>
  <c r="R231" i="2" s="1"/>
  <c r="M234" i="2"/>
  <c r="N234" i="2" s="1"/>
  <c r="O234" i="2" s="1"/>
  <c r="R234" i="2" s="1"/>
  <c r="M237" i="2"/>
  <c r="N237" i="2" s="1"/>
  <c r="O237" i="2" s="1"/>
  <c r="R237" i="2" s="1"/>
  <c r="M240" i="2"/>
  <c r="N240" i="2" s="1"/>
  <c r="O240" i="2" s="1"/>
  <c r="R240" i="2" s="1"/>
  <c r="M243" i="2"/>
  <c r="N243" i="2" s="1"/>
  <c r="O243" i="2" s="1"/>
  <c r="R243" i="2" s="1"/>
  <c r="M246" i="2"/>
  <c r="N246" i="2" s="1"/>
  <c r="O246" i="2" s="1"/>
  <c r="R246" i="2" s="1"/>
  <c r="M249" i="2"/>
  <c r="N249" i="2" s="1"/>
  <c r="O249" i="2" s="1"/>
  <c r="R249" i="2" s="1"/>
  <c r="M252" i="2"/>
  <c r="N252" i="2" s="1"/>
  <c r="O252" i="2" s="1"/>
  <c r="R252" i="2" s="1"/>
  <c r="M255" i="2"/>
  <c r="N255" i="2" s="1"/>
  <c r="O255" i="2" s="1"/>
  <c r="R255" i="2" s="1"/>
  <c r="M258" i="2"/>
  <c r="N258" i="2" s="1"/>
  <c r="O258" i="2" s="1"/>
  <c r="R258" i="2" s="1"/>
  <c r="M261" i="2"/>
  <c r="N261" i="2" s="1"/>
  <c r="O261" i="2" s="1"/>
  <c r="R261" i="2" s="1"/>
  <c r="M264" i="2"/>
  <c r="N264" i="2" s="1"/>
  <c r="O264" i="2" s="1"/>
  <c r="R264" i="2" s="1"/>
  <c r="M267" i="2"/>
  <c r="N267" i="2" s="1"/>
  <c r="O267" i="2" s="1"/>
  <c r="R267" i="2" s="1"/>
  <c r="M270" i="2"/>
  <c r="N270" i="2" s="1"/>
  <c r="O270" i="2" s="1"/>
  <c r="R270" i="2" s="1"/>
  <c r="M273" i="2"/>
  <c r="N273" i="2" s="1"/>
  <c r="O273" i="2" s="1"/>
  <c r="R273" i="2" s="1"/>
  <c r="M276" i="2"/>
  <c r="N276" i="2" s="1"/>
  <c r="O276" i="2" s="1"/>
  <c r="R276" i="2" s="1"/>
  <c r="M279" i="2"/>
  <c r="N279" i="2" s="1"/>
  <c r="O279" i="2" s="1"/>
  <c r="R279" i="2" s="1"/>
  <c r="M282" i="2"/>
  <c r="N282" i="2" s="1"/>
  <c r="O282" i="2" s="1"/>
  <c r="R282" i="2" s="1"/>
  <c r="M286" i="2"/>
  <c r="N286" i="2" s="1"/>
  <c r="O286" i="2" s="1"/>
  <c r="R286" i="2" s="1"/>
  <c r="M289" i="2"/>
  <c r="N289" i="2" s="1"/>
  <c r="O289" i="2" s="1"/>
  <c r="R289" i="2" s="1"/>
  <c r="M292" i="2"/>
  <c r="N292" i="2" s="1"/>
  <c r="O292" i="2" s="1"/>
  <c r="R292" i="2" s="1"/>
  <c r="M296" i="2"/>
  <c r="N296" i="2" s="1"/>
  <c r="O296" i="2" s="1"/>
  <c r="R296" i="2" s="1"/>
  <c r="M300" i="2"/>
  <c r="N300" i="2" s="1"/>
  <c r="O300" i="2" s="1"/>
  <c r="R300" i="2" s="1"/>
  <c r="M303" i="2"/>
  <c r="N303" i="2" s="1"/>
  <c r="O303" i="2" s="1"/>
  <c r="R303" i="2" s="1"/>
  <c r="M304" i="2"/>
  <c r="N304" i="2" s="1"/>
  <c r="O304" i="2" s="1"/>
  <c r="R304" i="2" s="1"/>
  <c r="M307" i="2"/>
  <c r="N307" i="2" s="1"/>
  <c r="O307" i="2" s="1"/>
  <c r="R307" i="2" s="1"/>
  <c r="M310" i="2"/>
  <c r="N310" i="2" s="1"/>
  <c r="O310" i="2" s="1"/>
  <c r="R310" i="2" s="1"/>
  <c r="M317" i="2"/>
  <c r="N317" i="2" s="1"/>
  <c r="O317" i="2" s="1"/>
  <c r="R317" i="2" s="1"/>
  <c r="M320" i="2"/>
  <c r="N320" i="2" s="1"/>
  <c r="O320" i="2" s="1"/>
  <c r="R320" i="2" s="1"/>
  <c r="M325" i="2"/>
  <c r="N325" i="2" s="1"/>
  <c r="O325" i="2" s="1"/>
  <c r="R325" i="2" s="1"/>
  <c r="M330" i="2"/>
  <c r="N330" i="2" s="1"/>
  <c r="O330" i="2" s="1"/>
  <c r="R330" i="2" s="1"/>
  <c r="M333" i="2"/>
  <c r="N333" i="2" s="1"/>
  <c r="O333" i="2" s="1"/>
  <c r="R333" i="2" s="1"/>
  <c r="M336" i="2"/>
  <c r="N336" i="2" s="1"/>
  <c r="O336" i="2" s="1"/>
  <c r="R336" i="2" s="1"/>
  <c r="M339" i="2"/>
  <c r="N339" i="2" s="1"/>
  <c r="O339" i="2" s="1"/>
  <c r="R339" i="2" s="1"/>
  <c r="M342" i="2"/>
  <c r="N342" i="2" s="1"/>
  <c r="O342" i="2" s="1"/>
  <c r="R342" i="2" s="1"/>
  <c r="M345" i="2"/>
  <c r="N345" i="2" s="1"/>
  <c r="O345" i="2" s="1"/>
  <c r="R345" i="2" s="1"/>
  <c r="M348" i="2"/>
  <c r="N348" i="2" s="1"/>
  <c r="O348" i="2" s="1"/>
  <c r="R348" i="2" s="1"/>
  <c r="M351" i="2"/>
  <c r="N351" i="2" s="1"/>
  <c r="O351" i="2" s="1"/>
  <c r="R351" i="2" s="1"/>
  <c r="M354" i="2"/>
  <c r="N354" i="2" s="1"/>
  <c r="O354" i="2" s="1"/>
  <c r="R354" i="2" s="1"/>
  <c r="M357" i="2"/>
  <c r="N357" i="2" s="1"/>
  <c r="O357" i="2" s="1"/>
  <c r="R357" i="2" s="1"/>
  <c r="M360" i="2"/>
  <c r="N360" i="2" s="1"/>
  <c r="O360" i="2" s="1"/>
  <c r="R360" i="2" s="1"/>
  <c r="M363" i="2"/>
  <c r="N363" i="2" s="1"/>
  <c r="O363" i="2" s="1"/>
  <c r="R363" i="2" s="1"/>
  <c r="M366" i="2"/>
  <c r="N366" i="2" s="1"/>
  <c r="O366" i="2" s="1"/>
  <c r="R366" i="2" s="1"/>
  <c r="M369" i="2"/>
  <c r="N369" i="2" s="1"/>
  <c r="O369" i="2" s="1"/>
  <c r="R369" i="2" s="1"/>
  <c r="M373" i="2"/>
  <c r="N373" i="2" s="1"/>
  <c r="O373" i="2" s="1"/>
  <c r="R373" i="2" s="1"/>
  <c r="M376" i="2"/>
  <c r="N376" i="2" s="1"/>
  <c r="O376" i="2" s="1"/>
  <c r="R376" i="2" s="1"/>
  <c r="M379" i="2"/>
  <c r="N379" i="2" s="1"/>
  <c r="O379" i="2" s="1"/>
  <c r="R379" i="2" s="1"/>
  <c r="M382" i="2"/>
  <c r="N382" i="2" s="1"/>
  <c r="O382" i="2" s="1"/>
  <c r="R382" i="2" s="1"/>
  <c r="M385" i="2"/>
  <c r="N385" i="2" s="1"/>
  <c r="O385" i="2" s="1"/>
  <c r="R385" i="2" s="1"/>
  <c r="M388" i="2"/>
  <c r="N388" i="2" s="1"/>
  <c r="O388" i="2" s="1"/>
  <c r="R388" i="2" s="1"/>
  <c r="M391" i="2"/>
  <c r="N391" i="2" s="1"/>
  <c r="O391" i="2" s="1"/>
  <c r="R391" i="2" s="1"/>
  <c r="M394" i="2"/>
  <c r="N394" i="2" s="1"/>
  <c r="O394" i="2" s="1"/>
  <c r="R394" i="2" s="1"/>
  <c r="M397" i="2"/>
  <c r="N397" i="2" s="1"/>
  <c r="O397" i="2" s="1"/>
  <c r="R397" i="2" s="1"/>
  <c r="M400" i="2"/>
  <c r="N400" i="2" s="1"/>
  <c r="O400" i="2" s="1"/>
  <c r="R400" i="2" s="1"/>
  <c r="M403" i="2"/>
  <c r="N403" i="2" s="1"/>
  <c r="O403" i="2" s="1"/>
  <c r="R403" i="2" s="1"/>
  <c r="M406" i="2"/>
  <c r="N406" i="2" s="1"/>
  <c r="O406" i="2" s="1"/>
  <c r="R406" i="2" s="1"/>
  <c r="M409" i="2"/>
  <c r="N409" i="2" s="1"/>
  <c r="O409" i="2" s="1"/>
  <c r="R409" i="2" s="1"/>
  <c r="M412" i="2"/>
  <c r="N412" i="2" s="1"/>
  <c r="O412" i="2" s="1"/>
  <c r="R412" i="2" s="1"/>
  <c r="M415" i="2"/>
  <c r="N415" i="2" s="1"/>
  <c r="O415" i="2" s="1"/>
  <c r="R415" i="2" s="1"/>
  <c r="M418" i="2"/>
  <c r="N418" i="2" s="1"/>
  <c r="O418" i="2" s="1"/>
  <c r="R418" i="2" s="1"/>
  <c r="M421" i="2"/>
  <c r="N421" i="2" s="1"/>
  <c r="O421" i="2" s="1"/>
  <c r="R421" i="2" s="1"/>
  <c r="M424" i="2"/>
  <c r="N424" i="2" s="1"/>
  <c r="O424" i="2" s="1"/>
  <c r="R424" i="2" s="1"/>
  <c r="M427" i="2"/>
  <c r="N427" i="2" s="1"/>
  <c r="O427" i="2" s="1"/>
  <c r="R427" i="2" s="1"/>
  <c r="M430" i="2"/>
  <c r="N430" i="2" s="1"/>
  <c r="O430" i="2" s="1"/>
  <c r="R430" i="2" s="1"/>
  <c r="M433" i="2"/>
  <c r="N433" i="2" s="1"/>
  <c r="O433" i="2" s="1"/>
  <c r="R433" i="2" s="1"/>
  <c r="M436" i="2"/>
  <c r="N436" i="2" s="1"/>
  <c r="O436" i="2" s="1"/>
  <c r="R436" i="2" s="1"/>
  <c r="M439" i="2"/>
  <c r="N439" i="2" s="1"/>
  <c r="O439" i="2" s="1"/>
  <c r="R439" i="2" s="1"/>
  <c r="M442" i="2"/>
  <c r="N442" i="2" s="1"/>
  <c r="O442" i="2" s="1"/>
  <c r="R442" i="2" s="1"/>
  <c r="M445" i="2"/>
  <c r="N445" i="2" s="1"/>
  <c r="O445" i="2" s="1"/>
  <c r="R445" i="2" s="1"/>
  <c r="M448" i="2"/>
  <c r="N448" i="2" s="1"/>
  <c r="O448" i="2" s="1"/>
  <c r="R448" i="2" s="1"/>
  <c r="M451" i="2"/>
  <c r="N451" i="2" s="1"/>
  <c r="O451" i="2" s="1"/>
  <c r="R451" i="2" s="1"/>
  <c r="M454" i="2"/>
  <c r="N454" i="2" s="1"/>
  <c r="O454" i="2" s="1"/>
  <c r="R454" i="2" s="1"/>
  <c r="M457" i="2"/>
  <c r="N457" i="2" s="1"/>
  <c r="O457" i="2" s="1"/>
  <c r="R457" i="2" s="1"/>
  <c r="M460" i="2"/>
  <c r="N460" i="2" s="1"/>
  <c r="O460" i="2" s="1"/>
  <c r="R460" i="2" s="1"/>
  <c r="M463" i="2"/>
  <c r="N463" i="2" s="1"/>
  <c r="O463" i="2" s="1"/>
  <c r="R463" i="2" s="1"/>
  <c r="M466" i="2"/>
  <c r="N466" i="2" s="1"/>
  <c r="O466" i="2" s="1"/>
  <c r="R466" i="2" s="1"/>
  <c r="M469" i="2"/>
  <c r="N469" i="2" s="1"/>
  <c r="O469" i="2" s="1"/>
  <c r="R469" i="2" s="1"/>
  <c r="M472" i="2"/>
  <c r="N472" i="2" s="1"/>
  <c r="O472" i="2" s="1"/>
  <c r="R472" i="2" s="1"/>
  <c r="M475" i="2"/>
  <c r="N475" i="2" s="1"/>
  <c r="O475" i="2" s="1"/>
  <c r="R475" i="2" s="1"/>
  <c r="M478" i="2"/>
  <c r="N478" i="2" s="1"/>
  <c r="O478" i="2" s="1"/>
  <c r="R478" i="2" s="1"/>
  <c r="M481" i="2"/>
  <c r="N481" i="2" s="1"/>
  <c r="O481" i="2" s="1"/>
  <c r="R481" i="2" s="1"/>
  <c r="M484" i="2"/>
  <c r="N484" i="2" s="1"/>
  <c r="O484" i="2" s="1"/>
  <c r="R484" i="2" s="1"/>
  <c r="M487" i="2"/>
  <c r="N487" i="2" s="1"/>
  <c r="O487" i="2" s="1"/>
  <c r="R487" i="2" s="1"/>
  <c r="M490" i="2"/>
  <c r="N490" i="2" s="1"/>
  <c r="O490" i="2" s="1"/>
  <c r="R490" i="2" s="1"/>
  <c r="M493" i="2"/>
  <c r="N493" i="2" s="1"/>
  <c r="O493" i="2" s="1"/>
  <c r="R493" i="2" s="1"/>
  <c r="M496" i="2"/>
  <c r="N496" i="2" s="1"/>
  <c r="O496" i="2" s="1"/>
  <c r="R496" i="2" s="1"/>
  <c r="M499" i="2"/>
  <c r="N499" i="2" s="1"/>
  <c r="O499" i="2" s="1"/>
  <c r="R499" i="2" s="1"/>
  <c r="M502" i="2"/>
  <c r="N502" i="2" s="1"/>
  <c r="O502" i="2" s="1"/>
  <c r="R502" i="2" s="1"/>
  <c r="M505" i="2"/>
  <c r="N505" i="2" s="1"/>
  <c r="O505" i="2" s="1"/>
  <c r="R505" i="2" s="1"/>
  <c r="M508" i="2"/>
  <c r="N508" i="2" s="1"/>
  <c r="O508" i="2" s="1"/>
  <c r="R508" i="2" s="1"/>
  <c r="M511" i="2"/>
  <c r="N511" i="2" s="1"/>
  <c r="O511" i="2" s="1"/>
  <c r="R511" i="2" s="1"/>
  <c r="M514" i="2"/>
  <c r="N514" i="2" s="1"/>
  <c r="O514" i="2" s="1"/>
  <c r="R514" i="2" s="1"/>
  <c r="M517" i="2"/>
  <c r="N517" i="2" s="1"/>
  <c r="O517" i="2" s="1"/>
  <c r="R517" i="2" s="1"/>
  <c r="M520" i="2"/>
  <c r="N520" i="2" s="1"/>
  <c r="O520" i="2" s="1"/>
  <c r="R520" i="2" s="1"/>
  <c r="M522" i="2"/>
  <c r="N522" i="2" s="1"/>
  <c r="O522" i="2" s="1"/>
  <c r="R522" i="2" s="1"/>
  <c r="M525" i="2"/>
  <c r="N525" i="2" s="1"/>
  <c r="O525" i="2" s="1"/>
  <c r="R525" i="2" s="1"/>
  <c r="M528" i="2"/>
  <c r="N528" i="2" s="1"/>
  <c r="O528" i="2" s="1"/>
  <c r="R528" i="2" s="1"/>
  <c r="M531" i="2"/>
  <c r="N531" i="2" s="1"/>
  <c r="O531" i="2" s="1"/>
  <c r="R531" i="2" s="1"/>
  <c r="M534" i="2"/>
  <c r="N534" i="2" s="1"/>
  <c r="O534" i="2" s="1"/>
  <c r="R534" i="2" s="1"/>
  <c r="M537" i="2"/>
  <c r="N537" i="2" s="1"/>
  <c r="O537" i="2" s="1"/>
  <c r="R537" i="2" s="1"/>
  <c r="M540" i="2"/>
  <c r="N540" i="2" s="1"/>
  <c r="O540" i="2" s="1"/>
  <c r="R540" i="2" s="1"/>
  <c r="M543" i="2"/>
  <c r="N543" i="2" s="1"/>
  <c r="O543" i="2" s="1"/>
  <c r="R543" i="2" s="1"/>
  <c r="M546" i="2"/>
  <c r="N546" i="2" s="1"/>
  <c r="O546" i="2" s="1"/>
  <c r="R546" i="2" s="1"/>
  <c r="M549" i="2"/>
  <c r="N549" i="2" s="1"/>
  <c r="O549" i="2" s="1"/>
  <c r="R549" i="2" s="1"/>
  <c r="M552" i="2"/>
  <c r="N552" i="2" s="1"/>
  <c r="O552" i="2" s="1"/>
  <c r="R552" i="2" s="1"/>
  <c r="M555" i="2"/>
  <c r="N555" i="2" s="1"/>
  <c r="O555" i="2" s="1"/>
  <c r="R555" i="2" s="1"/>
  <c r="M558" i="2"/>
  <c r="N558" i="2" s="1"/>
  <c r="O558" i="2" s="1"/>
  <c r="R558" i="2" s="1"/>
  <c r="M561" i="2"/>
  <c r="N561" i="2" s="1"/>
  <c r="O561" i="2" s="1"/>
  <c r="R561" i="2" s="1"/>
  <c r="M564" i="2"/>
  <c r="N564" i="2" s="1"/>
  <c r="O564" i="2" s="1"/>
  <c r="R564" i="2" s="1"/>
  <c r="M567" i="2"/>
  <c r="N567" i="2" s="1"/>
  <c r="O567" i="2" s="1"/>
  <c r="R567" i="2" s="1"/>
  <c r="M570" i="2"/>
  <c r="N570" i="2" s="1"/>
  <c r="O570" i="2" s="1"/>
  <c r="R570" i="2" s="1"/>
  <c r="M573" i="2"/>
  <c r="N573" i="2" s="1"/>
  <c r="O573" i="2" s="1"/>
  <c r="R573" i="2" s="1"/>
  <c r="M576" i="2"/>
  <c r="N576" i="2" s="1"/>
  <c r="O576" i="2" s="1"/>
  <c r="R576" i="2" s="1"/>
  <c r="M579" i="2"/>
  <c r="N579" i="2" s="1"/>
  <c r="O579" i="2" s="1"/>
  <c r="R579" i="2" s="1"/>
  <c r="M582" i="2"/>
  <c r="N582" i="2" s="1"/>
  <c r="O582" i="2" s="1"/>
  <c r="R582" i="2" s="1"/>
  <c r="M585" i="2"/>
  <c r="N585" i="2" s="1"/>
  <c r="O585" i="2" s="1"/>
  <c r="R585" i="2" s="1"/>
  <c r="M588" i="2"/>
  <c r="N588" i="2" s="1"/>
  <c r="O588" i="2" s="1"/>
  <c r="R588" i="2" s="1"/>
  <c r="M591" i="2"/>
  <c r="N591" i="2" s="1"/>
  <c r="O591" i="2" s="1"/>
  <c r="R591" i="2" s="1"/>
  <c r="M594" i="2"/>
  <c r="N594" i="2" s="1"/>
  <c r="O594" i="2" s="1"/>
  <c r="R594" i="2" s="1"/>
  <c r="M597" i="2"/>
  <c r="N597" i="2" s="1"/>
  <c r="O597" i="2" s="1"/>
  <c r="R597" i="2" s="1"/>
  <c r="M600" i="2"/>
  <c r="N600" i="2" s="1"/>
  <c r="O600" i="2" s="1"/>
  <c r="R600" i="2" s="1"/>
  <c r="M604" i="2"/>
  <c r="N604" i="2" s="1"/>
  <c r="O604" i="2" s="1"/>
  <c r="R604" i="2" s="1"/>
  <c r="M607" i="2"/>
  <c r="N607" i="2" s="1"/>
  <c r="O607" i="2" s="1"/>
  <c r="R607" i="2" s="1"/>
  <c r="M611" i="2"/>
  <c r="N611" i="2" s="1"/>
  <c r="O611" i="2" s="1"/>
  <c r="R611" i="2" s="1"/>
  <c r="M614" i="2"/>
  <c r="N614" i="2" s="1"/>
  <c r="O614" i="2" s="1"/>
  <c r="R614" i="2" s="1"/>
  <c r="M617" i="2"/>
  <c r="N617" i="2" s="1"/>
  <c r="O617" i="2" s="1"/>
  <c r="R617" i="2" s="1"/>
  <c r="M620" i="2"/>
  <c r="N620" i="2" s="1"/>
  <c r="O620" i="2" s="1"/>
  <c r="R620" i="2" s="1"/>
  <c r="M623" i="2"/>
  <c r="N623" i="2" s="1"/>
  <c r="O623" i="2" s="1"/>
  <c r="R623" i="2" s="1"/>
  <c r="M626" i="2"/>
  <c r="N626" i="2" s="1"/>
  <c r="O626" i="2" s="1"/>
  <c r="R626" i="2" s="1"/>
  <c r="M629" i="2"/>
  <c r="N629" i="2" s="1"/>
  <c r="O629" i="2" s="1"/>
  <c r="R629" i="2" s="1"/>
  <c r="M632" i="2"/>
  <c r="N632" i="2" s="1"/>
  <c r="O632" i="2" s="1"/>
  <c r="R632" i="2" s="1"/>
  <c r="M635" i="2"/>
  <c r="N635" i="2" s="1"/>
  <c r="O635" i="2" s="1"/>
  <c r="R635" i="2" s="1"/>
  <c r="M638" i="2"/>
  <c r="N638" i="2" s="1"/>
  <c r="O638" i="2" s="1"/>
  <c r="R638" i="2" s="1"/>
  <c r="M641" i="2"/>
  <c r="N641" i="2" s="1"/>
  <c r="O641" i="2" s="1"/>
  <c r="R641" i="2" s="1"/>
  <c r="M644" i="2"/>
  <c r="N644" i="2" s="1"/>
  <c r="O644" i="2" s="1"/>
  <c r="R644" i="2" s="1"/>
  <c r="M647" i="2"/>
  <c r="N647" i="2" s="1"/>
  <c r="O647" i="2" s="1"/>
  <c r="R647" i="2" s="1"/>
  <c r="M650" i="2"/>
  <c r="N650" i="2" s="1"/>
  <c r="O650" i="2" s="1"/>
  <c r="R650" i="2" s="1"/>
  <c r="M653" i="2"/>
  <c r="N653" i="2" s="1"/>
  <c r="O653" i="2" s="1"/>
  <c r="R653" i="2" s="1"/>
  <c r="M656" i="2"/>
  <c r="N656" i="2" s="1"/>
  <c r="O656" i="2" s="1"/>
  <c r="R656" i="2" s="1"/>
  <c r="M659" i="2"/>
  <c r="N659" i="2" s="1"/>
  <c r="O659" i="2" s="1"/>
  <c r="R659" i="2" s="1"/>
  <c r="M662" i="2"/>
  <c r="N662" i="2" s="1"/>
  <c r="O662" i="2" s="1"/>
  <c r="R662" i="2" s="1"/>
  <c r="M665" i="2"/>
  <c r="N665" i="2" s="1"/>
  <c r="O665" i="2" s="1"/>
  <c r="R665" i="2" s="1"/>
  <c r="M668" i="2"/>
  <c r="N668" i="2" s="1"/>
  <c r="O668" i="2" s="1"/>
  <c r="R668" i="2" s="1"/>
  <c r="M671" i="2"/>
  <c r="N671" i="2" s="1"/>
  <c r="O671" i="2" s="1"/>
  <c r="R671" i="2" s="1"/>
  <c r="M674" i="2"/>
  <c r="N674" i="2" s="1"/>
  <c r="O674" i="2" s="1"/>
  <c r="R674" i="2" s="1"/>
  <c r="M677" i="2"/>
  <c r="N677" i="2" s="1"/>
  <c r="O677" i="2" s="1"/>
  <c r="R677" i="2" s="1"/>
  <c r="M680" i="2"/>
  <c r="N680" i="2" s="1"/>
  <c r="O680" i="2" s="1"/>
  <c r="R680" i="2" s="1"/>
  <c r="M683" i="2"/>
  <c r="N683" i="2" s="1"/>
  <c r="O683" i="2" s="1"/>
  <c r="R683" i="2" s="1"/>
  <c r="M686" i="2"/>
  <c r="N686" i="2" s="1"/>
  <c r="O686" i="2" s="1"/>
  <c r="R686" i="2" s="1"/>
  <c r="M689" i="2"/>
  <c r="N689" i="2" s="1"/>
  <c r="O689" i="2" s="1"/>
  <c r="R689" i="2" s="1"/>
  <c r="M692" i="2"/>
  <c r="N692" i="2" s="1"/>
  <c r="O692" i="2" s="1"/>
  <c r="R692" i="2" s="1"/>
  <c r="M697" i="2"/>
  <c r="N697" i="2" s="1"/>
  <c r="O697" i="2" s="1"/>
  <c r="R697" i="2" s="1"/>
  <c r="M700" i="2"/>
  <c r="N700" i="2" s="1"/>
  <c r="O700" i="2" s="1"/>
  <c r="R700" i="2" s="1"/>
  <c r="M703" i="2"/>
  <c r="N703" i="2" s="1"/>
  <c r="O703" i="2" s="1"/>
  <c r="R703" i="2" s="1"/>
  <c r="M706" i="2"/>
  <c r="N706" i="2" s="1"/>
  <c r="O706" i="2" s="1"/>
  <c r="R706" i="2" s="1"/>
  <c r="M709" i="2"/>
  <c r="N709" i="2" s="1"/>
  <c r="O709" i="2" s="1"/>
  <c r="R709" i="2" s="1"/>
  <c r="M711" i="2"/>
  <c r="N711" i="2" s="1"/>
  <c r="O711" i="2" s="1"/>
  <c r="R711" i="2" s="1"/>
  <c r="M714" i="2"/>
  <c r="N714" i="2" s="1"/>
  <c r="O714" i="2" s="1"/>
  <c r="R714" i="2" s="1"/>
  <c r="M717" i="2"/>
  <c r="N717" i="2" s="1"/>
  <c r="O717" i="2" s="1"/>
  <c r="R717" i="2" s="1"/>
  <c r="M720" i="2"/>
  <c r="N720" i="2" s="1"/>
  <c r="O720" i="2" s="1"/>
  <c r="R720" i="2" s="1"/>
  <c r="M723" i="2"/>
  <c r="N723" i="2" s="1"/>
  <c r="O723" i="2" s="1"/>
  <c r="R723" i="2" s="1"/>
  <c r="M726" i="2"/>
  <c r="N726" i="2" s="1"/>
  <c r="O726" i="2" s="1"/>
  <c r="R726" i="2" s="1"/>
  <c r="M729" i="2"/>
  <c r="N729" i="2" s="1"/>
  <c r="O729" i="2" s="1"/>
  <c r="R729" i="2" s="1"/>
  <c r="M732" i="2"/>
  <c r="N732" i="2" s="1"/>
  <c r="O732" i="2" s="1"/>
  <c r="R732" i="2" s="1"/>
  <c r="M736" i="2"/>
  <c r="N736" i="2" s="1"/>
  <c r="O736" i="2" s="1"/>
  <c r="R736" i="2" s="1"/>
  <c r="M739" i="2"/>
  <c r="N739" i="2" s="1"/>
  <c r="O739" i="2" s="1"/>
  <c r="R739" i="2" s="1"/>
  <c r="M745" i="2"/>
  <c r="N745" i="2" s="1"/>
  <c r="O745" i="2" s="1"/>
  <c r="R745" i="2" s="1"/>
  <c r="M748" i="2"/>
  <c r="N748" i="2" s="1"/>
  <c r="O748" i="2" s="1"/>
  <c r="R748" i="2" s="1"/>
  <c r="M751" i="2"/>
  <c r="N751" i="2" s="1"/>
  <c r="O751" i="2" s="1"/>
  <c r="R751" i="2" s="1"/>
  <c r="M754" i="2"/>
  <c r="N754" i="2" s="1"/>
  <c r="O754" i="2" s="1"/>
  <c r="R754" i="2" s="1"/>
  <c r="M756" i="2"/>
  <c r="N756" i="2" s="1"/>
  <c r="O756" i="2" s="1"/>
  <c r="R756" i="2" s="1"/>
  <c r="M759" i="2"/>
  <c r="N759" i="2" s="1"/>
  <c r="O759" i="2" s="1"/>
  <c r="R759" i="2" s="1"/>
  <c r="M764" i="2"/>
  <c r="N764" i="2" s="1"/>
  <c r="O764" i="2" s="1"/>
  <c r="R764" i="2" s="1"/>
  <c r="M765" i="2"/>
  <c r="N765" i="2" s="1"/>
  <c r="O765" i="2" s="1"/>
  <c r="R765" i="2" s="1"/>
  <c r="M768" i="2"/>
  <c r="N768" i="2" s="1"/>
  <c r="O768" i="2" s="1"/>
  <c r="R768" i="2" s="1"/>
  <c r="M771" i="2"/>
  <c r="N771" i="2" s="1"/>
  <c r="O771" i="2" s="1"/>
  <c r="R771" i="2" s="1"/>
  <c r="M775" i="2"/>
  <c r="N775" i="2" s="1"/>
  <c r="O775" i="2" s="1"/>
  <c r="R775" i="2" s="1"/>
  <c r="M778" i="2"/>
  <c r="N778" i="2" s="1"/>
  <c r="O778" i="2" s="1"/>
  <c r="R778" i="2" s="1"/>
  <c r="M781" i="2"/>
  <c r="N781" i="2" s="1"/>
  <c r="O781" i="2" s="1"/>
  <c r="R781" i="2" s="1"/>
  <c r="M784" i="2"/>
  <c r="N784" i="2" s="1"/>
  <c r="O784" i="2" s="1"/>
  <c r="R784" i="2" s="1"/>
  <c r="M787" i="2"/>
  <c r="N787" i="2" s="1"/>
  <c r="O787" i="2" s="1"/>
  <c r="R787" i="2" s="1"/>
  <c r="M790" i="2"/>
  <c r="N790" i="2" s="1"/>
  <c r="O790" i="2" s="1"/>
  <c r="R790" i="2" s="1"/>
  <c r="M793" i="2"/>
  <c r="N793" i="2" s="1"/>
  <c r="O793" i="2" s="1"/>
  <c r="R793" i="2" s="1"/>
  <c r="M796" i="2"/>
  <c r="N796" i="2" s="1"/>
  <c r="O796" i="2" s="1"/>
  <c r="R796" i="2" s="1"/>
  <c r="M799" i="2"/>
  <c r="N799" i="2" s="1"/>
  <c r="O799" i="2" s="1"/>
  <c r="R799" i="2" s="1"/>
  <c r="M802" i="2"/>
  <c r="N802" i="2" s="1"/>
  <c r="O802" i="2" s="1"/>
  <c r="R802" i="2" s="1"/>
  <c r="M805" i="2"/>
  <c r="N805" i="2" s="1"/>
  <c r="O805" i="2" s="1"/>
  <c r="R805" i="2" s="1"/>
  <c r="M808" i="2"/>
  <c r="N808" i="2" s="1"/>
  <c r="O808" i="2" s="1"/>
  <c r="R808" i="2" s="1"/>
  <c r="M811" i="2"/>
  <c r="N811" i="2" s="1"/>
  <c r="O811" i="2" s="1"/>
  <c r="R811" i="2" s="1"/>
  <c r="M814" i="2"/>
  <c r="N814" i="2" s="1"/>
  <c r="O814" i="2" s="1"/>
  <c r="R814" i="2" s="1"/>
  <c r="M817" i="2"/>
  <c r="N817" i="2" s="1"/>
  <c r="O817" i="2" s="1"/>
  <c r="R817" i="2" s="1"/>
  <c r="M820" i="2"/>
  <c r="N820" i="2" s="1"/>
  <c r="O820" i="2" s="1"/>
  <c r="R820" i="2" s="1"/>
  <c r="M825" i="2"/>
  <c r="N825" i="2" s="1"/>
  <c r="O825" i="2" s="1"/>
  <c r="R825" i="2" s="1"/>
  <c r="M828" i="2"/>
  <c r="N828" i="2" s="1"/>
  <c r="O828" i="2" s="1"/>
  <c r="R828" i="2" s="1"/>
  <c r="M831" i="2"/>
  <c r="N831" i="2" s="1"/>
  <c r="O831" i="2" s="1"/>
  <c r="R831" i="2" s="1"/>
  <c r="M834" i="2"/>
  <c r="N834" i="2" s="1"/>
  <c r="O834" i="2" s="1"/>
  <c r="R834" i="2" s="1"/>
  <c r="M837" i="2"/>
  <c r="N837" i="2" s="1"/>
  <c r="O837" i="2" s="1"/>
  <c r="R837" i="2" s="1"/>
  <c r="M840" i="2"/>
  <c r="N840" i="2" s="1"/>
  <c r="O840" i="2" s="1"/>
  <c r="R840" i="2" s="1"/>
  <c r="M843" i="2"/>
  <c r="N843" i="2" s="1"/>
  <c r="O843" i="2" s="1"/>
  <c r="R843" i="2" s="1"/>
  <c r="M848" i="2"/>
  <c r="N848" i="2" s="1"/>
  <c r="O848" i="2" s="1"/>
  <c r="R848" i="2" s="1"/>
  <c r="M851" i="2"/>
  <c r="N851" i="2" s="1"/>
  <c r="O851" i="2" s="1"/>
  <c r="R851" i="2" s="1"/>
  <c r="M854" i="2"/>
  <c r="N854" i="2" s="1"/>
  <c r="O854" i="2" s="1"/>
  <c r="R854" i="2" s="1"/>
  <c r="M857" i="2"/>
  <c r="N857" i="2" s="1"/>
  <c r="O857" i="2" s="1"/>
  <c r="R857" i="2" s="1"/>
  <c r="M860" i="2"/>
  <c r="N860" i="2" s="1"/>
  <c r="O860" i="2" s="1"/>
  <c r="R860" i="2" s="1"/>
  <c r="M863" i="2"/>
  <c r="N863" i="2" s="1"/>
  <c r="O863" i="2" s="1"/>
  <c r="R863" i="2" s="1"/>
  <c r="M866" i="2"/>
  <c r="N866" i="2" s="1"/>
  <c r="O866" i="2" s="1"/>
  <c r="R866" i="2" s="1"/>
  <c r="M869" i="2"/>
  <c r="N869" i="2" s="1"/>
  <c r="O869" i="2" s="1"/>
  <c r="R869" i="2" s="1"/>
  <c r="M873" i="2"/>
  <c r="N873" i="2" s="1"/>
  <c r="O873" i="2" s="1"/>
  <c r="R873" i="2" s="1"/>
  <c r="M876" i="2"/>
  <c r="N876" i="2" s="1"/>
  <c r="O876" i="2" s="1"/>
  <c r="R876" i="2" s="1"/>
  <c r="M879" i="2"/>
  <c r="N879" i="2" s="1"/>
  <c r="O879" i="2" s="1"/>
  <c r="R879" i="2" s="1"/>
  <c r="M882" i="2"/>
  <c r="N882" i="2" s="1"/>
  <c r="O882" i="2" s="1"/>
  <c r="R882" i="2" s="1"/>
  <c r="M885" i="2"/>
  <c r="N885" i="2" s="1"/>
  <c r="O885" i="2" s="1"/>
  <c r="R885" i="2" s="1"/>
  <c r="M888" i="2"/>
  <c r="N888" i="2" s="1"/>
  <c r="O888" i="2" s="1"/>
  <c r="R888" i="2" s="1"/>
  <c r="M891" i="2"/>
  <c r="N891" i="2" s="1"/>
  <c r="O891" i="2" s="1"/>
  <c r="R891" i="2" s="1"/>
  <c r="M894" i="2"/>
  <c r="N894" i="2" s="1"/>
  <c r="O894" i="2" s="1"/>
  <c r="R894" i="2" s="1"/>
  <c r="M897" i="2"/>
  <c r="N897" i="2" s="1"/>
  <c r="O897" i="2" s="1"/>
  <c r="R897" i="2" s="1"/>
  <c r="M900" i="2"/>
  <c r="N900" i="2" s="1"/>
  <c r="O900" i="2" s="1"/>
  <c r="R900" i="2" s="1"/>
  <c r="M903" i="2"/>
  <c r="N903" i="2" s="1"/>
  <c r="O903" i="2" s="1"/>
  <c r="R903" i="2" s="1"/>
  <c r="M906" i="2"/>
  <c r="N906" i="2" s="1"/>
  <c r="O906" i="2" s="1"/>
  <c r="R906" i="2" s="1"/>
  <c r="M909" i="2"/>
  <c r="N909" i="2" s="1"/>
  <c r="O909" i="2" s="1"/>
  <c r="R909" i="2" s="1"/>
  <c r="M912" i="2"/>
  <c r="N912" i="2" s="1"/>
  <c r="O912" i="2" s="1"/>
  <c r="R912" i="2" s="1"/>
  <c r="M915" i="2"/>
  <c r="N915" i="2" s="1"/>
  <c r="O915" i="2" s="1"/>
  <c r="R915" i="2" s="1"/>
  <c r="M918" i="2"/>
  <c r="N918" i="2" s="1"/>
  <c r="O918" i="2" s="1"/>
  <c r="R918" i="2" s="1"/>
  <c r="M921" i="2"/>
  <c r="N921" i="2" s="1"/>
  <c r="O921" i="2" s="1"/>
  <c r="R921" i="2" s="1"/>
  <c r="M924" i="2"/>
  <c r="N924" i="2" s="1"/>
  <c r="O924" i="2" s="1"/>
  <c r="R924" i="2" s="1"/>
  <c r="M927" i="2"/>
  <c r="N927" i="2" s="1"/>
  <c r="O927" i="2" s="1"/>
  <c r="R927" i="2" s="1"/>
  <c r="M930" i="2"/>
  <c r="N930" i="2" s="1"/>
  <c r="O930" i="2" s="1"/>
  <c r="R930" i="2" s="1"/>
  <c r="M933" i="2"/>
  <c r="N933" i="2" s="1"/>
  <c r="O933" i="2" s="1"/>
  <c r="R933" i="2" s="1"/>
  <c r="M936" i="2"/>
  <c r="N936" i="2" s="1"/>
  <c r="O936" i="2" s="1"/>
  <c r="R936" i="2" s="1"/>
  <c r="M939" i="2"/>
  <c r="N939" i="2" s="1"/>
  <c r="O939" i="2" s="1"/>
  <c r="R939" i="2" s="1"/>
  <c r="M942" i="2"/>
  <c r="N942" i="2" s="1"/>
  <c r="O942" i="2" s="1"/>
  <c r="R942" i="2" s="1"/>
  <c r="M945" i="2"/>
  <c r="N945" i="2" s="1"/>
  <c r="O945" i="2" s="1"/>
  <c r="R945" i="2" s="1"/>
  <c r="M950" i="2"/>
  <c r="N950" i="2" s="1"/>
  <c r="O950" i="2" s="1"/>
  <c r="R950" i="2" s="1"/>
  <c r="M951" i="2"/>
  <c r="N951" i="2" s="1"/>
  <c r="O951" i="2" s="1"/>
  <c r="R951" i="2" s="1"/>
  <c r="M954" i="2"/>
  <c r="N954" i="2" s="1"/>
  <c r="O954" i="2" s="1"/>
  <c r="R954" i="2" s="1"/>
  <c r="M957" i="2"/>
  <c r="N957" i="2" s="1"/>
  <c r="O957" i="2" s="1"/>
  <c r="R957" i="2" s="1"/>
  <c r="M960" i="2"/>
  <c r="N960" i="2" s="1"/>
  <c r="O960" i="2" s="1"/>
  <c r="R960" i="2" s="1"/>
  <c r="M963" i="2"/>
  <c r="N963" i="2" s="1"/>
  <c r="O963" i="2" s="1"/>
  <c r="R963" i="2" s="1"/>
  <c r="M966" i="2"/>
  <c r="N966" i="2" s="1"/>
  <c r="O966" i="2" s="1"/>
  <c r="R966" i="2" s="1"/>
  <c r="M969" i="2"/>
  <c r="N969" i="2" s="1"/>
  <c r="O969" i="2" s="1"/>
  <c r="R969" i="2" s="1"/>
  <c r="M972" i="2"/>
  <c r="N972" i="2" s="1"/>
  <c r="O972" i="2" s="1"/>
  <c r="R972" i="2" s="1"/>
  <c r="M975" i="2"/>
  <c r="N975" i="2" s="1"/>
  <c r="O975" i="2" s="1"/>
  <c r="R975" i="2" s="1"/>
  <c r="M979" i="2"/>
  <c r="N979" i="2" s="1"/>
  <c r="O979" i="2" s="1"/>
  <c r="R979" i="2" s="1"/>
  <c r="M984" i="2"/>
  <c r="N984" i="2" s="1"/>
  <c r="O984" i="2" s="1"/>
  <c r="R984" i="2" s="1"/>
  <c r="M985" i="2"/>
  <c r="N985" i="2" s="1"/>
  <c r="O985" i="2" s="1"/>
  <c r="R985" i="2" s="1"/>
  <c r="M988" i="2"/>
  <c r="N988" i="2" s="1"/>
  <c r="O988" i="2" s="1"/>
  <c r="R988" i="2" s="1"/>
  <c r="M991" i="2"/>
  <c r="N991" i="2" s="1"/>
  <c r="O991" i="2" s="1"/>
  <c r="R991" i="2" s="1"/>
  <c r="M994" i="2"/>
  <c r="N994" i="2" s="1"/>
  <c r="O994" i="2" s="1"/>
  <c r="R994" i="2" s="1"/>
  <c r="M997" i="2"/>
  <c r="N997" i="2" s="1"/>
  <c r="O997" i="2" s="1"/>
  <c r="R997" i="2" s="1"/>
  <c r="M1000" i="2"/>
  <c r="N1000" i="2" s="1"/>
  <c r="O1000" i="2" s="1"/>
  <c r="R1000" i="2" s="1"/>
  <c r="M1003" i="2"/>
  <c r="N1003" i="2" s="1"/>
  <c r="O1003" i="2" s="1"/>
  <c r="R1003" i="2" s="1"/>
  <c r="M1007" i="2"/>
  <c r="N1007" i="2" s="1"/>
  <c r="O1007" i="2" s="1"/>
  <c r="R1007" i="2" s="1"/>
  <c r="M1010" i="2"/>
  <c r="N1010" i="2" s="1"/>
  <c r="O1010" i="2" s="1"/>
  <c r="R1010" i="2" s="1"/>
  <c r="M1013" i="2"/>
  <c r="N1013" i="2" s="1"/>
  <c r="O1013" i="2" s="1"/>
  <c r="R1013" i="2" s="1"/>
  <c r="M1016" i="2"/>
  <c r="N1016" i="2" s="1"/>
  <c r="O1016" i="2" s="1"/>
  <c r="R1016" i="2" s="1"/>
  <c r="M1019" i="2"/>
  <c r="N1019" i="2" s="1"/>
  <c r="O1019" i="2" s="1"/>
  <c r="R1019" i="2" s="1"/>
  <c r="M1022" i="2"/>
  <c r="N1022" i="2" s="1"/>
  <c r="O1022" i="2" s="1"/>
  <c r="R1022" i="2" s="1"/>
  <c r="M1025" i="2"/>
  <c r="N1025" i="2" s="1"/>
  <c r="O1025" i="2" s="1"/>
  <c r="R1025" i="2" s="1"/>
  <c r="M1026" i="2"/>
  <c r="N1026" i="2" s="1"/>
  <c r="O1026" i="2" s="1"/>
  <c r="R1026" i="2" s="1"/>
  <c r="M1029" i="2"/>
  <c r="N1029" i="2" s="1"/>
  <c r="O1029" i="2" s="1"/>
  <c r="R1029" i="2" s="1"/>
  <c r="M1032" i="2"/>
  <c r="N1032" i="2" s="1"/>
  <c r="O1032" i="2" s="1"/>
  <c r="R1032" i="2" s="1"/>
  <c r="M1035" i="2"/>
  <c r="N1035" i="2" s="1"/>
  <c r="O1035" i="2" s="1"/>
  <c r="R1035" i="2" s="1"/>
  <c r="M1038" i="2"/>
  <c r="N1038" i="2" s="1"/>
  <c r="O1038" i="2" s="1"/>
  <c r="R1038" i="2" s="1"/>
  <c r="M1041" i="2"/>
  <c r="N1041" i="2" s="1"/>
  <c r="O1041" i="2" s="1"/>
  <c r="R1041" i="2" s="1"/>
  <c r="M1044" i="2"/>
  <c r="N1044" i="2" s="1"/>
  <c r="O1044" i="2" s="1"/>
  <c r="R1044" i="2" s="1"/>
  <c r="M1045" i="2"/>
  <c r="N1045" i="2" s="1"/>
  <c r="O1045" i="2" s="1"/>
  <c r="R1045" i="2" s="1"/>
  <c r="M1048" i="2"/>
  <c r="N1048" i="2" s="1"/>
  <c r="O1048" i="2" s="1"/>
  <c r="R1048" i="2" s="1"/>
  <c r="M1051" i="2"/>
  <c r="N1051" i="2" s="1"/>
  <c r="O1051" i="2" s="1"/>
  <c r="R1051" i="2" s="1"/>
  <c r="M1054" i="2"/>
  <c r="N1054" i="2" s="1"/>
  <c r="O1054" i="2" s="1"/>
  <c r="R1054" i="2" s="1"/>
  <c r="M1057" i="2"/>
  <c r="N1057" i="2" s="1"/>
  <c r="O1057" i="2" s="1"/>
  <c r="R1057" i="2" s="1"/>
  <c r="M1062" i="2"/>
  <c r="N1062" i="2" s="1"/>
  <c r="O1062" i="2" s="1"/>
  <c r="R1062" i="2" s="1"/>
  <c r="M1065" i="2"/>
  <c r="N1065" i="2" s="1"/>
  <c r="O1065" i="2" s="1"/>
  <c r="R1065" i="2" s="1"/>
  <c r="M1069" i="2"/>
  <c r="N1069" i="2" s="1"/>
  <c r="O1069" i="2" s="1"/>
  <c r="R1069" i="2" s="1"/>
  <c r="M1072" i="2"/>
  <c r="N1072" i="2" s="1"/>
  <c r="O1072" i="2" s="1"/>
  <c r="R1072" i="2" s="1"/>
  <c r="M1075" i="2"/>
  <c r="N1075" i="2" s="1"/>
  <c r="O1075" i="2" s="1"/>
  <c r="R1075" i="2" s="1"/>
  <c r="M1078" i="2"/>
  <c r="N1078" i="2" s="1"/>
  <c r="O1078" i="2" s="1"/>
  <c r="R1078" i="2" s="1"/>
  <c r="M1081" i="2"/>
  <c r="N1081" i="2" s="1"/>
  <c r="O1081" i="2" s="1"/>
  <c r="R1081" i="2" s="1"/>
  <c r="M1084" i="2"/>
  <c r="N1084" i="2" s="1"/>
  <c r="O1084" i="2" s="1"/>
  <c r="R1084" i="2" s="1"/>
  <c r="M1087" i="2"/>
  <c r="N1087" i="2" s="1"/>
  <c r="O1087" i="2" s="1"/>
  <c r="R1087" i="2" s="1"/>
  <c r="M1090" i="2"/>
  <c r="N1090" i="2" s="1"/>
  <c r="O1090" i="2" s="1"/>
  <c r="R1090" i="2" s="1"/>
  <c r="M1093" i="2"/>
  <c r="N1093" i="2" s="1"/>
  <c r="O1093" i="2" s="1"/>
  <c r="R1093" i="2" s="1"/>
  <c r="M1096" i="2"/>
  <c r="N1096" i="2" s="1"/>
  <c r="O1096" i="2" s="1"/>
  <c r="R1096" i="2" s="1"/>
  <c r="M1099" i="2"/>
  <c r="N1099" i="2" s="1"/>
  <c r="O1099" i="2" s="1"/>
  <c r="R1099" i="2" s="1"/>
  <c r="M1102" i="2"/>
  <c r="N1102" i="2" s="1"/>
  <c r="O1102" i="2" s="1"/>
  <c r="R1102" i="2" s="1"/>
  <c r="M1105" i="2"/>
  <c r="N1105" i="2" s="1"/>
  <c r="O1105" i="2" s="1"/>
  <c r="R1105" i="2" s="1"/>
  <c r="M1108" i="2"/>
  <c r="N1108" i="2" s="1"/>
  <c r="O1108" i="2" s="1"/>
  <c r="R1108" i="2" s="1"/>
  <c r="M1111" i="2"/>
  <c r="N1111" i="2" s="1"/>
  <c r="O1111" i="2" s="1"/>
  <c r="R1111" i="2" s="1"/>
  <c r="M1114" i="2"/>
  <c r="N1114" i="2" s="1"/>
  <c r="O1114" i="2" s="1"/>
  <c r="R1114" i="2" s="1"/>
  <c r="M1118" i="2"/>
  <c r="N1118" i="2" s="1"/>
  <c r="O1118" i="2" s="1"/>
  <c r="R1118" i="2" s="1"/>
  <c r="M1121" i="2"/>
  <c r="N1121" i="2" s="1"/>
  <c r="O1121" i="2" s="1"/>
  <c r="R1121" i="2" s="1"/>
  <c r="M1124" i="2"/>
  <c r="N1124" i="2" s="1"/>
  <c r="O1124" i="2" s="1"/>
  <c r="R1124" i="2" s="1"/>
  <c r="M1127" i="2"/>
  <c r="N1127" i="2" s="1"/>
  <c r="O1127" i="2" s="1"/>
  <c r="R1127" i="2" s="1"/>
  <c r="M1130" i="2"/>
  <c r="N1130" i="2" s="1"/>
  <c r="O1130" i="2" s="1"/>
  <c r="R1130" i="2" s="1"/>
  <c r="M1133" i="2"/>
  <c r="N1133" i="2" s="1"/>
  <c r="O1133" i="2" s="1"/>
  <c r="R1133" i="2" s="1"/>
  <c r="M1136" i="2"/>
  <c r="N1136" i="2" s="1"/>
  <c r="O1136" i="2" s="1"/>
  <c r="R1136" i="2" s="1"/>
  <c r="M1139" i="2"/>
  <c r="N1139" i="2" s="1"/>
  <c r="O1139" i="2" s="1"/>
  <c r="R1139" i="2" s="1"/>
  <c r="M1142" i="2"/>
  <c r="N1142" i="2" s="1"/>
  <c r="O1142" i="2" s="1"/>
  <c r="R1142" i="2" s="1"/>
  <c r="M1145" i="2"/>
  <c r="N1145" i="2" s="1"/>
  <c r="O1145" i="2" s="1"/>
  <c r="R1145" i="2" s="1"/>
  <c r="M1150" i="2"/>
  <c r="N1150" i="2" s="1"/>
  <c r="O1150" i="2" s="1"/>
  <c r="R1150" i="2" s="1"/>
  <c r="M1153" i="2"/>
  <c r="N1153" i="2" s="1"/>
  <c r="O1153" i="2" s="1"/>
  <c r="R1153" i="2" s="1"/>
  <c r="M1156" i="2"/>
  <c r="N1156" i="2" s="1"/>
  <c r="O1156" i="2" s="1"/>
  <c r="R1156" i="2" s="1"/>
  <c r="M1159" i="2"/>
  <c r="N1159" i="2" s="1"/>
  <c r="O1159" i="2" s="1"/>
  <c r="R1159" i="2" s="1"/>
  <c r="M1162" i="2"/>
  <c r="N1162" i="2" s="1"/>
  <c r="O1162" i="2" s="1"/>
  <c r="R1162" i="2" s="1"/>
  <c r="M1165" i="2"/>
  <c r="N1165" i="2" s="1"/>
  <c r="O1165" i="2" s="1"/>
  <c r="R1165" i="2" s="1"/>
  <c r="M1169" i="2"/>
  <c r="N1169" i="2" s="1"/>
  <c r="O1169" i="2" s="1"/>
  <c r="R1169" i="2" s="1"/>
  <c r="M1172" i="2"/>
  <c r="N1172" i="2" s="1"/>
  <c r="O1172" i="2" s="1"/>
  <c r="R1172" i="2" s="1"/>
  <c r="M1175" i="2"/>
  <c r="N1175" i="2" s="1"/>
  <c r="O1175" i="2" s="1"/>
  <c r="R1175" i="2" s="1"/>
  <c r="M1178" i="2"/>
  <c r="N1178" i="2" s="1"/>
  <c r="O1178" i="2" s="1"/>
  <c r="R1178" i="2" s="1"/>
  <c r="M1181" i="2"/>
  <c r="N1181" i="2" s="1"/>
  <c r="O1181" i="2" s="1"/>
  <c r="R1181" i="2" s="1"/>
  <c r="M1184" i="2"/>
  <c r="N1184" i="2" s="1"/>
  <c r="O1184" i="2" s="1"/>
  <c r="R1184" i="2" s="1"/>
  <c r="M1187" i="2"/>
  <c r="N1187" i="2" s="1"/>
  <c r="O1187" i="2" s="1"/>
  <c r="R1187" i="2" s="1"/>
  <c r="M1190" i="2"/>
  <c r="N1190" i="2" s="1"/>
  <c r="O1190" i="2" s="1"/>
  <c r="R1190" i="2" s="1"/>
  <c r="M1193" i="2"/>
  <c r="N1193" i="2" s="1"/>
  <c r="O1193" i="2" s="1"/>
  <c r="R1193" i="2" s="1"/>
  <c r="M1196" i="2"/>
  <c r="N1196" i="2" s="1"/>
  <c r="O1196" i="2" s="1"/>
  <c r="R1196" i="2" s="1"/>
  <c r="M1199" i="2"/>
  <c r="N1199" i="2" s="1"/>
  <c r="O1199" i="2" s="1"/>
  <c r="R1199" i="2" s="1"/>
  <c r="M1202" i="2"/>
  <c r="N1202" i="2" s="1"/>
  <c r="O1202" i="2" s="1"/>
  <c r="R1202" i="2" s="1"/>
  <c r="M1205" i="2"/>
  <c r="N1205" i="2" s="1"/>
  <c r="O1205" i="2" s="1"/>
  <c r="R1205" i="2" s="1"/>
  <c r="M1208" i="2"/>
  <c r="N1208" i="2" s="1"/>
  <c r="O1208" i="2" s="1"/>
  <c r="R1208" i="2" s="1"/>
  <c r="M1211" i="2"/>
  <c r="N1211" i="2" s="1"/>
  <c r="O1211" i="2" s="1"/>
  <c r="R1211" i="2" s="1"/>
  <c r="M1214" i="2"/>
  <c r="N1214" i="2" s="1"/>
  <c r="O1214" i="2" s="1"/>
  <c r="R1214" i="2" s="1"/>
  <c r="M1217" i="2"/>
  <c r="N1217" i="2" s="1"/>
  <c r="O1217" i="2" s="1"/>
  <c r="R1217" i="2" s="1"/>
  <c r="M1220" i="2"/>
  <c r="N1220" i="2" s="1"/>
  <c r="O1220" i="2" s="1"/>
  <c r="R1220" i="2" s="1"/>
  <c r="M1223" i="2"/>
  <c r="N1223" i="2" s="1"/>
  <c r="O1223" i="2" s="1"/>
  <c r="R1223" i="2" s="1"/>
  <c r="M1226" i="2"/>
  <c r="N1226" i="2" s="1"/>
  <c r="O1226" i="2" s="1"/>
  <c r="R1226" i="2" s="1"/>
  <c r="M1229" i="2"/>
  <c r="N1229" i="2" s="1"/>
  <c r="O1229" i="2" s="1"/>
  <c r="R1229" i="2" s="1"/>
  <c r="M1232" i="2"/>
  <c r="N1232" i="2" s="1"/>
  <c r="O1232" i="2" s="1"/>
  <c r="R1232" i="2" s="1"/>
  <c r="M1235" i="2"/>
  <c r="N1235" i="2" s="1"/>
  <c r="O1235" i="2" s="1"/>
  <c r="R1235" i="2" s="1"/>
  <c r="M1238" i="2"/>
  <c r="N1238" i="2" s="1"/>
  <c r="O1238" i="2" s="1"/>
  <c r="R1238" i="2" s="1"/>
  <c r="M1241" i="2"/>
  <c r="N1241" i="2" s="1"/>
  <c r="O1241" i="2" s="1"/>
  <c r="R1241" i="2" s="1"/>
  <c r="M1244" i="2"/>
  <c r="N1244" i="2" s="1"/>
  <c r="O1244" i="2" s="1"/>
  <c r="R1244" i="2" s="1"/>
  <c r="M1247" i="2"/>
  <c r="N1247" i="2" s="1"/>
  <c r="O1247" i="2" s="1"/>
  <c r="R1247" i="2" s="1"/>
  <c r="M1250" i="2"/>
  <c r="N1250" i="2" s="1"/>
  <c r="O1250" i="2" s="1"/>
  <c r="R1250" i="2" s="1"/>
  <c r="M1253" i="2"/>
  <c r="N1253" i="2" s="1"/>
  <c r="O1253" i="2" s="1"/>
  <c r="R1253" i="2" s="1"/>
  <c r="M1258" i="2"/>
  <c r="N1258" i="2" s="1"/>
  <c r="O1258" i="2" s="1"/>
  <c r="R1258" i="2" s="1"/>
  <c r="M1259" i="2"/>
  <c r="N1259" i="2" s="1"/>
  <c r="O1259" i="2" s="1"/>
  <c r="R1259" i="2" s="1"/>
  <c r="M1262" i="2"/>
  <c r="N1262" i="2" s="1"/>
  <c r="O1262" i="2" s="1"/>
  <c r="R1262" i="2" s="1"/>
  <c r="M1265" i="2"/>
  <c r="N1265" i="2" s="1"/>
  <c r="O1265" i="2" s="1"/>
  <c r="R1265" i="2" s="1"/>
  <c r="M1269" i="2"/>
  <c r="N1269" i="2" s="1"/>
  <c r="O1269" i="2" s="1"/>
  <c r="R1269" i="2" s="1"/>
  <c r="M1272" i="2"/>
  <c r="N1272" i="2" s="1"/>
  <c r="O1272" i="2" s="1"/>
  <c r="R1272" i="2" s="1"/>
  <c r="M1275" i="2"/>
  <c r="N1275" i="2" s="1"/>
  <c r="O1275" i="2" s="1"/>
  <c r="R1275" i="2" s="1"/>
  <c r="M1278" i="2"/>
  <c r="N1278" i="2" s="1"/>
  <c r="O1278" i="2" s="1"/>
  <c r="R1278" i="2" s="1"/>
  <c r="M1283" i="2"/>
  <c r="N1283" i="2" s="1"/>
  <c r="O1283" i="2" s="1"/>
  <c r="R1283" i="2" s="1"/>
  <c r="M1286" i="2"/>
  <c r="N1286" i="2" s="1"/>
  <c r="O1286" i="2" s="1"/>
  <c r="R1286" i="2" s="1"/>
  <c r="M1289" i="2"/>
  <c r="N1289" i="2" s="1"/>
  <c r="O1289" i="2" s="1"/>
  <c r="R1289" i="2" s="1"/>
  <c r="M1292" i="2"/>
  <c r="N1292" i="2" s="1"/>
  <c r="O1292" i="2" s="1"/>
  <c r="R1292" i="2" s="1"/>
  <c r="M1295" i="2"/>
  <c r="N1295" i="2" s="1"/>
  <c r="O1295" i="2" s="1"/>
  <c r="R1295" i="2" s="1"/>
  <c r="M1300" i="2"/>
  <c r="N1300" i="2" s="1"/>
  <c r="O1300" i="2" s="1"/>
  <c r="R1300" i="2" s="1"/>
  <c r="M1303" i="2"/>
  <c r="N1303" i="2" s="1"/>
  <c r="O1303" i="2" s="1"/>
  <c r="R1303" i="2" s="1"/>
  <c r="M1306" i="2"/>
  <c r="N1306" i="2" s="1"/>
  <c r="O1306" i="2" s="1"/>
  <c r="R1306" i="2" s="1"/>
  <c r="M1309" i="2"/>
  <c r="N1309" i="2" s="1"/>
  <c r="O1309" i="2" s="1"/>
  <c r="R1309" i="2" s="1"/>
  <c r="M1312" i="2"/>
  <c r="N1312" i="2" s="1"/>
  <c r="O1312" i="2" s="1"/>
  <c r="R1312" i="2" s="1"/>
  <c r="M1315" i="2"/>
  <c r="N1315" i="2" s="1"/>
  <c r="O1315" i="2" s="1"/>
  <c r="R1315" i="2" s="1"/>
  <c r="M1318" i="2"/>
  <c r="N1318" i="2" s="1"/>
  <c r="O1318" i="2" s="1"/>
  <c r="R1318" i="2" s="1"/>
  <c r="M1319" i="2"/>
  <c r="N1319" i="2" s="1"/>
  <c r="O1319" i="2" s="1"/>
  <c r="R1319" i="2" s="1"/>
  <c r="M1324" i="2"/>
  <c r="N1324" i="2" s="1"/>
  <c r="O1324" i="2" s="1"/>
  <c r="R1324" i="2" s="1"/>
  <c r="M1327" i="2"/>
  <c r="N1327" i="2" s="1"/>
  <c r="O1327" i="2" s="1"/>
  <c r="R1327" i="2" s="1"/>
  <c r="M1330" i="2"/>
  <c r="N1330" i="2" s="1"/>
  <c r="O1330" i="2" s="1"/>
  <c r="R1330" i="2" s="1"/>
  <c r="M1333" i="2"/>
  <c r="N1333" i="2" s="1"/>
  <c r="O1333" i="2" s="1"/>
  <c r="R1333" i="2" s="1"/>
  <c r="M1336" i="2"/>
  <c r="N1336" i="2" s="1"/>
  <c r="O1336" i="2" s="1"/>
  <c r="R1336" i="2" s="1"/>
  <c r="M1339" i="2"/>
  <c r="N1339" i="2" s="1"/>
  <c r="O1339" i="2" s="1"/>
  <c r="R1339" i="2" s="1"/>
  <c r="M1342" i="2"/>
  <c r="N1342" i="2" s="1"/>
  <c r="O1342" i="2" s="1"/>
  <c r="R1342" i="2" s="1"/>
  <c r="M1346" i="2"/>
  <c r="N1346" i="2" s="1"/>
  <c r="O1346" i="2" s="1"/>
  <c r="R1346" i="2" s="1"/>
  <c r="M1349" i="2"/>
  <c r="N1349" i="2" s="1"/>
  <c r="O1349" i="2" s="1"/>
  <c r="R1349" i="2" s="1"/>
  <c r="M1352" i="2"/>
  <c r="N1352" i="2" s="1"/>
  <c r="O1352" i="2" s="1"/>
  <c r="R1352" i="2" s="1"/>
  <c r="M1355" i="2"/>
  <c r="N1355" i="2" s="1"/>
  <c r="O1355" i="2" s="1"/>
  <c r="R1355" i="2" s="1"/>
  <c r="M1358" i="2"/>
  <c r="N1358" i="2" s="1"/>
  <c r="O1358" i="2" s="1"/>
  <c r="R1358" i="2" s="1"/>
  <c r="M1361" i="2"/>
  <c r="N1361" i="2" s="1"/>
  <c r="O1361" i="2" s="1"/>
  <c r="R1361" i="2" s="1"/>
  <c r="M1364" i="2"/>
  <c r="N1364" i="2" s="1"/>
  <c r="O1364" i="2" s="1"/>
  <c r="R1364" i="2" s="1"/>
  <c r="M1367" i="2"/>
  <c r="N1367" i="2" s="1"/>
  <c r="O1367" i="2" s="1"/>
  <c r="R1367" i="2" s="1"/>
  <c r="M1370" i="2"/>
  <c r="N1370" i="2" s="1"/>
  <c r="O1370" i="2" s="1"/>
  <c r="R1370" i="2" s="1"/>
  <c r="M1373" i="2"/>
  <c r="N1373" i="2" s="1"/>
  <c r="O1373" i="2" s="1"/>
  <c r="R1373" i="2" s="1"/>
  <c r="M1376" i="2"/>
  <c r="N1376" i="2" s="1"/>
  <c r="O1376" i="2" s="1"/>
  <c r="R1376" i="2" s="1"/>
  <c r="M1379" i="2"/>
  <c r="N1379" i="2" s="1"/>
  <c r="O1379" i="2" s="1"/>
  <c r="R1379" i="2" s="1"/>
  <c r="M1382" i="2"/>
  <c r="N1382" i="2" s="1"/>
  <c r="O1382" i="2" s="1"/>
  <c r="R1382" i="2" s="1"/>
  <c r="M1385" i="2"/>
  <c r="N1385" i="2" s="1"/>
  <c r="O1385" i="2" s="1"/>
  <c r="R1385" i="2" s="1"/>
  <c r="M1388" i="2"/>
  <c r="N1388" i="2" s="1"/>
  <c r="O1388" i="2" s="1"/>
  <c r="R1388" i="2" s="1"/>
  <c r="M1391" i="2"/>
  <c r="N1391" i="2" s="1"/>
  <c r="O1391" i="2" s="1"/>
  <c r="R1391" i="2" s="1"/>
  <c r="M1394" i="2"/>
  <c r="N1394" i="2" s="1"/>
  <c r="O1394" i="2" s="1"/>
  <c r="R1394" i="2" s="1"/>
  <c r="M1397" i="2"/>
  <c r="N1397" i="2" s="1"/>
  <c r="O1397" i="2" s="1"/>
  <c r="R1397" i="2" s="1"/>
  <c r="M1400" i="2"/>
  <c r="N1400" i="2" s="1"/>
  <c r="O1400" i="2" s="1"/>
  <c r="R1400" i="2" s="1"/>
  <c r="M1404" i="2"/>
  <c r="N1404" i="2" s="1"/>
  <c r="O1404" i="2" s="1"/>
  <c r="R1404" i="2" s="1"/>
  <c r="M1407" i="2"/>
  <c r="N1407" i="2" s="1"/>
  <c r="O1407" i="2" s="1"/>
  <c r="R1407" i="2" s="1"/>
  <c r="M1410" i="2"/>
  <c r="N1410" i="2" s="1"/>
  <c r="O1410" i="2" s="1"/>
  <c r="R1410" i="2" s="1"/>
  <c r="M1413" i="2"/>
  <c r="N1413" i="2" s="1"/>
  <c r="O1413" i="2" s="1"/>
  <c r="R1413" i="2" s="1"/>
  <c r="M1416" i="2"/>
  <c r="N1416" i="2" s="1"/>
  <c r="O1416" i="2" s="1"/>
  <c r="R1416" i="2" s="1"/>
  <c r="M1419" i="2"/>
  <c r="N1419" i="2" s="1"/>
  <c r="O1419" i="2" s="1"/>
  <c r="R1419" i="2" s="1"/>
  <c r="M1422" i="2"/>
  <c r="N1422" i="2" s="1"/>
  <c r="O1422" i="2" s="1"/>
  <c r="R1422" i="2" s="1"/>
  <c r="M1425" i="2"/>
  <c r="N1425" i="2" s="1"/>
  <c r="O1425" i="2" s="1"/>
  <c r="R1425" i="2" s="1"/>
  <c r="M1428" i="2"/>
  <c r="N1428" i="2" s="1"/>
  <c r="O1428" i="2" s="1"/>
  <c r="R1428" i="2" s="1"/>
  <c r="M1431" i="2"/>
  <c r="N1431" i="2" s="1"/>
  <c r="O1431" i="2" s="1"/>
  <c r="R1431" i="2" s="1"/>
  <c r="M1434" i="2"/>
  <c r="N1434" i="2" s="1"/>
  <c r="O1434" i="2" s="1"/>
  <c r="R1434" i="2" s="1"/>
  <c r="M1437" i="2"/>
  <c r="N1437" i="2" s="1"/>
  <c r="O1437" i="2" s="1"/>
  <c r="R1437" i="2" s="1"/>
  <c r="M1440" i="2"/>
  <c r="N1440" i="2" s="1"/>
  <c r="O1440" i="2" s="1"/>
  <c r="R1440" i="2" s="1"/>
  <c r="M1443" i="2"/>
  <c r="N1443" i="2" s="1"/>
  <c r="O1443" i="2" s="1"/>
  <c r="R1443" i="2" s="1"/>
  <c r="M1446" i="2"/>
  <c r="N1446" i="2" s="1"/>
  <c r="O1446" i="2" s="1"/>
  <c r="R1446" i="2" s="1"/>
  <c r="M1449" i="2"/>
  <c r="N1449" i="2" s="1"/>
  <c r="O1449" i="2" s="1"/>
  <c r="R1449" i="2" s="1"/>
  <c r="M1452" i="2"/>
  <c r="N1452" i="2" s="1"/>
  <c r="O1452" i="2" s="1"/>
  <c r="R1452" i="2" s="1"/>
  <c r="M1455" i="2"/>
  <c r="N1455" i="2" s="1"/>
  <c r="O1455" i="2" s="1"/>
  <c r="R1455" i="2" s="1"/>
  <c r="M1458" i="2"/>
  <c r="N1458" i="2" s="1"/>
  <c r="O1458" i="2" s="1"/>
  <c r="R1458" i="2" s="1"/>
  <c r="M1461" i="2"/>
  <c r="N1461" i="2" s="1"/>
  <c r="O1461" i="2" s="1"/>
  <c r="R1461" i="2" s="1"/>
  <c r="M1464" i="2"/>
  <c r="N1464" i="2" s="1"/>
  <c r="O1464" i="2" s="1"/>
  <c r="R1464" i="2" s="1"/>
  <c r="M1467" i="2"/>
  <c r="N1467" i="2" s="1"/>
  <c r="O1467" i="2" s="1"/>
  <c r="R1467" i="2" s="1"/>
  <c r="M1470" i="2"/>
  <c r="N1470" i="2" s="1"/>
  <c r="O1470" i="2" s="1"/>
  <c r="R1470" i="2" s="1"/>
  <c r="M1473" i="2"/>
  <c r="N1473" i="2" s="1"/>
  <c r="O1473" i="2" s="1"/>
  <c r="R1473" i="2" s="1"/>
  <c r="M1476" i="2"/>
  <c r="N1476" i="2" s="1"/>
  <c r="O1476" i="2" s="1"/>
  <c r="R1476" i="2" s="1"/>
  <c r="M1479" i="2"/>
  <c r="N1479" i="2" s="1"/>
  <c r="O1479" i="2" s="1"/>
  <c r="R1479" i="2" s="1"/>
  <c r="M1482" i="2"/>
  <c r="N1482" i="2" s="1"/>
  <c r="O1482" i="2" s="1"/>
  <c r="R1482" i="2" s="1"/>
  <c r="M1485" i="2"/>
  <c r="N1485" i="2" s="1"/>
  <c r="O1485" i="2" s="1"/>
  <c r="R1485" i="2" s="1"/>
  <c r="M1488" i="2"/>
  <c r="N1488" i="2" s="1"/>
  <c r="O1488" i="2" s="1"/>
  <c r="R1488" i="2" s="1"/>
  <c r="M1491" i="2"/>
  <c r="N1491" i="2" s="1"/>
  <c r="O1491" i="2" s="1"/>
  <c r="R1491" i="2" s="1"/>
  <c r="M1494" i="2"/>
  <c r="N1494" i="2" s="1"/>
  <c r="O1494" i="2" s="1"/>
  <c r="R1494" i="2" s="1"/>
  <c r="M1497" i="2"/>
  <c r="N1497" i="2" s="1"/>
  <c r="O1497" i="2" s="1"/>
  <c r="R1497" i="2" s="1"/>
  <c r="M1500" i="2"/>
  <c r="N1500" i="2" s="1"/>
  <c r="O1500" i="2" s="1"/>
  <c r="R1500" i="2" s="1"/>
  <c r="M1503" i="2"/>
  <c r="N1503" i="2" s="1"/>
  <c r="O1503" i="2" s="1"/>
  <c r="R1503" i="2" s="1"/>
  <c r="M1506" i="2"/>
  <c r="N1506" i="2" s="1"/>
  <c r="O1506" i="2" s="1"/>
  <c r="R1506" i="2" s="1"/>
  <c r="M1509" i="2"/>
  <c r="N1509" i="2" s="1"/>
  <c r="O1509" i="2" s="1"/>
  <c r="R1509" i="2" s="1"/>
  <c r="M1512" i="2"/>
  <c r="N1512" i="2" s="1"/>
  <c r="O1512" i="2" s="1"/>
  <c r="R1512" i="2" s="1"/>
  <c r="M1515" i="2"/>
  <c r="N1515" i="2" s="1"/>
  <c r="O1515" i="2" s="1"/>
  <c r="R1515" i="2" s="1"/>
  <c r="M1518" i="2"/>
  <c r="N1518" i="2" s="1"/>
  <c r="O1518" i="2" s="1"/>
  <c r="R1518" i="2" s="1"/>
  <c r="M1521" i="2"/>
  <c r="N1521" i="2" s="1"/>
  <c r="O1521" i="2" s="1"/>
  <c r="R1521" i="2" s="1"/>
  <c r="M1524" i="2"/>
  <c r="N1524" i="2" s="1"/>
  <c r="O1524" i="2" s="1"/>
  <c r="R1524" i="2" s="1"/>
  <c r="M1527" i="2"/>
  <c r="N1527" i="2" s="1"/>
  <c r="O1527" i="2" s="1"/>
  <c r="R1527" i="2" s="1"/>
  <c r="M1530" i="2"/>
  <c r="N1530" i="2" s="1"/>
  <c r="O1530" i="2" s="1"/>
  <c r="R1530" i="2" s="1"/>
  <c r="M1533" i="2"/>
  <c r="N1533" i="2" s="1"/>
  <c r="O1533" i="2" s="1"/>
  <c r="R1533" i="2" s="1"/>
  <c r="M1536" i="2"/>
  <c r="N1536" i="2" s="1"/>
  <c r="O1536" i="2" s="1"/>
  <c r="R1536" i="2" s="1"/>
  <c r="M1541" i="2"/>
  <c r="N1541" i="2" s="1"/>
  <c r="O1541" i="2" s="1"/>
  <c r="R1541" i="2" s="1"/>
  <c r="M1544" i="2"/>
  <c r="N1544" i="2" s="1"/>
  <c r="O1544" i="2" s="1"/>
  <c r="R1544" i="2" s="1"/>
  <c r="M1547" i="2"/>
  <c r="N1547" i="2" s="1"/>
  <c r="O1547" i="2" s="1"/>
  <c r="R1547" i="2" s="1"/>
  <c r="M1550" i="2"/>
  <c r="N1550" i="2" s="1"/>
  <c r="O1550" i="2" s="1"/>
  <c r="R1550" i="2" s="1"/>
  <c r="M1553" i="2"/>
  <c r="N1553" i="2" s="1"/>
  <c r="O1553" i="2" s="1"/>
  <c r="R1553" i="2" s="1"/>
  <c r="M1556" i="2"/>
  <c r="N1556" i="2" s="1"/>
  <c r="O1556" i="2" s="1"/>
  <c r="R1556" i="2" s="1"/>
  <c r="M1559" i="2"/>
  <c r="N1559" i="2" s="1"/>
  <c r="O1559" i="2" s="1"/>
  <c r="R1559" i="2" s="1"/>
  <c r="M1562" i="2"/>
  <c r="N1562" i="2" s="1"/>
  <c r="O1562" i="2" s="1"/>
  <c r="R1562" i="2" s="1"/>
  <c r="M1565" i="2"/>
  <c r="N1565" i="2" s="1"/>
  <c r="O1565" i="2" s="1"/>
  <c r="R1565" i="2" s="1"/>
  <c r="M1568" i="2"/>
  <c r="N1568" i="2" s="1"/>
  <c r="O1568" i="2" s="1"/>
  <c r="R1568" i="2" s="1"/>
  <c r="M1571" i="2"/>
  <c r="N1571" i="2" s="1"/>
  <c r="O1571" i="2" s="1"/>
  <c r="R1571" i="2" s="1"/>
  <c r="M1575" i="2"/>
  <c r="N1575" i="2" s="1"/>
  <c r="O1575" i="2" s="1"/>
  <c r="R1575" i="2" s="1"/>
  <c r="M1576" i="2"/>
  <c r="N1576" i="2" s="1"/>
  <c r="O1576" i="2" s="1"/>
  <c r="R1576" i="2" s="1"/>
  <c r="M1581" i="2"/>
  <c r="N1581" i="2" s="1"/>
  <c r="O1581" i="2" s="1"/>
  <c r="R1581" i="2" s="1"/>
  <c r="M1584" i="2"/>
  <c r="N1584" i="2" s="1"/>
  <c r="O1584" i="2" s="1"/>
  <c r="R1584" i="2" s="1"/>
  <c r="M1587" i="2"/>
  <c r="N1587" i="2" s="1"/>
  <c r="O1587" i="2" s="1"/>
  <c r="R1587" i="2" s="1"/>
  <c r="M1590" i="2"/>
  <c r="N1590" i="2" s="1"/>
  <c r="O1590" i="2" s="1"/>
  <c r="R1590" i="2" s="1"/>
  <c r="M1593" i="2"/>
  <c r="N1593" i="2" s="1"/>
  <c r="O1593" i="2" s="1"/>
  <c r="R1593" i="2" s="1"/>
  <c r="M1597" i="2"/>
  <c r="N1597" i="2" s="1"/>
  <c r="O1597" i="2" s="1"/>
  <c r="R1597" i="2" s="1"/>
  <c r="M1600" i="2"/>
  <c r="N1600" i="2" s="1"/>
  <c r="O1600" i="2" s="1"/>
  <c r="R1600" i="2" s="1"/>
  <c r="M1603" i="2"/>
  <c r="N1603" i="2" s="1"/>
  <c r="O1603" i="2" s="1"/>
  <c r="R1603" i="2" s="1"/>
  <c r="M1606" i="2"/>
  <c r="N1606" i="2" s="1"/>
  <c r="O1606" i="2" s="1"/>
  <c r="R1606" i="2" s="1"/>
  <c r="M1609" i="2"/>
  <c r="N1609" i="2" s="1"/>
  <c r="O1609" i="2" s="1"/>
  <c r="R1609" i="2" s="1"/>
  <c r="M1612" i="2"/>
  <c r="N1612" i="2" s="1"/>
  <c r="O1612" i="2" s="1"/>
  <c r="R1612" i="2" s="1"/>
  <c r="M1615" i="2"/>
  <c r="N1615" i="2" s="1"/>
  <c r="O1615" i="2" s="1"/>
  <c r="R1615" i="2" s="1"/>
  <c r="M1618" i="2"/>
  <c r="N1618" i="2" s="1"/>
  <c r="O1618" i="2" s="1"/>
  <c r="R1618" i="2" s="1"/>
  <c r="M1621" i="2"/>
  <c r="N1621" i="2" s="1"/>
  <c r="O1621" i="2" s="1"/>
  <c r="R1621" i="2" s="1"/>
  <c r="M1624" i="2"/>
  <c r="N1624" i="2" s="1"/>
  <c r="O1624" i="2" s="1"/>
  <c r="R1624" i="2" s="1"/>
  <c r="M1627" i="2"/>
  <c r="N1627" i="2" s="1"/>
  <c r="O1627" i="2" s="1"/>
  <c r="R1627" i="2" s="1"/>
  <c r="M1630" i="2"/>
  <c r="N1630" i="2" s="1"/>
  <c r="O1630" i="2" s="1"/>
  <c r="R1630" i="2" s="1"/>
  <c r="M1633" i="2"/>
  <c r="N1633" i="2" s="1"/>
  <c r="O1633" i="2" s="1"/>
  <c r="R1633" i="2" s="1"/>
  <c r="M1636" i="2"/>
  <c r="N1636" i="2" s="1"/>
  <c r="O1636" i="2" s="1"/>
  <c r="R1636" i="2" s="1"/>
  <c r="M1639" i="2"/>
  <c r="N1639" i="2" s="1"/>
  <c r="O1639" i="2" s="1"/>
  <c r="R1639" i="2" s="1"/>
  <c r="M1642" i="2"/>
  <c r="N1642" i="2" s="1"/>
  <c r="O1642" i="2" s="1"/>
  <c r="R1642" i="2" s="1"/>
  <c r="M1645" i="2"/>
  <c r="N1645" i="2" s="1"/>
  <c r="O1645" i="2" s="1"/>
  <c r="R1645" i="2" s="1"/>
  <c r="M1648" i="2"/>
  <c r="N1648" i="2" s="1"/>
  <c r="O1648" i="2" s="1"/>
  <c r="R1648" i="2" s="1"/>
  <c r="M1651" i="2"/>
  <c r="N1651" i="2" s="1"/>
  <c r="O1651" i="2" s="1"/>
  <c r="R1651" i="2" s="1"/>
  <c r="M1654" i="2"/>
  <c r="N1654" i="2" s="1"/>
  <c r="O1654" i="2" s="1"/>
  <c r="R1654" i="2" s="1"/>
  <c r="M1657" i="2"/>
  <c r="N1657" i="2" s="1"/>
  <c r="O1657" i="2" s="1"/>
  <c r="R1657" i="2" s="1"/>
  <c r="M1660" i="2"/>
  <c r="N1660" i="2" s="1"/>
  <c r="O1660" i="2" s="1"/>
  <c r="R1660" i="2" s="1"/>
  <c r="M1663" i="2"/>
  <c r="N1663" i="2" s="1"/>
  <c r="O1663" i="2" s="1"/>
  <c r="R1663" i="2" s="1"/>
  <c r="M1666" i="2"/>
  <c r="N1666" i="2" s="1"/>
  <c r="O1666" i="2" s="1"/>
  <c r="R1666" i="2" s="1"/>
  <c r="M1669" i="2"/>
  <c r="N1669" i="2" s="1"/>
  <c r="O1669" i="2" s="1"/>
  <c r="R1669" i="2" s="1"/>
  <c r="M1672" i="2"/>
  <c r="N1672" i="2" s="1"/>
  <c r="O1672" i="2" s="1"/>
  <c r="R1672" i="2" s="1"/>
  <c r="M1675" i="2"/>
  <c r="N1675" i="2" s="1"/>
  <c r="O1675" i="2" s="1"/>
  <c r="R1675" i="2" s="1"/>
  <c r="M1678" i="2"/>
  <c r="N1678" i="2" s="1"/>
  <c r="O1678" i="2" s="1"/>
  <c r="R1678" i="2" s="1"/>
  <c r="M1681" i="2"/>
  <c r="N1681" i="2" s="1"/>
  <c r="O1681" i="2" s="1"/>
  <c r="R1681" i="2" s="1"/>
  <c r="M1684" i="2"/>
  <c r="N1684" i="2" s="1"/>
  <c r="O1684" i="2" s="1"/>
  <c r="R1684" i="2" s="1"/>
  <c r="M1687" i="2"/>
  <c r="N1687" i="2" s="1"/>
  <c r="O1687" i="2" s="1"/>
  <c r="R1687" i="2" s="1"/>
  <c r="M1690" i="2"/>
  <c r="N1690" i="2" s="1"/>
  <c r="O1690" i="2" s="1"/>
  <c r="R1690" i="2" s="1"/>
  <c r="M1693" i="2"/>
  <c r="N1693" i="2" s="1"/>
  <c r="O1693" i="2" s="1"/>
  <c r="R1693" i="2" s="1"/>
  <c r="M1696" i="2"/>
  <c r="N1696" i="2" s="1"/>
  <c r="O1696" i="2" s="1"/>
  <c r="R1696" i="2" s="1"/>
  <c r="M1701" i="2"/>
  <c r="N1701" i="2" s="1"/>
  <c r="O1701" i="2" s="1"/>
  <c r="R1701" i="2" s="1"/>
  <c r="M1702" i="2"/>
  <c r="N1702" i="2" s="1"/>
  <c r="O1702" i="2" s="1"/>
  <c r="R1702" i="2" s="1"/>
  <c r="M1705" i="2"/>
  <c r="N1705" i="2" s="1"/>
  <c r="O1705" i="2" s="1"/>
  <c r="R1705" i="2" s="1"/>
  <c r="M1709" i="2"/>
  <c r="N1709" i="2" s="1"/>
  <c r="O1709" i="2" s="1"/>
  <c r="R1709" i="2" s="1"/>
  <c r="M1712" i="2"/>
  <c r="N1712" i="2" s="1"/>
  <c r="O1712" i="2" s="1"/>
  <c r="R1712" i="2" s="1"/>
  <c r="M1715" i="2"/>
  <c r="N1715" i="2" s="1"/>
  <c r="O1715" i="2" s="1"/>
  <c r="R1715" i="2" s="1"/>
  <c r="M1718" i="2"/>
  <c r="N1718" i="2" s="1"/>
  <c r="O1718" i="2" s="1"/>
  <c r="R1718" i="2" s="1"/>
  <c r="M1721" i="2"/>
  <c r="N1721" i="2" s="1"/>
  <c r="O1721" i="2" s="1"/>
  <c r="R1721" i="2" s="1"/>
  <c r="M1724" i="2"/>
  <c r="N1724" i="2" s="1"/>
  <c r="O1724" i="2" s="1"/>
  <c r="R1724" i="2" s="1"/>
  <c r="M1729" i="2"/>
  <c r="N1729" i="2" s="1"/>
  <c r="O1729" i="2" s="1"/>
  <c r="R1729" i="2" s="1"/>
  <c r="M1732" i="2"/>
  <c r="N1732" i="2" s="1"/>
  <c r="O1732" i="2" s="1"/>
  <c r="R1732" i="2" s="1"/>
  <c r="M1735" i="2"/>
  <c r="N1735" i="2" s="1"/>
  <c r="O1735" i="2" s="1"/>
  <c r="R1735" i="2" s="1"/>
  <c r="M1738" i="2"/>
  <c r="N1738" i="2" s="1"/>
  <c r="O1738" i="2" s="1"/>
  <c r="R1738" i="2" s="1"/>
  <c r="M1741" i="2"/>
  <c r="N1741" i="2" s="1"/>
  <c r="O1741" i="2" s="1"/>
  <c r="R1741" i="2" s="1"/>
  <c r="M1746" i="2"/>
  <c r="N1746" i="2" s="1"/>
  <c r="O1746" i="2" s="1"/>
  <c r="R1746" i="2" s="1"/>
  <c r="M1749" i="2"/>
  <c r="N1749" i="2" s="1"/>
  <c r="O1749" i="2" s="1"/>
  <c r="R1749" i="2" s="1"/>
  <c r="M1752" i="2"/>
  <c r="N1752" i="2" s="1"/>
  <c r="O1752" i="2" s="1"/>
  <c r="R1752" i="2" s="1"/>
  <c r="M1755" i="2"/>
  <c r="N1755" i="2" s="1"/>
  <c r="O1755" i="2" s="1"/>
  <c r="R1755" i="2" s="1"/>
  <c r="M1761" i="2"/>
  <c r="N1761" i="2" s="1"/>
  <c r="O1761" i="2" s="1"/>
  <c r="R1761" i="2" s="1"/>
  <c r="M1764" i="2"/>
  <c r="N1764" i="2" s="1"/>
  <c r="O1764" i="2" s="1"/>
  <c r="R1764" i="2" s="1"/>
  <c r="M1767" i="2"/>
  <c r="N1767" i="2" s="1"/>
  <c r="O1767" i="2" s="1"/>
  <c r="R1767" i="2" s="1"/>
  <c r="M1770" i="2"/>
  <c r="N1770" i="2" s="1"/>
  <c r="O1770" i="2" s="1"/>
  <c r="R1770" i="2" s="1"/>
  <c r="M1773" i="2"/>
  <c r="N1773" i="2" s="1"/>
  <c r="O1773" i="2" s="1"/>
  <c r="R1773" i="2" s="1"/>
  <c r="M1776" i="2"/>
  <c r="N1776" i="2" s="1"/>
  <c r="O1776" i="2" s="1"/>
  <c r="R1776" i="2" s="1"/>
  <c r="M1779" i="2"/>
  <c r="N1779" i="2" s="1"/>
  <c r="O1779" i="2" s="1"/>
  <c r="R1779" i="2" s="1"/>
  <c r="M1782" i="2"/>
  <c r="N1782" i="2" s="1"/>
  <c r="O1782" i="2" s="1"/>
  <c r="R1782" i="2" s="1"/>
  <c r="M1785" i="2"/>
  <c r="N1785" i="2" s="1"/>
  <c r="O1785" i="2" s="1"/>
  <c r="R1785" i="2" s="1"/>
  <c r="M1788" i="2"/>
  <c r="N1788" i="2" s="1"/>
  <c r="O1788" i="2" s="1"/>
  <c r="R1788" i="2" s="1"/>
  <c r="M1791" i="2"/>
  <c r="N1791" i="2" s="1"/>
  <c r="O1791" i="2" s="1"/>
  <c r="R1791" i="2" s="1"/>
  <c r="M1794" i="2"/>
  <c r="N1794" i="2" s="1"/>
  <c r="O1794" i="2" s="1"/>
  <c r="R1794" i="2" s="1"/>
  <c r="M1800" i="2"/>
  <c r="N1800" i="2" s="1"/>
  <c r="O1800" i="2" s="1"/>
  <c r="R1800" i="2" s="1"/>
  <c r="M1797" i="2"/>
  <c r="N1797" i="2" s="1"/>
  <c r="O1797" i="2" s="1"/>
  <c r="R1797" i="2" s="1"/>
  <c r="M1803" i="2"/>
  <c r="N1803" i="2" s="1"/>
  <c r="O1803" i="2" s="1"/>
  <c r="R1803" i="2" s="1"/>
  <c r="M1806" i="2"/>
  <c r="N1806" i="2" s="1"/>
  <c r="O1806" i="2" s="1"/>
  <c r="R1806" i="2" s="1"/>
  <c r="M1811" i="2"/>
  <c r="N1811" i="2" s="1"/>
  <c r="O1811" i="2" s="1"/>
  <c r="R1811" i="2" s="1"/>
  <c r="M1814" i="2"/>
  <c r="N1814" i="2" s="1"/>
  <c r="O1814" i="2" s="1"/>
  <c r="R1814" i="2" s="1"/>
  <c r="M1817" i="2"/>
  <c r="N1817" i="2" s="1"/>
  <c r="O1817" i="2" s="1"/>
  <c r="R1817" i="2" s="1"/>
  <c r="M1822" i="2"/>
  <c r="N1822" i="2" s="1"/>
  <c r="O1822" i="2" s="1"/>
  <c r="R1822" i="2" s="1"/>
  <c r="M1825" i="2"/>
  <c r="N1825" i="2" s="1"/>
  <c r="O1825" i="2" s="1"/>
  <c r="R1825" i="2" s="1"/>
  <c r="M1828" i="2"/>
  <c r="N1828" i="2" s="1"/>
  <c r="O1828" i="2" s="1"/>
  <c r="R1828" i="2" s="1"/>
  <c r="M1831" i="2"/>
  <c r="N1831" i="2" s="1"/>
  <c r="O1831" i="2" s="1"/>
  <c r="R1831" i="2" s="1"/>
  <c r="M1834" i="2"/>
  <c r="N1834" i="2" s="1"/>
  <c r="O1834" i="2" s="1"/>
  <c r="R1834" i="2" s="1"/>
  <c r="M1837" i="2"/>
  <c r="N1837" i="2" s="1"/>
  <c r="O1837" i="2" s="1"/>
  <c r="R1837" i="2" s="1"/>
  <c r="M1840" i="2"/>
  <c r="N1840" i="2" s="1"/>
  <c r="O1840" i="2" s="1"/>
  <c r="R1840" i="2" s="1"/>
  <c r="M1843" i="2"/>
  <c r="N1843" i="2" s="1"/>
  <c r="O1843" i="2" s="1"/>
  <c r="R1843" i="2" s="1"/>
  <c r="M1848" i="2"/>
  <c r="N1848" i="2" s="1"/>
  <c r="O1848" i="2" s="1"/>
  <c r="R1848" i="2" s="1"/>
  <c r="M1849" i="2"/>
  <c r="N1849" i="2" s="1"/>
  <c r="O1849" i="2" s="1"/>
  <c r="R1849" i="2" s="1"/>
  <c r="M1852" i="2"/>
  <c r="N1852" i="2" s="1"/>
  <c r="O1852" i="2" s="1"/>
  <c r="R1852" i="2" s="1"/>
  <c r="M1855" i="2"/>
  <c r="N1855" i="2" s="1"/>
  <c r="O1855" i="2" s="1"/>
  <c r="R1855" i="2" s="1"/>
  <c r="M1857" i="2"/>
  <c r="N1857" i="2" s="1"/>
  <c r="O1857" i="2" s="1"/>
  <c r="R1857" i="2" s="1"/>
  <c r="M1860" i="2"/>
  <c r="N1860" i="2" s="1"/>
  <c r="O1860" i="2" s="1"/>
  <c r="R1860" i="2" s="1"/>
  <c r="M1865" i="2"/>
  <c r="N1865" i="2" s="1"/>
  <c r="O1865" i="2" s="1"/>
  <c r="R1865" i="2" s="1"/>
  <c r="M1868" i="2"/>
  <c r="N1868" i="2" s="1"/>
  <c r="O1868" i="2" s="1"/>
  <c r="R1868" i="2" s="1"/>
  <c r="M1871" i="2"/>
  <c r="N1871" i="2" s="1"/>
  <c r="O1871" i="2" s="1"/>
  <c r="R1871" i="2" s="1"/>
  <c r="M1874" i="2"/>
  <c r="N1874" i="2" s="1"/>
  <c r="O1874" i="2" s="1"/>
  <c r="R1874" i="2" s="1"/>
  <c r="M1877" i="2"/>
  <c r="N1877" i="2" s="1"/>
  <c r="O1877" i="2" s="1"/>
  <c r="R1877" i="2" s="1"/>
  <c r="M1880" i="2"/>
  <c r="N1880" i="2" s="1"/>
  <c r="O1880" i="2" s="1"/>
  <c r="R1880" i="2" s="1"/>
  <c r="M1886" i="2"/>
  <c r="N1886" i="2" s="1"/>
  <c r="O1886" i="2" s="1"/>
  <c r="R1886" i="2" s="1"/>
  <c r="M1887" i="2"/>
  <c r="N1887" i="2" s="1"/>
  <c r="O1887" i="2" s="1"/>
  <c r="R1887" i="2" s="1"/>
  <c r="M1888" i="2"/>
  <c r="N1888" i="2" s="1"/>
  <c r="O1888" i="2" s="1"/>
  <c r="R1888" i="2" s="1"/>
  <c r="M1891" i="2"/>
  <c r="N1891" i="2" s="1"/>
  <c r="O1891" i="2" s="1"/>
  <c r="R1891" i="2" s="1"/>
  <c r="M1894" i="2"/>
  <c r="N1894" i="2" s="1"/>
  <c r="O1894" i="2" s="1"/>
  <c r="R1894" i="2" s="1"/>
  <c r="M1897" i="2"/>
  <c r="N1897" i="2" s="1"/>
  <c r="O1897" i="2" s="1"/>
  <c r="R1897" i="2" s="1"/>
  <c r="M1900" i="2"/>
  <c r="N1900" i="2" s="1"/>
  <c r="O1900" i="2" s="1"/>
  <c r="R1900" i="2" s="1"/>
  <c r="M1903" i="2"/>
  <c r="N1903" i="2" s="1"/>
  <c r="O1903" i="2" s="1"/>
  <c r="R1903" i="2" s="1"/>
  <c r="M1906" i="2"/>
  <c r="N1906" i="2" s="1"/>
  <c r="O1906" i="2" s="1"/>
  <c r="R1906" i="2" s="1"/>
  <c r="M1911" i="2"/>
  <c r="N1911" i="2" s="1"/>
  <c r="O1911" i="2" s="1"/>
  <c r="R1911" i="2" s="1"/>
  <c r="M1912" i="2"/>
  <c r="N1912" i="2" s="1"/>
  <c r="O1912" i="2" s="1"/>
  <c r="R1912" i="2" s="1"/>
  <c r="M1915" i="2"/>
  <c r="N1915" i="2" s="1"/>
  <c r="O1915" i="2" s="1"/>
  <c r="R1915" i="2" s="1"/>
  <c r="M1918" i="2"/>
  <c r="N1918" i="2" s="1"/>
  <c r="O1918" i="2" s="1"/>
  <c r="R1918" i="2" s="1"/>
  <c r="M1923" i="2"/>
  <c r="N1923" i="2" s="1"/>
  <c r="O1923" i="2" s="1"/>
  <c r="R1923" i="2" s="1"/>
  <c r="M1926" i="2"/>
  <c r="N1926" i="2" s="1"/>
  <c r="O1926" i="2" s="1"/>
  <c r="R1926" i="2" s="1"/>
  <c r="M1929" i="2"/>
  <c r="N1929" i="2" s="1"/>
  <c r="O1929" i="2" s="1"/>
  <c r="R1929" i="2" s="1"/>
  <c r="M1932" i="2"/>
  <c r="N1932" i="2" s="1"/>
  <c r="O1932" i="2" s="1"/>
  <c r="R1932" i="2" s="1"/>
  <c r="M1935" i="2"/>
  <c r="N1935" i="2" s="1"/>
  <c r="O1935" i="2" s="1"/>
  <c r="R1935" i="2" s="1"/>
  <c r="M1939" i="2"/>
  <c r="N1939" i="2" s="1"/>
  <c r="O1939" i="2" s="1"/>
  <c r="R1939" i="2" s="1"/>
  <c r="M1946" i="2"/>
  <c r="N1946" i="2" s="1"/>
  <c r="O1946" i="2" s="1"/>
  <c r="R1946" i="2" s="1"/>
  <c r="M1947" i="2"/>
  <c r="N1947" i="2" s="1"/>
  <c r="O1947" i="2" s="1"/>
  <c r="R1947" i="2" s="1"/>
  <c r="M1951" i="2"/>
  <c r="N1951" i="2" s="1"/>
  <c r="O1951" i="2" s="1"/>
  <c r="R1951" i="2" s="1"/>
  <c r="M1954" i="2"/>
  <c r="N1954" i="2" s="1"/>
  <c r="O1954" i="2" s="1"/>
  <c r="R1954" i="2" s="1"/>
  <c r="M1958" i="2"/>
  <c r="N1958" i="2" s="1"/>
  <c r="O1958" i="2" s="1"/>
  <c r="R1958" i="2" s="1"/>
  <c r="M1961" i="2"/>
  <c r="N1961" i="2" s="1"/>
  <c r="O1961" i="2" s="1"/>
  <c r="R1961" i="2" s="1"/>
  <c r="M1964" i="2"/>
  <c r="N1964" i="2" s="1"/>
  <c r="O1964" i="2" s="1"/>
  <c r="R1964" i="2" s="1"/>
  <c r="M1967" i="2"/>
  <c r="N1967" i="2" s="1"/>
  <c r="O1967" i="2" s="1"/>
  <c r="R1967" i="2" s="1"/>
  <c r="M1970" i="2"/>
  <c r="N1970" i="2" s="1"/>
  <c r="O1970" i="2" s="1"/>
  <c r="R1970" i="2" s="1"/>
  <c r="M1973" i="2"/>
  <c r="N1973" i="2" s="1"/>
  <c r="O1973" i="2" s="1"/>
  <c r="R1973" i="2" s="1"/>
  <c r="M1976" i="2"/>
  <c r="N1976" i="2" s="1"/>
  <c r="O1976" i="2" s="1"/>
  <c r="R1976" i="2" s="1"/>
  <c r="M1979" i="2"/>
  <c r="N1979" i="2" s="1"/>
  <c r="O1979" i="2" s="1"/>
  <c r="R1979" i="2" s="1"/>
  <c r="M1982" i="2"/>
  <c r="N1982" i="2" s="1"/>
  <c r="O1982" i="2" s="1"/>
  <c r="R1982" i="2" s="1"/>
  <c r="M1985" i="2"/>
  <c r="N1985" i="2" s="1"/>
  <c r="O1985" i="2" s="1"/>
  <c r="R1985" i="2" s="1"/>
  <c r="M1988" i="2"/>
  <c r="N1988" i="2" s="1"/>
  <c r="O1988" i="2" s="1"/>
  <c r="R1988" i="2" s="1"/>
  <c r="M1991" i="2"/>
  <c r="N1991" i="2" s="1"/>
  <c r="O1991" i="2" s="1"/>
  <c r="R1991" i="2" s="1"/>
  <c r="M1994" i="2"/>
  <c r="N1994" i="2" s="1"/>
  <c r="O1994" i="2" s="1"/>
  <c r="R1994" i="2" s="1"/>
  <c r="M1997" i="2"/>
  <c r="N1997" i="2" s="1"/>
  <c r="O1997" i="2" s="1"/>
  <c r="R1997" i="2" s="1"/>
  <c r="M2000" i="2"/>
  <c r="N2000" i="2" s="1"/>
  <c r="O2000" i="2" s="1"/>
  <c r="R2000" i="2" s="1"/>
  <c r="M2003" i="2"/>
  <c r="N2003" i="2" s="1"/>
  <c r="O2003" i="2" s="1"/>
  <c r="R2003" i="2" s="1"/>
  <c r="M2006" i="2"/>
  <c r="N2006" i="2" s="1"/>
  <c r="O2006" i="2" s="1"/>
  <c r="R2006" i="2" s="1"/>
  <c r="M2009" i="2"/>
  <c r="N2009" i="2" s="1"/>
  <c r="O2009" i="2" s="1"/>
  <c r="R2009" i="2" s="1"/>
  <c r="M2012" i="2"/>
  <c r="N2012" i="2" s="1"/>
  <c r="O2012" i="2" s="1"/>
  <c r="R2012" i="2" s="1"/>
  <c r="M2015" i="2"/>
  <c r="N2015" i="2" s="1"/>
  <c r="O2015" i="2" s="1"/>
  <c r="R2015" i="2" s="1"/>
  <c r="M2018" i="2"/>
  <c r="N2018" i="2" s="1"/>
  <c r="O2018" i="2" s="1"/>
  <c r="R2018" i="2" s="1"/>
  <c r="M2022" i="2"/>
  <c r="N2022" i="2" s="1"/>
  <c r="O2022" i="2" s="1"/>
  <c r="R2022" i="2" s="1"/>
  <c r="M2025" i="2"/>
  <c r="N2025" i="2" s="1"/>
  <c r="O2025" i="2" s="1"/>
  <c r="R2025" i="2" s="1"/>
  <c r="M2028" i="2"/>
  <c r="N2028" i="2" s="1"/>
  <c r="O2028" i="2" s="1"/>
  <c r="R2028" i="2" s="1"/>
  <c r="M2031" i="2"/>
  <c r="N2031" i="2" s="1"/>
  <c r="O2031" i="2" s="1"/>
  <c r="R2031" i="2" s="1"/>
  <c r="M2034" i="2"/>
  <c r="N2034" i="2" s="1"/>
  <c r="O2034" i="2" s="1"/>
  <c r="R2034" i="2" s="1"/>
  <c r="M2037" i="2"/>
  <c r="N2037" i="2" s="1"/>
  <c r="O2037" i="2" s="1"/>
  <c r="R2037" i="2" s="1"/>
  <c r="M2040" i="2"/>
  <c r="N2040" i="2" s="1"/>
  <c r="O2040" i="2" s="1"/>
  <c r="R2040" i="2" s="1"/>
  <c r="M2043" i="2"/>
  <c r="N2043" i="2" s="1"/>
  <c r="O2043" i="2" s="1"/>
  <c r="R2043" i="2" s="1"/>
  <c r="M2046" i="2"/>
  <c r="N2046" i="2" s="1"/>
  <c r="O2046" i="2" s="1"/>
  <c r="R2046" i="2" s="1"/>
  <c r="M2049" i="2"/>
  <c r="N2049" i="2" s="1"/>
  <c r="O2049" i="2" s="1"/>
  <c r="R2049" i="2" s="1"/>
  <c r="M2052" i="2"/>
  <c r="N2052" i="2" s="1"/>
  <c r="O2052" i="2" s="1"/>
  <c r="R2052" i="2" s="1"/>
  <c r="M2055" i="2"/>
  <c r="N2055" i="2" s="1"/>
  <c r="O2055" i="2" s="1"/>
  <c r="R2055" i="2" s="1"/>
  <c r="M2058" i="2"/>
  <c r="N2058" i="2" s="1"/>
  <c r="O2058" i="2" s="1"/>
  <c r="R2058" i="2" s="1"/>
  <c r="M2061" i="2"/>
  <c r="N2061" i="2" s="1"/>
  <c r="O2061" i="2" s="1"/>
  <c r="R2061" i="2" s="1"/>
  <c r="M2064" i="2"/>
  <c r="N2064" i="2" s="1"/>
  <c r="O2064" i="2" s="1"/>
  <c r="R2064" i="2" s="1"/>
  <c r="M2067" i="2"/>
  <c r="N2067" i="2" s="1"/>
  <c r="O2067" i="2" s="1"/>
  <c r="R2067" i="2" s="1"/>
  <c r="M2070" i="2"/>
  <c r="N2070" i="2" s="1"/>
  <c r="O2070" i="2" s="1"/>
  <c r="R2070" i="2" s="1"/>
  <c r="M2074" i="2"/>
  <c r="N2074" i="2" s="1"/>
  <c r="O2074" i="2" s="1"/>
  <c r="R2074" i="2" s="1"/>
  <c r="M2077" i="2"/>
  <c r="N2077" i="2" s="1"/>
  <c r="O2077" i="2" s="1"/>
  <c r="R2077" i="2" s="1"/>
  <c r="M2080" i="2"/>
  <c r="N2080" i="2" s="1"/>
  <c r="O2080" i="2" s="1"/>
  <c r="R2080" i="2" s="1"/>
  <c r="M2085" i="2"/>
  <c r="N2085" i="2" s="1"/>
  <c r="O2085" i="2" s="1"/>
  <c r="R2085" i="2" s="1"/>
  <c r="M2088" i="2"/>
  <c r="N2088" i="2" s="1"/>
  <c r="O2088" i="2" s="1"/>
  <c r="R2088" i="2" s="1"/>
  <c r="M2092" i="2"/>
  <c r="N2092" i="2" s="1"/>
  <c r="O2092" i="2" s="1"/>
  <c r="R2092" i="2" s="1"/>
  <c r="M2095" i="2"/>
  <c r="N2095" i="2" s="1"/>
  <c r="O2095" i="2" s="1"/>
  <c r="R2095" i="2" s="1"/>
  <c r="M2098" i="2"/>
  <c r="N2098" i="2" s="1"/>
  <c r="O2098" i="2" s="1"/>
  <c r="R2098" i="2" s="1"/>
  <c r="M2101" i="2"/>
  <c r="N2101" i="2" s="1"/>
  <c r="O2101" i="2" s="1"/>
  <c r="R2101" i="2" s="1"/>
  <c r="M2104" i="2"/>
  <c r="N2104" i="2" s="1"/>
  <c r="O2104" i="2" s="1"/>
  <c r="R2104" i="2" s="1"/>
  <c r="M2107" i="2"/>
  <c r="N2107" i="2" s="1"/>
  <c r="O2107" i="2" s="1"/>
  <c r="R2107" i="2" s="1"/>
  <c r="M2110" i="2"/>
  <c r="N2110" i="2" s="1"/>
  <c r="O2110" i="2" s="1"/>
  <c r="R2110" i="2" s="1"/>
  <c r="M2113" i="2"/>
  <c r="N2113" i="2" s="1"/>
  <c r="O2113" i="2" s="1"/>
  <c r="R2113" i="2" s="1"/>
  <c r="M2116" i="2"/>
  <c r="N2116" i="2" s="1"/>
  <c r="O2116" i="2" s="1"/>
  <c r="R2116" i="2" s="1"/>
  <c r="M2119" i="2"/>
  <c r="N2119" i="2" s="1"/>
  <c r="O2119" i="2" s="1"/>
  <c r="R2119" i="2" s="1"/>
  <c r="M2122" i="2"/>
  <c r="N2122" i="2" s="1"/>
  <c r="O2122" i="2" s="1"/>
  <c r="R2122" i="2" s="1"/>
  <c r="M2125" i="2"/>
  <c r="N2125" i="2" s="1"/>
  <c r="O2125" i="2" s="1"/>
  <c r="R2125" i="2" s="1"/>
  <c r="M2128" i="2"/>
  <c r="N2128" i="2" s="1"/>
  <c r="O2128" i="2" s="1"/>
  <c r="R2128" i="2" s="1"/>
  <c r="M2131" i="2"/>
  <c r="N2131" i="2" s="1"/>
  <c r="O2131" i="2" s="1"/>
  <c r="R2131" i="2" s="1"/>
  <c r="M2136" i="2"/>
  <c r="N2136" i="2" s="1"/>
  <c r="O2136" i="2" s="1"/>
  <c r="R2136" i="2" s="1"/>
  <c r="M2139" i="2"/>
  <c r="N2139" i="2" s="1"/>
  <c r="O2139" i="2" s="1"/>
  <c r="R2139" i="2" s="1"/>
  <c r="M2142" i="2"/>
  <c r="N2142" i="2" s="1"/>
  <c r="O2142" i="2" s="1"/>
  <c r="R2142" i="2" s="1"/>
  <c r="M2145" i="2"/>
  <c r="N2145" i="2" s="1"/>
  <c r="O2145" i="2" s="1"/>
  <c r="R2145" i="2" s="1"/>
  <c r="M2148" i="2"/>
  <c r="N2148" i="2" s="1"/>
  <c r="O2148" i="2" s="1"/>
  <c r="R2148" i="2" s="1"/>
  <c r="M2151" i="2"/>
  <c r="N2151" i="2" s="1"/>
  <c r="O2151" i="2" s="1"/>
  <c r="R2151" i="2" s="1"/>
  <c r="M2154" i="2"/>
  <c r="N2154" i="2" s="1"/>
  <c r="O2154" i="2" s="1"/>
  <c r="R2154" i="2" s="1"/>
  <c r="M2157" i="2"/>
  <c r="N2157" i="2" s="1"/>
  <c r="O2157" i="2" s="1"/>
  <c r="R2157" i="2" s="1"/>
  <c r="M2160" i="2"/>
  <c r="N2160" i="2" s="1"/>
  <c r="O2160" i="2" s="1"/>
  <c r="R2160" i="2" s="1"/>
  <c r="M2163" i="2"/>
  <c r="N2163" i="2" s="1"/>
  <c r="O2163" i="2" s="1"/>
  <c r="R2163" i="2" s="1"/>
  <c r="M2166" i="2"/>
  <c r="N2166" i="2" s="1"/>
  <c r="O2166" i="2" s="1"/>
  <c r="R2166" i="2" s="1"/>
  <c r="M2169" i="2"/>
  <c r="N2169" i="2" s="1"/>
  <c r="O2169" i="2" s="1"/>
  <c r="R2169" i="2" s="1"/>
  <c r="M2172" i="2"/>
  <c r="N2172" i="2" s="1"/>
  <c r="O2172" i="2" s="1"/>
  <c r="R2172" i="2" s="1"/>
  <c r="M2175" i="2"/>
  <c r="N2175" i="2" s="1"/>
  <c r="O2175" i="2" s="1"/>
  <c r="R2175" i="2" s="1"/>
  <c r="M2178" i="2"/>
  <c r="N2178" i="2" s="1"/>
  <c r="O2178" i="2" s="1"/>
  <c r="R2178" i="2" s="1"/>
  <c r="M2181" i="2"/>
  <c r="N2181" i="2" s="1"/>
  <c r="O2181" i="2" s="1"/>
  <c r="R2181" i="2" s="1"/>
  <c r="M2184" i="2"/>
  <c r="N2184" i="2" s="1"/>
  <c r="O2184" i="2" s="1"/>
  <c r="R2184" i="2" s="1"/>
  <c r="M2187" i="2"/>
  <c r="N2187" i="2" s="1"/>
  <c r="O2187" i="2" s="1"/>
  <c r="R2187" i="2" s="1"/>
  <c r="M2190" i="2"/>
  <c r="N2190" i="2" s="1"/>
  <c r="O2190" i="2" s="1"/>
  <c r="R2190" i="2" s="1"/>
  <c r="M2193" i="2"/>
  <c r="N2193" i="2" s="1"/>
  <c r="O2193" i="2" s="1"/>
  <c r="R2193" i="2" s="1"/>
  <c r="M2196" i="2"/>
  <c r="N2196" i="2" s="1"/>
  <c r="O2196" i="2" s="1"/>
  <c r="R2196" i="2" s="1"/>
  <c r="M2199" i="2"/>
  <c r="N2199" i="2" s="1"/>
  <c r="O2199" i="2" s="1"/>
  <c r="R2199" i="2" s="1"/>
  <c r="M2202" i="2"/>
  <c r="N2202" i="2" s="1"/>
  <c r="O2202" i="2" s="1"/>
  <c r="R2202" i="2" s="1"/>
  <c r="M2205" i="2"/>
  <c r="N2205" i="2" s="1"/>
  <c r="O2205" i="2" s="1"/>
  <c r="R2205" i="2" s="1"/>
  <c r="M2208" i="2"/>
  <c r="N2208" i="2" s="1"/>
  <c r="O2208" i="2" s="1"/>
  <c r="R2208" i="2" s="1"/>
  <c r="M2211" i="2"/>
  <c r="N2211" i="2" s="1"/>
  <c r="O2211" i="2" s="1"/>
  <c r="R2211" i="2" s="1"/>
  <c r="M2215" i="2"/>
  <c r="N2215" i="2" s="1"/>
  <c r="O2215" i="2" s="1"/>
  <c r="R2215" i="2" s="1"/>
  <c r="M2218" i="2"/>
  <c r="N2218" i="2" s="1"/>
  <c r="O2218" i="2" s="1"/>
  <c r="R2218" i="2" s="1"/>
  <c r="M2221" i="2"/>
  <c r="N2221" i="2" s="1"/>
  <c r="O2221" i="2" s="1"/>
  <c r="R2221" i="2" s="1"/>
  <c r="M2224" i="2"/>
  <c r="N2224" i="2" s="1"/>
  <c r="O2224" i="2" s="1"/>
  <c r="R2224" i="2" s="1"/>
  <c r="M2227" i="2"/>
  <c r="N2227" i="2" s="1"/>
  <c r="O2227" i="2" s="1"/>
  <c r="R2227" i="2" s="1"/>
  <c r="M2230" i="2"/>
  <c r="N2230" i="2" s="1"/>
  <c r="O2230" i="2" s="1"/>
  <c r="R2230" i="2" s="1"/>
  <c r="M2235" i="2"/>
  <c r="N2235" i="2" s="1"/>
  <c r="O2235" i="2" s="1"/>
  <c r="R2235" i="2" s="1"/>
  <c r="M2236" i="2"/>
  <c r="N2236" i="2" s="1"/>
  <c r="O2236" i="2" s="1"/>
  <c r="R2236" i="2" s="1"/>
  <c r="M2239" i="2"/>
  <c r="N2239" i="2" s="1"/>
  <c r="O2239" i="2" s="1"/>
  <c r="R2239" i="2" s="1"/>
  <c r="M2242" i="2"/>
  <c r="N2242" i="2" s="1"/>
  <c r="O2242" i="2" s="1"/>
  <c r="R2242" i="2" s="1"/>
  <c r="M2245" i="2"/>
  <c r="N2245" i="2" s="1"/>
  <c r="O2245" i="2" s="1"/>
  <c r="R2245" i="2" s="1"/>
  <c r="M2248" i="2"/>
  <c r="N2248" i="2" s="1"/>
  <c r="O2248" i="2" s="1"/>
  <c r="R2248" i="2" s="1"/>
  <c r="M2251" i="2"/>
  <c r="N2251" i="2" s="1"/>
  <c r="O2251" i="2" s="1"/>
  <c r="R2251" i="2" s="1"/>
  <c r="M2254" i="2"/>
  <c r="N2254" i="2" s="1"/>
  <c r="O2254" i="2" s="1"/>
  <c r="R2254" i="2" s="1"/>
  <c r="M2257" i="2"/>
  <c r="N2257" i="2" s="1"/>
  <c r="O2257" i="2" s="1"/>
  <c r="R2257" i="2" s="1"/>
  <c r="M2260" i="2"/>
  <c r="N2260" i="2" s="1"/>
  <c r="O2260" i="2" s="1"/>
  <c r="R2260" i="2" s="1"/>
  <c r="M2263" i="2"/>
  <c r="N2263" i="2" s="1"/>
  <c r="O2263" i="2" s="1"/>
  <c r="R2263" i="2" s="1"/>
  <c r="M2266" i="2"/>
  <c r="N2266" i="2" s="1"/>
  <c r="O2266" i="2" s="1"/>
  <c r="R2266" i="2" s="1"/>
  <c r="M2269" i="2"/>
  <c r="N2269" i="2" s="1"/>
  <c r="O2269" i="2" s="1"/>
  <c r="R2269" i="2" s="1"/>
  <c r="M2272" i="2"/>
  <c r="N2272" i="2" s="1"/>
  <c r="O2272" i="2" s="1"/>
  <c r="R2272" i="2" s="1"/>
  <c r="M2275" i="2"/>
  <c r="N2275" i="2" s="1"/>
  <c r="O2275" i="2" s="1"/>
  <c r="R2275" i="2" s="1"/>
  <c r="M2278" i="2"/>
  <c r="N2278" i="2" s="1"/>
  <c r="O2278" i="2" s="1"/>
  <c r="R2278" i="2" s="1"/>
  <c r="M2281" i="2"/>
  <c r="N2281" i="2" s="1"/>
  <c r="O2281" i="2" s="1"/>
  <c r="R2281" i="2" s="1"/>
  <c r="M2284" i="2"/>
  <c r="N2284" i="2" s="1"/>
  <c r="O2284" i="2" s="1"/>
  <c r="R2284" i="2" s="1"/>
  <c r="M2287" i="2"/>
  <c r="N2287" i="2" s="1"/>
  <c r="O2287" i="2" s="1"/>
  <c r="R2287" i="2" s="1"/>
  <c r="M2290" i="2"/>
  <c r="N2290" i="2" s="1"/>
  <c r="O2290" i="2" s="1"/>
  <c r="R2290" i="2" s="1"/>
  <c r="M2293" i="2"/>
  <c r="N2293" i="2" s="1"/>
  <c r="O2293" i="2" s="1"/>
  <c r="R2293" i="2" s="1"/>
  <c r="M2296" i="2"/>
  <c r="N2296" i="2" s="1"/>
  <c r="O2296" i="2" s="1"/>
  <c r="R2296" i="2" s="1"/>
  <c r="M2299" i="2"/>
  <c r="N2299" i="2" s="1"/>
  <c r="O2299" i="2" s="1"/>
  <c r="R2299" i="2" s="1"/>
  <c r="M2302" i="2"/>
  <c r="N2302" i="2" s="1"/>
  <c r="O2302" i="2" s="1"/>
  <c r="R2302" i="2" s="1"/>
  <c r="M2305" i="2"/>
  <c r="N2305" i="2" s="1"/>
  <c r="O2305" i="2" s="1"/>
  <c r="R2305" i="2" s="1"/>
  <c r="M2308" i="2"/>
  <c r="N2308" i="2" s="1"/>
  <c r="O2308" i="2" s="1"/>
  <c r="R2308" i="2" s="1"/>
  <c r="M2311" i="2"/>
  <c r="N2311" i="2" s="1"/>
  <c r="O2311" i="2" s="1"/>
  <c r="R2311" i="2" s="1"/>
  <c r="M2315" i="2"/>
  <c r="N2315" i="2" s="1"/>
  <c r="O2315" i="2" s="1"/>
  <c r="R2315" i="2" s="1"/>
  <c r="M2318" i="2"/>
  <c r="N2318" i="2" s="1"/>
  <c r="O2318" i="2" s="1"/>
  <c r="R2318" i="2" s="1"/>
  <c r="M2321" i="2"/>
  <c r="N2321" i="2" s="1"/>
  <c r="O2321" i="2" s="1"/>
  <c r="R2321" i="2" s="1"/>
  <c r="M2325" i="2"/>
  <c r="N2325" i="2" s="1"/>
  <c r="O2325" i="2" s="1"/>
  <c r="R2325" i="2" s="1"/>
  <c r="M2328" i="2"/>
  <c r="N2328" i="2" s="1"/>
  <c r="O2328" i="2" s="1"/>
  <c r="R2328" i="2" s="1"/>
  <c r="M2331" i="2"/>
  <c r="N2331" i="2" s="1"/>
  <c r="O2331" i="2" s="1"/>
  <c r="R2331" i="2" s="1"/>
  <c r="M2334" i="2"/>
  <c r="N2334" i="2" s="1"/>
  <c r="O2334" i="2" s="1"/>
  <c r="R2334" i="2" s="1"/>
  <c r="M2337" i="2"/>
  <c r="N2337" i="2" s="1"/>
  <c r="O2337" i="2" s="1"/>
  <c r="R2337" i="2" s="1"/>
  <c r="M2340" i="2"/>
  <c r="N2340" i="2" s="1"/>
  <c r="O2340" i="2" s="1"/>
  <c r="R2340" i="2" s="1"/>
  <c r="M2343" i="2"/>
  <c r="N2343" i="2" s="1"/>
  <c r="O2343" i="2" s="1"/>
  <c r="R2343" i="2" s="1"/>
  <c r="M2346" i="2"/>
  <c r="N2346" i="2" s="1"/>
  <c r="O2346" i="2" s="1"/>
  <c r="R2346" i="2" s="1"/>
  <c r="M2351" i="2"/>
  <c r="N2351" i="2" s="1"/>
  <c r="O2351" i="2" s="1"/>
  <c r="R2351" i="2" s="1"/>
  <c r="M2352" i="2"/>
  <c r="N2352" i="2" s="1"/>
  <c r="O2352" i="2" s="1"/>
  <c r="R2352" i="2" s="1"/>
  <c r="M2355" i="2"/>
  <c r="N2355" i="2" s="1"/>
  <c r="O2355" i="2" s="1"/>
  <c r="R2355" i="2" s="1"/>
  <c r="M2356" i="2"/>
  <c r="N2356" i="2" s="1"/>
  <c r="O2356" i="2" s="1"/>
  <c r="R2356" i="2" s="1"/>
  <c r="M2363" i="2"/>
  <c r="N2363" i="2" s="1"/>
  <c r="O2363" i="2" s="1"/>
  <c r="R2363" i="2" s="1"/>
  <c r="M2364" i="2"/>
  <c r="N2364" i="2" s="1"/>
  <c r="O2364" i="2" s="1"/>
  <c r="R2364" i="2" s="1"/>
  <c r="M2367" i="2"/>
  <c r="N2367" i="2" s="1"/>
  <c r="O2367" i="2" s="1"/>
  <c r="R2367" i="2" s="1"/>
  <c r="M2374" i="2"/>
  <c r="N2374" i="2" s="1"/>
  <c r="O2374" i="2" s="1"/>
  <c r="R2374" i="2" s="1"/>
  <c r="M2377" i="2"/>
  <c r="N2377" i="2" s="1"/>
  <c r="O2377" i="2" s="1"/>
  <c r="R2377" i="2" s="1"/>
  <c r="M2380" i="2"/>
  <c r="N2380" i="2" s="1"/>
  <c r="O2380" i="2" s="1"/>
  <c r="R2380" i="2" s="1"/>
  <c r="M2383" i="2"/>
  <c r="N2383" i="2" s="1"/>
  <c r="O2383" i="2" s="1"/>
  <c r="R2383" i="2" s="1"/>
  <c r="M2386" i="2"/>
  <c r="N2386" i="2" s="1"/>
  <c r="O2386" i="2" s="1"/>
  <c r="R2386" i="2" s="1"/>
  <c r="M2389" i="2"/>
  <c r="N2389" i="2" s="1"/>
  <c r="O2389" i="2" s="1"/>
  <c r="R2389" i="2" s="1"/>
  <c r="M2392" i="2"/>
  <c r="N2392" i="2" s="1"/>
  <c r="O2392" i="2" s="1"/>
  <c r="R2392" i="2" s="1"/>
  <c r="M2395" i="2"/>
  <c r="N2395" i="2" s="1"/>
  <c r="O2395" i="2" s="1"/>
  <c r="R2395" i="2" s="1"/>
  <c r="M2398" i="2"/>
  <c r="N2398" i="2" s="1"/>
  <c r="O2398" i="2" s="1"/>
  <c r="R2398" i="2" s="1"/>
  <c r="M2401" i="2"/>
  <c r="N2401" i="2" s="1"/>
  <c r="O2401" i="2" s="1"/>
  <c r="R2401" i="2" s="1"/>
  <c r="M2404" i="2"/>
  <c r="N2404" i="2" s="1"/>
  <c r="O2404" i="2" s="1"/>
  <c r="R2404" i="2" s="1"/>
  <c r="M2407" i="2"/>
  <c r="N2407" i="2" s="1"/>
  <c r="O2407" i="2" s="1"/>
  <c r="R2407" i="2" s="1"/>
  <c r="M2410" i="2"/>
  <c r="N2410" i="2" s="1"/>
  <c r="O2410" i="2" s="1"/>
  <c r="R2410" i="2" s="1"/>
  <c r="M2413" i="2"/>
  <c r="N2413" i="2" s="1"/>
  <c r="O2413" i="2" s="1"/>
  <c r="R2413" i="2" s="1"/>
  <c r="M2" i="2"/>
  <c r="N2" i="2" l="1"/>
  <c r="O2" i="2" s="1"/>
  <c r="R2" i="2" s="1"/>
  <c r="F4" i="2"/>
  <c r="F7" i="2"/>
  <c r="F10" i="2"/>
  <c r="F14" i="2"/>
  <c r="F17" i="2"/>
  <c r="F20" i="2"/>
  <c r="F23" i="2"/>
  <c r="F26" i="2"/>
  <c r="F30" i="2"/>
  <c r="F33" i="2"/>
  <c r="F36" i="2"/>
  <c r="F39" i="2"/>
  <c r="F42" i="2"/>
  <c r="F45" i="2"/>
  <c r="F48" i="2"/>
  <c r="F52" i="2"/>
  <c r="F55" i="2"/>
  <c r="F58" i="2"/>
  <c r="F61" i="2"/>
  <c r="F62" i="2"/>
  <c r="F65" i="2"/>
  <c r="F68" i="2"/>
  <c r="F71" i="2"/>
  <c r="F74" i="2"/>
  <c r="F79" i="2"/>
  <c r="F82" i="2"/>
  <c r="F87" i="2"/>
  <c r="F90" i="2"/>
  <c r="F93" i="2"/>
  <c r="F96" i="2"/>
  <c r="F99" i="2"/>
  <c r="F102" i="2"/>
  <c r="F105" i="2"/>
  <c r="F108" i="2"/>
  <c r="F111" i="2"/>
  <c r="F114" i="2"/>
  <c r="F117" i="2"/>
  <c r="F120" i="2"/>
  <c r="F123" i="2"/>
  <c r="F126" i="2"/>
  <c r="F129" i="2"/>
  <c r="F132" i="2"/>
  <c r="F135" i="2"/>
  <c r="F138" i="2"/>
  <c r="F141" i="2"/>
  <c r="F145" i="2"/>
  <c r="F148" i="2"/>
  <c r="F151" i="2"/>
  <c r="F154" i="2"/>
  <c r="F157" i="2"/>
  <c r="F160" i="2"/>
  <c r="F163" i="2"/>
  <c r="F166" i="2"/>
  <c r="F169" i="2"/>
  <c r="F172" i="2"/>
  <c r="F177" i="2"/>
  <c r="F180" i="2"/>
  <c r="F183" i="2"/>
  <c r="F186" i="2"/>
  <c r="F189" i="2"/>
  <c r="F192" i="2"/>
  <c r="F195" i="2"/>
  <c r="F198" i="2"/>
  <c r="F201" i="2"/>
  <c r="F204" i="2"/>
  <c r="F207" i="2"/>
  <c r="F210" i="2"/>
  <c r="F213" i="2"/>
  <c r="F216" i="2"/>
  <c r="F219" i="2"/>
  <c r="F222" i="2"/>
  <c r="F225" i="2"/>
  <c r="F228" i="2"/>
  <c r="F231" i="2"/>
  <c r="F234" i="2"/>
  <c r="F237" i="2"/>
  <c r="F240" i="2"/>
  <c r="F243" i="2"/>
  <c r="F246" i="2"/>
  <c r="F249" i="2"/>
  <c r="F252" i="2"/>
  <c r="F255" i="2"/>
  <c r="F258" i="2"/>
  <c r="F261" i="2"/>
  <c r="F264" i="2"/>
  <c r="F267" i="2"/>
  <c r="F270" i="2"/>
  <c r="F273" i="2"/>
  <c r="F276" i="2"/>
  <c r="F279" i="2"/>
  <c r="F282" i="2"/>
  <c r="F286" i="2"/>
  <c r="F289" i="2"/>
  <c r="F292" i="2"/>
  <c r="F296" i="2"/>
  <c r="F300" i="2"/>
  <c r="F303" i="2"/>
  <c r="F304" i="2"/>
  <c r="F307" i="2"/>
  <c r="F310" i="2"/>
  <c r="F317" i="2"/>
  <c r="F320" i="2"/>
  <c r="F325" i="2"/>
  <c r="F330" i="2"/>
  <c r="F333" i="2"/>
  <c r="F336" i="2"/>
  <c r="F339" i="2"/>
  <c r="F342" i="2"/>
  <c r="F345" i="2"/>
  <c r="F348" i="2"/>
  <c r="F351" i="2"/>
  <c r="F354" i="2"/>
  <c r="F357" i="2"/>
  <c r="F360" i="2"/>
  <c r="F363" i="2"/>
  <c r="F366" i="2"/>
  <c r="F369" i="2"/>
  <c r="F373" i="2"/>
  <c r="F376" i="2"/>
  <c r="F379" i="2"/>
  <c r="F382" i="2"/>
  <c r="F385" i="2"/>
  <c r="F388" i="2"/>
  <c r="F391" i="2"/>
  <c r="F394" i="2"/>
  <c r="F397" i="2"/>
  <c r="F400" i="2"/>
  <c r="F403" i="2"/>
  <c r="F406" i="2"/>
  <c r="F409" i="2"/>
  <c r="F412" i="2"/>
  <c r="F415" i="2"/>
  <c r="F418" i="2"/>
  <c r="F421" i="2"/>
  <c r="F424" i="2"/>
  <c r="F427" i="2"/>
  <c r="F430" i="2"/>
  <c r="F433" i="2"/>
  <c r="F436" i="2"/>
  <c r="F439" i="2"/>
  <c r="F442" i="2"/>
  <c r="F445" i="2"/>
  <c r="F448" i="2"/>
  <c r="F451" i="2"/>
  <c r="F454" i="2"/>
  <c r="F457" i="2"/>
  <c r="F460" i="2"/>
  <c r="F463" i="2"/>
  <c r="F466" i="2"/>
  <c r="F469" i="2"/>
  <c r="F472" i="2"/>
  <c r="F475" i="2"/>
  <c r="F478" i="2"/>
  <c r="F481" i="2"/>
  <c r="F484" i="2"/>
  <c r="F487" i="2"/>
  <c r="F490" i="2"/>
  <c r="F493" i="2"/>
  <c r="F496" i="2"/>
  <c r="F499" i="2"/>
  <c r="F502" i="2"/>
  <c r="F505" i="2"/>
  <c r="F508" i="2"/>
  <c r="F511" i="2"/>
  <c r="F514" i="2"/>
  <c r="F517" i="2"/>
  <c r="F520" i="2"/>
  <c r="F522" i="2"/>
  <c r="F525" i="2"/>
  <c r="F528" i="2"/>
  <c r="F531" i="2"/>
  <c r="F534" i="2"/>
  <c r="F537" i="2"/>
  <c r="F540" i="2"/>
  <c r="F543" i="2"/>
  <c r="F546" i="2"/>
  <c r="F549" i="2"/>
  <c r="F552" i="2"/>
  <c r="F555" i="2"/>
  <c r="F558" i="2"/>
  <c r="F561" i="2"/>
  <c r="F564" i="2"/>
  <c r="F567" i="2"/>
  <c r="F570" i="2"/>
  <c r="F573" i="2"/>
  <c r="F576" i="2"/>
  <c r="F579" i="2"/>
  <c r="F582" i="2"/>
  <c r="F585" i="2"/>
  <c r="F588" i="2"/>
  <c r="F591" i="2"/>
  <c r="F594" i="2"/>
  <c r="F597" i="2"/>
  <c r="F600" i="2"/>
  <c r="F604" i="2"/>
  <c r="F607" i="2"/>
  <c r="F611" i="2"/>
  <c r="F614" i="2"/>
  <c r="F617" i="2"/>
  <c r="F620" i="2"/>
  <c r="F623" i="2"/>
  <c r="F626" i="2"/>
  <c r="F629" i="2"/>
  <c r="F632" i="2"/>
  <c r="F635" i="2"/>
  <c r="F638" i="2"/>
  <c r="F641" i="2"/>
  <c r="F644" i="2"/>
  <c r="F647" i="2"/>
  <c r="F650" i="2"/>
  <c r="F653" i="2"/>
  <c r="F656" i="2"/>
  <c r="F659" i="2"/>
  <c r="F662" i="2"/>
  <c r="F665" i="2"/>
  <c r="F668" i="2"/>
  <c r="F671" i="2"/>
  <c r="F674" i="2"/>
  <c r="F677" i="2"/>
  <c r="F680" i="2"/>
  <c r="F683" i="2"/>
  <c r="F686" i="2"/>
  <c r="F689" i="2"/>
  <c r="F692" i="2"/>
  <c r="F697" i="2"/>
  <c r="F700" i="2"/>
  <c r="F703" i="2"/>
  <c r="F706" i="2"/>
  <c r="F709" i="2"/>
  <c r="F711" i="2"/>
  <c r="F714" i="2"/>
  <c r="F717" i="2"/>
  <c r="F720" i="2"/>
  <c r="F723" i="2"/>
  <c r="F726" i="2"/>
  <c r="F729" i="2"/>
  <c r="F732" i="2"/>
  <c r="F736" i="2"/>
  <c r="F739" i="2"/>
  <c r="F745" i="2"/>
  <c r="F748" i="2"/>
  <c r="F751" i="2"/>
  <c r="F754" i="2"/>
  <c r="F756" i="2"/>
  <c r="F759" i="2"/>
  <c r="F764" i="2"/>
  <c r="F765" i="2"/>
  <c r="F768" i="2"/>
  <c r="F771" i="2"/>
  <c r="F775" i="2"/>
  <c r="F778" i="2"/>
  <c r="F781" i="2"/>
  <c r="F784" i="2"/>
  <c r="F787" i="2"/>
  <c r="F790" i="2"/>
  <c r="F793" i="2"/>
  <c r="F796" i="2"/>
  <c r="F799" i="2"/>
  <c r="F802" i="2"/>
  <c r="F805" i="2"/>
  <c r="F808" i="2"/>
  <c r="F811" i="2"/>
  <c r="F814" i="2"/>
  <c r="F817" i="2"/>
  <c r="F820" i="2"/>
  <c r="F825" i="2"/>
  <c r="F828" i="2"/>
  <c r="F831" i="2"/>
  <c r="F834" i="2"/>
  <c r="F837" i="2"/>
  <c r="F840" i="2"/>
  <c r="F843" i="2"/>
  <c r="F848" i="2"/>
  <c r="F851" i="2"/>
  <c r="F854" i="2"/>
  <c r="F857" i="2"/>
  <c r="F860" i="2"/>
  <c r="F863" i="2"/>
  <c r="F866" i="2"/>
  <c r="F869" i="2"/>
  <c r="F873" i="2"/>
  <c r="F876" i="2"/>
  <c r="F879" i="2"/>
  <c r="F882" i="2"/>
  <c r="F885" i="2"/>
  <c r="F888" i="2"/>
  <c r="F891" i="2"/>
  <c r="F894" i="2"/>
  <c r="F897" i="2"/>
  <c r="F900" i="2"/>
  <c r="F903" i="2"/>
  <c r="F906" i="2"/>
  <c r="F909" i="2"/>
  <c r="F912" i="2"/>
  <c r="F915" i="2"/>
  <c r="F918" i="2"/>
  <c r="F921" i="2"/>
  <c r="F924" i="2"/>
  <c r="F927" i="2"/>
  <c r="F930" i="2"/>
  <c r="F933" i="2"/>
  <c r="F936" i="2"/>
  <c r="F939" i="2"/>
  <c r="F942" i="2"/>
  <c r="F945" i="2"/>
  <c r="F950" i="2"/>
  <c r="F951" i="2"/>
  <c r="F954" i="2"/>
  <c r="F957" i="2"/>
  <c r="F960" i="2"/>
  <c r="F963" i="2"/>
  <c r="F966" i="2"/>
  <c r="F969" i="2"/>
  <c r="F972" i="2"/>
  <c r="F975" i="2"/>
  <c r="F979" i="2"/>
  <c r="F984" i="2"/>
  <c r="F985" i="2"/>
  <c r="F988" i="2"/>
  <c r="F991" i="2"/>
  <c r="F994" i="2"/>
  <c r="F997" i="2"/>
  <c r="F1000" i="2"/>
  <c r="F1003" i="2"/>
  <c r="F1007" i="2"/>
  <c r="F1010" i="2"/>
  <c r="F1013" i="2"/>
  <c r="F1016" i="2"/>
  <c r="F1019" i="2"/>
  <c r="F1022" i="2"/>
  <c r="F1025" i="2"/>
  <c r="F1026" i="2"/>
  <c r="F1029" i="2"/>
  <c r="F1032" i="2"/>
  <c r="F1035" i="2"/>
  <c r="F1038" i="2"/>
  <c r="F1041" i="2"/>
  <c r="F1044" i="2"/>
  <c r="F1045" i="2"/>
  <c r="F1048" i="2"/>
  <c r="F1051" i="2"/>
  <c r="F1054" i="2"/>
  <c r="F1057" i="2"/>
  <c r="F1062" i="2"/>
  <c r="F1065" i="2"/>
  <c r="F1069" i="2"/>
  <c r="F1072" i="2"/>
  <c r="F1075" i="2"/>
  <c r="F1078" i="2"/>
  <c r="F1081" i="2"/>
  <c r="F1084" i="2"/>
  <c r="F1087" i="2"/>
  <c r="F1090" i="2"/>
  <c r="F1093" i="2"/>
  <c r="F1096" i="2"/>
  <c r="F1099" i="2"/>
  <c r="F1102" i="2"/>
  <c r="F1105" i="2"/>
  <c r="F1108" i="2"/>
  <c r="F1111" i="2"/>
  <c r="F1114" i="2"/>
  <c r="F1118" i="2"/>
  <c r="F1121" i="2"/>
  <c r="F1124" i="2"/>
  <c r="F1127" i="2"/>
  <c r="F1130" i="2"/>
  <c r="F1133" i="2"/>
  <c r="F1136" i="2"/>
  <c r="F1139" i="2"/>
  <c r="F1142" i="2"/>
  <c r="F1145" i="2"/>
  <c r="F1150" i="2"/>
  <c r="F1153" i="2"/>
  <c r="F1156" i="2"/>
  <c r="F1159" i="2"/>
  <c r="F1162" i="2"/>
  <c r="F1165" i="2"/>
  <c r="F1169" i="2"/>
  <c r="F1172" i="2"/>
  <c r="F1175" i="2"/>
  <c r="F1178" i="2"/>
  <c r="F1181" i="2"/>
  <c r="F1184" i="2"/>
  <c r="F1187" i="2"/>
  <c r="F1190" i="2"/>
  <c r="F1193" i="2"/>
  <c r="F1196" i="2"/>
  <c r="F1199" i="2"/>
  <c r="F1202" i="2"/>
  <c r="F1205" i="2"/>
  <c r="F1208" i="2"/>
  <c r="F1211" i="2"/>
  <c r="F1214" i="2"/>
  <c r="F1217" i="2"/>
  <c r="F1220" i="2"/>
  <c r="F1223" i="2"/>
  <c r="F1226" i="2"/>
  <c r="F1229" i="2"/>
  <c r="F1232" i="2"/>
  <c r="F1235" i="2"/>
  <c r="F1238" i="2"/>
  <c r="F1241" i="2"/>
  <c r="F1244" i="2"/>
  <c r="F1247" i="2"/>
  <c r="F1250" i="2"/>
  <c r="F1253" i="2"/>
  <c r="F1258" i="2"/>
  <c r="F1259" i="2"/>
  <c r="F1262" i="2"/>
  <c r="F1265" i="2"/>
  <c r="F1269" i="2"/>
  <c r="F1272" i="2"/>
  <c r="F1275" i="2"/>
  <c r="F1278" i="2"/>
  <c r="F1283" i="2"/>
  <c r="F1286" i="2"/>
  <c r="F1289" i="2"/>
  <c r="F1292" i="2"/>
  <c r="F1295" i="2"/>
  <c r="F1300" i="2"/>
  <c r="F1303" i="2"/>
  <c r="F1306" i="2"/>
  <c r="F1309" i="2"/>
  <c r="F1312" i="2"/>
  <c r="F1315" i="2"/>
  <c r="F1318" i="2"/>
  <c r="F1319" i="2"/>
  <c r="F1324" i="2"/>
  <c r="F1327" i="2"/>
  <c r="F1330" i="2"/>
  <c r="F1333" i="2"/>
  <c r="F1336" i="2"/>
  <c r="F1339" i="2"/>
  <c r="F1342" i="2"/>
  <c r="F1346" i="2"/>
  <c r="F1349" i="2"/>
  <c r="F1352" i="2"/>
  <c r="F1355" i="2"/>
  <c r="F1358" i="2"/>
  <c r="F1361" i="2"/>
  <c r="F1364" i="2"/>
  <c r="F1367" i="2"/>
  <c r="F1370" i="2"/>
  <c r="F1373" i="2"/>
  <c r="F1376" i="2"/>
  <c r="F1379" i="2"/>
  <c r="F1382" i="2"/>
  <c r="F1385" i="2"/>
  <c r="F1388" i="2"/>
  <c r="F1391" i="2"/>
  <c r="F1394" i="2"/>
  <c r="F1397" i="2"/>
  <c r="F1400" i="2"/>
  <c r="F1404" i="2"/>
  <c r="F1407" i="2"/>
  <c r="F1410" i="2"/>
  <c r="F1413" i="2"/>
  <c r="F1416" i="2"/>
  <c r="F1419" i="2"/>
  <c r="F1422" i="2"/>
  <c r="F1425" i="2"/>
  <c r="F1428" i="2"/>
  <c r="F1431" i="2"/>
  <c r="F1434" i="2"/>
  <c r="F1437" i="2"/>
  <c r="F1440" i="2"/>
  <c r="F1443" i="2"/>
  <c r="F1446" i="2"/>
  <c r="F1449" i="2"/>
  <c r="F1452" i="2"/>
  <c r="F1455" i="2"/>
  <c r="F1458" i="2"/>
  <c r="F1461" i="2"/>
  <c r="F1464" i="2"/>
  <c r="F1467" i="2"/>
  <c r="F1470" i="2"/>
  <c r="F1473" i="2"/>
  <c r="F1476" i="2"/>
  <c r="F1479" i="2"/>
  <c r="F1482" i="2"/>
  <c r="F1485" i="2"/>
  <c r="F1488" i="2"/>
  <c r="F1491" i="2"/>
  <c r="F1494" i="2"/>
  <c r="F1497" i="2"/>
  <c r="F1500" i="2"/>
  <c r="F1503" i="2"/>
  <c r="F1506" i="2"/>
  <c r="F1509" i="2"/>
  <c r="F1512" i="2"/>
  <c r="F1515" i="2"/>
  <c r="F1518" i="2"/>
  <c r="F1521" i="2"/>
  <c r="F1524" i="2"/>
  <c r="F1527" i="2"/>
  <c r="F1530" i="2"/>
  <c r="F1533" i="2"/>
  <c r="F1536" i="2"/>
  <c r="F1541" i="2"/>
  <c r="F1544" i="2"/>
  <c r="F1547" i="2"/>
  <c r="F1550" i="2"/>
  <c r="F1553" i="2"/>
  <c r="F1556" i="2"/>
  <c r="F1559" i="2"/>
  <c r="F1562" i="2"/>
  <c r="F1565" i="2"/>
  <c r="F1568" i="2"/>
  <c r="F1571" i="2"/>
  <c r="F1575" i="2"/>
  <c r="F1576" i="2"/>
  <c r="F1581" i="2"/>
  <c r="F1584" i="2"/>
  <c r="F1587" i="2"/>
  <c r="F1590" i="2"/>
  <c r="F1593" i="2"/>
  <c r="F1597" i="2"/>
  <c r="F1600" i="2"/>
  <c r="F1603" i="2"/>
  <c r="F1606" i="2"/>
  <c r="F1609" i="2"/>
  <c r="F1612" i="2"/>
  <c r="F1615" i="2"/>
  <c r="F1618" i="2"/>
  <c r="F1621" i="2"/>
  <c r="F1624" i="2"/>
  <c r="F1627" i="2"/>
  <c r="F1630" i="2"/>
  <c r="F1633" i="2"/>
  <c r="F1636" i="2"/>
  <c r="F1639" i="2"/>
  <c r="F1642" i="2"/>
  <c r="F1645" i="2"/>
  <c r="F1648" i="2"/>
  <c r="F1651" i="2"/>
  <c r="F1654" i="2"/>
  <c r="F1657" i="2"/>
  <c r="F1660" i="2"/>
  <c r="F1663" i="2"/>
  <c r="F1666" i="2"/>
  <c r="F1669" i="2"/>
  <c r="F1672" i="2"/>
  <c r="F1675" i="2"/>
  <c r="F1678" i="2"/>
  <c r="F1681" i="2"/>
  <c r="F1684" i="2"/>
  <c r="F1687" i="2"/>
  <c r="F1690" i="2"/>
  <c r="F1693" i="2"/>
  <c r="F1696" i="2"/>
  <c r="F1701" i="2"/>
  <c r="F1702" i="2"/>
  <c r="F1705" i="2"/>
  <c r="F1709" i="2"/>
  <c r="F1712" i="2"/>
  <c r="F1715" i="2"/>
  <c r="F1718" i="2"/>
  <c r="F1721" i="2"/>
  <c r="F1724" i="2"/>
  <c r="F1729" i="2"/>
  <c r="F1732" i="2"/>
  <c r="F1735" i="2"/>
  <c r="F1738" i="2"/>
  <c r="F1741" i="2"/>
  <c r="F1746" i="2"/>
  <c r="F1749" i="2"/>
  <c r="F1752" i="2"/>
  <c r="F1755" i="2"/>
  <c r="F1761" i="2"/>
  <c r="F1764" i="2"/>
  <c r="F1767" i="2"/>
  <c r="F1770" i="2"/>
  <c r="F1773" i="2"/>
  <c r="F1776" i="2"/>
  <c r="F1779" i="2"/>
  <c r="F1782" i="2"/>
  <c r="F1785" i="2"/>
  <c r="F1788" i="2"/>
  <c r="F1791" i="2"/>
  <c r="F1794" i="2"/>
  <c r="F1800" i="2"/>
  <c r="F1797" i="2"/>
  <c r="F1803" i="2"/>
  <c r="F1806" i="2"/>
  <c r="F1811" i="2"/>
  <c r="F1814" i="2"/>
  <c r="F1817" i="2"/>
  <c r="F1822" i="2"/>
  <c r="F1825" i="2"/>
  <c r="F1828" i="2"/>
  <c r="F1831" i="2"/>
  <c r="F1834" i="2"/>
  <c r="F1837" i="2"/>
  <c r="F1840" i="2"/>
  <c r="F1843" i="2"/>
  <c r="F1848" i="2"/>
  <c r="F1849" i="2"/>
  <c r="F1852" i="2"/>
  <c r="F1855" i="2"/>
  <c r="F1857" i="2"/>
  <c r="F1860" i="2"/>
  <c r="F1865" i="2"/>
  <c r="F1868" i="2"/>
  <c r="F1871" i="2"/>
  <c r="F1874" i="2"/>
  <c r="F1877" i="2"/>
  <c r="F1880" i="2"/>
  <c r="F1886" i="2"/>
  <c r="F1887" i="2"/>
  <c r="F1888" i="2"/>
  <c r="F1891" i="2"/>
  <c r="F1894" i="2"/>
  <c r="F1897" i="2"/>
  <c r="F1900" i="2"/>
  <c r="F1903" i="2"/>
  <c r="F1906" i="2"/>
  <c r="F1911" i="2"/>
  <c r="F1912" i="2"/>
  <c r="F1915" i="2"/>
  <c r="F1918" i="2"/>
  <c r="F1923" i="2"/>
  <c r="F1926" i="2"/>
  <c r="F1929" i="2"/>
  <c r="F1932" i="2"/>
  <c r="F1935" i="2"/>
  <c r="F1939" i="2"/>
  <c r="F1946" i="2"/>
  <c r="F1947" i="2"/>
  <c r="F1951" i="2"/>
  <c r="F1954" i="2"/>
  <c r="F1958" i="2"/>
  <c r="F1961" i="2"/>
  <c r="F1964" i="2"/>
  <c r="F1967" i="2"/>
  <c r="F1970" i="2"/>
  <c r="F1973" i="2"/>
  <c r="F1976" i="2"/>
  <c r="F1979" i="2"/>
  <c r="F1982" i="2"/>
  <c r="F1985" i="2"/>
  <c r="F1988" i="2"/>
  <c r="F1991" i="2"/>
  <c r="F1994" i="2"/>
  <c r="F1997" i="2"/>
  <c r="F2000" i="2"/>
  <c r="F2003" i="2"/>
  <c r="F2006" i="2"/>
  <c r="F2009" i="2"/>
  <c r="F2012" i="2"/>
  <c r="F2015" i="2"/>
  <c r="F2018" i="2"/>
  <c r="F2022" i="2"/>
  <c r="F2025" i="2"/>
  <c r="F2028" i="2"/>
  <c r="F2031" i="2"/>
  <c r="F2034" i="2"/>
  <c r="F2037" i="2"/>
  <c r="F2040" i="2"/>
  <c r="F2043" i="2"/>
  <c r="F2046" i="2"/>
  <c r="F2049" i="2"/>
  <c r="F2052" i="2"/>
  <c r="F2055" i="2"/>
  <c r="F2058" i="2"/>
  <c r="F2061" i="2"/>
  <c r="F2064" i="2"/>
  <c r="F2067" i="2"/>
  <c r="F2070" i="2"/>
  <c r="F2074" i="2"/>
  <c r="F2077" i="2"/>
  <c r="F2080" i="2"/>
  <c r="F2085" i="2"/>
  <c r="F2088" i="2"/>
  <c r="F2092" i="2"/>
  <c r="F2095" i="2"/>
  <c r="F2098" i="2"/>
  <c r="F2101" i="2"/>
  <c r="F2104" i="2"/>
  <c r="F2107" i="2"/>
  <c r="F2110" i="2"/>
  <c r="F2113" i="2"/>
  <c r="F2116" i="2"/>
  <c r="F2119" i="2"/>
  <c r="F2122" i="2"/>
  <c r="F2125" i="2"/>
  <c r="F2128" i="2"/>
  <c r="F2131" i="2"/>
  <c r="F2136" i="2"/>
  <c r="F2139" i="2"/>
  <c r="F2142" i="2"/>
  <c r="F2145" i="2"/>
  <c r="F2148" i="2"/>
  <c r="F2151" i="2"/>
  <c r="F2154" i="2"/>
  <c r="F2157" i="2"/>
  <c r="F2160" i="2"/>
  <c r="F2163" i="2"/>
  <c r="F2166" i="2"/>
  <c r="F2169" i="2"/>
  <c r="F2172" i="2"/>
  <c r="F2175" i="2"/>
  <c r="F2178" i="2"/>
  <c r="F2181" i="2"/>
  <c r="F2184" i="2"/>
  <c r="F2187" i="2"/>
  <c r="F2190" i="2"/>
  <c r="F2193" i="2"/>
  <c r="F2196" i="2"/>
  <c r="F2199" i="2"/>
  <c r="F2202" i="2"/>
  <c r="F2205" i="2"/>
  <c r="F2208" i="2"/>
  <c r="F2211" i="2"/>
  <c r="F2215" i="2"/>
  <c r="F2218" i="2"/>
  <c r="F2221" i="2"/>
  <c r="F2224" i="2"/>
  <c r="F2227" i="2"/>
  <c r="F2230" i="2"/>
  <c r="F2235" i="2"/>
  <c r="F2236" i="2"/>
  <c r="F2239" i="2"/>
  <c r="F2242" i="2"/>
  <c r="F2245" i="2"/>
  <c r="F2248" i="2"/>
  <c r="F2251" i="2"/>
  <c r="F2254" i="2"/>
  <c r="F2257" i="2"/>
  <c r="F2260" i="2"/>
  <c r="F2263" i="2"/>
  <c r="F2266" i="2"/>
  <c r="F2269" i="2"/>
  <c r="F2272" i="2"/>
  <c r="F2275" i="2"/>
  <c r="F2278" i="2"/>
  <c r="F2281" i="2"/>
  <c r="F2284" i="2"/>
  <c r="F2287" i="2"/>
  <c r="F2290" i="2"/>
  <c r="F2293" i="2"/>
  <c r="F2296" i="2"/>
  <c r="F2299" i="2"/>
  <c r="F2302" i="2"/>
  <c r="F2305" i="2"/>
  <c r="F2308" i="2"/>
  <c r="F2311" i="2"/>
  <c r="F2315" i="2"/>
  <c r="F2318" i="2"/>
  <c r="F2321" i="2"/>
  <c r="F2325" i="2"/>
  <c r="F2328" i="2"/>
  <c r="F2331" i="2"/>
  <c r="F2334" i="2"/>
  <c r="F2337" i="2"/>
  <c r="F2340" i="2"/>
  <c r="F2343" i="2"/>
  <c r="F2346" i="2"/>
  <c r="F2351" i="2"/>
  <c r="F2352" i="2"/>
  <c r="F2355" i="2"/>
  <c r="F2356" i="2"/>
  <c r="F2363" i="2"/>
  <c r="F2364" i="2"/>
  <c r="F2367" i="2"/>
  <c r="F2374" i="2"/>
  <c r="F2377" i="2"/>
  <c r="F2380" i="2"/>
  <c r="F2383" i="2"/>
  <c r="F2386" i="2"/>
  <c r="F2389" i="2"/>
  <c r="F2392" i="2"/>
  <c r="F2395" i="2"/>
  <c r="F2398" i="2"/>
  <c r="F2401" i="2"/>
  <c r="F2404" i="2"/>
  <c r="F2407" i="2"/>
  <c r="F2410" i="2"/>
  <c r="F2413" i="2"/>
  <c r="F3" i="2"/>
  <c r="F6" i="2"/>
  <c r="F9" i="2"/>
  <c r="F13" i="2"/>
  <c r="F16" i="2"/>
  <c r="F19" i="2"/>
  <c r="F22" i="2"/>
  <c r="F25" i="2"/>
  <c r="F29" i="2"/>
  <c r="F32" i="2"/>
  <c r="F35" i="2"/>
  <c r="F38" i="2"/>
  <c r="F41" i="2"/>
  <c r="F44" i="2"/>
  <c r="F47" i="2"/>
  <c r="F51" i="2"/>
  <c r="F54" i="2"/>
  <c r="F57" i="2"/>
  <c r="F60" i="2"/>
  <c r="F64" i="2"/>
  <c r="F67" i="2"/>
  <c r="F70" i="2"/>
  <c r="F73" i="2"/>
  <c r="F76" i="2"/>
  <c r="F78" i="2"/>
  <c r="F81" i="2"/>
  <c r="F84" i="2"/>
  <c r="F86" i="2"/>
  <c r="F89" i="2"/>
  <c r="F92" i="2"/>
  <c r="F95" i="2"/>
  <c r="F98" i="2"/>
  <c r="F101" i="2"/>
  <c r="F104" i="2"/>
  <c r="F107" i="2"/>
  <c r="F110" i="2"/>
  <c r="F113" i="2"/>
  <c r="F116" i="2"/>
  <c r="F119" i="2"/>
  <c r="F122" i="2"/>
  <c r="F125" i="2"/>
  <c r="F128" i="2"/>
  <c r="F131" i="2"/>
  <c r="F134" i="2"/>
  <c r="F137" i="2"/>
  <c r="F140" i="2"/>
  <c r="F144" i="2"/>
  <c r="F147" i="2"/>
  <c r="F150" i="2"/>
  <c r="F153" i="2"/>
  <c r="F156" i="2"/>
  <c r="F159" i="2"/>
  <c r="F162" i="2"/>
  <c r="F165" i="2"/>
  <c r="F168" i="2"/>
  <c r="F171" i="2"/>
  <c r="F174" i="2"/>
  <c r="F176" i="2"/>
  <c r="F179" i="2"/>
  <c r="F182" i="2"/>
  <c r="F185" i="2"/>
  <c r="F188" i="2"/>
  <c r="F191" i="2"/>
  <c r="F194" i="2"/>
  <c r="F197" i="2"/>
  <c r="F200" i="2"/>
  <c r="F203" i="2"/>
  <c r="F206" i="2"/>
  <c r="F209" i="2"/>
  <c r="F212" i="2"/>
  <c r="F215" i="2"/>
  <c r="F218" i="2"/>
  <c r="F221" i="2"/>
  <c r="F224" i="2"/>
  <c r="F227" i="2"/>
  <c r="F230" i="2"/>
  <c r="F233" i="2"/>
  <c r="F236" i="2"/>
  <c r="F239" i="2"/>
  <c r="F242" i="2"/>
  <c r="F245" i="2"/>
  <c r="F248" i="2"/>
  <c r="F251" i="2"/>
  <c r="F254" i="2"/>
  <c r="F257" i="2"/>
  <c r="F260" i="2"/>
  <c r="F263" i="2"/>
  <c r="F266" i="2"/>
  <c r="F269" i="2"/>
  <c r="F272" i="2"/>
  <c r="F275" i="2"/>
  <c r="F278" i="2"/>
  <c r="F281" i="2"/>
  <c r="F285" i="2"/>
  <c r="F288" i="2"/>
  <c r="F291" i="2"/>
  <c r="F295" i="2"/>
  <c r="F299" i="2"/>
  <c r="F302" i="2"/>
  <c r="F306" i="2"/>
  <c r="F309" i="2"/>
  <c r="F312" i="2"/>
  <c r="F314" i="2"/>
  <c r="F316" i="2"/>
  <c r="F319" i="2"/>
  <c r="F322" i="2"/>
  <c r="F324" i="2"/>
  <c r="F327" i="2"/>
  <c r="F329" i="2"/>
  <c r="F332" i="2"/>
  <c r="F335" i="2"/>
  <c r="F338" i="2"/>
  <c r="F341" i="2"/>
  <c r="F344" i="2"/>
  <c r="F347" i="2"/>
  <c r="F350" i="2"/>
  <c r="F353" i="2"/>
  <c r="F356" i="2"/>
  <c r="F359" i="2"/>
  <c r="F362" i="2"/>
  <c r="F365" i="2"/>
  <c r="F368" i="2"/>
  <c r="F372" i="2"/>
  <c r="F375" i="2"/>
  <c r="F378" i="2"/>
  <c r="F381" i="2"/>
  <c r="F384" i="2"/>
  <c r="F387" i="2"/>
  <c r="F390" i="2"/>
  <c r="F393" i="2"/>
  <c r="F396" i="2"/>
  <c r="F399" i="2"/>
  <c r="F402" i="2"/>
  <c r="F405" i="2"/>
  <c r="F408" i="2"/>
  <c r="F411" i="2"/>
  <c r="F414" i="2"/>
  <c r="F417" i="2"/>
  <c r="F420" i="2"/>
  <c r="F423" i="2"/>
  <c r="F426" i="2"/>
  <c r="F429" i="2"/>
  <c r="F432" i="2"/>
  <c r="F435" i="2"/>
  <c r="F438" i="2"/>
  <c r="F441" i="2"/>
  <c r="F444" i="2"/>
  <c r="F447" i="2"/>
  <c r="F450" i="2"/>
  <c r="F453" i="2"/>
  <c r="F456" i="2"/>
  <c r="F459" i="2"/>
  <c r="F462" i="2"/>
  <c r="F465" i="2"/>
  <c r="F468" i="2"/>
  <c r="F471" i="2"/>
  <c r="F474" i="2"/>
  <c r="F477" i="2"/>
  <c r="F480" i="2"/>
  <c r="F483" i="2"/>
  <c r="F486" i="2"/>
  <c r="F489" i="2"/>
  <c r="F492" i="2"/>
  <c r="F495" i="2"/>
  <c r="F498" i="2"/>
  <c r="F501" i="2"/>
  <c r="F504" i="2"/>
  <c r="F507" i="2"/>
  <c r="F510" i="2"/>
  <c r="F513" i="2"/>
  <c r="F516" i="2"/>
  <c r="F519" i="2"/>
  <c r="F524" i="2"/>
  <c r="F527" i="2"/>
  <c r="F530" i="2"/>
  <c r="F533" i="2"/>
  <c r="F536" i="2"/>
  <c r="F539" i="2"/>
  <c r="F542" i="2"/>
  <c r="F545" i="2"/>
  <c r="F548" i="2"/>
  <c r="F551" i="2"/>
  <c r="F554" i="2"/>
  <c r="F557" i="2"/>
  <c r="F560" i="2"/>
  <c r="F563" i="2"/>
  <c r="F566" i="2"/>
  <c r="F569" i="2"/>
  <c r="F572" i="2"/>
  <c r="F575" i="2"/>
  <c r="F578" i="2"/>
  <c r="F581" i="2"/>
  <c r="F584" i="2"/>
  <c r="F587" i="2"/>
  <c r="F590" i="2"/>
  <c r="F593" i="2"/>
  <c r="F596" i="2"/>
  <c r="F599" i="2"/>
  <c r="F603" i="2"/>
  <c r="F606" i="2"/>
  <c r="F610" i="2"/>
  <c r="F613" i="2"/>
  <c r="F616" i="2"/>
  <c r="F619" i="2"/>
  <c r="F622" i="2"/>
  <c r="F625" i="2"/>
  <c r="F628" i="2"/>
  <c r="F631" i="2"/>
  <c r="F634" i="2"/>
  <c r="F637" i="2"/>
  <c r="F640" i="2"/>
  <c r="F643" i="2"/>
  <c r="F646" i="2"/>
  <c r="F649" i="2"/>
  <c r="F652" i="2"/>
  <c r="F655" i="2"/>
  <c r="F658" i="2"/>
  <c r="F661" i="2"/>
  <c r="F664" i="2"/>
  <c r="F667" i="2"/>
  <c r="F670" i="2"/>
  <c r="F673" i="2"/>
  <c r="F676" i="2"/>
  <c r="F679" i="2"/>
  <c r="F682" i="2"/>
  <c r="F685" i="2"/>
  <c r="F688" i="2"/>
  <c r="F691" i="2"/>
  <c r="F694" i="2"/>
  <c r="F696" i="2"/>
  <c r="F699" i="2"/>
  <c r="F702" i="2"/>
  <c r="F705" i="2"/>
  <c r="F708" i="2"/>
  <c r="F710" i="2"/>
  <c r="F713" i="2"/>
  <c r="F716" i="2"/>
  <c r="F719" i="2"/>
  <c r="F722" i="2"/>
  <c r="F725" i="2"/>
  <c r="F728" i="2"/>
  <c r="F731" i="2"/>
  <c r="F735" i="2"/>
  <c r="F738" i="2"/>
  <c r="F742" i="2"/>
  <c r="F744" i="2"/>
  <c r="F747" i="2"/>
  <c r="F750" i="2"/>
  <c r="F753" i="2"/>
  <c r="F755" i="2"/>
  <c r="F758" i="2"/>
  <c r="F762" i="2"/>
  <c r="F763" i="2"/>
  <c r="F767" i="2"/>
  <c r="F770" i="2"/>
  <c r="F774" i="2"/>
  <c r="F777" i="2"/>
  <c r="F780" i="2"/>
  <c r="F783" i="2"/>
  <c r="F786" i="2"/>
  <c r="F789" i="2"/>
  <c r="F792" i="2"/>
  <c r="F795" i="2"/>
  <c r="F798" i="2"/>
  <c r="F801" i="2"/>
  <c r="F804" i="2"/>
  <c r="F807" i="2"/>
  <c r="F810" i="2"/>
  <c r="F813" i="2"/>
  <c r="F816" i="2"/>
  <c r="F819" i="2"/>
  <c r="F822" i="2"/>
  <c r="F824" i="2"/>
  <c r="F827" i="2"/>
  <c r="F830" i="2"/>
  <c r="F833" i="2"/>
  <c r="F836" i="2"/>
  <c r="F839" i="2"/>
  <c r="F842" i="2"/>
  <c r="F845" i="2"/>
  <c r="F847" i="2"/>
  <c r="F850" i="2"/>
  <c r="F853" i="2"/>
  <c r="F856" i="2"/>
  <c r="F859" i="2"/>
  <c r="F862" i="2"/>
  <c r="F865" i="2"/>
  <c r="F868" i="2"/>
  <c r="F872" i="2"/>
  <c r="F875" i="2"/>
  <c r="F878" i="2"/>
  <c r="F881" i="2"/>
  <c r="F884" i="2"/>
  <c r="F887" i="2"/>
  <c r="F890" i="2"/>
  <c r="F893" i="2"/>
  <c r="F896" i="2"/>
  <c r="F899" i="2"/>
  <c r="F902" i="2"/>
  <c r="F905" i="2"/>
  <c r="F908" i="2"/>
  <c r="F911" i="2"/>
  <c r="F914" i="2"/>
  <c r="F917" i="2"/>
  <c r="F920" i="2"/>
  <c r="F923" i="2"/>
  <c r="F926" i="2"/>
  <c r="F929" i="2"/>
  <c r="F932" i="2"/>
  <c r="F935" i="2"/>
  <c r="F938" i="2"/>
  <c r="F941" i="2"/>
  <c r="F944" i="2"/>
  <c r="F948" i="2"/>
  <c r="F949" i="2"/>
  <c r="F953" i="2"/>
  <c r="F956" i="2"/>
  <c r="F959" i="2"/>
  <c r="F962" i="2"/>
  <c r="F965" i="2"/>
  <c r="F968" i="2"/>
  <c r="F971" i="2"/>
  <c r="F974" i="2"/>
  <c r="F978" i="2"/>
  <c r="F982" i="2"/>
  <c r="F983" i="2"/>
  <c r="F987" i="2"/>
  <c r="F990" i="2"/>
  <c r="F993" i="2"/>
  <c r="F996" i="2"/>
  <c r="F999" i="2"/>
  <c r="F1002" i="2"/>
  <c r="F1006" i="2"/>
  <c r="F1009" i="2"/>
  <c r="F1012" i="2"/>
  <c r="F1015" i="2"/>
  <c r="F1018" i="2"/>
  <c r="F1021" i="2"/>
  <c r="F1024" i="2"/>
  <c r="F1028" i="2"/>
  <c r="F1031" i="2"/>
  <c r="F1034" i="2"/>
  <c r="F1037" i="2"/>
  <c r="F1040" i="2"/>
  <c r="F1043" i="2"/>
  <c r="F1047" i="2"/>
  <c r="F1050" i="2"/>
  <c r="F1053" i="2"/>
  <c r="F1056" i="2"/>
  <c r="F1059" i="2"/>
  <c r="F1061" i="2"/>
  <c r="F1064" i="2"/>
  <c r="F1068" i="2"/>
  <c r="F1071" i="2"/>
  <c r="F1074" i="2"/>
  <c r="F1077" i="2"/>
  <c r="F1080" i="2"/>
  <c r="F1083" i="2"/>
  <c r="F1086" i="2"/>
  <c r="F1089" i="2"/>
  <c r="F1092" i="2"/>
  <c r="F1095" i="2"/>
  <c r="F1098" i="2"/>
  <c r="F1101" i="2"/>
  <c r="F1104" i="2"/>
  <c r="F1107" i="2"/>
  <c r="F1110" i="2"/>
  <c r="F1113" i="2"/>
  <c r="F1117" i="2"/>
  <c r="F1120" i="2"/>
  <c r="F1123" i="2"/>
  <c r="F1126" i="2"/>
  <c r="F1129" i="2"/>
  <c r="F1132" i="2"/>
  <c r="F1135" i="2"/>
  <c r="F1138" i="2"/>
  <c r="F1141" i="2"/>
  <c r="F1144" i="2"/>
  <c r="F1147" i="2"/>
  <c r="F1149" i="2"/>
  <c r="F1152" i="2"/>
  <c r="F1155" i="2"/>
  <c r="F1158" i="2"/>
  <c r="F1161" i="2"/>
  <c r="F1164" i="2"/>
  <c r="F1168" i="2"/>
  <c r="F1171" i="2"/>
  <c r="F1174" i="2"/>
  <c r="F1177" i="2"/>
  <c r="F1180" i="2"/>
  <c r="F1183" i="2"/>
  <c r="F1186" i="2"/>
  <c r="F1189" i="2"/>
  <c r="F1192" i="2"/>
  <c r="F1195" i="2"/>
  <c r="F1198" i="2"/>
  <c r="F1201" i="2"/>
  <c r="F1204" i="2"/>
  <c r="F1207" i="2"/>
  <c r="F1210" i="2"/>
  <c r="F1213" i="2"/>
  <c r="F1216" i="2"/>
  <c r="F1219" i="2"/>
  <c r="F1222" i="2"/>
  <c r="F1225" i="2"/>
  <c r="F1228" i="2"/>
  <c r="F1231" i="2"/>
  <c r="F1234" i="2"/>
  <c r="F1237" i="2"/>
  <c r="F1240" i="2"/>
  <c r="F1243" i="2"/>
  <c r="F1246" i="2"/>
  <c r="F1249" i="2"/>
  <c r="F1252" i="2"/>
  <c r="F1256" i="2"/>
  <c r="F1257" i="2"/>
  <c r="F1261" i="2"/>
  <c r="F1264" i="2"/>
  <c r="F1268" i="2"/>
  <c r="F1271" i="2"/>
  <c r="F1274" i="2"/>
  <c r="F1277" i="2"/>
  <c r="F1280" i="2"/>
  <c r="F1282" i="2"/>
  <c r="F1285" i="2"/>
  <c r="F1288" i="2"/>
  <c r="F1291" i="2"/>
  <c r="F1294" i="2"/>
  <c r="F1297" i="2"/>
  <c r="F1299" i="2"/>
  <c r="F1302" i="2"/>
  <c r="F1305" i="2"/>
  <c r="F1308" i="2"/>
  <c r="F1311" i="2"/>
  <c r="F1314" i="2"/>
  <c r="F1317" i="2"/>
  <c r="F1321" i="2"/>
  <c r="F1323" i="2"/>
  <c r="F1326" i="2"/>
  <c r="F1329" i="2"/>
  <c r="F1332" i="2"/>
  <c r="F1335" i="2"/>
  <c r="F1338" i="2"/>
  <c r="F1341" i="2"/>
  <c r="F1345" i="2"/>
  <c r="F1348" i="2"/>
  <c r="F1351" i="2"/>
  <c r="F1354" i="2"/>
  <c r="F1357" i="2"/>
  <c r="F1360" i="2"/>
  <c r="F1363" i="2"/>
  <c r="F1366" i="2"/>
  <c r="F1369" i="2"/>
  <c r="F1372" i="2"/>
  <c r="F1375" i="2"/>
  <c r="F1378" i="2"/>
  <c r="F1381" i="2"/>
  <c r="F1384" i="2"/>
  <c r="F1387" i="2"/>
  <c r="F1390" i="2"/>
  <c r="F1393" i="2"/>
  <c r="F1396" i="2"/>
  <c r="F1399" i="2"/>
  <c r="F1403" i="2"/>
  <c r="F1406" i="2"/>
  <c r="F1409" i="2"/>
  <c r="F1412" i="2"/>
  <c r="F1415" i="2"/>
  <c r="F1418" i="2"/>
  <c r="F1421" i="2"/>
  <c r="F1424" i="2"/>
  <c r="F1427" i="2"/>
  <c r="F1430" i="2"/>
  <c r="F1433" i="2"/>
  <c r="F1436" i="2"/>
  <c r="F1439" i="2"/>
  <c r="F1442" i="2"/>
  <c r="F1445" i="2"/>
  <c r="F1448" i="2"/>
  <c r="F1451" i="2"/>
  <c r="F1454" i="2"/>
  <c r="F1457" i="2"/>
  <c r="F1460" i="2"/>
  <c r="F1463" i="2"/>
  <c r="F1466" i="2"/>
  <c r="F1469" i="2"/>
  <c r="F1472" i="2"/>
  <c r="F1475" i="2"/>
  <c r="F1478" i="2"/>
  <c r="F1481" i="2"/>
  <c r="F1484" i="2"/>
  <c r="F1487" i="2"/>
  <c r="F1490" i="2"/>
  <c r="F1493" i="2"/>
  <c r="F1496" i="2"/>
  <c r="F1499" i="2"/>
  <c r="F1502" i="2"/>
  <c r="F1505" i="2"/>
  <c r="F1508" i="2"/>
  <c r="F1511" i="2"/>
  <c r="F1514" i="2"/>
  <c r="F1517" i="2"/>
  <c r="F1520" i="2"/>
  <c r="F1523" i="2"/>
  <c r="F1526" i="2"/>
  <c r="F1529" i="2"/>
  <c r="F1532" i="2"/>
  <c r="F1535" i="2"/>
  <c r="F1538" i="2"/>
  <c r="F1540" i="2"/>
  <c r="F1543" i="2"/>
  <c r="F1546" i="2"/>
  <c r="F1549" i="2"/>
  <c r="F1552" i="2"/>
  <c r="F1555" i="2"/>
  <c r="F1558" i="2"/>
  <c r="F1561" i="2"/>
  <c r="F1564" i="2"/>
  <c r="F1567" i="2"/>
  <c r="F1570" i="2"/>
  <c r="F1574" i="2"/>
  <c r="F1578" i="2"/>
  <c r="F1580" i="2"/>
  <c r="F1583" i="2"/>
  <c r="F1586" i="2"/>
  <c r="F1589" i="2"/>
  <c r="F1592" i="2"/>
  <c r="F1596" i="2"/>
  <c r="F1599" i="2"/>
  <c r="F1602" i="2"/>
  <c r="F1605" i="2"/>
  <c r="F1608" i="2"/>
  <c r="F1611" i="2"/>
  <c r="F1614" i="2"/>
  <c r="F1617" i="2"/>
  <c r="F1620" i="2"/>
  <c r="F1623" i="2"/>
  <c r="F1626" i="2"/>
  <c r="F1629" i="2"/>
  <c r="F1632" i="2"/>
  <c r="F1635" i="2"/>
  <c r="F1638" i="2"/>
  <c r="F1641" i="2"/>
  <c r="F1644" i="2"/>
  <c r="F1647" i="2"/>
  <c r="F1650" i="2"/>
  <c r="F1653" i="2"/>
  <c r="F1656" i="2"/>
  <c r="F1659" i="2"/>
  <c r="F1662" i="2"/>
  <c r="F1665" i="2"/>
  <c r="F1668" i="2"/>
  <c r="F1671" i="2"/>
  <c r="F1674" i="2"/>
  <c r="F1677" i="2"/>
  <c r="F1680" i="2"/>
  <c r="F1683" i="2"/>
  <c r="F1686" i="2"/>
  <c r="F1689" i="2"/>
  <c r="F1692" i="2"/>
  <c r="F1695" i="2"/>
  <c r="F1699" i="2"/>
  <c r="F1700" i="2"/>
  <c r="F1704" i="2"/>
  <c r="F1708" i="2"/>
  <c r="F1711" i="2"/>
  <c r="F1714" i="2"/>
  <c r="F1717" i="2"/>
  <c r="F1720" i="2"/>
  <c r="F1723" i="2"/>
  <c r="F1726" i="2"/>
  <c r="F1728" i="2"/>
  <c r="F1731" i="2"/>
  <c r="F1734" i="2"/>
  <c r="F1737" i="2"/>
  <c r="F1740" i="2"/>
  <c r="F1743" i="2"/>
  <c r="F1745" i="2"/>
  <c r="F1748" i="2"/>
  <c r="F1751" i="2"/>
  <c r="F1754" i="2"/>
  <c r="F1757" i="2"/>
  <c r="F1760" i="2"/>
  <c r="F1763" i="2"/>
  <c r="F1766" i="2"/>
  <c r="F1769" i="2"/>
  <c r="F1772" i="2"/>
  <c r="F1775" i="2"/>
  <c r="F1778" i="2"/>
  <c r="F1781" i="2"/>
  <c r="F1784" i="2"/>
  <c r="F1787" i="2"/>
  <c r="F1790" i="2"/>
  <c r="F1793" i="2"/>
  <c r="F1799" i="2"/>
  <c r="F1796" i="2"/>
  <c r="F1802" i="2"/>
  <c r="F1805" i="2"/>
  <c r="F1808" i="2"/>
  <c r="F1810" i="2"/>
  <c r="F1813" i="2"/>
  <c r="F1816" i="2"/>
  <c r="F1819" i="2"/>
  <c r="F1821" i="2"/>
  <c r="F1824" i="2"/>
  <c r="F1827" i="2"/>
  <c r="F1830" i="2"/>
  <c r="F1833" i="2"/>
  <c r="F1836" i="2"/>
  <c r="F1839" i="2"/>
  <c r="F1842" i="2"/>
  <c r="F1846" i="2"/>
  <c r="F1847" i="2"/>
  <c r="F1851" i="2"/>
  <c r="F1854" i="2"/>
  <c r="F1856" i="2"/>
  <c r="F1859" i="2"/>
  <c r="F1864" i="2"/>
  <c r="F1867" i="2"/>
  <c r="F1870" i="2"/>
  <c r="F1873" i="2"/>
  <c r="F1876" i="2"/>
  <c r="F1879" i="2"/>
  <c r="F1883" i="2"/>
  <c r="F1884" i="2"/>
  <c r="F1885" i="2"/>
  <c r="F1890" i="2"/>
  <c r="F1893" i="2"/>
  <c r="F1896" i="2"/>
  <c r="F1899" i="2"/>
  <c r="F1902" i="2"/>
  <c r="F1905" i="2"/>
  <c r="F1909" i="2"/>
  <c r="F1910" i="2"/>
  <c r="F1914" i="2"/>
  <c r="F1917" i="2"/>
  <c r="F1920" i="2"/>
  <c r="F1922" i="2"/>
  <c r="F1925" i="2"/>
  <c r="F1928" i="2"/>
  <c r="F1931" i="2"/>
  <c r="F1934" i="2"/>
  <c r="F1938" i="2"/>
  <c r="F1941" i="2"/>
  <c r="F1944" i="2"/>
  <c r="F1945" i="2"/>
  <c r="F1950" i="2"/>
  <c r="F1953" i="2"/>
  <c r="F1957" i="2"/>
  <c r="F1960" i="2"/>
  <c r="F1963" i="2"/>
  <c r="F1966" i="2"/>
  <c r="F1969" i="2"/>
  <c r="F1972" i="2"/>
  <c r="F1975" i="2"/>
  <c r="F1978" i="2"/>
  <c r="F1981" i="2"/>
  <c r="F1984" i="2"/>
  <c r="F1987" i="2"/>
  <c r="F1990" i="2"/>
  <c r="F1993" i="2"/>
  <c r="F1996" i="2"/>
  <c r="F1999" i="2"/>
  <c r="F2002" i="2"/>
  <c r="F2005" i="2"/>
  <c r="F2008" i="2"/>
  <c r="F2011" i="2"/>
  <c r="F2014" i="2"/>
  <c r="F2017" i="2"/>
  <c r="F2021" i="2"/>
  <c r="F2024" i="2"/>
  <c r="F2027" i="2"/>
  <c r="F2030" i="2"/>
  <c r="F2033" i="2"/>
  <c r="F2036" i="2"/>
  <c r="F2039" i="2"/>
  <c r="F2042" i="2"/>
  <c r="F2045" i="2"/>
  <c r="F2048" i="2"/>
  <c r="F2051" i="2"/>
  <c r="F2054" i="2"/>
  <c r="F2057" i="2"/>
  <c r="F2060" i="2"/>
  <c r="F2063" i="2"/>
  <c r="F2066" i="2"/>
  <c r="F2069" i="2"/>
  <c r="F2073" i="2"/>
  <c r="F2076" i="2"/>
  <c r="F2079" i="2"/>
  <c r="F2082" i="2"/>
  <c r="F2084" i="2"/>
  <c r="F2087" i="2"/>
  <c r="F2091" i="2"/>
  <c r="F2094" i="2"/>
  <c r="F2097" i="2"/>
  <c r="F2100" i="2"/>
  <c r="F2103" i="2"/>
  <c r="F2106" i="2"/>
  <c r="F2109" i="2"/>
  <c r="F2112" i="2"/>
  <c r="F2115" i="2"/>
  <c r="F2118" i="2"/>
  <c r="F2121" i="2"/>
  <c r="F2124" i="2"/>
  <c r="F2127" i="2"/>
  <c r="F2130" i="2"/>
  <c r="F2133" i="2"/>
  <c r="F2135" i="2"/>
  <c r="F2138" i="2"/>
  <c r="F2141" i="2"/>
  <c r="F2144" i="2"/>
  <c r="F2147" i="2"/>
  <c r="F2150" i="2"/>
  <c r="F2153" i="2"/>
  <c r="F2156" i="2"/>
  <c r="F2159" i="2"/>
  <c r="F2162" i="2"/>
  <c r="F2165" i="2"/>
  <c r="F2168" i="2"/>
  <c r="F2171" i="2"/>
  <c r="F2174" i="2"/>
  <c r="F2177" i="2"/>
  <c r="F2180" i="2"/>
  <c r="F2183" i="2"/>
  <c r="F2186" i="2"/>
  <c r="F2189" i="2"/>
  <c r="F2192" i="2"/>
  <c r="F2195" i="2"/>
  <c r="F2198" i="2"/>
  <c r="F2201" i="2"/>
  <c r="F2204" i="2"/>
  <c r="F2207" i="2"/>
  <c r="F2210" i="2"/>
  <c r="F2214" i="2"/>
  <c r="F2217" i="2"/>
  <c r="F2220" i="2"/>
  <c r="F2223" i="2"/>
  <c r="F2226" i="2"/>
  <c r="F2229" i="2"/>
  <c r="F2233" i="2"/>
  <c r="F2234" i="2"/>
  <c r="F2238" i="2"/>
  <c r="F2241" i="2"/>
  <c r="F2244" i="2"/>
  <c r="F2247" i="2"/>
  <c r="F2250" i="2"/>
  <c r="F2253" i="2"/>
  <c r="F2256" i="2"/>
  <c r="F2259" i="2"/>
  <c r="F2262" i="2"/>
  <c r="F2265" i="2"/>
  <c r="F2268" i="2"/>
  <c r="F2271" i="2"/>
  <c r="F2274" i="2"/>
  <c r="F2277" i="2"/>
  <c r="F2280" i="2"/>
  <c r="F2283" i="2"/>
  <c r="F2286" i="2"/>
  <c r="F2289" i="2"/>
  <c r="F2292" i="2"/>
  <c r="F2295" i="2"/>
  <c r="F2298" i="2"/>
  <c r="F2301" i="2"/>
  <c r="F2304" i="2"/>
  <c r="F2307" i="2"/>
  <c r="F2310" i="2"/>
  <c r="F2314" i="2"/>
  <c r="F2317" i="2"/>
  <c r="F2320" i="2"/>
  <c r="F2324" i="2"/>
  <c r="F2327" i="2"/>
  <c r="F2330" i="2"/>
  <c r="F2333" i="2"/>
  <c r="F2336" i="2"/>
  <c r="F2339" i="2"/>
  <c r="F2342" i="2"/>
  <c r="F2345" i="2"/>
  <c r="F2349" i="2"/>
  <c r="F2350" i="2"/>
  <c r="F2354" i="2"/>
  <c r="F2358" i="2"/>
  <c r="F2361" i="2"/>
  <c r="F2362" i="2"/>
  <c r="F2366" i="2"/>
  <c r="F2371" i="2"/>
  <c r="F2373" i="2"/>
  <c r="F2376" i="2"/>
  <c r="F2379" i="2"/>
  <c r="F2382" i="2"/>
  <c r="F2385" i="2"/>
  <c r="F2388" i="2"/>
  <c r="F2391" i="2"/>
  <c r="F2394" i="2"/>
  <c r="F2397" i="2"/>
  <c r="F2400" i="2"/>
  <c r="F2403" i="2"/>
  <c r="F2406" i="2"/>
  <c r="F2409" i="2"/>
  <c r="F2412" i="2"/>
  <c r="F5" i="2"/>
  <c r="F8" i="2"/>
  <c r="F11" i="2"/>
  <c r="F12" i="2"/>
  <c r="F15" i="2"/>
  <c r="F18" i="2"/>
  <c r="F21" i="2"/>
  <c r="F24" i="2"/>
  <c r="F27" i="2"/>
  <c r="F28" i="2"/>
  <c r="F31" i="2"/>
  <c r="F34" i="2"/>
  <c r="F37" i="2"/>
  <c r="F40" i="2"/>
  <c r="F43" i="2"/>
  <c r="F46" i="2"/>
  <c r="F49" i="2"/>
  <c r="F50" i="2"/>
  <c r="F53" i="2"/>
  <c r="F56" i="2"/>
  <c r="F59" i="2"/>
  <c r="F63" i="2"/>
  <c r="F66" i="2"/>
  <c r="F69" i="2"/>
  <c r="F72" i="2"/>
  <c r="F75" i="2"/>
  <c r="F77" i="2"/>
  <c r="F80" i="2"/>
  <c r="F83" i="2"/>
  <c r="F85" i="2"/>
  <c r="F88" i="2"/>
  <c r="F91" i="2"/>
  <c r="F94" i="2"/>
  <c r="F97" i="2"/>
  <c r="F100" i="2"/>
  <c r="F103" i="2"/>
  <c r="F106" i="2"/>
  <c r="F109" i="2"/>
  <c r="F112" i="2"/>
  <c r="F115" i="2"/>
  <c r="F118" i="2"/>
  <c r="F121" i="2"/>
  <c r="F124" i="2"/>
  <c r="F127" i="2"/>
  <c r="F130" i="2"/>
  <c r="F133" i="2"/>
  <c r="F136" i="2"/>
  <c r="F139" i="2"/>
  <c r="F142" i="2"/>
  <c r="F143" i="2"/>
  <c r="F146" i="2"/>
  <c r="F149" i="2"/>
  <c r="F152" i="2"/>
  <c r="F155" i="2"/>
  <c r="F158" i="2"/>
  <c r="F161" i="2"/>
  <c r="F164" i="2"/>
  <c r="F167" i="2"/>
  <c r="F170" i="2"/>
  <c r="F173" i="2"/>
  <c r="F175" i="2"/>
  <c r="F178" i="2"/>
  <c r="F181" i="2"/>
  <c r="F184" i="2"/>
  <c r="F187" i="2"/>
  <c r="F190" i="2"/>
  <c r="F193" i="2"/>
  <c r="F196" i="2"/>
  <c r="F199" i="2"/>
  <c r="F202" i="2"/>
  <c r="F205" i="2"/>
  <c r="F208" i="2"/>
  <c r="F211" i="2"/>
  <c r="F214" i="2"/>
  <c r="F217" i="2"/>
  <c r="F220" i="2"/>
  <c r="F223" i="2"/>
  <c r="F226" i="2"/>
  <c r="F229" i="2"/>
  <c r="F232" i="2"/>
  <c r="F235" i="2"/>
  <c r="F238" i="2"/>
  <c r="F241" i="2"/>
  <c r="F244" i="2"/>
  <c r="F247" i="2"/>
  <c r="F250" i="2"/>
  <c r="F253" i="2"/>
  <c r="F256" i="2"/>
  <c r="F259" i="2"/>
  <c r="F262" i="2"/>
  <c r="F265" i="2"/>
  <c r="F268" i="2"/>
  <c r="F271" i="2"/>
  <c r="F274" i="2"/>
  <c r="F277" i="2"/>
  <c r="F280" i="2"/>
  <c r="F283" i="2"/>
  <c r="F284" i="2"/>
  <c r="F287" i="2"/>
  <c r="F290" i="2"/>
  <c r="F293" i="2"/>
  <c r="F294" i="2"/>
  <c r="F297" i="2"/>
  <c r="F298" i="2"/>
  <c r="F301" i="2"/>
  <c r="F305" i="2"/>
  <c r="F308" i="2"/>
  <c r="F311" i="2"/>
  <c r="F313" i="2"/>
  <c r="F315" i="2"/>
  <c r="F318" i="2"/>
  <c r="F321" i="2"/>
  <c r="F323" i="2"/>
  <c r="F326" i="2"/>
  <c r="F328" i="2"/>
  <c r="F331" i="2"/>
  <c r="F334" i="2"/>
  <c r="F337" i="2"/>
  <c r="F340" i="2"/>
  <c r="F343" i="2"/>
  <c r="F346" i="2"/>
  <c r="F349" i="2"/>
  <c r="F352" i="2"/>
  <c r="F355" i="2"/>
  <c r="F358" i="2"/>
  <c r="F361" i="2"/>
  <c r="F364" i="2"/>
  <c r="F367" i="2"/>
  <c r="F370" i="2"/>
  <c r="F371" i="2"/>
  <c r="F374" i="2"/>
  <c r="F377" i="2"/>
  <c r="F380" i="2"/>
  <c r="F383" i="2"/>
  <c r="F386" i="2"/>
  <c r="F389" i="2"/>
  <c r="F392" i="2"/>
  <c r="F395" i="2"/>
  <c r="F398" i="2"/>
  <c r="F401" i="2"/>
  <c r="F404" i="2"/>
  <c r="F407" i="2"/>
  <c r="F410" i="2"/>
  <c r="F413" i="2"/>
  <c r="F416" i="2"/>
  <c r="F419" i="2"/>
  <c r="F422" i="2"/>
  <c r="F425" i="2"/>
  <c r="F428" i="2"/>
  <c r="F431" i="2"/>
  <c r="F434" i="2"/>
  <c r="F437" i="2"/>
  <c r="F440" i="2"/>
  <c r="F443" i="2"/>
  <c r="F446" i="2"/>
  <c r="F449" i="2"/>
  <c r="F452" i="2"/>
  <c r="F455" i="2"/>
  <c r="F458" i="2"/>
  <c r="F461" i="2"/>
  <c r="F464" i="2"/>
  <c r="F467" i="2"/>
  <c r="F470" i="2"/>
  <c r="F473" i="2"/>
  <c r="F476" i="2"/>
  <c r="F479" i="2"/>
  <c r="F482" i="2"/>
  <c r="F485" i="2"/>
  <c r="F488" i="2"/>
  <c r="F491" i="2"/>
  <c r="F494" i="2"/>
  <c r="F497" i="2"/>
  <c r="F500" i="2"/>
  <c r="F503" i="2"/>
  <c r="F506" i="2"/>
  <c r="F509" i="2"/>
  <c r="F512" i="2"/>
  <c r="F515" i="2"/>
  <c r="F518" i="2"/>
  <c r="F521" i="2"/>
  <c r="F523" i="2"/>
  <c r="F526" i="2"/>
  <c r="F529" i="2"/>
  <c r="F532" i="2"/>
  <c r="F535" i="2"/>
  <c r="F538" i="2"/>
  <c r="F541" i="2"/>
  <c r="F544" i="2"/>
  <c r="F547" i="2"/>
  <c r="F550" i="2"/>
  <c r="F553" i="2"/>
  <c r="F556" i="2"/>
  <c r="F559" i="2"/>
  <c r="F562" i="2"/>
  <c r="F565" i="2"/>
  <c r="F568" i="2"/>
  <c r="F571" i="2"/>
  <c r="F574" i="2"/>
  <c r="F577" i="2"/>
  <c r="F580" i="2"/>
  <c r="F583" i="2"/>
  <c r="F586" i="2"/>
  <c r="F589" i="2"/>
  <c r="F592" i="2"/>
  <c r="F595" i="2"/>
  <c r="F598" i="2"/>
  <c r="F601" i="2"/>
  <c r="F602" i="2"/>
  <c r="F605" i="2"/>
  <c r="F608" i="2"/>
  <c r="F609" i="2"/>
  <c r="F612" i="2"/>
  <c r="F615" i="2"/>
  <c r="F618" i="2"/>
  <c r="F621" i="2"/>
  <c r="F624" i="2"/>
  <c r="F627" i="2"/>
  <c r="F630" i="2"/>
  <c r="F633" i="2"/>
  <c r="F636" i="2"/>
  <c r="F639" i="2"/>
  <c r="F642" i="2"/>
  <c r="F645" i="2"/>
  <c r="F648" i="2"/>
  <c r="F651" i="2"/>
  <c r="F654" i="2"/>
  <c r="F657" i="2"/>
  <c r="F660" i="2"/>
  <c r="F663" i="2"/>
  <c r="F666" i="2"/>
  <c r="F669" i="2"/>
  <c r="F672" i="2"/>
  <c r="F675" i="2"/>
  <c r="F678" i="2"/>
  <c r="F681" i="2"/>
  <c r="F684" i="2"/>
  <c r="F687" i="2"/>
  <c r="F690" i="2"/>
  <c r="F693" i="2"/>
  <c r="F695" i="2"/>
  <c r="F698" i="2"/>
  <c r="F701" i="2"/>
  <c r="F704" i="2"/>
  <c r="F707" i="2"/>
  <c r="F712" i="2"/>
  <c r="F715" i="2"/>
  <c r="F718" i="2"/>
  <c r="F721" i="2"/>
  <c r="F724" i="2"/>
  <c r="F727" i="2"/>
  <c r="F730" i="2"/>
  <c r="F733" i="2"/>
  <c r="F734" i="2"/>
  <c r="F737" i="2"/>
  <c r="F740" i="2"/>
  <c r="F741" i="2"/>
  <c r="F743" i="2"/>
  <c r="F746" i="2"/>
  <c r="F749" i="2"/>
  <c r="F752" i="2"/>
  <c r="F757" i="2"/>
  <c r="F760" i="2"/>
  <c r="F761" i="2"/>
  <c r="F766" i="2"/>
  <c r="F769" i="2"/>
  <c r="F772" i="2"/>
  <c r="F773" i="2"/>
  <c r="F776" i="2"/>
  <c r="F779" i="2"/>
  <c r="F782" i="2"/>
  <c r="F785" i="2"/>
  <c r="F788" i="2"/>
  <c r="F791" i="2"/>
  <c r="F794" i="2"/>
  <c r="F797" i="2"/>
  <c r="F800" i="2"/>
  <c r="F803" i="2"/>
  <c r="F806" i="2"/>
  <c r="F809" i="2"/>
  <c r="F812" i="2"/>
  <c r="F815" i="2"/>
  <c r="F818" i="2"/>
  <c r="F821" i="2"/>
  <c r="F823" i="2"/>
  <c r="F826" i="2"/>
  <c r="F829" i="2"/>
  <c r="F832" i="2"/>
  <c r="F835" i="2"/>
  <c r="F838" i="2"/>
  <c r="F841" i="2"/>
  <c r="F844" i="2"/>
  <c r="F846" i="2"/>
  <c r="F849" i="2"/>
  <c r="F852" i="2"/>
  <c r="F855" i="2"/>
  <c r="F858" i="2"/>
  <c r="F861" i="2"/>
  <c r="F864" i="2"/>
  <c r="F867" i="2"/>
  <c r="F870" i="2"/>
  <c r="F871" i="2"/>
  <c r="F874" i="2"/>
  <c r="F877" i="2"/>
  <c r="F880" i="2"/>
  <c r="F883" i="2"/>
  <c r="F886" i="2"/>
  <c r="F889" i="2"/>
  <c r="F892" i="2"/>
  <c r="F895" i="2"/>
  <c r="F898" i="2"/>
  <c r="F901" i="2"/>
  <c r="F904" i="2"/>
  <c r="F907" i="2"/>
  <c r="F910" i="2"/>
  <c r="F913" i="2"/>
  <c r="F916" i="2"/>
  <c r="F919" i="2"/>
  <c r="F922" i="2"/>
  <c r="F925" i="2"/>
  <c r="F928" i="2"/>
  <c r="F931" i="2"/>
  <c r="F934" i="2"/>
  <c r="F937" i="2"/>
  <c r="F940" i="2"/>
  <c r="F943" i="2"/>
  <c r="F946" i="2"/>
  <c r="F947" i="2"/>
  <c r="F952" i="2"/>
  <c r="F955" i="2"/>
  <c r="F958" i="2"/>
  <c r="F961" i="2"/>
  <c r="F964" i="2"/>
  <c r="F967" i="2"/>
  <c r="F970" i="2"/>
  <c r="F973" i="2"/>
  <c r="F976" i="2"/>
  <c r="F977" i="2"/>
  <c r="F980" i="2"/>
  <c r="F981" i="2"/>
  <c r="F986" i="2"/>
  <c r="F989" i="2"/>
  <c r="F992" i="2"/>
  <c r="F995" i="2"/>
  <c r="F998" i="2"/>
  <c r="F1001" i="2"/>
  <c r="F1004" i="2"/>
  <c r="F1005" i="2"/>
  <c r="F1008" i="2"/>
  <c r="F1011" i="2"/>
  <c r="F1014" i="2"/>
  <c r="F1017" i="2"/>
  <c r="F1020" i="2"/>
  <c r="F1023" i="2"/>
  <c r="F1027" i="2"/>
  <c r="F1030" i="2"/>
  <c r="F1033" i="2"/>
  <c r="F1036" i="2"/>
  <c r="F1039" i="2"/>
  <c r="F1042" i="2"/>
  <c r="F1046" i="2"/>
  <c r="F1049" i="2"/>
  <c r="F1052" i="2"/>
  <c r="F1055" i="2"/>
  <c r="F1058" i="2"/>
  <c r="F1060" i="2"/>
  <c r="F1063" i="2"/>
  <c r="F1066" i="2"/>
  <c r="F1067" i="2"/>
  <c r="F1070" i="2"/>
  <c r="F1073" i="2"/>
  <c r="F1076" i="2"/>
  <c r="F1079" i="2"/>
  <c r="F1082" i="2"/>
  <c r="F1085" i="2"/>
  <c r="F1088" i="2"/>
  <c r="F1091" i="2"/>
  <c r="F1094" i="2"/>
  <c r="F1097" i="2"/>
  <c r="F1100" i="2"/>
  <c r="F1103" i="2"/>
  <c r="F1106" i="2"/>
  <c r="F1109" i="2"/>
  <c r="F1112" i="2"/>
  <c r="F1115" i="2"/>
  <c r="F1116" i="2"/>
  <c r="F1119" i="2"/>
  <c r="F1122" i="2"/>
  <c r="F1125" i="2"/>
  <c r="F1128" i="2"/>
  <c r="F1131" i="2"/>
  <c r="F1134" i="2"/>
  <c r="F1137" i="2"/>
  <c r="F1140" i="2"/>
  <c r="F1143" i="2"/>
  <c r="F1146" i="2"/>
  <c r="F1148" i="2"/>
  <c r="F1151" i="2"/>
  <c r="F1154" i="2"/>
  <c r="F1157" i="2"/>
  <c r="F1160" i="2"/>
  <c r="F1163" i="2"/>
  <c r="F1166" i="2"/>
  <c r="F1167" i="2"/>
  <c r="F1170" i="2"/>
  <c r="F1173" i="2"/>
  <c r="F1176" i="2"/>
  <c r="F1179" i="2"/>
  <c r="F1182" i="2"/>
  <c r="F1185" i="2"/>
  <c r="F1188" i="2"/>
  <c r="F1191" i="2"/>
  <c r="F1194" i="2"/>
  <c r="F1197" i="2"/>
  <c r="F1200" i="2"/>
  <c r="F1203" i="2"/>
  <c r="F1206" i="2"/>
  <c r="F1209" i="2"/>
  <c r="F1212" i="2"/>
  <c r="F1215" i="2"/>
  <c r="F1218" i="2"/>
  <c r="F1221" i="2"/>
  <c r="F1224" i="2"/>
  <c r="F1227" i="2"/>
  <c r="F1230" i="2"/>
  <c r="F1233" i="2"/>
  <c r="F1236" i="2"/>
  <c r="F1239" i="2"/>
  <c r="F1242" i="2"/>
  <c r="F1245" i="2"/>
  <c r="F1248" i="2"/>
  <c r="F1251" i="2"/>
  <c r="F1254" i="2"/>
  <c r="F1255" i="2"/>
  <c r="F1260" i="2"/>
  <c r="F1263" i="2"/>
  <c r="F1266" i="2"/>
  <c r="F1267" i="2"/>
  <c r="F1270" i="2"/>
  <c r="F1273" i="2"/>
  <c r="F1276" i="2"/>
  <c r="F1279" i="2"/>
  <c r="F1281" i="2"/>
  <c r="F1284" i="2"/>
  <c r="F1287" i="2"/>
  <c r="F1290" i="2"/>
  <c r="F1293" i="2"/>
  <c r="F1296" i="2"/>
  <c r="F1298" i="2"/>
  <c r="F1301" i="2"/>
  <c r="F1304" i="2"/>
  <c r="F1307" i="2"/>
  <c r="F1310" i="2"/>
  <c r="F1313" i="2"/>
  <c r="F1316" i="2"/>
  <c r="F1320" i="2"/>
  <c r="F1322" i="2"/>
  <c r="F1325" i="2"/>
  <c r="F1328" i="2"/>
  <c r="F1331" i="2"/>
  <c r="F1334" i="2"/>
  <c r="F1337" i="2"/>
  <c r="F1340" i="2"/>
  <c r="F1343" i="2"/>
  <c r="F1344" i="2"/>
  <c r="F1347" i="2"/>
  <c r="F1350" i="2"/>
  <c r="F1353" i="2"/>
  <c r="F1356" i="2"/>
  <c r="F1359" i="2"/>
  <c r="F1362" i="2"/>
  <c r="F1365" i="2"/>
  <c r="F1368" i="2"/>
  <c r="F1371" i="2"/>
  <c r="F1374" i="2"/>
  <c r="F1377" i="2"/>
  <c r="F1380" i="2"/>
  <c r="F1383" i="2"/>
  <c r="F1386" i="2"/>
  <c r="F1389" i="2"/>
  <c r="F1392" i="2"/>
  <c r="F1395" i="2"/>
  <c r="F1398" i="2"/>
  <c r="F1401" i="2"/>
  <c r="F1402" i="2"/>
  <c r="F1405" i="2"/>
  <c r="F1408" i="2"/>
  <c r="F1411" i="2"/>
  <c r="F1414" i="2"/>
  <c r="F1417" i="2"/>
  <c r="F1420" i="2"/>
  <c r="F1423" i="2"/>
  <c r="F1426" i="2"/>
  <c r="F1429" i="2"/>
  <c r="F1432" i="2"/>
  <c r="F1435" i="2"/>
  <c r="F1438" i="2"/>
  <c r="F1441" i="2"/>
  <c r="F1444" i="2"/>
  <c r="F1447" i="2"/>
  <c r="F1450" i="2"/>
  <c r="F1453" i="2"/>
  <c r="F1456" i="2"/>
  <c r="F1459" i="2"/>
  <c r="F1462" i="2"/>
  <c r="F1465" i="2"/>
  <c r="F1468" i="2"/>
  <c r="F1471" i="2"/>
  <c r="F1474" i="2"/>
  <c r="F1477" i="2"/>
  <c r="F1480" i="2"/>
  <c r="F1483" i="2"/>
  <c r="F1486" i="2"/>
  <c r="F1489" i="2"/>
  <c r="F1492" i="2"/>
  <c r="F1495" i="2"/>
  <c r="F1498" i="2"/>
  <c r="F1501" i="2"/>
  <c r="F1504" i="2"/>
  <c r="F1507" i="2"/>
  <c r="F1510" i="2"/>
  <c r="F1513" i="2"/>
  <c r="F1516" i="2"/>
  <c r="F1519" i="2"/>
  <c r="F1522" i="2"/>
  <c r="F1525" i="2"/>
  <c r="F1528" i="2"/>
  <c r="F1531" i="2"/>
  <c r="F1534" i="2"/>
  <c r="F1537" i="2"/>
  <c r="F1539" i="2"/>
  <c r="F1542" i="2"/>
  <c r="F1545" i="2"/>
  <c r="F1548" i="2"/>
  <c r="F1551" i="2"/>
  <c r="F1554" i="2"/>
  <c r="F1557" i="2"/>
  <c r="F1560" i="2"/>
  <c r="F1563" i="2"/>
  <c r="F1566" i="2"/>
  <c r="F1569" i="2"/>
  <c r="F1572" i="2"/>
  <c r="F1573" i="2"/>
  <c r="F1577" i="2"/>
  <c r="F1579" i="2"/>
  <c r="F1582" i="2"/>
  <c r="F1585" i="2"/>
  <c r="F1588" i="2"/>
  <c r="F1591" i="2"/>
  <c r="F1594" i="2"/>
  <c r="F1595" i="2"/>
  <c r="F1598" i="2"/>
  <c r="F1601" i="2"/>
  <c r="F1604" i="2"/>
  <c r="F1607" i="2"/>
  <c r="F1610" i="2"/>
  <c r="F1613" i="2"/>
  <c r="F1616" i="2"/>
  <c r="F1619" i="2"/>
  <c r="F1622" i="2"/>
  <c r="F1625" i="2"/>
  <c r="F1628" i="2"/>
  <c r="F1631" i="2"/>
  <c r="F1634" i="2"/>
  <c r="F1637" i="2"/>
  <c r="F1640" i="2"/>
  <c r="F1643" i="2"/>
  <c r="F1646" i="2"/>
  <c r="F1649" i="2"/>
  <c r="F1652" i="2"/>
  <c r="F1655" i="2"/>
  <c r="F1658" i="2"/>
  <c r="F1661" i="2"/>
  <c r="F1664" i="2"/>
  <c r="F1667" i="2"/>
  <c r="F1670" i="2"/>
  <c r="F1673" i="2"/>
  <c r="F1676" i="2"/>
  <c r="F1679" i="2"/>
  <c r="F1682" i="2"/>
  <c r="F1685" i="2"/>
  <c r="F1688" i="2"/>
  <c r="F1691" i="2"/>
  <c r="F1694" i="2"/>
  <c r="F1697" i="2"/>
  <c r="F1698" i="2"/>
  <c r="F1703" i="2"/>
  <c r="F1706" i="2"/>
  <c r="F1707" i="2"/>
  <c r="F1710" i="2"/>
  <c r="F1713" i="2"/>
  <c r="F1716" i="2"/>
  <c r="F1719" i="2"/>
  <c r="F1722" i="2"/>
  <c r="F1725" i="2"/>
  <c r="F1727" i="2"/>
  <c r="F1730" i="2"/>
  <c r="F1733" i="2"/>
  <c r="F1736" i="2"/>
  <c r="F1739" i="2"/>
  <c r="F1742" i="2"/>
  <c r="F1744" i="2"/>
  <c r="F1747" i="2"/>
  <c r="F1750" i="2"/>
  <c r="F1753" i="2"/>
  <c r="F1756" i="2"/>
  <c r="F1758" i="2"/>
  <c r="F1759" i="2"/>
  <c r="F1762" i="2"/>
  <c r="F1765" i="2"/>
  <c r="F1768" i="2"/>
  <c r="F1771" i="2"/>
  <c r="F1774" i="2"/>
  <c r="F1777" i="2"/>
  <c r="F1780" i="2"/>
  <c r="F1783" i="2"/>
  <c r="F1786" i="2"/>
  <c r="F1789" i="2"/>
  <c r="F1792" i="2"/>
  <c r="F1798" i="2"/>
  <c r="F1795" i="2"/>
  <c r="F1801" i="2"/>
  <c r="F1804" i="2"/>
  <c r="F1807" i="2"/>
  <c r="F1809" i="2"/>
  <c r="F1812" i="2"/>
  <c r="F1815" i="2"/>
  <c r="F1818" i="2"/>
  <c r="F1820" i="2"/>
  <c r="F1823" i="2"/>
  <c r="F1826" i="2"/>
  <c r="F1829" i="2"/>
  <c r="F1832" i="2"/>
  <c r="F1835" i="2"/>
  <c r="F1838" i="2"/>
  <c r="F1841" i="2"/>
  <c r="F1844" i="2"/>
  <c r="F1845" i="2"/>
  <c r="F1850" i="2"/>
  <c r="F1853" i="2"/>
  <c r="F1858" i="2"/>
  <c r="F1861" i="2"/>
  <c r="F1862" i="2"/>
  <c r="F1863" i="2"/>
  <c r="F1866" i="2"/>
  <c r="F1869" i="2"/>
  <c r="F1872" i="2"/>
  <c r="F1875" i="2"/>
  <c r="F1878" i="2"/>
  <c r="F1881" i="2"/>
  <c r="F1882" i="2"/>
  <c r="F1889" i="2"/>
  <c r="F1892" i="2"/>
  <c r="F1895" i="2"/>
  <c r="F1898" i="2"/>
  <c r="F1901" i="2"/>
  <c r="F1904" i="2"/>
  <c r="F1907" i="2"/>
  <c r="F1908" i="2"/>
  <c r="F1913" i="2"/>
  <c r="F1916" i="2"/>
  <c r="F1919" i="2"/>
  <c r="F1921" i="2"/>
  <c r="F1924" i="2"/>
  <c r="F1927" i="2"/>
  <c r="F1930" i="2"/>
  <c r="F1933" i="2"/>
  <c r="F1936" i="2"/>
  <c r="F1937" i="2"/>
  <c r="F1940" i="2"/>
  <c r="F1942" i="2"/>
  <c r="F1943" i="2"/>
  <c r="F1948" i="2"/>
  <c r="F1949" i="2"/>
  <c r="F1952" i="2"/>
  <c r="F1955" i="2"/>
  <c r="F1956" i="2"/>
  <c r="F1959" i="2"/>
  <c r="F1962" i="2"/>
  <c r="F1965" i="2"/>
  <c r="F1968" i="2"/>
  <c r="F1971" i="2"/>
  <c r="F1974" i="2"/>
  <c r="F1977" i="2"/>
  <c r="F1980" i="2"/>
  <c r="F1983" i="2"/>
  <c r="F1986" i="2"/>
  <c r="F1989" i="2"/>
  <c r="F1992" i="2"/>
  <c r="F1995" i="2"/>
  <c r="F1998" i="2"/>
  <c r="F2001" i="2"/>
  <c r="F2004" i="2"/>
  <c r="F2007" i="2"/>
  <c r="F2010" i="2"/>
  <c r="F2013" i="2"/>
  <c r="F2016" i="2"/>
  <c r="F2019" i="2"/>
  <c r="F2020" i="2"/>
  <c r="F2023" i="2"/>
  <c r="F2026" i="2"/>
  <c r="F2029" i="2"/>
  <c r="F2032" i="2"/>
  <c r="F2035" i="2"/>
  <c r="F2038" i="2"/>
  <c r="F2041" i="2"/>
  <c r="F2044" i="2"/>
  <c r="F2047" i="2"/>
  <c r="F2050" i="2"/>
  <c r="F2053" i="2"/>
  <c r="F2056" i="2"/>
  <c r="F2059" i="2"/>
  <c r="F2062" i="2"/>
  <c r="F2065" i="2"/>
  <c r="F2068" i="2"/>
  <c r="F2071" i="2"/>
  <c r="F2072" i="2"/>
  <c r="F2075" i="2"/>
  <c r="F2078" i="2"/>
  <c r="F2081" i="2"/>
  <c r="F2083" i="2"/>
  <c r="F2086" i="2"/>
  <c r="F2089" i="2"/>
  <c r="F2090" i="2"/>
  <c r="F2093" i="2"/>
  <c r="F2096" i="2"/>
  <c r="F2099" i="2"/>
  <c r="F2102" i="2"/>
  <c r="F2105" i="2"/>
  <c r="F2108" i="2"/>
  <c r="F2111" i="2"/>
  <c r="F2114" i="2"/>
  <c r="F2117" i="2"/>
  <c r="F2120" i="2"/>
  <c r="F2123" i="2"/>
  <c r="F2126" i="2"/>
  <c r="F2129" i="2"/>
  <c r="F2132" i="2"/>
  <c r="F2134" i="2"/>
  <c r="F2137" i="2"/>
  <c r="F2140" i="2"/>
  <c r="F2143" i="2"/>
  <c r="F2146" i="2"/>
  <c r="F2149" i="2"/>
  <c r="F2152" i="2"/>
  <c r="F2155" i="2"/>
  <c r="F2158" i="2"/>
  <c r="F2161" i="2"/>
  <c r="F2164" i="2"/>
  <c r="F2167" i="2"/>
  <c r="F2170" i="2"/>
  <c r="F2173" i="2"/>
  <c r="F2176" i="2"/>
  <c r="F2179" i="2"/>
  <c r="F2182" i="2"/>
  <c r="F2185" i="2"/>
  <c r="F2188" i="2"/>
  <c r="F2191" i="2"/>
  <c r="F2194" i="2"/>
  <c r="F2197" i="2"/>
  <c r="F2200" i="2"/>
  <c r="F2203" i="2"/>
  <c r="F2206" i="2"/>
  <c r="F2209" i="2"/>
  <c r="F2212" i="2"/>
  <c r="F2213" i="2"/>
  <c r="F2216" i="2"/>
  <c r="F2219" i="2"/>
  <c r="F2222" i="2"/>
  <c r="F2225" i="2"/>
  <c r="F2228" i="2"/>
  <c r="F2231" i="2"/>
  <c r="F2232" i="2"/>
  <c r="F2237" i="2"/>
  <c r="F2240" i="2"/>
  <c r="F2243" i="2"/>
  <c r="F2246" i="2"/>
  <c r="F2249" i="2"/>
  <c r="F2252" i="2"/>
  <c r="F2255" i="2"/>
  <c r="F2258" i="2"/>
  <c r="F2261" i="2"/>
  <c r="F2264" i="2"/>
  <c r="F2267" i="2"/>
  <c r="F2270" i="2"/>
  <c r="F2273" i="2"/>
  <c r="F2276" i="2"/>
  <c r="F2279" i="2"/>
  <c r="F2282" i="2"/>
  <c r="F2285" i="2"/>
  <c r="F2288" i="2"/>
  <c r="F2291" i="2"/>
  <c r="F2294" i="2"/>
  <c r="F2297" i="2"/>
  <c r="F2300" i="2"/>
  <c r="F2303" i="2"/>
  <c r="F2306" i="2"/>
  <c r="F2309" i="2"/>
  <c r="F2312" i="2"/>
  <c r="F2313" i="2"/>
  <c r="F2316" i="2"/>
  <c r="F2319" i="2"/>
  <c r="F2322" i="2"/>
  <c r="F2323" i="2"/>
  <c r="F2326" i="2"/>
  <c r="F2329" i="2"/>
  <c r="F2332" i="2"/>
  <c r="F2335" i="2"/>
  <c r="F2338" i="2"/>
  <c r="F2341" i="2"/>
  <c r="F2344" i="2"/>
  <c r="F2347" i="2"/>
  <c r="F2348" i="2"/>
  <c r="F2353" i="2"/>
  <c r="F2357" i="2"/>
  <c r="F2359" i="2"/>
  <c r="F2360" i="2"/>
  <c r="F2365" i="2"/>
  <c r="F2368" i="2"/>
  <c r="F2369" i="2"/>
  <c r="F2370" i="2"/>
  <c r="F2372" i="2"/>
  <c r="F2375" i="2"/>
  <c r="F2378" i="2"/>
  <c r="F2381" i="2"/>
  <c r="F2384" i="2"/>
  <c r="F2387" i="2"/>
  <c r="F2390" i="2"/>
  <c r="F2393" i="2"/>
  <c r="F2396" i="2"/>
  <c r="F2399" i="2"/>
  <c r="F2402" i="2"/>
  <c r="F2405" i="2"/>
  <c r="F2408" i="2"/>
  <c r="F2411" i="2"/>
  <c r="F2" i="2"/>
</calcChain>
</file>

<file path=xl/sharedStrings.xml><?xml version="1.0" encoding="utf-8"?>
<sst xmlns="http://schemas.openxmlformats.org/spreadsheetml/2006/main" count="7383" uniqueCount="1438">
  <si>
    <t>city</t>
  </si>
  <si>
    <t>stalp</t>
  </si>
  <si>
    <t>zip</t>
  </si>
  <si>
    <t>1ST CAPITAL BANK</t>
  </si>
  <si>
    <t>Salinas</t>
  </si>
  <si>
    <t>CA</t>
  </si>
  <si>
    <t>1ST COMMUNITY BANK</t>
  </si>
  <si>
    <t>Sherrard</t>
  </si>
  <si>
    <t>IL</t>
  </si>
  <si>
    <t>1ST EQUITY BANK</t>
  </si>
  <si>
    <t>Skokie</t>
  </si>
  <si>
    <t>1ST EQUITY BANK NORTHWEST</t>
  </si>
  <si>
    <t>Buffalo Grove</t>
  </si>
  <si>
    <t>1ST STATE BANK OF MASON CITY</t>
  </si>
  <si>
    <t>Mason City</t>
  </si>
  <si>
    <t>ABACUS FEDERAL SAVINGS BANK</t>
  </si>
  <si>
    <t>New York</t>
  </si>
  <si>
    <t>NY</t>
  </si>
  <si>
    <t>ABINGTON BANK</t>
  </si>
  <si>
    <t>Abington</t>
  </si>
  <si>
    <t>MA</t>
  </si>
  <si>
    <t>ADAMS COMMUNITY BANK</t>
  </si>
  <si>
    <t>Adams</t>
  </si>
  <si>
    <t>ADIRONDACK BANK</t>
  </si>
  <si>
    <t>Utica</t>
  </si>
  <si>
    <t>ADMIRALS BANK</t>
  </si>
  <si>
    <t>Boston</t>
  </si>
  <si>
    <t>ALBANY BANK AND TRUST COMPANY NATIONAL ASSOCIATION</t>
  </si>
  <si>
    <t>Chicago</t>
  </si>
  <si>
    <t>ALDEN STATE BANK</t>
  </si>
  <si>
    <t>Alden</t>
  </si>
  <si>
    <t>ALGONQUIN STATE BANK</t>
  </si>
  <si>
    <t>Algonquin</t>
  </si>
  <si>
    <t>ALLIANCE COMMUNITY BANK</t>
  </si>
  <si>
    <t>Petersburg</t>
  </si>
  <si>
    <t>ALLIED FIRST BANK,SB</t>
  </si>
  <si>
    <t>Oswego</t>
  </si>
  <si>
    <t>ALMA BANK</t>
  </si>
  <si>
    <t>Astoria</t>
  </si>
  <si>
    <t>ALPINE CAPITAL BANK</t>
  </si>
  <si>
    <t>ALTAPACIFIC BANK</t>
  </si>
  <si>
    <t>Santa Rosa</t>
  </si>
  <si>
    <t>AMALGAMATED BANK</t>
  </si>
  <si>
    <t>AMALGAMATED BANK OF CHICAGO</t>
  </si>
  <si>
    <t>AMERASIA BANK</t>
  </si>
  <si>
    <t>Flushing</t>
  </si>
  <si>
    <t>AMERICAN BUSINESS BANK</t>
  </si>
  <si>
    <t>Los Angeles</t>
  </si>
  <si>
    <t>AMERICAN COMMUNITY BANK</t>
  </si>
  <si>
    <t>Glen Cove</t>
  </si>
  <si>
    <t>AMERICAN COMMUNITY BANK &amp; TRUST</t>
  </si>
  <si>
    <t>Woodstock</t>
  </si>
  <si>
    <t>AMERICAN CONTINENTAL BANK</t>
  </si>
  <si>
    <t>City Of Industry</t>
  </si>
  <si>
    <t>AMERICAN EAGLE BANK</t>
  </si>
  <si>
    <t>South Elgin</t>
  </si>
  <si>
    <t>AMERICAN EAGLE BANK OF CHICAGO</t>
  </si>
  <si>
    <t>AMERICAN METRO BANK</t>
  </si>
  <si>
    <t>AMERICAN PLUS BANK, N.A.</t>
  </si>
  <si>
    <t>Arcadia</t>
  </si>
  <si>
    <t>AMERICAN RIVER BANK</t>
  </si>
  <si>
    <t>Sacramento</t>
  </si>
  <si>
    <t>AMERICAN RIVIERA BANK</t>
  </si>
  <si>
    <t>Santa Barbara</t>
  </si>
  <si>
    <t>ANCHOR STATE BANK</t>
  </si>
  <si>
    <t>Anchor</t>
  </si>
  <si>
    <t>ANDERSON STATE BANK</t>
  </si>
  <si>
    <t>Oneida</t>
  </si>
  <si>
    <t>ANNA STATE BANK</t>
  </si>
  <si>
    <t>Anna</t>
  </si>
  <si>
    <t>APPLE BANK FOR SAVINGS</t>
  </si>
  <si>
    <t>Manhasset</t>
  </si>
  <si>
    <t>APPLE RIVER STATE BANK</t>
  </si>
  <si>
    <t>Apple River</t>
  </si>
  <si>
    <t>ARCOLA FIRST BANK</t>
  </si>
  <si>
    <t>Arcola</t>
  </si>
  <si>
    <t>ASIAN PACIFIC NATIONAL BANK</t>
  </si>
  <si>
    <t>San Gabriel</t>
  </si>
  <si>
    <t>ATHOL SAVINGS BANK</t>
  </si>
  <si>
    <t>Athol</t>
  </si>
  <si>
    <t>AVIDBANK</t>
  </si>
  <si>
    <t>San Jose</t>
  </si>
  <si>
    <t>AVIDIA BANK</t>
  </si>
  <si>
    <t>Hudson</t>
  </si>
  <si>
    <t>AXOS BANK</t>
  </si>
  <si>
    <t>San Diego</t>
  </si>
  <si>
    <t>BAC COMMUNITY BANK</t>
  </si>
  <si>
    <t>Stockton</t>
  </si>
  <si>
    <t>BALBOA THRIFT AND LOAN ASSOCIATION</t>
  </si>
  <si>
    <t>Chula Vista</t>
  </si>
  <si>
    <t>BALLSTON SPA NATIONAL BANK</t>
  </si>
  <si>
    <t>Ballston Spa</t>
  </si>
  <si>
    <t>BANC OF CALIFORNIA, NATIONAL ASSOCIATION</t>
  </si>
  <si>
    <t>Santa Ana</t>
  </si>
  <si>
    <t>BANK &amp; TRUST COMPANY</t>
  </si>
  <si>
    <t>Litchfield</t>
  </si>
  <si>
    <t>BANK HAPOALIM B.M.</t>
  </si>
  <si>
    <t>BANK LEUMI USA</t>
  </si>
  <si>
    <t>BANK OF AKRON</t>
  </si>
  <si>
    <t>Akron</t>
  </si>
  <si>
    <t>BANK OF AMERICA CALIFORNIA, NATIONAL ASSOCIATION</t>
  </si>
  <si>
    <t>San Francisco</t>
  </si>
  <si>
    <t>BANK OF BARODA</t>
  </si>
  <si>
    <t>BANK OF BELLEVILLE</t>
  </si>
  <si>
    <t>Belleville</t>
  </si>
  <si>
    <t>BANK OF BLUFFS</t>
  </si>
  <si>
    <t>Bluffs</t>
  </si>
  <si>
    <t>BANK OF CALHOUN COUNTY</t>
  </si>
  <si>
    <t>Hardin</t>
  </si>
  <si>
    <t>BANK OF CATTARAUGUS</t>
  </si>
  <si>
    <t>Cattaraugus</t>
  </si>
  <si>
    <t>BANK OF CHESTNUT</t>
  </si>
  <si>
    <t>Chestnut</t>
  </si>
  <si>
    <t>BANK OF CHINA</t>
  </si>
  <si>
    <t>BANK OF EASTON</t>
  </si>
  <si>
    <t>North Easton</t>
  </si>
  <si>
    <t>BANK OF FARMINGTON</t>
  </si>
  <si>
    <t>Farmington</t>
  </si>
  <si>
    <t>BANK OF FEATHER RIVER</t>
  </si>
  <si>
    <t>Yuba City</t>
  </si>
  <si>
    <t>BANK OF GIBSON CITY</t>
  </si>
  <si>
    <t>Gibson City</t>
  </si>
  <si>
    <t>BANK OF HILLSBORO, NATIONAL ASSOCIATION</t>
  </si>
  <si>
    <t>Hillsboro</t>
  </si>
  <si>
    <t>BANK OF HOLLAND</t>
  </si>
  <si>
    <t>Holland</t>
  </si>
  <si>
    <t>BANK OF HOPE</t>
  </si>
  <si>
    <t>BANK OF INDIA</t>
  </si>
  <si>
    <t>BANK OF KAMPSVILLE</t>
  </si>
  <si>
    <t>Kampsville</t>
  </si>
  <si>
    <t>BANK OF MARIN</t>
  </si>
  <si>
    <t>Novato</t>
  </si>
  <si>
    <t>BANK OF MILLBROOK</t>
  </si>
  <si>
    <t>Millbrook</t>
  </si>
  <si>
    <t>BANK OF MONTGOMERY</t>
  </si>
  <si>
    <t>Montgomery</t>
  </si>
  <si>
    <t>BANK OF O'FALLON</t>
  </si>
  <si>
    <t>O'fallon</t>
  </si>
  <si>
    <t>BANK OF PONTIAC</t>
  </si>
  <si>
    <t>Pontiac</t>
  </si>
  <si>
    <t>BANK OF RANTOUL</t>
  </si>
  <si>
    <t>Rantoul</t>
  </si>
  <si>
    <t>BANK OF RICHMONDVILLE</t>
  </si>
  <si>
    <t>Cobleskill</t>
  </si>
  <si>
    <t>BANK OF SAN FRANCISCO</t>
  </si>
  <si>
    <t>BANK OF SANTA CLARITA</t>
  </si>
  <si>
    <t>Santa Clarita</t>
  </si>
  <si>
    <t>BANK OF SOUTHERN CALIFORNIA, N.A.</t>
  </si>
  <si>
    <t>BANK OF SPRINGFIELD</t>
  </si>
  <si>
    <t>Springfield</t>
  </si>
  <si>
    <t>BANK OF STOCKTON</t>
  </si>
  <si>
    <t>BANK OF STRONGHURST</t>
  </si>
  <si>
    <t>Stronghurst</t>
  </si>
  <si>
    <t>BANK OF THE ORIENT</t>
  </si>
  <si>
    <t>BANK OF THE SIERRA</t>
  </si>
  <si>
    <t>Porterville</t>
  </si>
  <si>
    <t>BANK OF THE WEST</t>
  </si>
  <si>
    <t>BANK OF UTICA</t>
  </si>
  <si>
    <t>BANK OF WHITTIER, NATIONAL ASSOCIATION</t>
  </si>
  <si>
    <t>Whittier</t>
  </si>
  <si>
    <t>BANK OF YATES CITY</t>
  </si>
  <si>
    <t>Yates City</t>
  </si>
  <si>
    <t>BANKCHAMPAIGN, NATIONAL ASSOCIATION</t>
  </si>
  <si>
    <t>Champaign</t>
  </si>
  <si>
    <t>BANKFINANCIAL, NATIONAL ASSOCIATION</t>
  </si>
  <si>
    <t>Olympia Fields</t>
  </si>
  <si>
    <t>BANKGLOUCESTER</t>
  </si>
  <si>
    <t>Gloucester</t>
  </si>
  <si>
    <t>BANKORION</t>
  </si>
  <si>
    <t>Orion</t>
  </si>
  <si>
    <t>BANTERRA BANK</t>
  </si>
  <si>
    <t>Marion</t>
  </si>
  <si>
    <t>BARRINGTON BANK &amp; TRUST COMPANY, NATIONAL ASSOCIATION</t>
  </si>
  <si>
    <t>Barrington</t>
  </si>
  <si>
    <t>BAY STATE SAVINGS BANK</t>
  </si>
  <si>
    <t>Worcester</t>
  </si>
  <si>
    <t>BAYCOAST BANK</t>
  </si>
  <si>
    <t>Swansea</t>
  </si>
  <si>
    <t>BEACON BUSINESS BANK, NATIONAL ASSOCIATION</t>
  </si>
  <si>
    <t>BEARDSTOWN SAVINGS S.B.</t>
  </si>
  <si>
    <t>Beardstown</t>
  </si>
  <si>
    <t>BELMONT BANK &amp; TRUST COMPANY</t>
  </si>
  <si>
    <t>BEN FRANKLIN BANK OF ILLINOIS</t>
  </si>
  <si>
    <t>Arlington Height</t>
  </si>
  <si>
    <t>BENEFICIAL STATE BANK</t>
  </si>
  <si>
    <t>Oakland</t>
  </si>
  <si>
    <t>BERKSHIRE BANK</t>
  </si>
  <si>
    <t>Pittsfield</t>
  </si>
  <si>
    <t>BESSEMER TRUST COMPANY, NATIONAL ASSOCIATION</t>
  </si>
  <si>
    <t>BEST HOMETOWN BANK</t>
  </si>
  <si>
    <t>Collinsville</t>
  </si>
  <si>
    <t>BETTER BANKS</t>
  </si>
  <si>
    <t>Peoria</t>
  </si>
  <si>
    <t>BEVERLY BANK</t>
  </si>
  <si>
    <t>Beverly</t>
  </si>
  <si>
    <t>BEVERLY BANK &amp; TRUST COMPANY, NATIONAL ASSOCIATION</t>
  </si>
  <si>
    <t>BLACKHAWK BANK &amp; TRUST</t>
  </si>
  <si>
    <t>Milan</t>
  </si>
  <si>
    <t>BMO HARRIS BANK NATIONAL ASSOCIATION</t>
  </si>
  <si>
    <t>BMO HARRIS CENTRAL NATIONAL ASSOCIATION</t>
  </si>
  <si>
    <t>Roselle</t>
  </si>
  <si>
    <t>BNB BANK</t>
  </si>
  <si>
    <t>Bridgehampton</t>
  </si>
  <si>
    <t>BOSTON PRIVATE BANK &amp; TRUST COMPANY</t>
  </si>
  <si>
    <t>BOSTON TRUST WALDEN COMPANY</t>
  </si>
  <si>
    <t>BRICKYARD BANK</t>
  </si>
  <si>
    <t>Lincolnwood</t>
  </si>
  <si>
    <t>BRIDGEWATER SAVINGS BANK</t>
  </si>
  <si>
    <t>Raynham</t>
  </si>
  <si>
    <t>BRISTOL COUNTY SAVINGS BANK</t>
  </si>
  <si>
    <t>Taunton</t>
  </si>
  <si>
    <t>BROADWAY FEDERAL BANK, F.S.B.</t>
  </si>
  <si>
    <t>BROOKLINE BANK</t>
  </si>
  <si>
    <t>Brookline</t>
  </si>
  <si>
    <t>BUCKLEY STATE BANK</t>
  </si>
  <si>
    <t>Buckley</t>
  </si>
  <si>
    <t>BUENA VISTA NATIONAL BANK</t>
  </si>
  <si>
    <t>Chester</t>
  </si>
  <si>
    <t>BURLING BANK</t>
  </si>
  <si>
    <t>BUSEY BANK</t>
  </si>
  <si>
    <t>BYLINE BANK</t>
  </si>
  <si>
    <t>BYRON BANK</t>
  </si>
  <si>
    <t>Byron</t>
  </si>
  <si>
    <t>C3BANK, NATIONAL ASSOCIATION</t>
  </si>
  <si>
    <t>Encinitas</t>
  </si>
  <si>
    <t>CALIFORNIA BANK OF COMMERCE</t>
  </si>
  <si>
    <t>Lafayette</t>
  </si>
  <si>
    <t>CALIFORNIA BUSINESS BANK</t>
  </si>
  <si>
    <t>Irvine</t>
  </si>
  <si>
    <t>CALIFORNIA FIRST NATIONAL BANK</t>
  </si>
  <si>
    <t>CALIFORNIA INTERNATIONAL BANK, N.A.</t>
  </si>
  <si>
    <t>Westminster</t>
  </si>
  <si>
    <t>CALIFORNIA PACIFIC BANK</t>
  </si>
  <si>
    <t>CALPRIVATE BANK</t>
  </si>
  <si>
    <t>La Jolla</t>
  </si>
  <si>
    <t>CALWEST BANK</t>
  </si>
  <si>
    <t>Rancho Santa Mar</t>
  </si>
  <si>
    <t>CAMBRIDGE SAVINGS BANK</t>
  </si>
  <si>
    <t>Cambridge</t>
  </si>
  <si>
    <t>CAMBRIDGE TRUST COMPANY</t>
  </si>
  <si>
    <t>CAMP GROVE STATE BANK</t>
  </si>
  <si>
    <t>Camp Grove</t>
  </si>
  <si>
    <t>CAMPUS STATE BANK</t>
  </si>
  <si>
    <t>Campus</t>
  </si>
  <si>
    <t>CANTON CO-OPERATIVE BANK</t>
  </si>
  <si>
    <t>Canton</t>
  </si>
  <si>
    <t>CAPE ANN SAVINGS BANK</t>
  </si>
  <si>
    <t>CAPE COD CO-OPERATIVE BANK</t>
  </si>
  <si>
    <t>Yarmouth Port</t>
  </si>
  <si>
    <t>CAPITAL BANK AND TRUST COMPANY</t>
  </si>
  <si>
    <t>CARROLLTON BANK</t>
  </si>
  <si>
    <t>Carrollton</t>
  </si>
  <si>
    <t>CARTHAGE FEDERAL SAVINGS AND LOAN ASSOCIATION</t>
  </si>
  <si>
    <t>Carthage</t>
  </si>
  <si>
    <t>CARVER FEDERAL SAVINGS BANK</t>
  </si>
  <si>
    <t>CASEY STATE BANK</t>
  </si>
  <si>
    <t>Casey</t>
  </si>
  <si>
    <t>CATHAY BANK</t>
  </si>
  <si>
    <t>CATLIN BANK</t>
  </si>
  <si>
    <t>Catlin</t>
  </si>
  <si>
    <t>CATSKILL HUDSON BANK</t>
  </si>
  <si>
    <t>Monticello</t>
  </si>
  <si>
    <t>CATTARAUGUS COUNTY BANK</t>
  </si>
  <si>
    <t>Little Valley</t>
  </si>
  <si>
    <t>CAYUGA LAKE NATIONAL BANK</t>
  </si>
  <si>
    <t>Union Springs</t>
  </si>
  <si>
    <t>CENTRAL BANK ILLINOIS</t>
  </si>
  <si>
    <t>Geneseo</t>
  </si>
  <si>
    <t>CENTRAL FEDERAL SAVINGS AND LOAN ASSOCIATION</t>
  </si>
  <si>
    <t>Cicero</t>
  </si>
  <si>
    <t>CENTRAL SAVINGS, F.S.B.</t>
  </si>
  <si>
    <t>CENTRAL STATE BANK</t>
  </si>
  <si>
    <t>Clayton</t>
  </si>
  <si>
    <t>CENTRAL VALLEY COMMUNITY BANK</t>
  </si>
  <si>
    <t>Fresno</t>
  </si>
  <si>
    <t>CENTRUST BANK, NATIONAL ASSOCIATION</t>
  </si>
  <si>
    <t>Northbrook</t>
  </si>
  <si>
    <t>CENTURY BANK AND TRUST COMPANY</t>
  </si>
  <si>
    <t>Somerville</t>
  </si>
  <si>
    <t>CHAMPLAIN NATIONAL BANK</t>
  </si>
  <si>
    <t>Elizabethtown</t>
  </si>
  <si>
    <t>CHARLES RIVER BANK</t>
  </si>
  <si>
    <t>Medway</t>
  </si>
  <si>
    <t>CHEMUNG CANAL TRUST COMPANY</t>
  </si>
  <si>
    <t>Elmira</t>
  </si>
  <si>
    <t>CHESTER NATIONAL BANK</t>
  </si>
  <si>
    <t>CHESTERFIELD STATE BANK</t>
  </si>
  <si>
    <t>Chesterfield</t>
  </si>
  <si>
    <t>CHINO COMMERCIAL BANK, N.A.</t>
  </si>
  <si>
    <t>Chino</t>
  </si>
  <si>
    <t>CIBC BANK USA</t>
  </si>
  <si>
    <t>CIBM BANK</t>
  </si>
  <si>
    <t>CIT BANK, NATIONAL ASSOCIATION</t>
  </si>
  <si>
    <t>Pasadena</t>
  </si>
  <si>
    <t>CITIZENS BANK OF CAPE VINCENT</t>
  </si>
  <si>
    <t>Cape Vincent</t>
  </si>
  <si>
    <t>CITIZENS BANK OF CHATSWORTH</t>
  </si>
  <si>
    <t>Chatsworth</t>
  </si>
  <si>
    <t>CITIZENS BANK OF EDINBURG</t>
  </si>
  <si>
    <t>Edinburg</t>
  </si>
  <si>
    <t>CITIZENS BUSINESS BANK</t>
  </si>
  <si>
    <t>Ontario</t>
  </si>
  <si>
    <t>CITIZENS COMMUNITY BANK</t>
  </si>
  <si>
    <t>Mascoutah</t>
  </si>
  <si>
    <t>CITIZENS FIRST STATE BANK OF WALNUT</t>
  </si>
  <si>
    <t>Walnut</t>
  </si>
  <si>
    <t>CITIZENS NATIONAL BANK OF ALBION</t>
  </si>
  <si>
    <t>Albion</t>
  </si>
  <si>
    <t>CITIZENS STATE BANK</t>
  </si>
  <si>
    <t>Lena</t>
  </si>
  <si>
    <t>CITIZENS STATE BANK OF MILFORD</t>
  </si>
  <si>
    <t>Milford</t>
  </si>
  <si>
    <t>CITY NATIONAL BANK</t>
  </si>
  <si>
    <t>CLAY COUNTY STATE BANK</t>
  </si>
  <si>
    <t>Louisville</t>
  </si>
  <si>
    <t>CLINTON SAVINGS BANK</t>
  </si>
  <si>
    <t>Clinton</t>
  </si>
  <si>
    <t>CNB BANK AND TRUST, N.A.</t>
  </si>
  <si>
    <t>Carlinville</t>
  </si>
  <si>
    <t>COASTAL HERITAGE BANK</t>
  </si>
  <si>
    <t>Weymouth</t>
  </si>
  <si>
    <t>COLCHESTER STATE BANK</t>
  </si>
  <si>
    <t>Colchester</t>
  </si>
  <si>
    <t>COLLINSVILLE BUILDING AND LOAN ASSOCIATION</t>
  </si>
  <si>
    <t>COLONIAL FEDERAL SAVINGS BANK</t>
  </si>
  <si>
    <t>Quincy</t>
  </si>
  <si>
    <t>COLUMBIA NATIONAL BANK</t>
  </si>
  <si>
    <t>Columbia</t>
  </si>
  <si>
    <t>COMMERCE WEST BANK</t>
  </si>
  <si>
    <t>COMMERCIAL BANK OF CALIFORNIA</t>
  </si>
  <si>
    <t>COMMONWEALTH BUSINESS BANK</t>
  </si>
  <si>
    <t>COMMONWEALTH CO-OPERATIVE BANK</t>
  </si>
  <si>
    <t>Hyde Park</t>
  </si>
  <si>
    <t>COMMUNITY BANK</t>
  </si>
  <si>
    <t>Winslow</t>
  </si>
  <si>
    <t>COMMUNITY BANK OF EASTON</t>
  </si>
  <si>
    <t>Easton</t>
  </si>
  <si>
    <t>COMMUNITY BANK OF ELMHURST</t>
  </si>
  <si>
    <t>Elmhurst</t>
  </si>
  <si>
    <t>COMMUNITY BANK OF SANTA MARIA</t>
  </si>
  <si>
    <t>Santa Maria</t>
  </si>
  <si>
    <t>COMMUNITY BANK OF THE BAY</t>
  </si>
  <si>
    <t>COMMUNITY BANK OF TRENTON</t>
  </si>
  <si>
    <t>Trenton</t>
  </si>
  <si>
    <t>COMMUNITY BANK, NATIONAL ASSOCIATION</t>
  </si>
  <si>
    <t>COMMUNITY BANKS OF SHELBY COUNTY</t>
  </si>
  <si>
    <t>Cowden</t>
  </si>
  <si>
    <t>COMMUNITY COMMERCE BANK</t>
  </si>
  <si>
    <t>Claremont</t>
  </si>
  <si>
    <t>COMMUNITY FEDERAL SAVINGS BANK</t>
  </si>
  <si>
    <t>Woodhaven</t>
  </si>
  <si>
    <t>COMMUNITY FIRST BANK OF THE HEARTLAND</t>
  </si>
  <si>
    <t>Mount Vernon</t>
  </si>
  <si>
    <t>COMMUNITY NATIONAL BANK IN MONMOUTH</t>
  </si>
  <si>
    <t>Monmouth</t>
  </si>
  <si>
    <t>COMMUNITY PARTNERS SAVINGS BANK</t>
  </si>
  <si>
    <t>Salem</t>
  </si>
  <si>
    <t>COMMUNITY SAVINGS BANK</t>
  </si>
  <si>
    <t>COMMUNITY STATE BANK</t>
  </si>
  <si>
    <t>Galva</t>
  </si>
  <si>
    <t>COMMUNITY STATE BANK OF ROCK FALLS</t>
  </si>
  <si>
    <t>Rock Falls</t>
  </si>
  <si>
    <t>COMMUNITY TRUST BANK</t>
  </si>
  <si>
    <t>Irvington</t>
  </si>
  <si>
    <t>COMMUNITY VALLEY BANK</t>
  </si>
  <si>
    <t>El Centro</t>
  </si>
  <si>
    <t>COMMUNITY WEST BANK, NATIONAL ASSOCIATION</t>
  </si>
  <si>
    <t>Goleta</t>
  </si>
  <si>
    <t>CORNERSTONE BANK</t>
  </si>
  <si>
    <t>Spencer</t>
  </si>
  <si>
    <t>CORNERSTONE COMMUNITY BANK</t>
  </si>
  <si>
    <t>Red Bluff</t>
  </si>
  <si>
    <t>CORNERSTONE NATIONAL BANK &amp; TRUST COMPANY</t>
  </si>
  <si>
    <t>Palatine</t>
  </si>
  <si>
    <t>COUNTRY BANK</t>
  </si>
  <si>
    <t>COUNTRY BANK FOR SAVINGS</t>
  </si>
  <si>
    <t>Ware</t>
  </si>
  <si>
    <t>COUNTRY TRUST BANK</t>
  </si>
  <si>
    <t>Bloomington</t>
  </si>
  <si>
    <t>COUNTRYSIDE BANK</t>
  </si>
  <si>
    <t>Countryside</t>
  </si>
  <si>
    <t>CROSS COUNTY SAVINGS BANK</t>
  </si>
  <si>
    <t>Middle Village</t>
  </si>
  <si>
    <t>CROSSROADS BANK</t>
  </si>
  <si>
    <t>Effingham</t>
  </si>
  <si>
    <t>CRYSTAL LAKE BANK AND TRUST COMPANY, NATIONAL ASSOCIATION</t>
  </si>
  <si>
    <t>Crystal Lake</t>
  </si>
  <si>
    <t>CTBC BANK CORP. (USA)</t>
  </si>
  <si>
    <t>DE WITT SAVINGS BANK</t>
  </si>
  <si>
    <t>DEAN CO-OPERATIVE BANK</t>
  </si>
  <si>
    <t>Franklin</t>
  </si>
  <si>
    <t>DEDHAM INSTITUTION FOR SAVINGS</t>
  </si>
  <si>
    <t>Dedham</t>
  </si>
  <si>
    <t>DELTA NATIONAL BANK AND TRUST COMPANY</t>
  </si>
  <si>
    <t>DEUTSCHE BANK TRUST COMPANY AMERICAS</t>
  </si>
  <si>
    <t>DEVON BANK</t>
  </si>
  <si>
    <t>DEWEY BANK</t>
  </si>
  <si>
    <t>Dewey</t>
  </si>
  <si>
    <t>DIETERICH BANK</t>
  </si>
  <si>
    <t>DIME COMMUNITY BANK</t>
  </si>
  <si>
    <t>Brooklyn</t>
  </si>
  <si>
    <t>DU QUOIN STATE BANK</t>
  </si>
  <si>
    <t>Du Quoin</t>
  </si>
  <si>
    <t>DURAND STATE BANK</t>
  </si>
  <si>
    <t>Durand</t>
  </si>
  <si>
    <t>EAGLE BANK</t>
  </si>
  <si>
    <t>Everett</t>
  </si>
  <si>
    <t>EAST BOSTON SAVINGS BANK</t>
  </si>
  <si>
    <t>EAST CAMBRIDGE SAVINGS BANK</t>
  </si>
  <si>
    <t>EAST WEST BANK</t>
  </si>
  <si>
    <t>EASTBANK, NATIONAL ASSOCIATION</t>
  </si>
  <si>
    <t>EASTERN BANK</t>
  </si>
  <si>
    <t>EASTERN INTERNATIONAL BANK</t>
  </si>
  <si>
    <t>EASTHAMPTON SAVINGS BANK</t>
  </si>
  <si>
    <t>Easthampton</t>
  </si>
  <si>
    <t>EH NATIONAL BANK</t>
  </si>
  <si>
    <t>Beverly Hills</t>
  </si>
  <si>
    <t>EL DORADO SAVINGS BANK, F.S.B.</t>
  </si>
  <si>
    <t>Placerville</t>
  </si>
  <si>
    <t>ELMIRA SAVINGS BANK</t>
  </si>
  <si>
    <t>EMIGRANT BANK</t>
  </si>
  <si>
    <t>EMIGRANT MERCANTILE BANK</t>
  </si>
  <si>
    <t>EMPIRE NATIONAL BANK</t>
  </si>
  <si>
    <t>Islandia</t>
  </si>
  <si>
    <t>EMPIRE STATE BANK</t>
  </si>
  <si>
    <t>Newburgh</t>
  </si>
  <si>
    <t>ENDEAVOR BANK</t>
  </si>
  <si>
    <t>ENTERPRISE BANK AND TRUST COMPANY</t>
  </si>
  <si>
    <t>Lowell</t>
  </si>
  <si>
    <t>ENVISION BANK</t>
  </si>
  <si>
    <t>Randolph</t>
  </si>
  <si>
    <t>ESQUIRE BANK, NATIONAL ASSOCIATION</t>
  </si>
  <si>
    <t>Jericho</t>
  </si>
  <si>
    <t>EUREKA SAVINGS BANK</t>
  </si>
  <si>
    <t>La Salle</t>
  </si>
  <si>
    <t>EVANS BANK, NATIONAL ASSOCIATION</t>
  </si>
  <si>
    <t>Angola</t>
  </si>
  <si>
    <t>EVERETT CO-OPERATIVE BANK</t>
  </si>
  <si>
    <t>EVERGREEN BANK GROUP</t>
  </si>
  <si>
    <t>Oak Brook</t>
  </si>
  <si>
    <t>EVERTRUST BANK</t>
  </si>
  <si>
    <t>EXCHANGE BANK</t>
  </si>
  <si>
    <t>EXCHANGE STATE BANK</t>
  </si>
  <si>
    <t>Lanark</t>
  </si>
  <si>
    <t>FAIRPORT SAVINGS BANK</t>
  </si>
  <si>
    <t>Fairport</t>
  </si>
  <si>
    <t>FAIRVIEW STATE BANKING COMPANY</t>
  </si>
  <si>
    <t>Fairview</t>
  </si>
  <si>
    <t>FALL RIVER FIVE CENTS SAVINGS BANK</t>
  </si>
  <si>
    <t>Fall River</t>
  </si>
  <si>
    <t>FAMILY FEDERAL SAVINGS, F.A.</t>
  </si>
  <si>
    <t>Fitchburg</t>
  </si>
  <si>
    <t>FARMERS &amp; MECHANICS BANK</t>
  </si>
  <si>
    <t>Galesburg</t>
  </si>
  <si>
    <t>FARMERS &amp; MERCHANTS BANK OF CENTRAL CALIFORNIA</t>
  </si>
  <si>
    <t>Lodi</t>
  </si>
  <si>
    <t>FARMERS &amp; MERCHANTS BANK OF HUTSONVILLE</t>
  </si>
  <si>
    <t>Hutsonville</t>
  </si>
  <si>
    <t>FARMERS AND MERCHANTS BANK OF LONG BEACH</t>
  </si>
  <si>
    <t>Long Beach</t>
  </si>
  <si>
    <t>FARMERS AND MERCHANTS STATE BANK OF BUSHNELL</t>
  </si>
  <si>
    <t>Bushnell</t>
  </si>
  <si>
    <t>FARMERS NATIONAL BANK OF GRIGGSVILLE</t>
  </si>
  <si>
    <t>Griggsville</t>
  </si>
  <si>
    <t>FARMERS STATE BANK</t>
  </si>
  <si>
    <t>Elmwood</t>
  </si>
  <si>
    <t>FARMERS STATE BANK &amp; TRUST CO.</t>
  </si>
  <si>
    <t>Mount Sterling</t>
  </si>
  <si>
    <t>FARMERS STATE BANK OF ALTO PASS, ILL.</t>
  </si>
  <si>
    <t>Alto Pass</t>
  </si>
  <si>
    <t>FARMERS STATE BANK OF DANFORTH</t>
  </si>
  <si>
    <t>Danforth</t>
  </si>
  <si>
    <t>FARMERS STATE BANK OF EMDEN</t>
  </si>
  <si>
    <t>Emden</t>
  </si>
  <si>
    <t>FARMERS STATE BANK OF HOFFMAN</t>
  </si>
  <si>
    <t>Hoffman</t>
  </si>
  <si>
    <t>FARMERS STATE BANK OF MEDORA</t>
  </si>
  <si>
    <t>Medora</t>
  </si>
  <si>
    <t>FARMERS STATE BANK OF WESTERN ILLINOIS</t>
  </si>
  <si>
    <t>Alpha</t>
  </si>
  <si>
    <t>FARMERS-MERCHANTS BANK OF ILLINOIS</t>
  </si>
  <si>
    <t>Joy</t>
  </si>
  <si>
    <t>FCB BANKS</t>
  </si>
  <si>
    <t>FEDERATED BANK</t>
  </si>
  <si>
    <t>Onarga</t>
  </si>
  <si>
    <t>FIDELITY CO-OPERATIVE BANK</t>
  </si>
  <si>
    <t>FIDELITY PERSONAL TRUST COMPANY, FSB</t>
  </si>
  <si>
    <t>FIRST AMERICAN BANK</t>
  </si>
  <si>
    <t>Elk Grove Villag</t>
  </si>
  <si>
    <t>FIRST AMERICAN TRUST, FSB</t>
  </si>
  <si>
    <t>FIRST BANK AND TRUST COMPANY OF ILLINOIS</t>
  </si>
  <si>
    <t>FIRST BANK OF HIGHLAND PARK</t>
  </si>
  <si>
    <t>Highland Park</t>
  </si>
  <si>
    <t>FIRST BANK OF MANHATTAN</t>
  </si>
  <si>
    <t>Manhattan</t>
  </si>
  <si>
    <t>FIRST BANKERS TRUST COMPANY, NATIONAL ASSOCIATION</t>
  </si>
  <si>
    <t>FIRST CENTRAL SAVINGS BANK</t>
  </si>
  <si>
    <t>FIRST CHOICE BANK</t>
  </si>
  <si>
    <t>Cerritos</t>
  </si>
  <si>
    <t>FIRST COMMERCIAL BANK (USA)</t>
  </si>
  <si>
    <t>Alhambra</t>
  </si>
  <si>
    <t>FIRST COMMUNITY BANK AND TRUST</t>
  </si>
  <si>
    <t>Beecher</t>
  </si>
  <si>
    <t>FIRST COMMUNITY BANK OF HILLSBORO</t>
  </si>
  <si>
    <t>FIRST COMMUNITY BANK OF MOULTRIE COUNTY</t>
  </si>
  <si>
    <t>Sullivan</t>
  </si>
  <si>
    <t>FIRST COMMUNITY BANK, XENIA-FLORA</t>
  </si>
  <si>
    <t>Xenia</t>
  </si>
  <si>
    <t>FIRST CREDIT BANK</t>
  </si>
  <si>
    <t>FIRST EAGLE BANK</t>
  </si>
  <si>
    <t>FIRST FARMERS STATE BANK</t>
  </si>
  <si>
    <t>Minier</t>
  </si>
  <si>
    <t>FIRST FEDERAL SAVINGS AND LOAN ASSOCIATION OF CENTRAL ILLINOIS, S.B.</t>
  </si>
  <si>
    <t>Shelbyville</t>
  </si>
  <si>
    <t>FIRST FEDERAL SAVINGS AND LOAN ASSOCIATION OF SAN RAFAEL</t>
  </si>
  <si>
    <t>San Rafael</t>
  </si>
  <si>
    <t>FIRST FEDERAL SAVINGS BANK</t>
  </si>
  <si>
    <t>Ottawa</t>
  </si>
  <si>
    <t>FIRST FEDERAL SAVINGS BANK OF CHAMPAIGN URBANA</t>
  </si>
  <si>
    <t>FIRST FEDERAL SAVINGS OF MIDDLETOWN</t>
  </si>
  <si>
    <t>Middletown</t>
  </si>
  <si>
    <t>FIRST FOUNDATION BANK</t>
  </si>
  <si>
    <t>FIRST FSB OF MASCOUTAH</t>
  </si>
  <si>
    <t>FIRST GENERAL BANK</t>
  </si>
  <si>
    <t>Rowland Heights</t>
  </si>
  <si>
    <t>FIRST IPSWICH BANK</t>
  </si>
  <si>
    <t>Ipswich</t>
  </si>
  <si>
    <t>FIRST MID BANK &amp; TRUST, NATIONAL ASSOCIATION</t>
  </si>
  <si>
    <t>Mattoon</t>
  </si>
  <si>
    <t>FIRST MIDWEST BANK</t>
  </si>
  <si>
    <t>FIRST NATIONAL BANK &amp; TRUST COMPANY</t>
  </si>
  <si>
    <t>FIRST NATIONAL BANK IN OLNEY</t>
  </si>
  <si>
    <t>Olney</t>
  </si>
  <si>
    <t>FIRST NATIONAL BANK IN PINCKNEYVILLE</t>
  </si>
  <si>
    <t>Pinckneyville</t>
  </si>
  <si>
    <t>FIRST NATIONAL BANK IN TAYLORVILLE</t>
  </si>
  <si>
    <t>Taylorville</t>
  </si>
  <si>
    <t>FIRST NATIONAL BANK OF BROOKFIELD</t>
  </si>
  <si>
    <t>Brookfield</t>
  </si>
  <si>
    <t>FIRST NATIONAL BANK OF NOKOMIS</t>
  </si>
  <si>
    <t>Nokomis</t>
  </si>
  <si>
    <t>FIRST NATIONAL BANK OF PANA</t>
  </si>
  <si>
    <t>Pana</t>
  </si>
  <si>
    <t>FIRST NATIONAL BANK OF SCOTIA</t>
  </si>
  <si>
    <t>Scotia</t>
  </si>
  <si>
    <t>FIRST NATIONAL BANK OF STEELEVILLE</t>
  </si>
  <si>
    <t>Steeleville</t>
  </si>
  <si>
    <t>FIRST NATIONAL BANK OF WATERLOO</t>
  </si>
  <si>
    <t>Waterloo</t>
  </si>
  <si>
    <t>FIRST NATIONS BANK</t>
  </si>
  <si>
    <t>FIRST NEIGHBOR BANK, NATIONAL ASSOCIATION</t>
  </si>
  <si>
    <t>Toledo</t>
  </si>
  <si>
    <t>FIRST NORTHERN BANK OF DIXON</t>
  </si>
  <si>
    <t>Dixon</t>
  </si>
  <si>
    <t>FIRST REPUBLIC BANK</t>
  </si>
  <si>
    <t>FIRST ROBINSON SAVINGS BANK, NATIONAL ASSOCIATION</t>
  </si>
  <si>
    <t>Robinson</t>
  </si>
  <si>
    <t>FIRST SAVANNA SAVINGS BANK</t>
  </si>
  <si>
    <t>Savanna</t>
  </si>
  <si>
    <t>FIRST SAVINGS BANK</t>
  </si>
  <si>
    <t>Danville</t>
  </si>
  <si>
    <t>FIRST SAVINGS BANK OF HEGEWISCH</t>
  </si>
  <si>
    <t>FIRST SECURE BANK AND TRUST CO.</t>
  </si>
  <si>
    <t>Palos Hills</t>
  </si>
  <si>
    <t>FIRST SECURE COMMUNITY BANK</t>
  </si>
  <si>
    <t>Sugar Grove</t>
  </si>
  <si>
    <t>FIRST SECURITY BANK</t>
  </si>
  <si>
    <t>Mackinaw</t>
  </si>
  <si>
    <t>FIRST SECURITY TRUST AND SAVINGS BANK</t>
  </si>
  <si>
    <t>Elmwood Park</t>
  </si>
  <si>
    <t>FIRST SOUTHERN BANK</t>
  </si>
  <si>
    <t>FIRST STATE BANK</t>
  </si>
  <si>
    <t>Mendota</t>
  </si>
  <si>
    <t>FIRST STATE BANK OF BEECHER CITY</t>
  </si>
  <si>
    <t>Beecher City</t>
  </si>
  <si>
    <t>FIRST STATE BANK OF BLOOMINGTON</t>
  </si>
  <si>
    <t>FIRST STATE BANK OF CAMPBELL HILL</t>
  </si>
  <si>
    <t>Campbell Hill</t>
  </si>
  <si>
    <t>FIRST STATE BANK OF FORREST</t>
  </si>
  <si>
    <t>Forrest</t>
  </si>
  <si>
    <t>FIRST STATE BANK OF OLMSTED</t>
  </si>
  <si>
    <t>Olmsted</t>
  </si>
  <si>
    <t>FIRST STATE BANK OF ST. PETER</t>
  </si>
  <si>
    <t>Saint Peter</t>
  </si>
  <si>
    <t>FIRST STATE BANK OF VAN ORIN</t>
  </si>
  <si>
    <t>Van Orin</t>
  </si>
  <si>
    <t>FIRST STATE BANK SHANNON-POLO</t>
  </si>
  <si>
    <t>Shannon</t>
  </si>
  <si>
    <t>FIRST TRUST &amp; SAVINGS BANK OF ALBANY, ILLINOIS</t>
  </si>
  <si>
    <t>Albany</t>
  </si>
  <si>
    <t>FIRST TRUST BANK OF ILLINOIS</t>
  </si>
  <si>
    <t>Kankakee</t>
  </si>
  <si>
    <t>FIVE STAR BANK</t>
  </si>
  <si>
    <t>Warsaw</t>
  </si>
  <si>
    <t>Roseville</t>
  </si>
  <si>
    <t>FLANAGAN STATE BANK</t>
  </si>
  <si>
    <t>Flanagan</t>
  </si>
  <si>
    <t>FLORA BANK &amp; TRUST</t>
  </si>
  <si>
    <t>Flora</t>
  </si>
  <si>
    <t>FLORENCE BANK</t>
  </si>
  <si>
    <t>Florence</t>
  </si>
  <si>
    <t>FLUSHING BANK</t>
  </si>
  <si>
    <t>Uniondale</t>
  </si>
  <si>
    <t>FNBC BANK &amp; TRUST</t>
  </si>
  <si>
    <t>La Grange</t>
  </si>
  <si>
    <t>FOREST PARK NATIONAL BANK AND TRUST COMPANY</t>
  </si>
  <si>
    <t>Forest Park</t>
  </si>
  <si>
    <t>FORRESTON STATE BANK</t>
  </si>
  <si>
    <t>Forreston</t>
  </si>
  <si>
    <t>FORTRESS BANK</t>
  </si>
  <si>
    <t>FOXBORO FEDERAL SAVINGS</t>
  </si>
  <si>
    <t>Foxboro</t>
  </si>
  <si>
    <t>FREDERICK COMMUNITY BANK, THE</t>
  </si>
  <si>
    <t>Paxton</t>
  </si>
  <si>
    <t>FREMONT BANK</t>
  </si>
  <si>
    <t>Fremont</t>
  </si>
  <si>
    <t>FRESNO FIRST BANK</t>
  </si>
  <si>
    <t>FRIENDLY HILLS BANK</t>
  </si>
  <si>
    <t>FULTON SAVINGS BANK</t>
  </si>
  <si>
    <t>Fulton</t>
  </si>
  <si>
    <t>GATEWAY BANK, F.S.B.</t>
  </si>
  <si>
    <t>GBC INTERNATIONAL BANK</t>
  </si>
  <si>
    <t>GEDDES FEDERAL SAVINGS AND LOAN ASSOCIATION</t>
  </si>
  <si>
    <t>Syracuse</t>
  </si>
  <si>
    <t>GENERATIONS BANK</t>
  </si>
  <si>
    <t>Seneca Falls</t>
  </si>
  <si>
    <t>GENERATIONS COMMERCIAL BANK</t>
  </si>
  <si>
    <t>GENESEE REGIONAL BANK</t>
  </si>
  <si>
    <t>Rochester</t>
  </si>
  <si>
    <t>GERMAN-AMERICAN STATE BANK</t>
  </si>
  <si>
    <t>German Valley</t>
  </si>
  <si>
    <t>GERMANTOWN TRUST &amp; SAVINGS BANK</t>
  </si>
  <si>
    <t>Breese</t>
  </si>
  <si>
    <t>GLASFORD STATE BANK</t>
  </si>
  <si>
    <t>Glasford</t>
  </si>
  <si>
    <t>GLENS FALLS NATIONAL BANK AND TRUST COMPANY</t>
  </si>
  <si>
    <t>Glens Falls</t>
  </si>
  <si>
    <t>GLENVIEW STATE BANK</t>
  </si>
  <si>
    <t>Glenview</t>
  </si>
  <si>
    <t>GLOBAL BANK</t>
  </si>
  <si>
    <t>GN BANK</t>
  </si>
  <si>
    <t>GOLD COAST BANK</t>
  </si>
  <si>
    <t>GOLDEN PACIFIC BANK, NATIONAL ASSOCIATION</t>
  </si>
  <si>
    <t>GOLDEN STATE BANK</t>
  </si>
  <si>
    <t>Glendale</t>
  </si>
  <si>
    <t>GOLDEN VALLEY BANK</t>
  </si>
  <si>
    <t>Chico</t>
  </si>
  <si>
    <t>GOLDMAN SACHS BANK USA</t>
  </si>
  <si>
    <t>GOODFIELD STATE BANK</t>
  </si>
  <si>
    <t>Goodfield</t>
  </si>
  <si>
    <t>GOUVERNEUR SAVINGS AND LOAN ASSOCIATION</t>
  </si>
  <si>
    <t>Gouverneur</t>
  </si>
  <si>
    <t>GRAND RIDGE NATIONAL BANK</t>
  </si>
  <si>
    <t>Grand Ridge</t>
  </si>
  <si>
    <t>GRAND RIVERS COMMUNITY BANK</t>
  </si>
  <si>
    <t>Grand Chain</t>
  </si>
  <si>
    <t>GRASSHOPPER BANK, N.A.</t>
  </si>
  <si>
    <t>GREAT RIVERS BANK</t>
  </si>
  <si>
    <t>Barry</t>
  </si>
  <si>
    <t>GREENE COUNTY COMMERCIAL BANK</t>
  </si>
  <si>
    <t>Catskill</t>
  </si>
  <si>
    <t>GREENFIELD CO-OPERATIVE BANK</t>
  </si>
  <si>
    <t>Greenfield</t>
  </si>
  <si>
    <t>GREENFIELD SAVINGS BANK</t>
  </si>
  <si>
    <t>GRUNDY BANK</t>
  </si>
  <si>
    <t>Morris</t>
  </si>
  <si>
    <t>GUARDIAN SAVINGS BANK</t>
  </si>
  <si>
    <t>Granite City</t>
  </si>
  <si>
    <t>H. F. GEHANT BANKING CO.</t>
  </si>
  <si>
    <t>West Brooklyn</t>
  </si>
  <si>
    <t>HABIB AMERICAN BANK</t>
  </si>
  <si>
    <t>HANMI BANK</t>
  </si>
  <si>
    <t>HANOVER COMMUNITY BANK</t>
  </si>
  <si>
    <t>Garden City Park</t>
  </si>
  <si>
    <t>HARBORONE BANK</t>
  </si>
  <si>
    <t>Brockton</t>
  </si>
  <si>
    <t>HARTSBURG STATE BANK</t>
  </si>
  <si>
    <t>Hartsburg</t>
  </si>
  <si>
    <t>HATCH BANK</t>
  </si>
  <si>
    <t>San Marcos</t>
  </si>
  <si>
    <t>HAVERHILL BANK</t>
  </si>
  <si>
    <t>Haverhill</t>
  </si>
  <si>
    <t>HEARTLAND BANK AND TRUST COMPANY</t>
  </si>
  <si>
    <t>HERITAGE BANK OF COMMERCE</t>
  </si>
  <si>
    <t>HERITAGE BANK OF SCHAUMBURG</t>
  </si>
  <si>
    <t>Schaumburg</t>
  </si>
  <si>
    <t>HERITAGE STATE BANK</t>
  </si>
  <si>
    <t>Lawrenceville</t>
  </si>
  <si>
    <t>HICKORY POINT BANK AND TRUST</t>
  </si>
  <si>
    <t>Decatur</t>
  </si>
  <si>
    <t>HINGHAM INSTITUTION FOR SAVINGS</t>
  </si>
  <si>
    <t>Hingham</t>
  </si>
  <si>
    <t>HINSDALE BANK &amp; TRUST COMPANY</t>
  </si>
  <si>
    <t>Hinsdale</t>
  </si>
  <si>
    <t>HOLCOMB BANK</t>
  </si>
  <si>
    <t>Rochelle</t>
  </si>
  <si>
    <t>HOME BANK OF CALIFORNIA</t>
  </si>
  <si>
    <t>HOME STATE BANK, NATIONAL ASSOCIATION</t>
  </si>
  <si>
    <t>HOMESTAR BANK AND FINANCIAL SERVICES</t>
  </si>
  <si>
    <t>Manteno</t>
  </si>
  <si>
    <t>HOMETOWN BANK</t>
  </si>
  <si>
    <t>Oxford</t>
  </si>
  <si>
    <t>HOMETOWN NATIONAL BANK</t>
  </si>
  <si>
    <t>HOYNE SAVINGS BANK</t>
  </si>
  <si>
    <t>ILLINI STATE BANK</t>
  </si>
  <si>
    <t>Oglesby</t>
  </si>
  <si>
    <t>ILLINOIS BANK &amp; TRUST</t>
  </si>
  <si>
    <t>Rockford</t>
  </si>
  <si>
    <t>ILLINOIS NATIONAL BANK</t>
  </si>
  <si>
    <t>INDUSTRIAL AND COMMERCIAL BANK OF CHINA USA, NATIONAL ASSOCIATION</t>
  </si>
  <si>
    <t>INFINITY BANK</t>
  </si>
  <si>
    <t>INLAND BANK &amp; TRUST</t>
  </si>
  <si>
    <t>INSTITUTION FOR SAVINGS IN NEWBURYPORT AND ITS VICINITY</t>
  </si>
  <si>
    <t>Newburyport</t>
  </si>
  <si>
    <t>INTERAUDI BANK</t>
  </si>
  <si>
    <t>INTERNATIONAL BANK OF CHICAGO</t>
  </si>
  <si>
    <t>INTERNATIONAL CITY BANK FEDERAL SAVINGS BANK</t>
  </si>
  <si>
    <t>IPAVA STATE BANK</t>
  </si>
  <si>
    <t>Ipava</t>
  </si>
  <si>
    <t>IROQUOIS FARMERS STATE BANK</t>
  </si>
  <si>
    <t>Iroquois</t>
  </si>
  <si>
    <t>IROQUOIS FEDERAL SAVINGS AND LOAN ASSOCIATION</t>
  </si>
  <si>
    <t>Watseka</t>
  </si>
  <si>
    <t>ISRAEL DISCOUNT BANK OF NEW YORK</t>
  </si>
  <si>
    <t>ITASCA BANK &amp; TRUST CO.</t>
  </si>
  <si>
    <t>Itasca</t>
  </si>
  <si>
    <t>JEFF BANK</t>
  </si>
  <si>
    <t>Jeffersonville</t>
  </si>
  <si>
    <t>JERSEY STATE BANK</t>
  </si>
  <si>
    <t>Jerseyville</t>
  </si>
  <si>
    <t>KINMUNDY BANK</t>
  </si>
  <si>
    <t>Kinmundy</t>
  </si>
  <si>
    <t>LA SALLE STATE BANK</t>
  </si>
  <si>
    <t>LAKE FOREST BANK &amp; TRUST COMPANY, NATIONAL ASSOCIATION</t>
  </si>
  <si>
    <t>Lake Forest</t>
  </si>
  <si>
    <t>LAKE SHORE SAVINGS BANK</t>
  </si>
  <si>
    <t>Dunkirk</t>
  </si>
  <si>
    <t>LAKESIDE BANK</t>
  </si>
  <si>
    <t>LEADER BANK, NATIONAL ASSOCIATION</t>
  </si>
  <si>
    <t>Arlington</t>
  </si>
  <si>
    <t>LEE BANK</t>
  </si>
  <si>
    <t>Lee</t>
  </si>
  <si>
    <t>LEGENCE BANK</t>
  </si>
  <si>
    <t>Eldorado</t>
  </si>
  <si>
    <t>LENA STATE BANK</t>
  </si>
  <si>
    <t>LIBERTY BANK</t>
  </si>
  <si>
    <t>Liberty</t>
  </si>
  <si>
    <t>South San Franci</t>
  </si>
  <si>
    <t>LIBERTY BANK FOR SAVINGS</t>
  </si>
  <si>
    <t>LIBERTYVILLE BANK &amp; TRUST COMPANY</t>
  </si>
  <si>
    <t>Libertyville</t>
  </si>
  <si>
    <t>LIGHTHOUSE BANK</t>
  </si>
  <si>
    <t>Santa Cruz</t>
  </si>
  <si>
    <t>LINCOLNWAY COMMUNITY BANK</t>
  </si>
  <si>
    <t>New Lenox</t>
  </si>
  <si>
    <t>LISLE SAVINGS BANK</t>
  </si>
  <si>
    <t>Lisle</t>
  </si>
  <si>
    <t>LONGVIEW BANK</t>
  </si>
  <si>
    <t>Ogden</t>
  </si>
  <si>
    <t>LONGVIEW BANK AND TRUST</t>
  </si>
  <si>
    <t>Chrisman</t>
  </si>
  <si>
    <t>LOOMIS FEDERAL SAVINGS AND LOAN ASSOCIATION</t>
  </si>
  <si>
    <t>LUTHER BURBANK SAVINGS</t>
  </si>
  <si>
    <t>M.Y. SAFRA BANK, FSB</t>
  </si>
  <si>
    <t>MAHOPAC BANK</t>
  </si>
  <si>
    <t>Mahopac</t>
  </si>
  <si>
    <t>MAIN STREET BANK</t>
  </si>
  <si>
    <t>Marlborough</t>
  </si>
  <si>
    <t>MALAGA BANK F.S.B.</t>
  </si>
  <si>
    <t>Palos Verdes Pen</t>
  </si>
  <si>
    <t>MANSFIELD CO-OPERATIVE BANK</t>
  </si>
  <si>
    <t>Mansfield</t>
  </si>
  <si>
    <t>MANUFACTURERS AND TRADERS TRUST COMPANY</t>
  </si>
  <si>
    <t>Buffalo</t>
  </si>
  <si>
    <t>MANUFACTURERS BANK</t>
  </si>
  <si>
    <t>MAPLE CITY SAVINGS BANK, FSB</t>
  </si>
  <si>
    <t>Hornell</t>
  </si>
  <si>
    <t>MARBLEHEAD BANK</t>
  </si>
  <si>
    <t>Marblehead</t>
  </si>
  <si>
    <t>MARINE BANK</t>
  </si>
  <si>
    <t>MARQUETTE BANK</t>
  </si>
  <si>
    <t>MARSEILLES BANK</t>
  </si>
  <si>
    <t>Marseilles</t>
  </si>
  <si>
    <t>MARTHA'S VINEYARD SAVINGS BANK</t>
  </si>
  <si>
    <t>Edgartown</t>
  </si>
  <si>
    <t>MASON CITY NATIONAL BANK</t>
  </si>
  <si>
    <t>MASPETH FEDERAL SAVINGS AND LOAN ASSOCIATION</t>
  </si>
  <si>
    <t>Maspeth</t>
  </si>
  <si>
    <t>MASSENA SAVINGS AND LOAN</t>
  </si>
  <si>
    <t>Massena</t>
  </si>
  <si>
    <t>MCHENRY SAVINGS BANK</t>
  </si>
  <si>
    <t>Mchenry</t>
  </si>
  <si>
    <t>MECHANICS BANK</t>
  </si>
  <si>
    <t>Walnut Creek</t>
  </si>
  <si>
    <t>MECHANICS COOPERATIVE BANK</t>
  </si>
  <si>
    <t>MEGA BANK</t>
  </si>
  <si>
    <t>MELROSE BANK</t>
  </si>
  <si>
    <t>Melrose</t>
  </si>
  <si>
    <t>MERCHANTS AND MANUFACTURERS BANK</t>
  </si>
  <si>
    <t>Joliet</t>
  </si>
  <si>
    <t>MERCHANTS BANK OF COMMERCE</t>
  </si>
  <si>
    <t>Redding</t>
  </si>
  <si>
    <t>METHUEN CO-OPERATIVE BANK</t>
  </si>
  <si>
    <t>Methuen</t>
  </si>
  <si>
    <t>METROPOLITAN BANK</t>
  </si>
  <si>
    <t>METROPOLITAN BANK AND TRUST COMPANY</t>
  </si>
  <si>
    <t>METROPOLITAN CAPITAL BANK &amp; TRUST</t>
  </si>
  <si>
    <t>METROPOLITAN COMMERCIAL BANK</t>
  </si>
  <si>
    <t>MIDAMERICA NATIONAL BANK</t>
  </si>
  <si>
    <t>MIDDLESEX FEDERAL SAVINGS, F.A.</t>
  </si>
  <si>
    <t>MIDDLESEX SAVINGS BANK</t>
  </si>
  <si>
    <t>Natick</t>
  </si>
  <si>
    <t>MIDDLETOWN STATE BANK</t>
  </si>
  <si>
    <t>MIDLAND COMMUNITY BANK</t>
  </si>
  <si>
    <t>Kincaid</t>
  </si>
  <si>
    <t>MIDLAND FEDERAL SAVINGS AND LOAN ASSOCIATION</t>
  </si>
  <si>
    <t>Bridgeview</t>
  </si>
  <si>
    <t>MIDLAND STATES BANK</t>
  </si>
  <si>
    <t>MIDWEST BANK</t>
  </si>
  <si>
    <t>MIDWEST COMMUNITY BANK</t>
  </si>
  <si>
    <t>Freeport</t>
  </si>
  <si>
    <t>MILFORD BUILDING AND LOAN ASSOCIATION</t>
  </si>
  <si>
    <t>MILFORD FEDERAL BANK</t>
  </si>
  <si>
    <t>MILLBURY NATIONAL BANK</t>
  </si>
  <si>
    <t>Millbury</t>
  </si>
  <si>
    <t>MILLBURY SAVINGS BANK</t>
  </si>
  <si>
    <t>MILLEDGEVILLE STATE BANK</t>
  </si>
  <si>
    <t>Milledgeville</t>
  </si>
  <si>
    <t>MILLENNIUM BANK</t>
  </si>
  <si>
    <t>Des Plaines</t>
  </si>
  <si>
    <t>MISSION BANK</t>
  </si>
  <si>
    <t>Bakersfield</t>
  </si>
  <si>
    <t>MISSION NATIONAL BANK</t>
  </si>
  <si>
    <t>MISSION VALLEY BANK</t>
  </si>
  <si>
    <t>Sun Valley</t>
  </si>
  <si>
    <t>MIZRAHI TEFAHOT BANK, LTD.</t>
  </si>
  <si>
    <t>MIZUHO BANK (USA)</t>
  </si>
  <si>
    <t>MODERN BANK, NATIONAL ASSOCIATION</t>
  </si>
  <si>
    <t>MONSON SAVINGS BANK</t>
  </si>
  <si>
    <t>Monson</t>
  </si>
  <si>
    <t>MONTECITO BANK &amp; TRUST</t>
  </si>
  <si>
    <t>MONTEREY COUNTY BANK</t>
  </si>
  <si>
    <t>Monterey</t>
  </si>
  <si>
    <t>MORGAN STANLEY PRIVATE BANK, NATIONAL ASSOCIATION</t>
  </si>
  <si>
    <t>Purchase</t>
  </si>
  <si>
    <t>MORTON COMMUNITY BANK</t>
  </si>
  <si>
    <t>Morton</t>
  </si>
  <si>
    <t>MOUNTAINONE BANK</t>
  </si>
  <si>
    <t>North Adams</t>
  </si>
  <si>
    <t>MUFG UNION BANK, NATIONAL ASSOCIATION</t>
  </si>
  <si>
    <t>MUNICIPAL TRUST AND SAVINGS BANK</t>
  </si>
  <si>
    <t>Bourbonnais</t>
  </si>
  <si>
    <t>MURPHY BANK</t>
  </si>
  <si>
    <t>MURPHY-WALL STATE BANK AND TRUST COMPANY</t>
  </si>
  <si>
    <t>MUTUAL FEDERAL BANK</t>
  </si>
  <si>
    <t>MUTUALONE BANK</t>
  </si>
  <si>
    <t>Framingham</t>
  </si>
  <si>
    <t>NANO BANC</t>
  </si>
  <si>
    <t>NASHVILLE SAVINGS BANK</t>
  </si>
  <si>
    <t>Nashville</t>
  </si>
  <si>
    <t>NATIONAL BANK OF NEW YORK CITY</t>
  </si>
  <si>
    <t>NATIONAL BANK OF ST. ANNE</t>
  </si>
  <si>
    <t>St. Anne</t>
  </si>
  <si>
    <t>NBT BANK, NATIONAL ASSOCIATION</t>
  </si>
  <si>
    <t>Norwich</t>
  </si>
  <si>
    <t>NEEDHAM BANK</t>
  </si>
  <si>
    <t>Needham</t>
  </si>
  <si>
    <t>NEIGHBORHOOD NATIONAL BANK</t>
  </si>
  <si>
    <t>NEW OMNI BANK, NATIONAL ASSOCIATION</t>
  </si>
  <si>
    <t>NEW VALLEY BANK &amp; TRUST</t>
  </si>
  <si>
    <t>NEW YORK COMMUNITY BANK</t>
  </si>
  <si>
    <t>Westbury</t>
  </si>
  <si>
    <t>NEWBANK</t>
  </si>
  <si>
    <t>NEWBURYPORT FIVE CENTS SAVINGS BANK</t>
  </si>
  <si>
    <t>NOKOMIS SAVINGS BANK</t>
  </si>
  <si>
    <t>NORTH ADAMS STATE BANK</t>
  </si>
  <si>
    <t>Ursa</t>
  </si>
  <si>
    <t>NORTH BROOKFIELD SAVINGS BANK</t>
  </si>
  <si>
    <t>North Brookfield</t>
  </si>
  <si>
    <t>NORTH CAMBRIDGE CO-OPERATIVE BANK</t>
  </si>
  <si>
    <t>NORTH CENTRAL BANK</t>
  </si>
  <si>
    <t>Hennepin</t>
  </si>
  <si>
    <t>NORTH COUNTY SAVINGS BANK</t>
  </si>
  <si>
    <t>Red Bud</t>
  </si>
  <si>
    <t>NORTH EASTON SAVINGS BANK</t>
  </si>
  <si>
    <t>South Easton</t>
  </si>
  <si>
    <t>NORTH SHORE BANK, A CO-OPERATIVE BANK</t>
  </si>
  <si>
    <t>Peabody</t>
  </si>
  <si>
    <t>NORTH SHORE TRUST AND SAVINGS</t>
  </si>
  <si>
    <t>Waukegan</t>
  </si>
  <si>
    <t>NORTH SIDE FEDERAL SAVINGS AND LOAN ASSOCIATION OF CHICAGO</t>
  </si>
  <si>
    <t>NORTHBROOK BANK AND TRUST COMPANY</t>
  </si>
  <si>
    <t>NORTHEAST COMMUNITY BANK</t>
  </si>
  <si>
    <t>White Plains</t>
  </si>
  <si>
    <t>NORTHERN BANK &amp; TRUST COMPANY</t>
  </si>
  <si>
    <t>Woburn</t>
  </si>
  <si>
    <t>NORTHERN CALIFORNIA NATIONAL BANK</t>
  </si>
  <si>
    <t>NORTHFIELD BANK</t>
  </si>
  <si>
    <t>Staten Island</t>
  </si>
  <si>
    <t>NORTHMARK BANK</t>
  </si>
  <si>
    <t>North Andover</t>
  </si>
  <si>
    <t>NORTHSIDE COMMUNITY BANK</t>
  </si>
  <si>
    <t>Gurnee</t>
  </si>
  <si>
    <t>NORTHWEST BANK OF ROCKFORD</t>
  </si>
  <si>
    <t>NORWOOD CO-OPERATIVE BANK</t>
  </si>
  <si>
    <t>Norwood</t>
  </si>
  <si>
    <t>OAK VALLEY COMMUNITY BANK</t>
  </si>
  <si>
    <t>Oakdale</t>
  </si>
  <si>
    <t>OAKDALE STATE BANK</t>
  </si>
  <si>
    <t>OLD PLANK TRAIL COMMUNITY BANK, NATIONAL ASSOCIATION</t>
  </si>
  <si>
    <t>OLD SECOND NATIONAL BANK</t>
  </si>
  <si>
    <t>Aurora</t>
  </si>
  <si>
    <t>ONEUNITED BANK</t>
  </si>
  <si>
    <t>OPEN BANK</t>
  </si>
  <si>
    <t>OPUS BANK</t>
  </si>
  <si>
    <t>ORANGE BANK &amp;TRUST COMPANY</t>
  </si>
  <si>
    <t>OTTAWA SAVINGS BANK</t>
  </si>
  <si>
    <t>OXFORD BANK &amp; TRUST</t>
  </si>
  <si>
    <t>PACIFIC ALLIANCE BANK</t>
  </si>
  <si>
    <t>Rosemead</t>
  </si>
  <si>
    <t>PACIFIC CITY BANK</t>
  </si>
  <si>
    <t>PACIFIC COAST BANKERS' BANK</t>
  </si>
  <si>
    <t>PACIFIC ENTERPRISE BANK</t>
  </si>
  <si>
    <t>PACIFIC GLOBAL BANK</t>
  </si>
  <si>
    <t>PACIFIC MERCANTILE BANK</t>
  </si>
  <si>
    <t>Costa Mesa</t>
  </si>
  <si>
    <t>PACIFIC PREMIER BANK</t>
  </si>
  <si>
    <t>PACIFIC VALLEY BANK</t>
  </si>
  <si>
    <t>PACIFIC WESTERN BANK</t>
  </si>
  <si>
    <t>PAN AMERICAN BANK &amp; TRUST</t>
  </si>
  <si>
    <t>Melrose Park</t>
  </si>
  <si>
    <t>PARK RIDGE COMMUNITY BANK</t>
  </si>
  <si>
    <t>Park Ridge</t>
  </si>
  <si>
    <t>PARKWAY BANK AND TRUST COMPANY</t>
  </si>
  <si>
    <t>Harwood Heights</t>
  </si>
  <si>
    <t>PARTNERS BANK OF CALIFORNIA</t>
  </si>
  <si>
    <t>Mission Viejo</t>
  </si>
  <si>
    <t>PATHFINDER BANK</t>
  </si>
  <si>
    <t>PATRIOT COMMUNITY BANK</t>
  </si>
  <si>
    <t>PCSB BANK</t>
  </si>
  <si>
    <t>Brewster</t>
  </si>
  <si>
    <t>PENTUCKET BANK</t>
  </si>
  <si>
    <t>PEOPLEFIRST BANK</t>
  </si>
  <si>
    <t>PEOPLES BANK &amp; TRUST</t>
  </si>
  <si>
    <t>PEOPLES BANK OF KANKAKEE COUNTY</t>
  </si>
  <si>
    <t>PEOPLES BANK OF MACON</t>
  </si>
  <si>
    <t>Macon</t>
  </si>
  <si>
    <t>PEOPLES NATIONAL BANK , N.A.</t>
  </si>
  <si>
    <t>PEOPLES NATIONAL BANK OF KEWANEE</t>
  </si>
  <si>
    <t>Kewanee</t>
  </si>
  <si>
    <t>PEOPLES STATE BANK OF COLFAX</t>
  </si>
  <si>
    <t>Colfax</t>
  </si>
  <si>
    <t>PEOPLESBANK</t>
  </si>
  <si>
    <t>Holyoke</t>
  </si>
  <si>
    <t>PERU FEDERAL SAVINGS BANK</t>
  </si>
  <si>
    <t>Peru</t>
  </si>
  <si>
    <t>PETEFISH, SKILES &amp; CO.</t>
  </si>
  <si>
    <t>Virginia</t>
  </si>
  <si>
    <t>PHILO EXCHANGE BANK</t>
  </si>
  <si>
    <t>Philo</t>
  </si>
  <si>
    <t>PIERMONT BANK</t>
  </si>
  <si>
    <t>PINNACLE BANK</t>
  </si>
  <si>
    <t>Gilroy</t>
  </si>
  <si>
    <t>PIONEER BANK</t>
  </si>
  <si>
    <t>PIONEER COMMERCIAL BANK</t>
  </si>
  <si>
    <t>PIONEER STATE BANK</t>
  </si>
  <si>
    <t>Earlville</t>
  </si>
  <si>
    <t>PLUMAS BANK</t>
  </si>
  <si>
    <t>PONCE BANK</t>
  </si>
  <si>
    <t>Bronx</t>
  </si>
  <si>
    <t>POPPY BANK</t>
  </si>
  <si>
    <t>POPULAR BANK</t>
  </si>
  <si>
    <t>PRAIRIE COMMUNITY BANK</t>
  </si>
  <si>
    <t>Marengo</t>
  </si>
  <si>
    <t>PRAIRIE STATE BANK AND TRUST</t>
  </si>
  <si>
    <t>PREFERRED BANK</t>
  </si>
  <si>
    <t>PREMIER VALLEY BANK</t>
  </si>
  <si>
    <t>PRESIDIO BANK</t>
  </si>
  <si>
    <t>PRINCEVILLE STATE BANK</t>
  </si>
  <si>
    <t>Princeville</t>
  </si>
  <si>
    <t>PROSPECT BANK</t>
  </si>
  <si>
    <t>Paris</t>
  </si>
  <si>
    <t>PROVIDENCE BANK &amp; TRUST</t>
  </si>
  <si>
    <t>South Holland</t>
  </si>
  <si>
    <t>PROVIDENT SAVINGS BANK, F.S.B.</t>
  </si>
  <si>
    <t>Riverside</t>
  </si>
  <si>
    <t>PULASKI SAVINGS BANK</t>
  </si>
  <si>
    <t>QUONTIC BANK</t>
  </si>
  <si>
    <t>RADIUS BANK</t>
  </si>
  <si>
    <t>RARITAN STATE BANK</t>
  </si>
  <si>
    <t>Raritan</t>
  </si>
  <si>
    <t>READING CO-OPERATIVE BANK</t>
  </si>
  <si>
    <t>Reading</t>
  </si>
  <si>
    <t>REDWOOD CAPITAL BANK</t>
  </si>
  <si>
    <t>Eureka</t>
  </si>
  <si>
    <t>REPUBLIC BANK OF CHICAGO</t>
  </si>
  <si>
    <t>RESOURCE BANK, NATIONAL ASSOCIATION</t>
  </si>
  <si>
    <t>Dekalb</t>
  </si>
  <si>
    <t>REYNOLDS STATE BANK</t>
  </si>
  <si>
    <t>Reynolds</t>
  </si>
  <si>
    <t>RHINEBECK BANK</t>
  </si>
  <si>
    <t>Rhinebeck</t>
  </si>
  <si>
    <t>RIDGEWOOD SAVINGS BANK</t>
  </si>
  <si>
    <t>Ridgewood</t>
  </si>
  <si>
    <t>RIVER CITY BANK</t>
  </si>
  <si>
    <t>RIVER VALLEY COMMUNITY BANK</t>
  </si>
  <si>
    <t>ROCHESTER STATE BANK</t>
  </si>
  <si>
    <t>ROCKFORD BANK AND TRUST COMPANY</t>
  </si>
  <si>
    <t>ROCKLAND TRUST COMPANY</t>
  </si>
  <si>
    <t>Rockland</t>
  </si>
  <si>
    <t>ROLLSTONE BANK &amp; TRUST</t>
  </si>
  <si>
    <t>RONDOUT SAVINGS BANK</t>
  </si>
  <si>
    <t>Kingston</t>
  </si>
  <si>
    <t>ROYAL BUSINESS BANK</t>
  </si>
  <si>
    <t>ROYAL SAVINGS BANK</t>
  </si>
  <si>
    <t>RUSHVILLE STATE BANK</t>
  </si>
  <si>
    <t>Rushville</t>
  </si>
  <si>
    <t>SAFRA NATIONAL BANK OF NEW YORK</t>
  </si>
  <si>
    <t>SAINTE MARIE STATE BANK</t>
  </si>
  <si>
    <t>Sainte Marie</t>
  </si>
  <si>
    <t>SALEM FIVE CENTS SAVINGS BANK</t>
  </si>
  <si>
    <t>SANTA CRUZ COUNTY BANK</t>
  </si>
  <si>
    <t>SARATOGA NATIONAL BANK AND TRUST</t>
  </si>
  <si>
    <t>Saratoga Springs</t>
  </si>
  <si>
    <t>SAUK VALLEY BANK &amp; TRUST COMPANY</t>
  </si>
  <si>
    <t>Sterling</t>
  </si>
  <si>
    <t>SAVANNA-THOMSON STATE BANK</t>
  </si>
  <si>
    <t>Thomson</t>
  </si>
  <si>
    <t>SAVANNAH BANK NATIONAL ASSOCIATION</t>
  </si>
  <si>
    <t>Savannah</t>
  </si>
  <si>
    <t>SAVERS CO-OPERATIVE BANK</t>
  </si>
  <si>
    <t>Southbridge</t>
  </si>
  <si>
    <t>SAVINGS BANK OF MENDOCINO COUNTY</t>
  </si>
  <si>
    <t>Ukiah</t>
  </si>
  <si>
    <t>SAVOY BANK</t>
  </si>
  <si>
    <t>SAWYER SAVINGS BANK</t>
  </si>
  <si>
    <t>Saugerties</t>
  </si>
  <si>
    <t>SCHAUMBURG BANK &amp; TRUST COMPANY, NATIONAL ASSOCIATION</t>
  </si>
  <si>
    <t>SCOTT STATE BANK</t>
  </si>
  <si>
    <t>Bethany</t>
  </si>
  <si>
    <t>SEACOAST COMMERCE BANK</t>
  </si>
  <si>
    <t>SEAMEN'S BANK</t>
  </si>
  <si>
    <t>Provincetown</t>
  </si>
  <si>
    <t>SECURITY BANK, S.B.</t>
  </si>
  <si>
    <t>SECURITY NATIONAL BANK</t>
  </si>
  <si>
    <t>Witt</t>
  </si>
  <si>
    <t>SECURITY SAVINGS BANK</t>
  </si>
  <si>
    <t>SENB BANK</t>
  </si>
  <si>
    <t>Moline</t>
  </si>
  <si>
    <t>SENECA SAVINGS</t>
  </si>
  <si>
    <t>Baldwinsville</t>
  </si>
  <si>
    <t>SHELBY COUNTY STATE BANK</t>
  </si>
  <si>
    <t>SHINHAN BANK AMERICA</t>
  </si>
  <si>
    <t>SIGNATURE BANK</t>
  </si>
  <si>
    <t>Rosemont</t>
  </si>
  <si>
    <t>SILICON VALLEY BANK</t>
  </si>
  <si>
    <t>Santa Clara</t>
  </si>
  <si>
    <t>SILVERGATE BANK</t>
  </si>
  <si>
    <t>SOLVAY BANK</t>
  </si>
  <si>
    <t>Solvay</t>
  </si>
  <si>
    <t>SOUTH CENTRAL BANK, NATIONAL ASSOCIATION</t>
  </si>
  <si>
    <t>SOUTH PORTE BANK</t>
  </si>
  <si>
    <t>SOUTH SHORE BANK</t>
  </si>
  <si>
    <t>South Weymouth</t>
  </si>
  <si>
    <t>SOUTHERN ILLINOIS BANK</t>
  </si>
  <si>
    <t>Johnston City</t>
  </si>
  <si>
    <t>SOUTHERNTRUST BANK</t>
  </si>
  <si>
    <t>Goreville</t>
  </si>
  <si>
    <t>SPRING BANK</t>
  </si>
  <si>
    <t>SPRING VALLEY CITY BANK</t>
  </si>
  <si>
    <t>Spring Valley</t>
  </si>
  <si>
    <t>ST. CHARLES BANK &amp; TRUST COMPANY</t>
  </si>
  <si>
    <t>Saint Charles</t>
  </si>
  <si>
    <t>STATE BANK</t>
  </si>
  <si>
    <t>Wonder Lake</t>
  </si>
  <si>
    <t>STATE BANK OF BEMENT</t>
  </si>
  <si>
    <t>Bement</t>
  </si>
  <si>
    <t>STATE BANK OF CERRO GORDO</t>
  </si>
  <si>
    <t>Cerro Gordo</t>
  </si>
  <si>
    <t>STATE BANK OF CHERRY</t>
  </si>
  <si>
    <t>Cherry</t>
  </si>
  <si>
    <t>STATE BANK OF DAVIS</t>
  </si>
  <si>
    <t>Davis</t>
  </si>
  <si>
    <t>STATE BANK OF GRAYMONT</t>
  </si>
  <si>
    <t>Graymont</t>
  </si>
  <si>
    <t>STATE BANK OF HERSCHER</t>
  </si>
  <si>
    <t>Herscher</t>
  </si>
  <si>
    <t>STATE BANK OF INDIA</t>
  </si>
  <si>
    <t>STATE BANK OF INDIA (CALIFORNIA)</t>
  </si>
  <si>
    <t>STATE BANK OF INDUSTRY</t>
  </si>
  <si>
    <t>Industry</t>
  </si>
  <si>
    <t>STATE BANK OF LINCOLN</t>
  </si>
  <si>
    <t>Lincoln</t>
  </si>
  <si>
    <t>STATE BANK OF NAUVOO</t>
  </si>
  <si>
    <t>Nauvoo</t>
  </si>
  <si>
    <t>STATE BANK OF SAUNEMIN</t>
  </si>
  <si>
    <t>Saunemin</t>
  </si>
  <si>
    <t>STATE BANK OF ST. JACOB</t>
  </si>
  <si>
    <t>Saint Jacob</t>
  </si>
  <si>
    <t>STATE BANK OF THE LAKES</t>
  </si>
  <si>
    <t>Antioch</t>
  </si>
  <si>
    <t>STATE BANK OF TOULON</t>
  </si>
  <si>
    <t>Toulon</t>
  </si>
  <si>
    <t>STATE BANK OF WATERLOO</t>
  </si>
  <si>
    <t>STATE BANK OF WHITTINGTON</t>
  </si>
  <si>
    <t>Benton</t>
  </si>
  <si>
    <t>STATE FARM BANK, F.S.B.</t>
  </si>
  <si>
    <t>STATE STREET BANK AND TRUST COMPANY</t>
  </si>
  <si>
    <t>STC CAPITAL BANK</t>
  </si>
  <si>
    <t>STERLING FEDERAL BANK, F.S.B.</t>
  </si>
  <si>
    <t>STERLING NATIONAL BANK</t>
  </si>
  <si>
    <t>Montebello</t>
  </si>
  <si>
    <t>STEUBEN TRUST COMPANY</t>
  </si>
  <si>
    <t>STILLMAN BANCCORP N.A.</t>
  </si>
  <si>
    <t>Stillman Valley</t>
  </si>
  <si>
    <t>STONEHAMBANK, A CO-OPERATIVE BANK</t>
  </si>
  <si>
    <t>Stoneham</t>
  </si>
  <si>
    <t>STOUGHTON CO-OPERATIVE BANK</t>
  </si>
  <si>
    <t>Stoughton</t>
  </si>
  <si>
    <t>STREATOR HOME SAVINGS BANK</t>
  </si>
  <si>
    <t>Streator</t>
  </si>
  <si>
    <t>SUMMIT BANK</t>
  </si>
  <si>
    <t>SUMMIT STATE BANK</t>
  </si>
  <si>
    <t>SUNCREST BANK</t>
  </si>
  <si>
    <t>Visalia</t>
  </si>
  <si>
    <t>SUNNYSIDE FEDERAL SAVINGS AND LOAN ASSOCIATION OF IRVINGTON</t>
  </si>
  <si>
    <t>SUNWEST BANK</t>
  </si>
  <si>
    <t>TABLE GROVE STATE BANK</t>
  </si>
  <si>
    <t>Table Grove</t>
  </si>
  <si>
    <t>TEMPO BANK, A FEDERAL SAVINGS BANK</t>
  </si>
  <si>
    <t>TEUTOPOLIS STATE BANK</t>
  </si>
  <si>
    <t>Teutopolis</t>
  </si>
  <si>
    <t>TEXICO STATE BANK</t>
  </si>
  <si>
    <t>Texico</t>
  </si>
  <si>
    <t>THE ADIRONDACK TRUST COMPANY</t>
  </si>
  <si>
    <t>THE ANNA -JONESBORO NATIONAL BANK</t>
  </si>
  <si>
    <t>THE ATLANTA NATIONAL BANK</t>
  </si>
  <si>
    <t>Atlanta</t>
  </si>
  <si>
    <t>THE BANK OF BOURBONNAIS</t>
  </si>
  <si>
    <t>THE BANK OF CANTON</t>
  </si>
  <si>
    <t>THE BANK OF CARBONDALE</t>
  </si>
  <si>
    <t>Carbondale</t>
  </si>
  <si>
    <t>THE BANK OF CASTILE</t>
  </si>
  <si>
    <t>Castile</t>
  </si>
  <si>
    <t>THE BANK OF EAST ASIA LTD.</t>
  </si>
  <si>
    <t>THE BANK OF EDWARDSVILLE</t>
  </si>
  <si>
    <t>Edwardsville</t>
  </si>
  <si>
    <t>THE BANK OF GREENE COUNTY</t>
  </si>
  <si>
    <t>THE BANK OF HEMET</t>
  </si>
  <si>
    <t>THE BANK OF HERRIN</t>
  </si>
  <si>
    <t>Herrin</t>
  </si>
  <si>
    <t>THE BANK OF NEW YORK MELLON</t>
  </si>
  <si>
    <t>THE BANK OF NEW YORK MELLON TRUST COMPANY, NATIONAL ASSOCIATION</t>
  </si>
  <si>
    <t>THE BERKSHIRE BANK</t>
  </si>
  <si>
    <t>THE BRADFORD NATIONAL BANK OF GREENVILLE</t>
  </si>
  <si>
    <t>Greenville</t>
  </si>
  <si>
    <t>THE CANANDAIGUA NATIONAL BANK AND TRUST COMPANY</t>
  </si>
  <si>
    <t>Canandaigua</t>
  </si>
  <si>
    <t>THE CAPE COD FIVE CENTS SAVINGS BANK</t>
  </si>
  <si>
    <t>Harwich Port</t>
  </si>
  <si>
    <t>THE CITIZENS NATIONAL BANK OF HAMMOND</t>
  </si>
  <si>
    <t>Hammond</t>
  </si>
  <si>
    <t>THE CITY NATIONAL BANK OF METROPOLIS</t>
  </si>
  <si>
    <t>Metropolis</t>
  </si>
  <si>
    <t>THE CLAY CITY BANKING CO.</t>
  </si>
  <si>
    <t>Clay City</t>
  </si>
  <si>
    <t>THE COOPERATIVE BANK</t>
  </si>
  <si>
    <t>Roslindale</t>
  </si>
  <si>
    <t>THE DELAWARE NATIONAL BANK OF DELHI</t>
  </si>
  <si>
    <t>Delhi</t>
  </si>
  <si>
    <t>THE FAIRFIELD NATIONAL BANK</t>
  </si>
  <si>
    <t>Fairfield</t>
  </si>
  <si>
    <t>THE FARMERS AND MERCHANTS NATIONAL BANK OF NASHVILLE</t>
  </si>
  <si>
    <t>THE FARMERS BANK OF MT. PULASKI</t>
  </si>
  <si>
    <t>Mount Pulaski</t>
  </si>
  <si>
    <t>THE FARMERS NATIONAL BANK</t>
  </si>
  <si>
    <t>Prophetstown</t>
  </si>
  <si>
    <t>THE FARMERS STATE BANK AND TRUST COMPANY</t>
  </si>
  <si>
    <t>Jacksonville</t>
  </si>
  <si>
    <t>THE FEDERAL SAVINGS BANK</t>
  </si>
  <si>
    <t>THE FIRST BANK AND TRUST COMPANY OF MURPHYSBORO</t>
  </si>
  <si>
    <t>Murphysboro</t>
  </si>
  <si>
    <t>THE FIRST NATIONAL BANK</t>
  </si>
  <si>
    <t>THE FIRST NATIONAL BANK IN AMBOY</t>
  </si>
  <si>
    <t>Amboy</t>
  </si>
  <si>
    <t>THE FIRST NATIONAL BANK IN CARLYLE</t>
  </si>
  <si>
    <t>Carlyle</t>
  </si>
  <si>
    <t>THE FIRST NATIONAL BANK IN STAUNTON</t>
  </si>
  <si>
    <t>Staunton</t>
  </si>
  <si>
    <t>THE FIRST NATIONAL BANK IN TREMONT</t>
  </si>
  <si>
    <t>Tremont</t>
  </si>
  <si>
    <t>THE FIRST NATIONAL BANK OF ALLENDALE</t>
  </si>
  <si>
    <t>Allendale</t>
  </si>
  <si>
    <t>THE FIRST NATIONAL BANK OF ARENZVILLE</t>
  </si>
  <si>
    <t>Arenzville</t>
  </si>
  <si>
    <t>THE FIRST NATIONAL BANK OF ASSUMPTION</t>
  </si>
  <si>
    <t>Assumption</t>
  </si>
  <si>
    <t>THE FIRST NATIONAL BANK OF AVA</t>
  </si>
  <si>
    <t>Ava</t>
  </si>
  <si>
    <t>THE FIRST NATIONAL BANK OF BEARDSTOWN</t>
  </si>
  <si>
    <t>THE FIRST NATIONAL BANK OF BROWNSTOWN</t>
  </si>
  <si>
    <t>Brownstown</t>
  </si>
  <si>
    <t>THE FIRST NATIONAL BANK OF CARMI</t>
  </si>
  <si>
    <t>Carmi</t>
  </si>
  <si>
    <t>THE FIRST NATIONAL BANK OF DRYDEN</t>
  </si>
  <si>
    <t>Dryden</t>
  </si>
  <si>
    <t>THE FIRST NATIONAL BANK OF GROTON</t>
  </si>
  <si>
    <t>Groton</t>
  </si>
  <si>
    <t>THE FIRST NATIONAL BANK OF LACON</t>
  </si>
  <si>
    <t>Lacon</t>
  </si>
  <si>
    <t>THE FIRST NATIONAL BANK OF LITCHFIELD</t>
  </si>
  <si>
    <t>THE FIRST NATIONAL BANK OF LONG ISLAND</t>
  </si>
  <si>
    <t>Glen Head</t>
  </si>
  <si>
    <t>THE FIRST NATIONAL BANK OF OKAWVILLE</t>
  </si>
  <si>
    <t>Okawville</t>
  </si>
  <si>
    <t>THE FIRST NATIONAL BANK OF OTTAWA</t>
  </si>
  <si>
    <t>THE FIRST NATIONAL BANK OF RAYMOND</t>
  </si>
  <si>
    <t>Raymond</t>
  </si>
  <si>
    <t>THE FIRST NATIONAL BANK OF SANDOVAL</t>
  </si>
  <si>
    <t>Sandoval</t>
  </si>
  <si>
    <t>THE FIRST NATIONAL BANK OF SPARTA</t>
  </si>
  <si>
    <t>Sparta</t>
  </si>
  <si>
    <t>THE FIRST STATE BANK OF DONGOLA</t>
  </si>
  <si>
    <t>Dongola</t>
  </si>
  <si>
    <t>THE FIRST TRUST AND SAVINGS BANK OF WATSEKA, ILLINOIS</t>
  </si>
  <si>
    <t>THE FISHER NATIONAL BANK</t>
  </si>
  <si>
    <t>Fisher</t>
  </si>
  <si>
    <t>THE FNB COMMUNITY BANK</t>
  </si>
  <si>
    <t>Vandalia</t>
  </si>
  <si>
    <t>THE GERBER STATE BANK</t>
  </si>
  <si>
    <t>Argenta</t>
  </si>
  <si>
    <t>THE GIFFORD STATE BANK</t>
  </si>
  <si>
    <t>Gifford</t>
  </si>
  <si>
    <t>THE GRANVILLE NATIONAL BANK</t>
  </si>
  <si>
    <t>Granville</t>
  </si>
  <si>
    <t>THE HARVARD STATE BANK</t>
  </si>
  <si>
    <t>Harvard</t>
  </si>
  <si>
    <t>THE HAVANA NATIONAL BANK</t>
  </si>
  <si>
    <t>Havana</t>
  </si>
  <si>
    <t>THE HILL-DODGE BANKING COMPANY</t>
  </si>
  <si>
    <t>THE IUKA STATE BANK</t>
  </si>
  <si>
    <t>THE LEADERS BANK</t>
  </si>
  <si>
    <t>THE LEMONT NATIONAL BANK</t>
  </si>
  <si>
    <t>Lemont</t>
  </si>
  <si>
    <t>THE LITCHFIELD NATIONAL BANK</t>
  </si>
  <si>
    <t>THE LOWELL FIVE CENT SAVINGS BANK</t>
  </si>
  <si>
    <t>THE LYONS NATIONAL BANK</t>
  </si>
  <si>
    <t>Lyons</t>
  </si>
  <si>
    <t>THE NATIONAL BANK OF COXSACKIE</t>
  </si>
  <si>
    <t>Coxsackie</t>
  </si>
  <si>
    <t>THE NATIONAL GRAND BANK OF MARBLEHEAD</t>
  </si>
  <si>
    <t>THE NORTH COUNTRY SAVINGS BANK</t>
  </si>
  <si>
    <t>THE NORTHERN TRUST COMPANY</t>
  </si>
  <si>
    <t>THE OLD EXCHANGE NATIONAL BANK OF OKAWVILLE</t>
  </si>
  <si>
    <t>THE PEOPLES STATE BANK OF NEWTON, ILLINOIS</t>
  </si>
  <si>
    <t>Newton</t>
  </si>
  <si>
    <t>THE PITTSFIELD CO-OPERATIVE BANK</t>
  </si>
  <si>
    <t>THE POPLAR GROVE STATE BANK</t>
  </si>
  <si>
    <t>Poplar Grove</t>
  </si>
  <si>
    <t>THE PROVIDENT BANK</t>
  </si>
  <si>
    <t>Amesbury</t>
  </si>
  <si>
    <t>THE PUTNAM COUNTY NATIONAL BANK OF CARMEL</t>
  </si>
  <si>
    <t>Carmel</t>
  </si>
  <si>
    <t>THE SAVINGS BANK</t>
  </si>
  <si>
    <t>Wakefield</t>
  </si>
  <si>
    <t>THE STATE BANK OF GENEVA</t>
  </si>
  <si>
    <t>Geneva</t>
  </si>
  <si>
    <t>THE STATE BANK OF PEARL CITY</t>
  </si>
  <si>
    <t>Pearl City</t>
  </si>
  <si>
    <t>THE UPSTATE NATIONAL BANK</t>
  </si>
  <si>
    <t>Ogdensburg</t>
  </si>
  <si>
    <t>THE VILLAGE BANK</t>
  </si>
  <si>
    <t>Saint Libory</t>
  </si>
  <si>
    <t>Auburndale</t>
  </si>
  <si>
    <t>THE WESTCHESTER BANK</t>
  </si>
  <si>
    <t>Yonkers</t>
  </si>
  <si>
    <t>TIOGA STATE BANK</t>
  </si>
  <si>
    <t>TNB BANK</t>
  </si>
  <si>
    <t>Tuscola</t>
  </si>
  <si>
    <t>TOMPKINS STATE BANK</t>
  </si>
  <si>
    <t>Avon</t>
  </si>
  <si>
    <t>TOMPKINS TRUST COMPANY</t>
  </si>
  <si>
    <t>Ithaca</t>
  </si>
  <si>
    <t>TOWN &amp; COUNTRY BANK MIDWEST</t>
  </si>
  <si>
    <t>TOWN AND COUNTRY BANK</t>
  </si>
  <si>
    <t>TOWN CENTER BANK</t>
  </si>
  <si>
    <t>Frankfort</t>
  </si>
  <si>
    <t>TRI COUNTIES BANK</t>
  </si>
  <si>
    <t>TRUSTBANK</t>
  </si>
  <si>
    <t>TRUSTCO BANK</t>
  </si>
  <si>
    <t>Glenville</t>
  </si>
  <si>
    <t>TUSTIN COMMUNITY BANK</t>
  </si>
  <si>
    <t>Tustin</t>
  </si>
  <si>
    <t>ULSTER SAVINGS BANK</t>
  </si>
  <si>
    <t>UNIBANK FOR SAVINGS</t>
  </si>
  <si>
    <t>Whitinsville</t>
  </si>
  <si>
    <t>UNION FEDERAL SAVINGS AND LOAN ASSOCIATION</t>
  </si>
  <si>
    <t>UNION NATIONAL BANK AND TRUST COMPANY OF ELGIN</t>
  </si>
  <si>
    <t>Elgin</t>
  </si>
  <si>
    <t>UNION SAVINGS BANK</t>
  </si>
  <si>
    <t>UNITED BUSINESS BANK</t>
  </si>
  <si>
    <t>UNITED COMMUNITY BANK</t>
  </si>
  <si>
    <t>Chatham</t>
  </si>
  <si>
    <t>UNITED ORIENT BANK</t>
  </si>
  <si>
    <t>UNITED PACIFIC BANK</t>
  </si>
  <si>
    <t>UNITED SECURITY BANK</t>
  </si>
  <si>
    <t>UNITED TRUST BANK</t>
  </si>
  <si>
    <t>Palos Heights</t>
  </si>
  <si>
    <t>UNIVERSAL BANK</t>
  </si>
  <si>
    <t>West Covina</t>
  </si>
  <si>
    <t>US METRO BANK</t>
  </si>
  <si>
    <t>Garden Grove</t>
  </si>
  <si>
    <t>USNY BANK</t>
  </si>
  <si>
    <t>VALLEY REPUBLIC BANK</t>
  </si>
  <si>
    <t>VERMILION VALLEY BANK</t>
  </si>
  <si>
    <t>Piper City</t>
  </si>
  <si>
    <t>VERMONT STATE BANK</t>
  </si>
  <si>
    <t>Vermont</t>
  </si>
  <si>
    <t>VICTORY STATE BANK</t>
  </si>
  <si>
    <t>VILLA GROVE STATE BANK</t>
  </si>
  <si>
    <t>Villa Grove</t>
  </si>
  <si>
    <t>VILLAGE BANK AND TRUST</t>
  </si>
  <si>
    <t>WABASH SAVINGS BANK</t>
  </si>
  <si>
    <t>Mount Carmel</t>
  </si>
  <si>
    <t>WAKEFIELD CO-OPERATIVE BANK</t>
  </si>
  <si>
    <t>WALDEN SAVINGS BANK</t>
  </si>
  <si>
    <t>WALLKILL VALLEY FEDERAL SAVINGS AND LOAN ASSOCIATION</t>
  </si>
  <si>
    <t>Wallkill</t>
  </si>
  <si>
    <t>WALPOLE CO-OPERATIVE BANK</t>
  </si>
  <si>
    <t>Walpole</t>
  </si>
  <si>
    <t>WARREN-BOYNTON STATE BANK</t>
  </si>
  <si>
    <t>New Berlin</t>
  </si>
  <si>
    <t>WASHINGTON SAVINGS BANK</t>
  </si>
  <si>
    <t>WASHINGTON STATE BANK</t>
  </si>
  <si>
    <t>Washington</t>
  </si>
  <si>
    <t>WATERMAN STATE BANK</t>
  </si>
  <si>
    <t>Waterman</t>
  </si>
  <si>
    <t>WATERTOWN SAVINGS BANK</t>
  </si>
  <si>
    <t>Watertown</t>
  </si>
  <si>
    <t>WEBSTER FIVE CENTS SAVINGS BANK</t>
  </si>
  <si>
    <t>Webster</t>
  </si>
  <si>
    <t>WELLESLEY BANK</t>
  </si>
  <si>
    <t>Wellesley</t>
  </si>
  <si>
    <t>WELLS FARGO BANK, LTD.</t>
  </si>
  <si>
    <t>WENONA STATE BANK</t>
  </si>
  <si>
    <t>Wenona</t>
  </si>
  <si>
    <t>WEST CENTRAL BANK</t>
  </si>
  <si>
    <t>Ashland</t>
  </si>
  <si>
    <t>WEST SUBURBAN BANK</t>
  </si>
  <si>
    <t>Lombard</t>
  </si>
  <si>
    <t>WEST TOWN BANK &amp; TRUST</t>
  </si>
  <si>
    <t>North Riverside</t>
  </si>
  <si>
    <t>WESTAMERICA BANK</t>
  </si>
  <si>
    <t>WESTFIELD BANK</t>
  </si>
  <si>
    <t>Westfield</t>
  </si>
  <si>
    <t>WHEATON BANK &amp; TRUST</t>
  </si>
  <si>
    <t>Wheaton</t>
  </si>
  <si>
    <t>WILLIAMSVILLE STATE BANK &amp; TRUST</t>
  </si>
  <si>
    <t>Williamsville</t>
  </si>
  <si>
    <t>WINCHESTER CO-OPERATIVE BANK</t>
  </si>
  <si>
    <t>Winchester</t>
  </si>
  <si>
    <t>WINCHESTER SAVINGS BANK</t>
  </si>
  <si>
    <t>WINTER HILL BANK, FSB</t>
  </si>
  <si>
    <t>WINTRUST BANK</t>
  </si>
  <si>
    <t>WOORI AMERICA BANK</t>
  </si>
  <si>
    <t>WRENTHAM CO-OPERATIVE BANK</t>
  </si>
  <si>
    <t>Wrentham</t>
  </si>
  <si>
    <t>WSB MUNICIPAL BANK</t>
  </si>
  <si>
    <t>Employees</t>
  </si>
  <si>
    <t>ETHIC</t>
  </si>
  <si>
    <t>FARMERS NATIONAL BANK</t>
  </si>
  <si>
    <t>Leominster</t>
  </si>
  <si>
    <t>HINSDALE BANK &amp; TRUST COMPANY, NATIONAL ASSOCIATION</t>
  </si>
  <si>
    <t>INB, NATIONAL ASSOCIATION</t>
  </si>
  <si>
    <t>LIBERTYVILLE BANK &amp; TRUST COMPANY, NATIONAL ASSOCIATION</t>
  </si>
  <si>
    <t>Hicksville</t>
  </si>
  <si>
    <t>NORTHBROOK BANK AND TRUST COMPANY, NATIONAL ASSOCIATION</t>
  </si>
  <si>
    <t>SOLUTIONS BANK</t>
  </si>
  <si>
    <t>ST. CHARLES BANK &amp; TRUST COMPANY, NATIONAL ASSOCIATION</t>
  </si>
  <si>
    <t>STATE BANK OF THE LAKES, NATIONAL ASSOCIATION</t>
  </si>
  <si>
    <t>Pearl River</t>
  </si>
  <si>
    <t>Hyannis</t>
  </si>
  <si>
    <t>Tewksbury</t>
  </si>
  <si>
    <t>VILLAGE BANK AND TRUST, NATIONAL ASSOCIATION</t>
  </si>
  <si>
    <t>WHEATON BANK &amp; TRUST, NATIONAL ASSOCIATION</t>
  </si>
  <si>
    <t>WINTRUST BANK, NATIONAL ASSOCIATION</t>
  </si>
  <si>
    <t>AMERICAN COMMERCIAL BANK &amp; TRUST, NATIONAL ASSOCIATION</t>
  </si>
  <si>
    <t>BLUESTONE BANK</t>
  </si>
  <si>
    <t>COLUMN NATIONAL ASSOCIATION</t>
  </si>
  <si>
    <t>Hauppauge</t>
  </si>
  <si>
    <t>ETHIC, A WEALTH BANK</t>
  </si>
  <si>
    <t>FWBANK</t>
  </si>
  <si>
    <t>GENESIS BANK</t>
  </si>
  <si>
    <t>Newport Beach</t>
  </si>
  <si>
    <t>MARTHA'S VINEYARD BANK</t>
  </si>
  <si>
    <t>El Cajon</t>
  </si>
  <si>
    <t>OSB COMMUNITY BANK</t>
  </si>
  <si>
    <t>TIOGA STATE BANK NATIONAL ASSOCIATION</t>
  </si>
  <si>
    <t>WATERMAN BANK</t>
  </si>
  <si>
    <t>Bank Name</t>
  </si>
  <si>
    <t>Total Assets(000)</t>
  </si>
  <si>
    <t>CashBalance(000)</t>
  </si>
  <si>
    <t>Total Liabilities/Capital (000)</t>
  </si>
  <si>
    <t>Liabilities(000)</t>
  </si>
  <si>
    <t>Bank Classification</t>
  </si>
  <si>
    <t>Large</t>
  </si>
  <si>
    <t>Medium</t>
  </si>
  <si>
    <t>Small</t>
  </si>
  <si>
    <t>Reserve Ratio</t>
  </si>
  <si>
    <t>Reserve Ratio = Deposits/Cash Requirement</t>
  </si>
  <si>
    <t>Cash Requirements</t>
  </si>
  <si>
    <t>Reporting Year</t>
  </si>
  <si>
    <t>Row Labels</t>
  </si>
  <si>
    <t>Grand Total</t>
  </si>
  <si>
    <t>Average of Cash Requirements</t>
  </si>
  <si>
    <t>Total Asset/Employees</t>
  </si>
  <si>
    <t>Average of Total Asset/Employees</t>
  </si>
  <si>
    <t>Deposits</t>
  </si>
  <si>
    <t>Liabilities /Total Assets</t>
  </si>
  <si>
    <t>Average of Liabilities /Total Assets</t>
  </si>
  <si>
    <t>Large Banks in California have higher average Liabilities/Total Asset Ratio than those in Illinois or Massachusetts</t>
  </si>
  <si>
    <t>Small banks in Massachusetts have lower Average Liabilities/Total Asset Ratio than those in New York and California</t>
  </si>
  <si>
    <t>Medium Size Banks in Illinois have higher average Liabilities/Total Assets Ratio than California</t>
  </si>
  <si>
    <t>Small Banks in Illinois have higher average Liabilities/Total Assets ratios than Medium-size banks in California</t>
  </si>
  <si>
    <t>True/False</t>
  </si>
  <si>
    <t>In 2019, Banks in New York had the highest Average Total Asset/Employee ratio than banks in the other 3 states</t>
  </si>
  <si>
    <t>in 2020, the Average Asset to Employee ratio for Banks in Illinois was lower than for 2019</t>
  </si>
  <si>
    <t>What was the average cash requirements for Medium-size banks in California</t>
  </si>
  <si>
    <t>What was the average cash requirement for Large Banks?</t>
  </si>
  <si>
    <t>CashBalance/Cash Requirements</t>
  </si>
  <si>
    <t>Average of CashBalance/Cash Requirements</t>
  </si>
  <si>
    <t>Column Labels</t>
  </si>
  <si>
    <t>Small banks in California have higher average Total Assets per employee than those in Massechusetts and Illinois</t>
  </si>
  <si>
    <t>Max of CashBalance/Cash Requirements2</t>
  </si>
  <si>
    <t>Total Max of CashBalance/Cash Requirements2</t>
  </si>
  <si>
    <t>StdDev of CashBalance/Cash Requirements</t>
  </si>
  <si>
    <t>Total StdDev of CashBalance/Cash Requirements</t>
  </si>
  <si>
    <t>RepDte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</si>
</sst>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43" fontId="0" fillId="0" borderId="0" xfId="1" applyFont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/>
    <xf numFmtId="0" fontId="16" fillId="33" borderId="1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[BanksDataSet_Solutions.xlsx]Q9&amp;10!PivotTable11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'Q9&amp;10'!$B$3:$B$4</c:f>
              <c:strCache>
                <c:ptCount val="1"/>
                <c:pt idx="0">
                  <c:v>Large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'Q9&amp;10'!$A$5:$A$8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strCache>
            </c:strRef>
          </c:cat>
          <c:val>
            <c:numRef>
              <c:f>'Q9&amp;10'!$B$5:$B$8</c:f>
              <c:numCache>
                <c:formatCode>General</c:formatCode>
                <c:ptCount val="3"/>
                <c:pt idx="0">
                  <c:v>5.5977878085619945</c:v>
                </c:pt>
                <c:pt idx="1">
                  <c:v>10.192172815163143</c:v>
                </c:pt>
                <c:pt idx="2">
                  <c:v>29.606723036629688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2-437E-BC2F-CBBDA9CBDFA3}"/>
            </c:ext>
          </c:extLst>
        </c:ser>
        <c:ser>
          <c:idx val="1"/>
          <c:order val="1"/>
          <c:tx>
            <c:strRef>
              <c:f>'Q9&amp;10'!$C$3:$C$4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'Q9&amp;10'!$A$5:$A$8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strCache>
            </c:strRef>
          </c:cat>
          <c:val>
            <c:numRef>
              <c:f>'Q9&amp;10'!$C$5:$C$8</c:f>
              <c:numCache>
                <c:formatCode>General</c:formatCode>
                <c:ptCount val="3"/>
                <c:pt idx="0">
                  <c:v>1.5122993359903263</c:v>
                </c:pt>
                <c:pt idx="1">
                  <c:v>2.5984279753882751</c:v>
                </c:pt>
                <c:pt idx="2">
                  <c:v>4.1750925432238555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2-437E-BC2F-CBBDA9CBDFA3}"/>
            </c:ext>
          </c:extLst>
        </c:ser>
        <c:ser>
          <c:idx val="2"/>
          <c:order val="2"/>
          <c:tx>
            <c:strRef>
              <c:f>'Q9&amp;10'!$D$3:$D$4</c:f>
              <c:strCache>
                <c:ptCount val="1"/>
                <c:pt idx="0">
                  <c:v>Small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'Q9&amp;10'!$A$5:$A$8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strCache>
            </c:strRef>
          </c:cat>
          <c:val>
            <c:numRef>
              <c:f>'Q9&amp;10'!$D$5:$D$8</c:f>
              <c:numCache>
                <c:formatCode>General</c:formatCode>
                <c:ptCount val="3"/>
                <c:pt idx="0">
                  <c:v>4.6732411037475083</c:v>
                </c:pt>
                <c:pt idx="1">
                  <c:v>5.7648841933666306</c:v>
                </c:pt>
                <c:pt idx="2">
                  <c:v>12.047717391489522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2-437E-BC2F-CBBDA9CBD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368112"/>
        <c:axId val="919366864"/>
      </c:lineChart>
      <c:catAx>
        <c:axId val="91936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66864"/>
        <c:crosses val="autoZero"/>
        <c:auto val="1"/>
        <c:lblAlgn val="ctr"/>
        <c:lblOffset val="100"/>
        <c:noMultiLvlLbl val="0"/>
      </c:catAx>
      <c:valAx>
        <c:axId val="91936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6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657225</xdr:colOff>
      <xdr:row>12</xdr:row>
      <xdr:rowOff>176212</xdr:rowOff>
    </xdr:from>
    <xdr:to>
      <xdr:col>12</xdr:col>
      <xdr:colOff>581025</xdr:colOff>
      <xdr:row>27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C5437D-B873-44C8-93EA-92F41AD2B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2per" refreshedDate="44619.893724421294" createdVersion="7" refreshedVersion="7" minRefreshableVersion="3" recordCount="2412" xr:uid="{90B4DA83-CD9A-40A0-85CF-F0FE57E90994}">
  <cacheSource type="worksheet">
    <worksheetSource ref="A1:R2413" sheet="Dataset"/>
  </cacheSource>
  <cacheFields count="18">
    <cacheField name="Bank Name" numFmtId="0">
      <sharedItems/>
    </cacheField>
    <cacheField name="city" numFmtId="0">
      <sharedItems/>
    </cacheField>
    <cacheField name="stalp" numFmtId="0">
      <sharedItems count="4">
        <s v="CA"/>
        <s v="IL"/>
        <s v="NY"/>
        <s v="MA"/>
      </sharedItems>
    </cacheField>
    <cacheField name="zip" numFmtId="0">
      <sharedItems containsSemiMixedTypes="0" containsString="0" containsNumber="1" containsInteger="1" minValue="1027" maxValue="96080"/>
    </cacheField>
    <cacheField name="RepDte" numFmtId="14">
      <sharedItems containsSemiMixedTypes="0" containsNonDate="0" containsDate="1" containsString="0" minDate="2019-09-30T00:00:00" maxDate="2021-10-01T00:00:00"/>
    </cacheField>
    <cacheField name="Reporting Year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Employees" numFmtId="0">
      <sharedItems containsSemiMixedTypes="0" containsString="0" containsNumber="1" containsInteger="1" minValue="2" maxValue="315000"/>
    </cacheField>
    <cacheField name="Total Assets(000)" numFmtId="43">
      <sharedItems containsSemiMixedTypes="0" containsString="0" containsNumber="1" containsInteger="1" minValue="3397" maxValue="387383000"/>
    </cacheField>
    <cacheField name="CashBalance(000)" numFmtId="0">
      <sharedItems containsSemiMixedTypes="0" containsString="0" containsNumber="1" containsInteger="1" minValue="3" maxValue="148509000"/>
    </cacheField>
    <cacheField name="Total Liabilities/Capital (000)" numFmtId="0">
      <sharedItems containsSemiMixedTypes="0" containsString="0" containsNumber="1" containsInteger="1" minValue="3397" maxValue="387383000"/>
    </cacheField>
    <cacheField name="Liabilities(000)" numFmtId="0">
      <sharedItems containsSemiMixedTypes="0" containsString="0" containsNumber="1" containsInteger="1" minValue="504" maxValue="357319000"/>
    </cacheField>
    <cacheField name="Deposits" numFmtId="0">
      <sharedItems containsSemiMixedTypes="0" containsString="0" containsNumber="1" containsInteger="1" minValue="500" maxValue="341915000"/>
    </cacheField>
    <cacheField name="Bank Classification" numFmtId="0">
      <sharedItems count="3">
        <s v="Medium"/>
        <s v="Large"/>
        <s v="Small"/>
      </sharedItems>
    </cacheField>
    <cacheField name="Reserve Ratio" numFmtId="0">
      <sharedItems containsSemiMixedTypes="0" containsString="0" containsNumber="1" minValue="7.4999999999999997E-2" maxValue="0.1"/>
    </cacheField>
    <cacheField name="Cash Requirements" numFmtId="0">
      <sharedItems containsSemiMixedTypes="0" containsString="0" containsNumber="1" minValue="42.5" maxValue="27353200"/>
    </cacheField>
    <cacheField name="Liabilities /Total Assets" numFmtId="43">
      <sharedItems containsSemiMixedTypes="0" containsString="0" containsNumber="1" minValue="1.8363358424118115E-2" maxValue="1"/>
    </cacheField>
    <cacheField name="Total Asset/Employees" numFmtId="43">
      <sharedItems containsSemiMixedTypes="0" containsString="0" containsNumber="1" minValue="135.96519682539682" maxValue="278678"/>
    </cacheField>
    <cacheField name="CashBalance/Cash Requirements" numFmtId="0">
      <sharedItems containsSemiMixedTypes="0" containsString="0" containsNumber="1" minValue="5.1870669037641492E-3" maxValue="6753.8050734312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2per" refreshedDate="44619.893725694441" createdVersion="7" refreshedVersion="7" minRefreshableVersion="3" recordCount="2412" xr:uid="{00000000-000A-0000-FFFF-FFFF25000000}">
  <cacheSource type="worksheet">
    <worksheetSource ref="A1:Q2413" sheet="Dataset"/>
  </cacheSource>
  <cacheFields count="17">
    <cacheField name="Bank Name" numFmtId="0">
      <sharedItems/>
    </cacheField>
    <cacheField name="city" numFmtId="0">
      <sharedItems/>
    </cacheField>
    <cacheField name="stalp" numFmtId="0">
      <sharedItems count="4">
        <s v="CA"/>
        <s v="IL"/>
        <s v="NY"/>
        <s v="MA"/>
      </sharedItems>
    </cacheField>
    <cacheField name="zip" numFmtId="0">
      <sharedItems containsSemiMixedTypes="0" containsString="0" containsNumber="1" containsInteger="1" minValue="1027" maxValue="96080"/>
    </cacheField>
    <cacheField name="RepDte" numFmtId="14">
      <sharedItems containsSemiMixedTypes="0" containsNonDate="0" containsDate="1" containsString="0" minDate="2019-09-30T00:00:00" maxDate="2021-10-01T00:00:00"/>
    </cacheField>
    <cacheField name="Reporting Year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Employees" numFmtId="0">
      <sharedItems containsSemiMixedTypes="0" containsString="0" containsNumber="1" containsInteger="1" minValue="2" maxValue="315000"/>
    </cacheField>
    <cacheField name="Total Assets(000)" numFmtId="43">
      <sharedItems containsSemiMixedTypes="0" containsString="0" containsNumber="1" containsInteger="1" minValue="3397" maxValue="387383000"/>
    </cacheField>
    <cacheField name="CashBalance(000)" numFmtId="0">
      <sharedItems containsSemiMixedTypes="0" containsString="0" containsNumber="1" containsInteger="1" minValue="3" maxValue="148509000"/>
    </cacheField>
    <cacheField name="Total Liabilities/Capital (000)" numFmtId="0">
      <sharedItems containsSemiMixedTypes="0" containsString="0" containsNumber="1" containsInteger="1" minValue="3397" maxValue="387383000"/>
    </cacheField>
    <cacheField name="Liabilities(000)" numFmtId="0">
      <sharedItems containsSemiMixedTypes="0" containsString="0" containsNumber="1" containsInteger="1" minValue="504" maxValue="357319000"/>
    </cacheField>
    <cacheField name="Deposits" numFmtId="0">
      <sharedItems containsSemiMixedTypes="0" containsString="0" containsNumber="1" containsInteger="1" minValue="500" maxValue="341915000"/>
    </cacheField>
    <cacheField name="Bank Classification" numFmtId="0">
      <sharedItems count="3">
        <s v="Medium"/>
        <s v="Large"/>
        <s v="Small"/>
      </sharedItems>
    </cacheField>
    <cacheField name="Reserve Ratio" numFmtId="0">
      <sharedItems containsSemiMixedTypes="0" containsString="0" containsNumber="1" minValue="7.4999999999999997E-2" maxValue="0.1"/>
    </cacheField>
    <cacheField name="Cash Requirements" numFmtId="0">
      <sharedItems containsSemiMixedTypes="0" containsString="0" containsNumber="1" minValue="42.5" maxValue="27353200"/>
    </cacheField>
    <cacheField name="Liabilities /Total Assets" numFmtId="43">
      <sharedItems containsSemiMixedTypes="0" containsString="0" containsNumber="1" minValue="1.8363358424118115E-2" maxValue="1"/>
    </cacheField>
    <cacheField name="Total Asset/Employees" numFmtId="43">
      <sharedItems containsSemiMixedTypes="0" containsString="0" containsNumber="1" minValue="135.96519682539682" maxValue="278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2">
  <r>
    <s v="1ST CAPITAL BANK"/>
    <s v="Salinas"/>
    <x v="0"/>
    <n v="93901"/>
    <d v="2019-09-30T00:00:00"/>
    <x v="0"/>
    <n v="85"/>
    <n v="637456"/>
    <n v="53476"/>
    <n v="637456"/>
    <n v="571121"/>
    <n v="565655"/>
    <x v="0"/>
    <n v="0.09"/>
    <n v="50908.95"/>
    <n v="0.89593791571496695"/>
    <n v="7499.482352941176"/>
    <n v="1.05042433599593"/>
  </r>
  <r>
    <s v="1ST CAPITAL BANK"/>
    <s v="Salinas"/>
    <x v="0"/>
    <n v="93901"/>
    <d v="2020-09-30T00:00:00"/>
    <x v="1"/>
    <n v="94"/>
    <n v="749022"/>
    <n v="45680"/>
    <n v="749022"/>
    <n v="676634"/>
    <n v="661575"/>
    <x v="0"/>
    <n v="0.09"/>
    <n v="59541.75"/>
    <n v="0.90335664373009072"/>
    <n v="7968.3191489361698"/>
    <n v="0.76719276809969472"/>
  </r>
  <r>
    <s v="1ST CAPITAL BANK"/>
    <s v="Salinas"/>
    <x v="0"/>
    <n v="93901"/>
    <d v="2021-09-30T00:00:00"/>
    <x v="2"/>
    <n v="93"/>
    <n v="1009352"/>
    <n v="131582"/>
    <n v="1009352"/>
    <n v="930792"/>
    <n v="926395"/>
    <x v="1"/>
    <n v="0.08"/>
    <n v="74111.600000000006"/>
    <n v="0.92216788593077537"/>
    <n v="10853.247311827958"/>
    <n v="1.775457553203547"/>
  </r>
  <r>
    <s v="1ST COMMUNITY BANK"/>
    <s v="Sherrard"/>
    <x v="1"/>
    <n v="61281"/>
    <d v="2019-09-30T00:00:00"/>
    <x v="0"/>
    <n v="18"/>
    <n v="64436"/>
    <n v="7275"/>
    <n v="64436"/>
    <n v="57779"/>
    <n v="57575"/>
    <x v="2"/>
    <n v="0.09"/>
    <n v="5181.75"/>
    <n v="0.89668818672791606"/>
    <n v="3579.7777777777778"/>
    <n v="1.4039658416558112"/>
  </r>
  <r>
    <s v="1ST COMMUNITY BANK"/>
    <s v="Sherrard"/>
    <x v="1"/>
    <n v="61281"/>
    <d v="2020-09-30T00:00:00"/>
    <x v="1"/>
    <n v="18"/>
    <n v="68303"/>
    <n v="14220"/>
    <n v="68303"/>
    <n v="61477"/>
    <n v="57268"/>
    <x v="2"/>
    <n v="0.09"/>
    <n v="5154.12"/>
    <n v="0.9000629547750465"/>
    <n v="3794.6111111111113"/>
    <n v="2.7589578822378988"/>
  </r>
  <r>
    <s v="1ST COMMUNITY BANK"/>
    <s v="Sherrard"/>
    <x v="1"/>
    <n v="61281"/>
    <d v="2021-09-30T00:00:00"/>
    <x v="2"/>
    <n v="17"/>
    <n v="66909"/>
    <n v="14550"/>
    <n v="66909"/>
    <n v="59859"/>
    <n v="59693"/>
    <x v="2"/>
    <n v="0.09"/>
    <n v="5372.37"/>
    <n v="0.89463300901224052"/>
    <n v="3935.8235294117649"/>
    <n v="2.7083019226151586"/>
  </r>
  <r>
    <s v="1ST EQUITY BANK"/>
    <s v="Skokie"/>
    <x v="1"/>
    <n v="60076"/>
    <d v="2019-09-30T00:00:00"/>
    <x v="0"/>
    <n v="12"/>
    <n v="95211"/>
    <n v="19382"/>
    <n v="95211"/>
    <n v="80418"/>
    <n v="75039"/>
    <x v="2"/>
    <n v="0.09"/>
    <n v="6753.5099999999993"/>
    <n v="0.84462929703500644"/>
    <n v="7934.25"/>
    <n v="2.8699150515805858"/>
  </r>
  <r>
    <s v="1ST EQUITY BANK"/>
    <s v="Skokie"/>
    <x v="1"/>
    <n v="60076"/>
    <d v="2020-09-30T00:00:00"/>
    <x v="1"/>
    <n v="10"/>
    <n v="141545"/>
    <n v="28951"/>
    <n v="141545"/>
    <n v="117899"/>
    <n v="101378"/>
    <x v="0"/>
    <n v="0.08"/>
    <n v="8110.24"/>
    <n v="0.83294358684517289"/>
    <n v="14154.5"/>
    <n v="3.5696847442245851"/>
  </r>
  <r>
    <s v="1ST EQUITY BANK"/>
    <s v="Skokie"/>
    <x v="1"/>
    <n v="60076"/>
    <d v="2021-09-30T00:00:00"/>
    <x v="2"/>
    <n v="10"/>
    <n v="140756"/>
    <n v="32317"/>
    <n v="140756"/>
    <n v="117814"/>
    <n v="104078"/>
    <x v="0"/>
    <n v="0.08"/>
    <n v="8326.24"/>
    <n v="0.83700872431725826"/>
    <n v="14075.6"/>
    <n v="3.8813437998424258"/>
  </r>
  <r>
    <s v="1ST EQUITY BANK NORTHWEST"/>
    <s v="Buffalo Grove"/>
    <x v="1"/>
    <n v="60089"/>
    <d v="2019-09-30T00:00:00"/>
    <x v="0"/>
    <n v="4"/>
    <n v="40877"/>
    <n v="7973"/>
    <n v="40877"/>
    <n v="32220"/>
    <n v="31131"/>
    <x v="2"/>
    <n v="0.09"/>
    <n v="2801.79"/>
    <n v="0.78821831347701643"/>
    <n v="10219.25"/>
    <n v="2.8456807969191122"/>
  </r>
  <r>
    <s v="1ST STATE BANK OF MASON CITY"/>
    <s v="Mason City"/>
    <x v="1"/>
    <n v="62664"/>
    <d v="2019-09-30T00:00:00"/>
    <x v="0"/>
    <n v="5"/>
    <n v="25319"/>
    <n v="1712"/>
    <n v="25320"/>
    <n v="21384"/>
    <n v="21370"/>
    <x v="2"/>
    <n v="0.09"/>
    <n v="1923.3"/>
    <n v="0.84458311939650066"/>
    <n v="5063.8"/>
    <n v="0.89013674413768007"/>
  </r>
  <r>
    <s v="1ST STATE BANK OF MASON CITY"/>
    <s v="Mason City"/>
    <x v="1"/>
    <n v="62664"/>
    <d v="2020-09-30T00:00:00"/>
    <x v="1"/>
    <n v="7"/>
    <n v="30790"/>
    <n v="1861"/>
    <n v="30790"/>
    <n v="26898"/>
    <n v="22886"/>
    <x v="2"/>
    <n v="0.09"/>
    <n v="2059.7399999999998"/>
    <n v="0.87359532315686916"/>
    <n v="4398.5714285714284"/>
    <n v="0.90351209375940666"/>
  </r>
  <r>
    <s v="1ST STATE BANK OF MASON CITY"/>
    <s v="Mason City"/>
    <x v="1"/>
    <n v="62664"/>
    <d v="2021-09-30T00:00:00"/>
    <x v="2"/>
    <n v="4"/>
    <n v="28801"/>
    <n v="1162"/>
    <n v="28801"/>
    <n v="26611"/>
    <n v="26541"/>
    <x v="2"/>
    <n v="0.09"/>
    <n v="2388.69"/>
    <n v="0.92396097357730633"/>
    <n v="7200.25"/>
    <n v="0.4864591051999213"/>
  </r>
  <r>
    <s v="ABACUS FEDERAL SAVINGS BANK"/>
    <s v="New York"/>
    <x v="2"/>
    <n v="10013"/>
    <d v="2019-09-30T00:00:00"/>
    <x v="0"/>
    <n v="99"/>
    <n v="335290"/>
    <n v="35626"/>
    <n v="335290"/>
    <n v="289120"/>
    <n v="287606"/>
    <x v="0"/>
    <n v="8.5000000000000006E-2"/>
    <n v="24446.510000000002"/>
    <n v="0.86229830892660086"/>
    <n v="3386.7676767676767"/>
    <n v="1.457304130528243"/>
  </r>
  <r>
    <s v="ABACUS FEDERAL SAVINGS BANK"/>
    <s v="New York"/>
    <x v="2"/>
    <n v="10013"/>
    <d v="2020-09-30T00:00:00"/>
    <x v="1"/>
    <n v="83"/>
    <n v="359791"/>
    <n v="49879"/>
    <n v="359791"/>
    <n v="311253"/>
    <n v="309628"/>
    <x v="0"/>
    <n v="8.5000000000000006E-2"/>
    <n v="26318.38"/>
    <n v="0.86509390173739753"/>
    <n v="4334.8313253012047"/>
    <n v="1.8952154349925792"/>
  </r>
  <r>
    <s v="ABACUS FEDERAL SAVINGS BANK"/>
    <s v="New York"/>
    <x v="2"/>
    <n v="10013"/>
    <d v="2021-09-30T00:00:00"/>
    <x v="2"/>
    <n v="90"/>
    <n v="327989"/>
    <n v="76889"/>
    <n v="327989"/>
    <n v="277870"/>
    <n v="276197"/>
    <x v="0"/>
    <n v="8.5000000000000006E-2"/>
    <n v="23476.745000000003"/>
    <n v="0.84719304610825363"/>
    <n v="3644.3222222222221"/>
    <n v="3.2751133089361404"/>
  </r>
  <r>
    <s v="ABINGTON BANK"/>
    <s v="Abington"/>
    <x v="3"/>
    <n v="2351"/>
    <d v="2019-09-30T00:00:00"/>
    <x v="0"/>
    <n v="76"/>
    <n v="577410"/>
    <n v="15854"/>
    <n v="577410"/>
    <n v="489082"/>
    <n v="447077"/>
    <x v="0"/>
    <n v="8.5000000000000006E-2"/>
    <n v="38001.545000000006"/>
    <n v="0.84702724234079774"/>
    <n v="7597.5"/>
    <n v="0.41719356410377517"/>
  </r>
  <r>
    <s v="ABINGTON BANK"/>
    <s v="Abington"/>
    <x v="3"/>
    <n v="2351"/>
    <d v="2020-09-30T00:00:00"/>
    <x v="1"/>
    <n v="75"/>
    <n v="592791"/>
    <n v="66628"/>
    <n v="592791"/>
    <n v="500717"/>
    <n v="462363"/>
    <x v="0"/>
    <n v="8.5000000000000006E-2"/>
    <n v="39300.855000000003"/>
    <n v="0.84467712903873371"/>
    <n v="7903.88"/>
    <n v="1.6953320735643027"/>
  </r>
  <r>
    <s v="ABINGTON BANK"/>
    <s v="Abington"/>
    <x v="3"/>
    <n v="2351"/>
    <d v="2021-09-30T00:00:00"/>
    <x v="2"/>
    <n v="76"/>
    <n v="597215"/>
    <n v="110561"/>
    <n v="597215"/>
    <n v="501173"/>
    <n v="477642"/>
    <x v="0"/>
    <n v="8.5000000000000006E-2"/>
    <n v="40599.57"/>
    <n v="0.83918354361494607"/>
    <n v="7858.0921052631575"/>
    <n v="2.7232061817403483"/>
  </r>
  <r>
    <s v="ADAMS COMMUNITY BANK"/>
    <s v="Adams"/>
    <x v="3"/>
    <n v="1220"/>
    <d v="2019-09-30T00:00:00"/>
    <x v="0"/>
    <n v="100"/>
    <n v="618218"/>
    <n v="11664"/>
    <n v="618218"/>
    <n v="561414"/>
    <n v="499525"/>
    <x v="0"/>
    <n v="8.5000000000000006E-2"/>
    <n v="42459.625"/>
    <n v="0.9081165543546128"/>
    <n v="6182.18"/>
    <n v="0.27470803145341016"/>
  </r>
  <r>
    <s v="ADAMS COMMUNITY BANK"/>
    <s v="Adams"/>
    <x v="3"/>
    <n v="1220"/>
    <d v="2020-09-30T00:00:00"/>
    <x v="1"/>
    <n v="107"/>
    <n v="706909"/>
    <n v="31644"/>
    <n v="706909"/>
    <n v="645403"/>
    <n v="603420"/>
    <x v="0"/>
    <n v="8.5000000000000006E-2"/>
    <n v="51290.700000000004"/>
    <n v="0.91299304436638951"/>
    <n v="6606.6261682242994"/>
    <n v="0.61695395071621162"/>
  </r>
  <r>
    <s v="ADAMS COMMUNITY BANK"/>
    <s v="Adams"/>
    <x v="3"/>
    <n v="1220"/>
    <d v="2021-09-30T00:00:00"/>
    <x v="2"/>
    <n v="111"/>
    <n v="861094"/>
    <n v="93479"/>
    <n v="861094"/>
    <n v="796190"/>
    <n v="764693"/>
    <x v="0"/>
    <n v="8.5000000000000006E-2"/>
    <n v="64998.905000000006"/>
    <n v="0.92462611515119142"/>
    <n v="7757.6036036036039"/>
    <n v="1.438162689048377"/>
  </r>
  <r>
    <s v="ADIRONDACK BANK"/>
    <s v="Utica"/>
    <x v="2"/>
    <n v="13501"/>
    <d v="2019-09-30T00:00:00"/>
    <x v="0"/>
    <n v="194"/>
    <n v="901728"/>
    <n v="64245"/>
    <n v="901727"/>
    <n v="831852"/>
    <n v="744460"/>
    <x v="0"/>
    <n v="8.5000000000000006E-2"/>
    <n v="63279.100000000006"/>
    <n v="0.92250878313637819"/>
    <n v="4648.0824742268042"/>
    <n v="1.01526412354158"/>
  </r>
  <r>
    <s v="ADIRONDACK BANK"/>
    <s v="Utica"/>
    <x v="2"/>
    <n v="13501"/>
    <d v="2020-09-30T00:00:00"/>
    <x v="1"/>
    <n v="181"/>
    <n v="1012361"/>
    <n v="128811"/>
    <n v="1012361"/>
    <n v="940481"/>
    <n v="822948"/>
    <x v="1"/>
    <n v="0.08"/>
    <n v="65835.839999999997"/>
    <n v="0.92899765992565897"/>
    <n v="5593.1546961325967"/>
    <n v="1.9565482873766022"/>
  </r>
  <r>
    <s v="ADIRONDACK BANK"/>
    <s v="Utica"/>
    <x v="2"/>
    <n v="13501"/>
    <d v="2021-09-30T00:00:00"/>
    <x v="2"/>
    <n v="184"/>
    <n v="1062202"/>
    <n v="227590"/>
    <n v="1062202"/>
    <n v="987274"/>
    <n v="878733"/>
    <x v="1"/>
    <n v="0.08"/>
    <n v="70298.64"/>
    <n v="0.92945974494493511"/>
    <n v="5772.836956521739"/>
    <n v="3.237473726376499"/>
  </r>
  <r>
    <s v="ADMIRALS BANK"/>
    <s v="Boston"/>
    <x v="3"/>
    <n v="2116"/>
    <d v="2019-09-30T00:00:00"/>
    <x v="0"/>
    <n v="56"/>
    <n v="216403"/>
    <n v="23546"/>
    <n v="216402"/>
    <n v="181579"/>
    <n v="162913"/>
    <x v="0"/>
    <n v="8.5000000000000006E-2"/>
    <n v="13847.605000000001"/>
    <n v="0.83907801647851465"/>
    <n v="3864.3392857142858"/>
    <n v="1.7003662366163679"/>
  </r>
  <r>
    <s v="ALBANY BANK AND TRUST COMPANY NATIONAL ASSOCIATION"/>
    <s v="Chicago"/>
    <x v="1"/>
    <n v="60625"/>
    <d v="2019-09-30T00:00:00"/>
    <x v="0"/>
    <n v="67"/>
    <n v="610338"/>
    <n v="109205"/>
    <n v="610338"/>
    <n v="511370"/>
    <n v="508078"/>
    <x v="0"/>
    <n v="0.08"/>
    <n v="40646.239999999998"/>
    <n v="0.83784722563563141"/>
    <n v="9109.5223880597023"/>
    <n v="2.68671837788686"/>
  </r>
  <r>
    <s v="ALBANY BANK AND TRUST COMPANY NATIONAL ASSOCIATION"/>
    <s v="Chicago"/>
    <x v="1"/>
    <n v="60625"/>
    <d v="2020-09-30T00:00:00"/>
    <x v="1"/>
    <n v="70"/>
    <n v="686145"/>
    <n v="213657"/>
    <n v="686145"/>
    <n v="583447"/>
    <n v="580080"/>
    <x v="0"/>
    <n v="0.08"/>
    <n v="46406.400000000001"/>
    <n v="0.85032609725349595"/>
    <n v="9802.0714285714294"/>
    <n v="4.6040416839056677"/>
  </r>
  <r>
    <s v="ALBANY BANK AND TRUST COMPANY NATIONAL ASSOCIATION"/>
    <s v="Chicago"/>
    <x v="1"/>
    <n v="60625"/>
    <d v="2021-09-30T00:00:00"/>
    <x v="2"/>
    <n v="63"/>
    <n v="702350"/>
    <n v="181265"/>
    <n v="702350"/>
    <n v="596859"/>
    <n v="594116"/>
    <x v="0"/>
    <n v="0.08"/>
    <n v="47529.279999999999"/>
    <n v="0.8498028048693671"/>
    <n v="11148.412698412698"/>
    <n v="3.813754384665621"/>
  </r>
  <r>
    <s v="ALDEN STATE BANK"/>
    <s v="Alden"/>
    <x v="2"/>
    <n v="14004"/>
    <d v="2019-09-30T00:00:00"/>
    <x v="0"/>
    <n v="61"/>
    <n v="346446"/>
    <n v="13345"/>
    <n v="346446"/>
    <n v="302318"/>
    <n v="297176"/>
    <x v="0"/>
    <n v="8.5000000000000006E-2"/>
    <n v="25259.960000000003"/>
    <n v="0.87262661424868526"/>
    <n v="5679.4426229508199"/>
    <n v="0.52830645812582433"/>
  </r>
  <r>
    <s v="ALDEN STATE BANK"/>
    <s v="Alden"/>
    <x v="2"/>
    <n v="14004"/>
    <d v="2020-09-30T00:00:00"/>
    <x v="1"/>
    <n v="61"/>
    <n v="402829"/>
    <n v="56557"/>
    <n v="402829"/>
    <n v="355448"/>
    <n v="354228"/>
    <x v="0"/>
    <n v="8.5000000000000006E-2"/>
    <n v="30109.38"/>
    <n v="0.88237937189229176"/>
    <n v="6603.7540983606559"/>
    <n v="1.8783847425619524"/>
  </r>
  <r>
    <s v="ALDEN STATE BANK"/>
    <s v="Alden"/>
    <x v="2"/>
    <n v="14004"/>
    <d v="2021-09-30T00:00:00"/>
    <x v="2"/>
    <n v="65"/>
    <n v="470474"/>
    <n v="80283"/>
    <n v="470474"/>
    <n v="419774"/>
    <n v="418531"/>
    <x v="0"/>
    <n v="8.5000000000000006E-2"/>
    <n v="35575.135000000002"/>
    <n v="0.89223634037162525"/>
    <n v="7238.0615384615385"/>
    <n v="2.2567166646029593"/>
  </r>
  <r>
    <s v="ALGONQUIN STATE BANK"/>
    <s v="Algonquin"/>
    <x v="1"/>
    <n v="60102"/>
    <d v="2019-09-30T00:00:00"/>
    <x v="0"/>
    <n v="25"/>
    <n v="133860"/>
    <n v="11010"/>
    <n v="133860"/>
    <n v="117945"/>
    <n v="117254"/>
    <x v="0"/>
    <n v="0.08"/>
    <n v="9380.32"/>
    <n v="0.88110712684894665"/>
    <n v="5354.4"/>
    <n v="1.1737339451106146"/>
  </r>
  <r>
    <s v="ALGONQUIN STATE BANK"/>
    <s v="Algonquin"/>
    <x v="1"/>
    <n v="60102"/>
    <d v="2020-09-30T00:00:00"/>
    <x v="1"/>
    <n v="24"/>
    <n v="150641"/>
    <n v="12080"/>
    <n v="150641"/>
    <n v="133604"/>
    <n v="129200"/>
    <x v="0"/>
    <n v="0.08"/>
    <n v="10336"/>
    <n v="0.88690329989843397"/>
    <n v="6276.708333333333"/>
    <n v="1.1687306501547987"/>
  </r>
  <r>
    <s v="ALGONQUIN STATE BANK"/>
    <s v="Algonquin"/>
    <x v="1"/>
    <n v="60102"/>
    <d v="2021-09-30T00:00:00"/>
    <x v="2"/>
    <n v="24"/>
    <n v="157383"/>
    <n v="12446"/>
    <n v="157383"/>
    <n v="140344"/>
    <n v="139880"/>
    <x v="0"/>
    <n v="0.08"/>
    <n v="11190.4"/>
    <n v="0.89173544792004222"/>
    <n v="6557.625"/>
    <n v="1.1122033171289678"/>
  </r>
  <r>
    <s v="ALLIANCE COMMUNITY BANK"/>
    <s v="Petersburg"/>
    <x v="1"/>
    <n v="62675"/>
    <d v="2019-09-30T00:00:00"/>
    <x v="0"/>
    <n v="60"/>
    <n v="272421"/>
    <n v="9915"/>
    <n v="272421"/>
    <n v="235436"/>
    <n v="233520"/>
    <x v="0"/>
    <n v="0.08"/>
    <n v="18681.600000000002"/>
    <n v="0.86423587021558546"/>
    <n v="4540.3500000000004"/>
    <n v="0.53073612538540593"/>
  </r>
  <r>
    <s v="ALLIANCE COMMUNITY BANK"/>
    <s v="Petersburg"/>
    <x v="1"/>
    <n v="62675"/>
    <d v="2020-09-30T00:00:00"/>
    <x v="1"/>
    <n v="56"/>
    <n v="299250"/>
    <n v="26015"/>
    <n v="299250"/>
    <n v="260088"/>
    <n v="256200"/>
    <x v="0"/>
    <n v="0.08"/>
    <n v="20496"/>
    <n v="0.86913283208020053"/>
    <n v="5343.75"/>
    <n v="1.2692720530835284"/>
  </r>
  <r>
    <s v="ALLIANCE COMMUNITY BANK"/>
    <s v="Petersburg"/>
    <x v="1"/>
    <n v="62675"/>
    <d v="2021-09-30T00:00:00"/>
    <x v="2"/>
    <n v="57"/>
    <n v="333263"/>
    <n v="29981"/>
    <n v="333263"/>
    <n v="294877"/>
    <n v="291842"/>
    <x v="0"/>
    <n v="0.08"/>
    <n v="23347.360000000001"/>
    <n v="0.88481769653396869"/>
    <n v="5846.7192982456145"/>
    <n v="1.2841280555917243"/>
  </r>
  <r>
    <s v="ALLIED FIRST BANK,SB"/>
    <s v="Oswego"/>
    <x v="1"/>
    <n v="60543"/>
    <d v="2019-09-30T00:00:00"/>
    <x v="0"/>
    <n v="254"/>
    <n v="103594"/>
    <n v="21704"/>
    <n v="103594"/>
    <n v="91239"/>
    <n v="90621"/>
    <x v="0"/>
    <n v="0.08"/>
    <n v="7249.68"/>
    <n v="0.88073633608124025"/>
    <n v="407.85039370078738"/>
    <n v="2.9937873119917016"/>
  </r>
  <r>
    <s v="ALLIED FIRST BANK,SB"/>
    <s v="Oswego"/>
    <x v="1"/>
    <n v="60543"/>
    <d v="2020-09-30T00:00:00"/>
    <x v="1"/>
    <n v="330"/>
    <n v="142020"/>
    <n v="13620"/>
    <n v="142020"/>
    <n v="125248"/>
    <n v="107269"/>
    <x v="0"/>
    <n v="0.08"/>
    <n v="8581.52"/>
    <n v="0.88190395718912828"/>
    <n v="430.36363636363637"/>
    <n v="1.587131417278058"/>
  </r>
  <r>
    <s v="ALLIED FIRST BANK,SB"/>
    <s v="Oswego"/>
    <x v="1"/>
    <n v="60543"/>
    <d v="2021-09-30T00:00:00"/>
    <x v="2"/>
    <n v="382"/>
    <n v="161890"/>
    <n v="70738"/>
    <n v="161890"/>
    <n v="139305"/>
    <n v="132451"/>
    <x v="0"/>
    <n v="0.08"/>
    <n v="10596.08"/>
    <n v="0.86049169188955466"/>
    <n v="423.79581151832463"/>
    <n v="6.6758650368815635"/>
  </r>
  <r>
    <s v="ALMA BANK"/>
    <s v="Astoria"/>
    <x v="2"/>
    <n v="11102"/>
    <d v="2019-09-30T00:00:00"/>
    <x v="0"/>
    <n v="164"/>
    <n v="1190423"/>
    <n v="88732"/>
    <n v="1190423"/>
    <n v="1068612"/>
    <n v="999286"/>
    <x v="1"/>
    <n v="0.08"/>
    <n v="79942.880000000005"/>
    <n v="0.89767418808272359"/>
    <n v="7258.6768292682927"/>
    <n v="1.1099424989442461"/>
  </r>
  <r>
    <s v="ALMA BANK"/>
    <s v="Astoria"/>
    <x v="2"/>
    <n v="11102"/>
    <d v="2020-09-30T00:00:00"/>
    <x v="1"/>
    <n v="161"/>
    <n v="1228001"/>
    <n v="101572"/>
    <n v="1228001"/>
    <n v="1102414"/>
    <n v="1058853"/>
    <x v="1"/>
    <n v="0.08"/>
    <n v="84708.24"/>
    <n v="0.89773053930737845"/>
    <n v="7627.3354037267081"/>
    <n v="1.1990805144812358"/>
  </r>
  <r>
    <s v="ALMA BANK"/>
    <s v="Astoria"/>
    <x v="2"/>
    <n v="11102"/>
    <d v="2021-09-30T00:00:00"/>
    <x v="2"/>
    <n v="151"/>
    <n v="1326013"/>
    <n v="186086"/>
    <n v="1326013"/>
    <n v="1195446"/>
    <n v="1171231"/>
    <x v="1"/>
    <n v="0.08"/>
    <n v="93698.48"/>
    <n v="0.90153414785526231"/>
    <n v="8781.5430463576158"/>
    <n v="1.9860087378151705"/>
  </r>
  <r>
    <s v="ALPINE CAPITAL BANK"/>
    <s v="New York"/>
    <x v="2"/>
    <n v="10019"/>
    <d v="2019-09-30T00:00:00"/>
    <x v="0"/>
    <n v="20"/>
    <n v="257994"/>
    <n v="106755"/>
    <n v="257994"/>
    <n v="206456"/>
    <n v="204291"/>
    <x v="0"/>
    <n v="8.5000000000000006E-2"/>
    <n v="17364.735000000001"/>
    <n v="0.80023566439529603"/>
    <n v="12899.7"/>
    <n v="6.1478047318314966"/>
  </r>
  <r>
    <s v="ALPINE CAPITAL BANK"/>
    <s v="New York"/>
    <x v="2"/>
    <n v="10019"/>
    <d v="2020-09-30T00:00:00"/>
    <x v="1"/>
    <n v="19"/>
    <n v="249459"/>
    <n v="67548"/>
    <n v="249459"/>
    <n v="196733"/>
    <n v="194366"/>
    <x v="0"/>
    <n v="8.5000000000000006E-2"/>
    <n v="16521.11"/>
    <n v="0.78863861396061075"/>
    <n v="13129.421052631578"/>
    <n v="4.0885872680467594"/>
  </r>
  <r>
    <s v="ALPINE CAPITAL BANK"/>
    <s v="New York"/>
    <x v="2"/>
    <n v="10019"/>
    <d v="2021-09-30T00:00:00"/>
    <x v="2"/>
    <n v="20"/>
    <n v="306421"/>
    <n v="163858"/>
    <n v="306421"/>
    <n v="251205"/>
    <n v="248589"/>
    <x v="0"/>
    <n v="8.5000000000000006E-2"/>
    <n v="21130.065000000002"/>
    <n v="0.81980347299956591"/>
    <n v="15321.05"/>
    <n v="7.7547324156362025"/>
  </r>
  <r>
    <s v="ALTAPACIFIC BANK"/>
    <s v="Santa Rosa"/>
    <x v="0"/>
    <n v="95403"/>
    <d v="2019-09-30T00:00:00"/>
    <x v="0"/>
    <n v="55"/>
    <n v="419614"/>
    <n v="21628"/>
    <n v="419614"/>
    <n v="359744"/>
    <n v="297155"/>
    <x v="0"/>
    <n v="0.09"/>
    <n v="26743.95"/>
    <n v="0.85732125238910051"/>
    <n v="7629.3454545454542"/>
    <n v="0.80870626814662749"/>
  </r>
  <r>
    <s v="AMALGAMATED BANK"/>
    <s v="New York"/>
    <x v="2"/>
    <n v="10001"/>
    <d v="2019-09-30T00:00:00"/>
    <x v="0"/>
    <n v="380"/>
    <n v="5030941"/>
    <n v="75345"/>
    <n v="5030941"/>
    <n v="4544629"/>
    <n v="4326485"/>
    <x v="1"/>
    <n v="0.08"/>
    <n v="346118.8"/>
    <n v="0.90333577754141825"/>
    <n v="13239.318421052632"/>
    <n v="0.2176853727679629"/>
  </r>
  <r>
    <s v="AMALGAMATED BANK"/>
    <s v="New York"/>
    <x v="2"/>
    <n v="10001"/>
    <d v="2020-09-30T00:00:00"/>
    <x v="1"/>
    <n v="350"/>
    <n v="6626229"/>
    <n v="745496"/>
    <n v="6626229"/>
    <n v="6103732"/>
    <n v="6023434"/>
    <x v="1"/>
    <n v="0.08"/>
    <n v="481874.72000000003"/>
    <n v="0.92114715624829746"/>
    <n v="18932.082857142857"/>
    <n v="1.5470743101028415"/>
  </r>
  <r>
    <s v="AMALGAMATED BANK"/>
    <s v="New York"/>
    <x v="2"/>
    <n v="10001"/>
    <d v="2021-09-30T00:00:00"/>
    <x v="2"/>
    <n v="355"/>
    <n v="6866385"/>
    <n v="691352"/>
    <n v="6866385"/>
    <n v="6311674"/>
    <n v="6227280"/>
    <x v="1"/>
    <n v="0.08"/>
    <n v="498182.40000000002"/>
    <n v="0.91921353084628954"/>
    <n v="19341.929577464787"/>
    <n v="1.3877487442350431"/>
  </r>
  <r>
    <s v="AMALGAMATED BANK OF CHICAGO"/>
    <s v="Chicago"/>
    <x v="1"/>
    <n v="60602"/>
    <d v="2019-09-30T00:00:00"/>
    <x v="0"/>
    <n v="178"/>
    <n v="891140"/>
    <n v="210711"/>
    <n v="891140"/>
    <n v="805716"/>
    <n v="786006"/>
    <x v="0"/>
    <n v="0.08"/>
    <n v="62880.480000000003"/>
    <n v="0.90414076351639472"/>
    <n v="5006.4044943820227"/>
    <n v="3.3509763284249736"/>
  </r>
  <r>
    <s v="AMALGAMATED BANK OF CHICAGO"/>
    <s v="Chicago"/>
    <x v="1"/>
    <n v="60602"/>
    <d v="2020-09-30T00:00:00"/>
    <x v="1"/>
    <n v="176"/>
    <n v="915824"/>
    <n v="222389"/>
    <n v="915824"/>
    <n v="825647"/>
    <n v="801840"/>
    <x v="0"/>
    <n v="0.08"/>
    <n v="64147.200000000004"/>
    <n v="0.901534574328692"/>
    <n v="5203.545454545455"/>
    <n v="3.4668543599720638"/>
  </r>
  <r>
    <s v="AMALGAMATED BANK OF CHICAGO"/>
    <s v="Chicago"/>
    <x v="1"/>
    <n v="60602"/>
    <d v="2021-09-30T00:00:00"/>
    <x v="2"/>
    <n v="155"/>
    <n v="1013379"/>
    <n v="306919"/>
    <n v="1013379"/>
    <n v="923709"/>
    <n v="894178"/>
    <x v="1"/>
    <n v="7.4999999999999997E-2"/>
    <n v="67063.349999999991"/>
    <n v="0.91151385611898417"/>
    <n v="6537.9290322580646"/>
    <n v="4.5765533633497286"/>
  </r>
  <r>
    <s v="AMERASIA BANK"/>
    <s v="Flushing"/>
    <x v="2"/>
    <n v="11355"/>
    <d v="2019-09-30T00:00:00"/>
    <x v="0"/>
    <n v="81"/>
    <n v="680866"/>
    <n v="76601"/>
    <n v="680866"/>
    <n v="597754"/>
    <n v="583335"/>
    <x v="0"/>
    <n v="8.5000000000000006E-2"/>
    <n v="49583.475000000006"/>
    <n v="0.87793192786833241"/>
    <n v="8405.7530864197524"/>
    <n v="1.5448897036764766"/>
  </r>
  <r>
    <s v="AMERASIA BANK"/>
    <s v="Flushing"/>
    <x v="2"/>
    <n v="11355"/>
    <d v="2020-09-30T00:00:00"/>
    <x v="1"/>
    <n v="80"/>
    <n v="719123"/>
    <n v="59020"/>
    <n v="719124"/>
    <n v="625983"/>
    <n v="611111"/>
    <x v="0"/>
    <n v="8.5000000000000006E-2"/>
    <n v="51944.435000000005"/>
    <n v="0.87048112770694308"/>
    <n v="8989.0375000000004"/>
    <n v="1.136214110327699"/>
  </r>
  <r>
    <s v="AMERASIA BANK"/>
    <s v="Flushing"/>
    <x v="2"/>
    <n v="11355"/>
    <d v="2021-09-30T00:00:00"/>
    <x v="2"/>
    <n v="84"/>
    <n v="863915"/>
    <n v="174728"/>
    <n v="863915"/>
    <n v="759330"/>
    <n v="738282"/>
    <x v="0"/>
    <n v="8.5000000000000006E-2"/>
    <n v="62753.97"/>
    <n v="0.878940636520954"/>
    <n v="10284.702380952382"/>
    <n v="2.7843338039011716"/>
  </r>
  <r>
    <s v="AMERICAN BUSINESS BANK"/>
    <s v="Los Angeles"/>
    <x v="0"/>
    <n v="90017"/>
    <d v="2019-09-30T00:00:00"/>
    <x v="0"/>
    <n v="195"/>
    <n v="2331644"/>
    <n v="114288"/>
    <n v="2331644"/>
    <n v="2130576"/>
    <n v="2099318"/>
    <x v="1"/>
    <n v="0.08"/>
    <n v="167945.44"/>
    <n v="0.91376556626997951"/>
    <n v="11957.148717948718"/>
    <n v="0.68050671694331211"/>
  </r>
  <r>
    <s v="AMERICAN BUSINESS BANK"/>
    <s v="Los Angeles"/>
    <x v="0"/>
    <n v="90071"/>
    <d v="2020-09-30T00:00:00"/>
    <x v="1"/>
    <n v="193"/>
    <n v="3321380"/>
    <n v="134446"/>
    <n v="3321380"/>
    <n v="3085391"/>
    <n v="3048568"/>
    <x v="1"/>
    <n v="0.08"/>
    <n v="243885.44"/>
    <n v="0.92894850935454543"/>
    <n v="17209.222797927461"/>
    <n v="0.55126702110630299"/>
  </r>
  <r>
    <s v="AMERICAN BUSINESS BANK"/>
    <s v="Los Angeles"/>
    <x v="0"/>
    <n v="90071"/>
    <d v="2021-09-30T00:00:00"/>
    <x v="2"/>
    <n v="202"/>
    <n v="3902852"/>
    <n v="378410"/>
    <n v="3902852"/>
    <n v="3629328"/>
    <n v="3590892"/>
    <x v="1"/>
    <n v="0.08"/>
    <n v="287271.36"/>
    <n v="0.92991689154495227"/>
    <n v="19321.049504950493"/>
    <n v="1.3172562694728776"/>
  </r>
  <r>
    <s v="AMERICAN COMMERCIAL BANK &amp; TRUST, NATIONAL ASSOCIATION"/>
    <s v="Ottawa"/>
    <x v="1"/>
    <n v="61350"/>
    <d v="2021-09-30T00:00:00"/>
    <x v="2"/>
    <n v="135"/>
    <n v="993267"/>
    <n v="83710"/>
    <n v="993267"/>
    <n v="905190"/>
    <n v="870734"/>
    <x v="0"/>
    <n v="0.08"/>
    <n v="69658.720000000001"/>
    <n v="0.91132595767301239"/>
    <n v="7357.5333333333338"/>
    <n v="1.2017160234928232"/>
  </r>
  <r>
    <s v="AMERICAN COMMUNITY BANK"/>
    <s v="Glen Cove"/>
    <x v="2"/>
    <n v="11542"/>
    <d v="2019-09-30T00:00:00"/>
    <x v="0"/>
    <n v="37"/>
    <n v="225139"/>
    <n v="29663"/>
    <n v="225139"/>
    <n v="197388"/>
    <n v="191471"/>
    <x v="0"/>
    <n v="8.5000000000000006E-2"/>
    <n v="16275.035000000002"/>
    <n v="0.87673837051776904"/>
    <n v="6084.8378378378375"/>
    <n v="1.8226074475415872"/>
  </r>
  <r>
    <s v="AMERICAN COMMUNITY BANK"/>
    <s v="Glen Cove"/>
    <x v="2"/>
    <n v="11542"/>
    <d v="2020-09-30T00:00:00"/>
    <x v="1"/>
    <n v="38"/>
    <n v="238636"/>
    <n v="9519"/>
    <n v="238636"/>
    <n v="209758"/>
    <n v="198309"/>
    <x v="0"/>
    <n v="8.5000000000000006E-2"/>
    <n v="16856.264999999999"/>
    <n v="0.87898724417103868"/>
    <n v="6279.894736842105"/>
    <n v="0.56471584897366056"/>
  </r>
  <r>
    <s v="AMERICAN COMMUNITY BANK"/>
    <s v="Glen Cove"/>
    <x v="2"/>
    <n v="11542"/>
    <d v="2021-09-30T00:00:00"/>
    <x v="2"/>
    <n v="35"/>
    <n v="255238"/>
    <n v="48243"/>
    <n v="255238"/>
    <n v="223967"/>
    <n v="218209"/>
    <x v="0"/>
    <n v="8.5000000000000006E-2"/>
    <n v="18547.765000000003"/>
    <n v="0.87748297667275243"/>
    <n v="7292.5142857142855"/>
    <n v="2.6010141922759962"/>
  </r>
  <r>
    <s v="AMERICAN COMMUNITY BANK &amp; TRUST"/>
    <s v="Woodstock"/>
    <x v="1"/>
    <n v="60098"/>
    <d v="2019-09-30T00:00:00"/>
    <x v="0"/>
    <n v="61"/>
    <n v="580848"/>
    <n v="87102"/>
    <n v="580848"/>
    <n v="505184"/>
    <n v="502323"/>
    <x v="0"/>
    <n v="0.08"/>
    <n v="40185.840000000004"/>
    <n v="0.86973528358537866"/>
    <n v="9522.0983606557384"/>
    <n v="2.1674798884383155"/>
  </r>
  <r>
    <s v="AMERICAN COMMUNITY BANK &amp; TRUST"/>
    <s v="Woodstock"/>
    <x v="1"/>
    <n v="60098"/>
    <d v="2020-09-30T00:00:00"/>
    <x v="1"/>
    <n v="61"/>
    <n v="786025"/>
    <n v="59620"/>
    <n v="786025"/>
    <n v="708234"/>
    <n v="685489"/>
    <x v="0"/>
    <n v="0.08"/>
    <n v="54839.12"/>
    <n v="0.90103240991062628"/>
    <n v="12885.655737704918"/>
    <n v="1.0871801006288941"/>
  </r>
  <r>
    <s v="AMERICAN COMMUNITY BANK &amp; TRUST"/>
    <s v="Woodstock"/>
    <x v="1"/>
    <n v="60098"/>
    <d v="2021-09-30T00:00:00"/>
    <x v="2"/>
    <n v="69"/>
    <n v="861402"/>
    <n v="151776"/>
    <n v="861402"/>
    <n v="773200"/>
    <n v="766337"/>
    <x v="0"/>
    <n v="0.08"/>
    <n v="61306.96"/>
    <n v="0.89760646016610135"/>
    <n v="12484.08695652174"/>
    <n v="2.4756732351432857"/>
  </r>
  <r>
    <s v="AMERICAN CONTINENTAL BANK"/>
    <s v="City Of Industry"/>
    <x v="0"/>
    <n v="91748"/>
    <d v="2019-09-30T00:00:00"/>
    <x v="0"/>
    <n v="41"/>
    <n v="268311"/>
    <n v="23480"/>
    <n v="268311"/>
    <n v="233409"/>
    <n v="232130"/>
    <x v="0"/>
    <n v="0.09"/>
    <n v="20891.7"/>
    <n v="0.86991960821583914"/>
    <n v="6544.1707317073169"/>
    <n v="1.1238913061167832"/>
  </r>
  <r>
    <s v="AMERICAN CONTINENTAL BANK"/>
    <s v="City Of Industry"/>
    <x v="0"/>
    <n v="91748"/>
    <d v="2020-09-30T00:00:00"/>
    <x v="1"/>
    <n v="40"/>
    <n v="299231"/>
    <n v="61099"/>
    <n v="299231"/>
    <n v="262561"/>
    <n v="241394"/>
    <x v="0"/>
    <n v="0.09"/>
    <n v="21725.46"/>
    <n v="0.87745253666899481"/>
    <n v="7480.7749999999996"/>
    <n v="2.8123225008814545"/>
  </r>
  <r>
    <s v="AMERICAN CONTINENTAL BANK"/>
    <s v="City Of Industry"/>
    <x v="0"/>
    <n v="91748"/>
    <d v="2021-09-30T00:00:00"/>
    <x v="2"/>
    <n v="42"/>
    <n v="329488"/>
    <n v="93278"/>
    <n v="329488"/>
    <n v="289006"/>
    <n v="276892"/>
    <x v="0"/>
    <n v="0.09"/>
    <n v="24920.28"/>
    <n v="0.87713664837566163"/>
    <n v="7844.9523809523807"/>
    <n v="3.7430558565152561"/>
  </r>
  <r>
    <s v="AMERICAN EAGLE BANK"/>
    <s v="South Elgin"/>
    <x v="1"/>
    <n v="60177"/>
    <d v="2019-09-30T00:00:00"/>
    <x v="0"/>
    <n v="27"/>
    <n v="274254"/>
    <n v="42661"/>
    <n v="274254"/>
    <n v="252421"/>
    <n v="245882"/>
    <x v="0"/>
    <n v="0.08"/>
    <n v="19670.560000000001"/>
    <n v="0.92039131607925495"/>
    <n v="10157.555555555555"/>
    <n v="2.1687740460871474"/>
  </r>
  <r>
    <s v="AMERICAN EAGLE BANK"/>
    <s v="South Elgin"/>
    <x v="1"/>
    <n v="60177"/>
    <d v="2020-09-30T00:00:00"/>
    <x v="1"/>
    <n v="21"/>
    <n v="256806"/>
    <n v="17142"/>
    <n v="256806"/>
    <n v="233458"/>
    <n v="223869"/>
    <x v="0"/>
    <n v="0.08"/>
    <n v="17909.52"/>
    <n v="0.90908312111087752"/>
    <n v="12228.857142857143"/>
    <n v="0.95714458008924863"/>
  </r>
  <r>
    <s v="AMERICAN EAGLE BANK"/>
    <s v="South Elgin"/>
    <x v="1"/>
    <n v="60177"/>
    <d v="2021-09-30T00:00:00"/>
    <x v="2"/>
    <n v="28"/>
    <n v="357777"/>
    <n v="66697"/>
    <n v="357777"/>
    <n v="325971"/>
    <n v="315748"/>
    <x v="0"/>
    <n v="0.08"/>
    <n v="25259.84"/>
    <n v="0.91110104897743571"/>
    <n v="12777.75"/>
    <n v="2.6404363606420311"/>
  </r>
  <r>
    <s v="AMERICAN EAGLE BANK OF CHICAGO"/>
    <s v="Chicago"/>
    <x v="1"/>
    <n v="60647"/>
    <d v="2019-09-30T00:00:00"/>
    <x v="0"/>
    <n v="8"/>
    <n v="97208"/>
    <n v="12679"/>
    <n v="97208"/>
    <n v="87265"/>
    <n v="86169"/>
    <x v="2"/>
    <n v="0.09"/>
    <n v="7755.21"/>
    <n v="0.8977141799028886"/>
    <n v="12151"/>
    <n v="1.6349009246687065"/>
  </r>
  <r>
    <s v="AMERICAN EAGLE BANK OF CHICAGO"/>
    <s v="Chicago"/>
    <x v="1"/>
    <n v="60647"/>
    <d v="2020-09-30T00:00:00"/>
    <x v="1"/>
    <n v="6"/>
    <n v="87543"/>
    <n v="17775"/>
    <n v="87543"/>
    <n v="77994"/>
    <n v="73220"/>
    <x v="2"/>
    <n v="0.09"/>
    <n v="6589.8"/>
    <n v="0.89092217538809504"/>
    <n v="14590.5"/>
    <n v="2.6973504506965309"/>
  </r>
  <r>
    <s v="AMERICAN METRO BANK"/>
    <s v="Chicago"/>
    <x v="1"/>
    <n v="60640"/>
    <d v="2019-09-30T00:00:00"/>
    <x v="0"/>
    <n v="19"/>
    <n v="81415"/>
    <n v="13730"/>
    <n v="81415"/>
    <n v="72667"/>
    <n v="67119"/>
    <x v="2"/>
    <n v="0.09"/>
    <n v="6040.71"/>
    <n v="0.89255051280476572"/>
    <n v="4285"/>
    <n v="2.2729116279377757"/>
  </r>
  <r>
    <s v="AMERICAN METRO BANK"/>
    <s v="Chicago"/>
    <x v="1"/>
    <n v="60640"/>
    <d v="2020-09-30T00:00:00"/>
    <x v="1"/>
    <n v="15"/>
    <n v="85914"/>
    <n v="23505"/>
    <n v="85914"/>
    <n v="76709"/>
    <n v="67323"/>
    <x v="2"/>
    <n v="0.09"/>
    <n v="6059.07"/>
    <n v="0.89285797425332314"/>
    <n v="5727.6"/>
    <n v="3.8793082106659935"/>
  </r>
  <r>
    <s v="AMERICAN METRO BANK"/>
    <s v="Chicago"/>
    <x v="1"/>
    <n v="60640"/>
    <d v="2021-09-30T00:00:00"/>
    <x v="2"/>
    <n v="16"/>
    <n v="88081"/>
    <n v="24836"/>
    <n v="88081"/>
    <n v="78236"/>
    <n v="67924"/>
    <x v="2"/>
    <n v="0.09"/>
    <n v="6113.16"/>
    <n v="0.88822788115484608"/>
    <n v="5505.0625"/>
    <n v="4.0627106112059881"/>
  </r>
  <r>
    <s v="AMERICAN PLUS BANK, N.A."/>
    <s v="Arcadia"/>
    <x v="0"/>
    <n v="91007"/>
    <d v="2019-09-30T00:00:00"/>
    <x v="0"/>
    <n v="44"/>
    <n v="565881"/>
    <n v="14874"/>
    <n v="565881"/>
    <n v="486410"/>
    <n v="477394"/>
    <x v="0"/>
    <n v="0.09"/>
    <n v="42965.46"/>
    <n v="0.85956234614698146"/>
    <n v="12860.931818181818"/>
    <n v="0.3461850518998284"/>
  </r>
  <r>
    <s v="AMERICAN PLUS BANK, N.A."/>
    <s v="Arcadia"/>
    <x v="0"/>
    <n v="91007"/>
    <d v="2020-09-30T00:00:00"/>
    <x v="1"/>
    <n v="45"/>
    <n v="576256"/>
    <n v="19860"/>
    <n v="576256"/>
    <n v="490014"/>
    <n v="472199"/>
    <x v="0"/>
    <n v="0.09"/>
    <n v="42497.909999999996"/>
    <n v="0.85034082074633499"/>
    <n v="12805.68888888889"/>
    <n v="0.46731709865261611"/>
  </r>
  <r>
    <s v="AMERICAN PLUS BANK, N.A."/>
    <s v="Arcadia"/>
    <x v="0"/>
    <n v="91007"/>
    <d v="2021-09-30T00:00:00"/>
    <x v="2"/>
    <n v="44"/>
    <n v="584019"/>
    <n v="15147"/>
    <n v="584019"/>
    <n v="486338"/>
    <n v="481990"/>
    <x v="0"/>
    <n v="0.09"/>
    <n v="43379.1"/>
    <n v="0.83274345526429794"/>
    <n v="13273.15909090909"/>
    <n v="0.34917736882507938"/>
  </r>
  <r>
    <s v="AMERICAN RIVER BANK"/>
    <s v="Sacramento"/>
    <x v="0"/>
    <n v="95815"/>
    <d v="2019-09-30T00:00:00"/>
    <x v="0"/>
    <n v="104"/>
    <n v="721743"/>
    <n v="29489"/>
    <n v="721742"/>
    <n v="638248"/>
    <n v="612957"/>
    <x v="0"/>
    <n v="0.09"/>
    <n v="55166.13"/>
    <n v="0.88431477686655779"/>
    <n v="6939.8365384615381"/>
    <n v="0.53454900679094219"/>
  </r>
  <r>
    <s v="AMERICAN RIVER BANK"/>
    <s v="Sacramento"/>
    <x v="0"/>
    <n v="95815"/>
    <d v="2020-09-30T00:00:00"/>
    <x v="1"/>
    <n v="101"/>
    <n v="858463"/>
    <n v="73351"/>
    <n v="858463"/>
    <n v="766122"/>
    <n v="728925"/>
    <x v="0"/>
    <n v="0.09"/>
    <n v="65603.25"/>
    <n v="0.89243450212763975"/>
    <n v="8499.6336633663359"/>
    <n v="1.1181000941264343"/>
  </r>
  <r>
    <s v="AMERICAN RIVIERA BANK"/>
    <s v="Santa Barbara"/>
    <x v="0"/>
    <n v="93101"/>
    <d v="2019-09-30T00:00:00"/>
    <x v="0"/>
    <n v="112"/>
    <n v="697342"/>
    <n v="79101"/>
    <n v="697343"/>
    <n v="622801"/>
    <n v="603276"/>
    <x v="0"/>
    <n v="0.09"/>
    <n v="54294.84"/>
    <n v="0.89310696903384568"/>
    <n v="6226.2678571428569"/>
    <n v="1.4568787752206287"/>
  </r>
  <r>
    <s v="AMERICAN RIVIERA BANK"/>
    <s v="Santa Barbara"/>
    <x v="0"/>
    <n v="93101"/>
    <d v="2020-09-30T00:00:00"/>
    <x v="1"/>
    <n v="117"/>
    <n v="930169"/>
    <n v="106335"/>
    <n v="930169"/>
    <n v="848068"/>
    <n v="828805"/>
    <x v="0"/>
    <n v="0.09"/>
    <n v="74592.45"/>
    <n v="0.91173539432081696"/>
    <n v="7950.1623931623935"/>
    <n v="1.4255464192421619"/>
  </r>
  <r>
    <s v="AMERICAN RIVIERA BANK"/>
    <s v="Santa Barbara"/>
    <x v="0"/>
    <n v="93101"/>
    <d v="2021-09-30T00:00:00"/>
    <x v="2"/>
    <n v="116"/>
    <n v="1218275"/>
    <n v="262964"/>
    <n v="1218275"/>
    <n v="1124456"/>
    <n v="1115678"/>
    <x v="1"/>
    <n v="0.08"/>
    <n v="89254.24"/>
    <n v="0.92299029365291085"/>
    <n v="10502.370689655172"/>
    <n v="2.9462353833274473"/>
  </r>
  <r>
    <s v="ANCHOR STATE BANK"/>
    <s v="Anchor"/>
    <x v="1"/>
    <n v="61720"/>
    <d v="2019-09-30T00:00:00"/>
    <x v="0"/>
    <n v="3"/>
    <n v="16259"/>
    <n v="3780"/>
    <n v="16259"/>
    <n v="14333"/>
    <n v="14251"/>
    <x v="2"/>
    <n v="0.09"/>
    <n v="1282.5899999999999"/>
    <n v="0.88154253029091578"/>
    <n v="5419.666666666667"/>
    <n v="2.947161602694548"/>
  </r>
  <r>
    <s v="ANCHOR STATE BANK"/>
    <s v="Anchor"/>
    <x v="1"/>
    <n v="61720"/>
    <d v="2020-09-30T00:00:00"/>
    <x v="1"/>
    <n v="4"/>
    <n v="25690"/>
    <n v="4048"/>
    <n v="25690"/>
    <n v="20964"/>
    <n v="14530"/>
    <x v="2"/>
    <n v="0.09"/>
    <n v="1307.7"/>
    <n v="0.81603736862592446"/>
    <n v="6422.5"/>
    <n v="3.0955112028752771"/>
  </r>
  <r>
    <s v="ANCHOR STATE BANK"/>
    <s v="Anchor"/>
    <x v="1"/>
    <n v="61720"/>
    <d v="2021-09-30T00:00:00"/>
    <x v="2"/>
    <n v="6"/>
    <n v="31463"/>
    <n v="2966"/>
    <n v="31463"/>
    <n v="26525"/>
    <n v="21527"/>
    <x v="2"/>
    <n v="0.09"/>
    <n v="1937.4299999999998"/>
    <n v="0.84305374566951663"/>
    <n v="5243.833333333333"/>
    <n v="1.5308940193968299"/>
  </r>
  <r>
    <s v="ANDERSON STATE BANK"/>
    <s v="Oneida"/>
    <x v="1"/>
    <n v="61467"/>
    <d v="2019-09-30T00:00:00"/>
    <x v="0"/>
    <n v="8"/>
    <n v="89610"/>
    <n v="21575"/>
    <n v="89610"/>
    <n v="75820"/>
    <n v="75608"/>
    <x v="2"/>
    <n v="0.09"/>
    <n v="6804.7199999999993"/>
    <n v="0.84611092511996433"/>
    <n v="11201.25"/>
    <n v="3.170593352849199"/>
  </r>
  <r>
    <s v="ANDERSON STATE BANK"/>
    <s v="Oneida"/>
    <x v="1"/>
    <n v="61467"/>
    <d v="2020-09-30T00:00:00"/>
    <x v="1"/>
    <n v="8"/>
    <n v="97381"/>
    <n v="23189"/>
    <n v="97380"/>
    <n v="82241"/>
    <n v="82031"/>
    <x v="2"/>
    <n v="0.09"/>
    <n v="7382.79"/>
    <n v="0.8445281933847465"/>
    <n v="12172.625"/>
    <n v="3.1409534877735923"/>
  </r>
  <r>
    <s v="ANDERSON STATE BANK"/>
    <s v="Oneida"/>
    <x v="1"/>
    <n v="61467"/>
    <d v="2021-09-30T00:00:00"/>
    <x v="2"/>
    <n v="8"/>
    <n v="105211"/>
    <n v="18225"/>
    <n v="105211"/>
    <n v="89799"/>
    <n v="89625"/>
    <x v="0"/>
    <n v="0.08"/>
    <n v="7170"/>
    <n v="0.85351341589757723"/>
    <n v="13151.375"/>
    <n v="2.5418410041841004"/>
  </r>
  <r>
    <s v="ANNA STATE BANK"/>
    <s v="Anna"/>
    <x v="1"/>
    <n v="62906"/>
    <d v="2019-09-30T00:00:00"/>
    <x v="0"/>
    <n v="19"/>
    <n v="83705"/>
    <n v="8478"/>
    <n v="83705"/>
    <n v="70482"/>
    <n v="70353"/>
    <x v="2"/>
    <n v="0.09"/>
    <n v="6331.7699999999995"/>
    <n v="0.84202855265515797"/>
    <n v="4405.5263157894733"/>
    <n v="1.3389620911688203"/>
  </r>
  <r>
    <s v="ANNA STATE BANK"/>
    <s v="Anna"/>
    <x v="1"/>
    <n v="62906"/>
    <d v="2020-09-30T00:00:00"/>
    <x v="1"/>
    <n v="18"/>
    <n v="95599"/>
    <n v="7053"/>
    <n v="95599"/>
    <n v="82040"/>
    <n v="81958"/>
    <x v="2"/>
    <n v="0.09"/>
    <n v="7376.2199999999993"/>
    <n v="0.85816797246833121"/>
    <n v="5311.0555555555557"/>
    <n v="0.9561808080561589"/>
  </r>
  <r>
    <s v="ANNA STATE BANK"/>
    <s v="Anna"/>
    <x v="1"/>
    <n v="62906"/>
    <d v="2021-09-30T00:00:00"/>
    <x v="2"/>
    <n v="18"/>
    <n v="106462"/>
    <n v="5442"/>
    <n v="106462"/>
    <n v="92606"/>
    <n v="92535"/>
    <x v="0"/>
    <n v="0.08"/>
    <n v="7402.8"/>
    <n v="0.8698502752155699"/>
    <n v="5914.5555555555557"/>
    <n v="0.73512724914897065"/>
  </r>
  <r>
    <s v="APPLE BANK FOR SAVINGS"/>
    <s v="Manhasset"/>
    <x v="2"/>
    <n v="11030"/>
    <d v="2019-09-30T00:00:00"/>
    <x v="0"/>
    <n v="1117"/>
    <n v="15107686"/>
    <n v="613795"/>
    <n v="15107686"/>
    <n v="13786597"/>
    <n v="13175882"/>
    <x v="1"/>
    <n v="0.08"/>
    <n v="1054070.56"/>
    <n v="0.91255517224808613"/>
    <n v="13525.233661593555"/>
    <n v="0.58230921466965169"/>
  </r>
  <r>
    <s v="APPLE BANK FOR SAVINGS"/>
    <s v="New York"/>
    <x v="2"/>
    <n v="10168"/>
    <d v="2020-09-30T00:00:00"/>
    <x v="1"/>
    <n v="1232"/>
    <n v="16332133"/>
    <n v="1075074"/>
    <n v="16332133"/>
    <n v="14925690"/>
    <n v="14675353"/>
    <x v="1"/>
    <n v="0.08"/>
    <n v="1174028.24"/>
    <n v="0.91388491631803392"/>
    <n v="13256.601461038961"/>
    <n v="0.91571391843180872"/>
  </r>
  <r>
    <s v="APPLE BANK FOR SAVINGS"/>
    <s v="New York"/>
    <x v="2"/>
    <n v="10168"/>
    <d v="2021-09-30T00:00:00"/>
    <x v="2"/>
    <n v="1302"/>
    <n v="16123164"/>
    <n v="704205"/>
    <n v="16123164"/>
    <n v="14719878"/>
    <n v="14140051"/>
    <x v="1"/>
    <n v="0.08"/>
    <n v="1131204.08"/>
    <n v="0.91296460173697913"/>
    <n v="12383.382488479263"/>
    <n v="0.6225269272366839"/>
  </r>
  <r>
    <s v="APPLE RIVER STATE BANK"/>
    <s v="Apple River"/>
    <x v="1"/>
    <n v="61001"/>
    <d v="2019-09-30T00:00:00"/>
    <x v="0"/>
    <n v="56"/>
    <n v="360488"/>
    <n v="43144"/>
    <n v="360488"/>
    <n v="322590"/>
    <n v="298211"/>
    <x v="0"/>
    <n v="0.08"/>
    <n v="23856.880000000001"/>
    <n v="0.89487028694436432"/>
    <n v="6437.2857142857147"/>
    <n v="1.8084510631733905"/>
  </r>
  <r>
    <s v="APPLE RIVER STATE BANK"/>
    <s v="Apple River"/>
    <x v="1"/>
    <n v="61001"/>
    <d v="2020-09-30T00:00:00"/>
    <x v="1"/>
    <n v="58"/>
    <n v="448152"/>
    <n v="62314"/>
    <n v="448151"/>
    <n v="403529"/>
    <n v="359245"/>
    <x v="0"/>
    <n v="0.08"/>
    <n v="28739.600000000002"/>
    <n v="0.90042887234688229"/>
    <n v="7726.7586206896549"/>
    <n v="2.1682278111038427"/>
  </r>
  <r>
    <s v="APPLE RIVER STATE BANK"/>
    <s v="Apple River"/>
    <x v="1"/>
    <n v="61001"/>
    <d v="2021-09-30T00:00:00"/>
    <x v="2"/>
    <n v="61"/>
    <n v="526209"/>
    <n v="72472"/>
    <n v="526209"/>
    <n v="477747"/>
    <n v="427013"/>
    <x v="0"/>
    <n v="0.08"/>
    <n v="34161.040000000001"/>
    <n v="0.9079035136229141"/>
    <n v="8626.377049180328"/>
    <n v="2.1214810790303806"/>
  </r>
  <r>
    <s v="ARCOLA FIRST BANK"/>
    <s v="Arcola"/>
    <x v="1"/>
    <n v="61910"/>
    <d v="2019-09-30T00:00:00"/>
    <x v="0"/>
    <n v="16"/>
    <n v="111005"/>
    <n v="5785"/>
    <n v="111005"/>
    <n v="97796"/>
    <n v="95645"/>
    <x v="0"/>
    <n v="0.08"/>
    <n v="7651.6"/>
    <n v="0.88100536011891362"/>
    <n v="6937.8125"/>
    <n v="0.75605102200846874"/>
  </r>
  <r>
    <s v="ARCOLA FIRST BANK"/>
    <s v="Arcola"/>
    <x v="1"/>
    <n v="61910"/>
    <d v="2020-09-30T00:00:00"/>
    <x v="1"/>
    <n v="16"/>
    <n v="119365"/>
    <n v="2207"/>
    <n v="119365"/>
    <n v="104041"/>
    <n v="98795"/>
    <x v="0"/>
    <n v="0.08"/>
    <n v="7903.6"/>
    <n v="0.87162065932224686"/>
    <n v="7460.3125"/>
    <n v="0.27923984007287816"/>
  </r>
  <r>
    <s v="ARCOLA FIRST BANK"/>
    <s v="Arcola"/>
    <x v="1"/>
    <n v="61910"/>
    <d v="2021-09-30T00:00:00"/>
    <x v="2"/>
    <n v="16"/>
    <n v="130151"/>
    <n v="9417"/>
    <n v="130151"/>
    <n v="116059"/>
    <n v="113705"/>
    <x v="0"/>
    <n v="0.08"/>
    <n v="9096.4"/>
    <n v="0.89172576468870768"/>
    <n v="8134.4375"/>
    <n v="1.0352447121938351"/>
  </r>
  <r>
    <s v="ASIAN PACIFIC NATIONAL BANK"/>
    <s v="San Gabriel"/>
    <x v="0"/>
    <n v="91776"/>
    <d v="2019-09-30T00:00:00"/>
    <x v="0"/>
    <n v="13"/>
    <n v="55888"/>
    <n v="12598"/>
    <n v="55888"/>
    <n v="46101"/>
    <n v="45825"/>
    <x v="2"/>
    <n v="0.1"/>
    <n v="4582.5"/>
    <n v="0.82488190667048378"/>
    <n v="4299.0769230769229"/>
    <n v="2.7491543917075831"/>
  </r>
  <r>
    <s v="ASIAN PACIFIC NATIONAL BANK"/>
    <s v="San Gabriel"/>
    <x v="0"/>
    <n v="91776"/>
    <d v="2020-09-30T00:00:00"/>
    <x v="1"/>
    <n v="13"/>
    <n v="58573"/>
    <n v="28053"/>
    <n v="58573"/>
    <n v="48599"/>
    <n v="48442"/>
    <x v="2"/>
    <n v="0.1"/>
    <n v="4844.2"/>
    <n v="0.82971676369658376"/>
    <n v="4505.6153846153848"/>
    <n v="5.7910490896329634"/>
  </r>
  <r>
    <s v="ASIAN PACIFIC NATIONAL BANK"/>
    <s v="San Gabriel"/>
    <x v="0"/>
    <n v="91776"/>
    <d v="2021-09-30T00:00:00"/>
    <x v="2"/>
    <n v="11"/>
    <n v="57398"/>
    <n v="21423"/>
    <n v="57398"/>
    <n v="47305"/>
    <n v="47249"/>
    <x v="2"/>
    <n v="0.1"/>
    <n v="4724.9000000000005"/>
    <n v="0.82415763615456983"/>
    <n v="5218"/>
    <n v="4.5340642129992164"/>
  </r>
  <r>
    <s v="ATHOL SAVINGS BANK"/>
    <s v="Athol"/>
    <x v="3"/>
    <n v="1331"/>
    <d v="2019-09-30T00:00:00"/>
    <x v="0"/>
    <n v="92"/>
    <n v="448485"/>
    <n v="12863"/>
    <n v="448485"/>
    <n v="388411"/>
    <n v="375923"/>
    <x v="0"/>
    <n v="8.5000000000000006E-2"/>
    <n v="31953.455000000002"/>
    <n v="0.86605126146916844"/>
    <n v="4874.836956521739"/>
    <n v="0.4025542777768476"/>
  </r>
  <r>
    <s v="ATHOL SAVINGS BANK"/>
    <s v="Athol"/>
    <x v="3"/>
    <n v="1331"/>
    <d v="2020-09-30T00:00:00"/>
    <x v="1"/>
    <n v="79"/>
    <n v="506772"/>
    <n v="48918"/>
    <n v="506772"/>
    <n v="444112"/>
    <n v="432981"/>
    <x v="0"/>
    <n v="8.5000000000000006E-2"/>
    <n v="36803.385000000002"/>
    <n v="0.87635465258538359"/>
    <n v="6414.835443037975"/>
    <n v="1.3291712161802507"/>
  </r>
  <r>
    <s v="ATHOL SAVINGS BANK"/>
    <s v="Athol"/>
    <x v="3"/>
    <n v="1331"/>
    <d v="2021-09-30T00:00:00"/>
    <x v="2"/>
    <n v="81"/>
    <n v="539880"/>
    <n v="41331"/>
    <n v="539880"/>
    <n v="473012"/>
    <n v="468865"/>
    <x v="0"/>
    <n v="8.5000000000000006E-2"/>
    <n v="39853.525000000001"/>
    <n v="0.8761428465584945"/>
    <n v="6665.1851851851852"/>
    <n v="1.0370726303382198"/>
  </r>
  <r>
    <s v="AVIDBANK"/>
    <s v="San Jose"/>
    <x v="0"/>
    <n v="95112"/>
    <d v="2019-09-30T00:00:00"/>
    <x v="0"/>
    <n v="107"/>
    <n v="1112372"/>
    <n v="114829"/>
    <n v="1112372"/>
    <n v="996017"/>
    <n v="894490"/>
    <x v="1"/>
    <n v="0.08"/>
    <n v="71559.199999999997"/>
    <n v="0.89539920098672032"/>
    <n v="10396"/>
    <n v="1.6046713769857686"/>
  </r>
  <r>
    <s v="AVIDBANK"/>
    <s v="San Jose"/>
    <x v="0"/>
    <n v="95112"/>
    <d v="2020-09-30T00:00:00"/>
    <x v="1"/>
    <n v="126"/>
    <n v="1441008"/>
    <n v="348652"/>
    <n v="1441008"/>
    <n v="1308479"/>
    <n v="1280356"/>
    <x v="1"/>
    <n v="0.08"/>
    <n v="102428.48"/>
    <n v="0.90803035097653861"/>
    <n v="11436.571428571429"/>
    <n v="3.4038579894966712"/>
  </r>
  <r>
    <s v="AVIDBANK"/>
    <s v="San Jose"/>
    <x v="0"/>
    <n v="95112"/>
    <d v="2021-09-30T00:00:00"/>
    <x v="2"/>
    <n v="126"/>
    <n v="1824852"/>
    <n v="413244"/>
    <n v="1824852"/>
    <n v="1675585"/>
    <n v="1651948"/>
    <x v="1"/>
    <n v="0.08"/>
    <n v="132155.84"/>
    <n v="0.91820322963177292"/>
    <n v="14482.952380952382"/>
    <n v="3.1269446738032918"/>
  </r>
  <r>
    <s v="AVIDIA BANK"/>
    <s v="Hudson"/>
    <x v="3"/>
    <n v="1749"/>
    <d v="2019-09-30T00:00:00"/>
    <x v="0"/>
    <n v="243"/>
    <n v="1659926"/>
    <n v="66277"/>
    <n v="1659926"/>
    <n v="1486798"/>
    <n v="1414733"/>
    <x v="1"/>
    <n v="0.08"/>
    <n v="113178.64"/>
    <n v="0.89570137463959232"/>
    <n v="6830.9711934156376"/>
    <n v="0.5855963634127429"/>
  </r>
  <r>
    <s v="AVIDIA BANK"/>
    <s v="Hudson"/>
    <x v="3"/>
    <n v="1749"/>
    <d v="2020-09-30T00:00:00"/>
    <x v="1"/>
    <n v="247"/>
    <n v="2005233"/>
    <n v="95298"/>
    <n v="2005233"/>
    <n v="1817055"/>
    <n v="1764877"/>
    <x v="1"/>
    <n v="0.08"/>
    <n v="141190.16"/>
    <n v="0.90615654140940227"/>
    <n v="8118.3522267206481"/>
    <n v="0.67496205117977059"/>
  </r>
  <r>
    <s v="AVIDIA BANK"/>
    <s v="Hudson"/>
    <x v="3"/>
    <n v="1749"/>
    <d v="2021-09-30T00:00:00"/>
    <x v="2"/>
    <n v="256"/>
    <n v="2316345"/>
    <n v="230364"/>
    <n v="2316345"/>
    <n v="2115461"/>
    <n v="2062787"/>
    <x v="1"/>
    <n v="0.08"/>
    <n v="165022.96"/>
    <n v="0.91327544040287612"/>
    <n v="9048.22265625"/>
    <n v="1.3959512058200871"/>
  </r>
  <r>
    <s v="AXOS BANK"/>
    <s v="San Diego"/>
    <x v="0"/>
    <n v="92122"/>
    <d v="2019-09-30T00:00:00"/>
    <x v="0"/>
    <n v="1021"/>
    <n v="10877719"/>
    <n v="564963"/>
    <n v="10877719"/>
    <n v="9842923"/>
    <n v="9254495"/>
    <x v="1"/>
    <n v="0.08"/>
    <n v="740359.6"/>
    <n v="0.90487012948210921"/>
    <n v="10653.985308521058"/>
    <n v="0.76309269171359428"/>
  </r>
  <r>
    <s v="AXOS BANK"/>
    <s v="San Diego"/>
    <x v="0"/>
    <n v="92122"/>
    <d v="2020-09-30T00:00:00"/>
    <x v="1"/>
    <n v="962"/>
    <n v="12426062"/>
    <n v="891769"/>
    <n v="12426063"/>
    <n v="11276535"/>
    <n v="10755592"/>
    <x v="1"/>
    <n v="0.08"/>
    <n v="860447.36"/>
    <n v="0.90749064345566599"/>
    <n v="12916.904365904365"/>
    <n v="1.0364015760359822"/>
  </r>
  <r>
    <s v="AXOS BANK"/>
    <s v="San Diego"/>
    <x v="0"/>
    <n v="92122"/>
    <d v="2021-09-30T00:00:00"/>
    <x v="2"/>
    <n v="1003"/>
    <n v="13471668"/>
    <n v="966300"/>
    <n v="13471668"/>
    <n v="12124972"/>
    <n v="11825657"/>
    <x v="1"/>
    <n v="0.08"/>
    <n v="946052.56"/>
    <n v="0.90003494741705337"/>
    <n v="13431.373878364906"/>
    <n v="1.0214020244287483"/>
  </r>
  <r>
    <s v="BAC COMMUNITY BANK"/>
    <s v="Stockton"/>
    <x v="0"/>
    <n v="95202"/>
    <d v="2019-09-30T00:00:00"/>
    <x v="0"/>
    <n v="107"/>
    <n v="644987"/>
    <n v="34631"/>
    <n v="644987"/>
    <n v="575824"/>
    <n v="569704"/>
    <x v="0"/>
    <n v="0.09"/>
    <n v="51273.36"/>
    <n v="0.89276838137822934"/>
    <n v="6027.9158878504677"/>
    <n v="0.67541897000703677"/>
  </r>
  <r>
    <s v="BAC COMMUNITY BANK"/>
    <s v="Stockton"/>
    <x v="0"/>
    <n v="95202"/>
    <d v="2020-09-30T00:00:00"/>
    <x v="1"/>
    <n v="113"/>
    <n v="755920"/>
    <n v="30812"/>
    <n v="755920"/>
    <n v="679419"/>
    <n v="662739"/>
    <x v="0"/>
    <n v="0.09"/>
    <n v="59646.509999999995"/>
    <n v="0.89879749179807389"/>
    <n v="6689.5575221238942"/>
    <n v="0.51657674522784325"/>
  </r>
  <r>
    <s v="BAC COMMUNITY BANK"/>
    <s v="Stockton"/>
    <x v="0"/>
    <n v="95202"/>
    <d v="2021-09-30T00:00:00"/>
    <x v="2"/>
    <n v="112"/>
    <n v="809920"/>
    <n v="49953"/>
    <n v="809920"/>
    <n v="732073"/>
    <n v="724727"/>
    <x v="0"/>
    <n v="0.09"/>
    <n v="65225.43"/>
    <n v="0.90388309956538915"/>
    <n v="7231.4285714285716"/>
    <n v="0.76585160113164452"/>
  </r>
  <r>
    <s v="BALBOA THRIFT AND LOAN ASSOCIATION"/>
    <s v="Chula Vista"/>
    <x v="0"/>
    <n v="91910"/>
    <d v="2019-09-30T00:00:00"/>
    <x v="0"/>
    <n v="86"/>
    <n v="324998"/>
    <n v="21816"/>
    <n v="324998"/>
    <n v="284443"/>
    <n v="283471"/>
    <x v="0"/>
    <n v="0.09"/>
    <n v="25512.39"/>
    <n v="0.87521461670533363"/>
    <n v="3779.046511627907"/>
    <n v="0.8551139269978234"/>
  </r>
  <r>
    <s v="BALBOA THRIFT AND LOAN ASSOCIATION"/>
    <s v="Chula Vista"/>
    <x v="0"/>
    <n v="91910"/>
    <d v="2020-09-30T00:00:00"/>
    <x v="1"/>
    <n v="88"/>
    <n v="331663"/>
    <n v="28562"/>
    <n v="331663"/>
    <n v="288243"/>
    <n v="287040"/>
    <x v="0"/>
    <n v="0.09"/>
    <n v="25833.599999999999"/>
    <n v="0.86908397982289254"/>
    <n v="3768.8977272727275"/>
    <n v="1.105614393657872"/>
  </r>
  <r>
    <s v="BALBOA THRIFT AND LOAN ASSOCIATION"/>
    <s v="Chula Vista"/>
    <x v="0"/>
    <n v="91910"/>
    <d v="2021-09-30T00:00:00"/>
    <x v="2"/>
    <n v="89"/>
    <n v="320343"/>
    <n v="35178"/>
    <n v="320343"/>
    <n v="272078"/>
    <n v="271334"/>
    <x v="0"/>
    <n v="0.09"/>
    <n v="24420.059999999998"/>
    <n v="0.84933337079318105"/>
    <n v="3599.3595505617977"/>
    <n v="1.4405370011375895"/>
  </r>
  <r>
    <s v="BALLSTON SPA NATIONAL BANK"/>
    <s v="Ballston Spa"/>
    <x v="2"/>
    <n v="12020"/>
    <d v="2019-09-30T00:00:00"/>
    <x v="0"/>
    <n v="120"/>
    <n v="577165"/>
    <n v="24644"/>
    <n v="577165"/>
    <n v="526318"/>
    <n v="504959"/>
    <x v="0"/>
    <n v="8.5000000000000006E-2"/>
    <n v="42921.515000000007"/>
    <n v="0.91190214236830025"/>
    <n v="4809.708333333333"/>
    <n v="0.57416426237517471"/>
  </r>
  <r>
    <s v="BALLSTON SPA NATIONAL BANK"/>
    <s v="Ballston Spa"/>
    <x v="2"/>
    <n v="12020"/>
    <d v="2020-09-30T00:00:00"/>
    <x v="1"/>
    <n v="116"/>
    <n v="667311"/>
    <n v="72120"/>
    <n v="667311"/>
    <n v="611932"/>
    <n v="587910"/>
    <x v="0"/>
    <n v="8.5000000000000006E-2"/>
    <n v="49972.350000000006"/>
    <n v="0.9170117081840401"/>
    <n v="5752.6810344827591"/>
    <n v="1.4431980885429641"/>
  </r>
  <r>
    <s v="BALLSTON SPA NATIONAL BANK"/>
    <s v="Ballston Spa"/>
    <x v="2"/>
    <n v="12020"/>
    <d v="2021-09-30T00:00:00"/>
    <x v="2"/>
    <n v="119"/>
    <n v="760631"/>
    <n v="132745"/>
    <n v="760631"/>
    <n v="701109"/>
    <n v="681116"/>
    <x v="0"/>
    <n v="8.5000000000000006E-2"/>
    <n v="57894.86"/>
    <n v="0.92174654990396132"/>
    <n v="6391.8571428571431"/>
    <n v="2.2928633042726072"/>
  </r>
  <r>
    <s v="BANC OF CALIFORNIA, NATIONAL ASSOCIATION"/>
    <s v="Santa Ana"/>
    <x v="0"/>
    <n v="92707"/>
    <d v="2019-09-30T00:00:00"/>
    <x v="0"/>
    <n v="693"/>
    <n v="8598754"/>
    <n v="526874"/>
    <n v="8598754"/>
    <n v="7618753"/>
    <n v="5856734"/>
    <x v="1"/>
    <n v="0.08"/>
    <n v="468538.72000000003"/>
    <n v="0.88602988293420182"/>
    <n v="12408.014430014429"/>
    <n v="1.1245047154267207"/>
  </r>
  <r>
    <s v="BANC OF CALIFORNIA, NATIONAL ASSOCIATION"/>
    <s v="Santa Ana"/>
    <x v="0"/>
    <n v="92707"/>
    <d v="2020-09-30T00:00:00"/>
    <x v="1"/>
    <n v="613"/>
    <n v="7725308"/>
    <n v="292490"/>
    <n v="7725308"/>
    <n v="6741988"/>
    <n v="6085896"/>
    <x v="1"/>
    <n v="0.08"/>
    <n v="486871.68"/>
    <n v="0.87271446005777376"/>
    <n v="12602.460032626428"/>
    <n v="0.6007537756149629"/>
  </r>
  <r>
    <s v="BANC OF CALIFORNIA, NATIONAL ASSOCIATION"/>
    <s v="Santa Ana"/>
    <x v="0"/>
    <n v="92707"/>
    <d v="2021-09-30T00:00:00"/>
    <x v="2"/>
    <n v="598"/>
    <n v="8272546"/>
    <n v="185840"/>
    <n v="8272546"/>
    <n v="7243280"/>
    <n v="6598009"/>
    <x v="1"/>
    <n v="0.08"/>
    <n v="527840.72"/>
    <n v="0.87558050447830693"/>
    <n v="13833.688963210703"/>
    <n v="0.352075906534835"/>
  </r>
  <r>
    <s v="BANK &amp; TRUST COMPANY"/>
    <s v="Litchfield"/>
    <x v="1"/>
    <n v="62056"/>
    <d v="2019-09-30T00:00:00"/>
    <x v="0"/>
    <n v="87"/>
    <n v="341286"/>
    <n v="9678"/>
    <n v="341286"/>
    <n v="305089"/>
    <n v="288033"/>
    <x v="0"/>
    <n v="0.08"/>
    <n v="23042.639999999999"/>
    <n v="0.89393939393939392"/>
    <n v="3922.8275862068967"/>
    <n v="0.42000395787982631"/>
  </r>
  <r>
    <s v="BANK &amp; TRUST COMPANY"/>
    <s v="Litchfield"/>
    <x v="1"/>
    <n v="62056"/>
    <d v="2020-09-30T00:00:00"/>
    <x v="1"/>
    <n v="85"/>
    <n v="397134"/>
    <n v="18490"/>
    <n v="397134"/>
    <n v="357293"/>
    <n v="333808"/>
    <x v="0"/>
    <n v="0.08"/>
    <n v="26704.639999999999"/>
    <n v="0.89967869787024024"/>
    <n v="4672.1647058823528"/>
    <n v="0.69238903800987395"/>
  </r>
  <r>
    <s v="BANK &amp; TRUST COMPANY"/>
    <s v="Litchfield"/>
    <x v="1"/>
    <n v="62056"/>
    <d v="2021-09-30T00:00:00"/>
    <x v="2"/>
    <n v="82"/>
    <n v="414054"/>
    <n v="16727"/>
    <n v="414054"/>
    <n v="371748"/>
    <n v="346666"/>
    <x v="0"/>
    <n v="0.08"/>
    <n v="27733.279999999999"/>
    <n v="0.89782492138706549"/>
    <n v="5049.4390243902435"/>
    <n v="0.60313817911188294"/>
  </r>
  <r>
    <s v="BANK HAPOALIM B.M."/>
    <s v="New York"/>
    <x v="2"/>
    <n v="10036"/>
    <d v="2019-09-30T00:00:00"/>
    <x v="0"/>
    <n v="800"/>
    <n v="6931671"/>
    <n v="2377672"/>
    <n v="6931671"/>
    <n v="6931671"/>
    <n v="2858951"/>
    <x v="1"/>
    <n v="0.08"/>
    <n v="228716.08000000002"/>
    <n v="1"/>
    <n v="8664.5887500000008"/>
    <n v="10.395736058435418"/>
  </r>
  <r>
    <s v="BANK HAPOALIM B.M."/>
    <s v="New York"/>
    <x v="2"/>
    <n v="10036"/>
    <d v="2020-09-30T00:00:00"/>
    <x v="1"/>
    <n v="456"/>
    <n v="7712438"/>
    <n v="2807420"/>
    <n v="7712438"/>
    <n v="7712438"/>
    <n v="3383785"/>
    <x v="1"/>
    <n v="0.08"/>
    <n v="270702.8"/>
    <n v="1"/>
    <n v="16913.241228070176"/>
    <n v="10.370856895458784"/>
  </r>
  <r>
    <s v="BANK HAPOALIM B.M."/>
    <s v="New York"/>
    <x v="2"/>
    <n v="10036"/>
    <d v="2021-09-30T00:00:00"/>
    <x v="2"/>
    <n v="880"/>
    <n v="9122658"/>
    <n v="3374365"/>
    <n v="9122658"/>
    <n v="9122658"/>
    <n v="4130765"/>
    <x v="1"/>
    <n v="0.08"/>
    <n v="330461.2"/>
    <n v="1"/>
    <n v="10366.656818181818"/>
    <n v="10.2110777301541"/>
  </r>
  <r>
    <s v="BANK LEUMI USA"/>
    <s v="New York"/>
    <x v="2"/>
    <n v="10017"/>
    <d v="2019-09-30T00:00:00"/>
    <x v="0"/>
    <n v="457"/>
    <n v="6808523"/>
    <n v="154029"/>
    <n v="6808523"/>
    <n v="5962622"/>
    <n v="5494271"/>
    <x v="1"/>
    <n v="0.08"/>
    <n v="439541.68"/>
    <n v="0.87575851620094403"/>
    <n v="14898.299781181619"/>
    <n v="0.35043093069126002"/>
  </r>
  <r>
    <s v="BANK LEUMI USA"/>
    <s v="New York"/>
    <x v="2"/>
    <n v="10017"/>
    <d v="2020-09-30T00:00:00"/>
    <x v="1"/>
    <n v="466"/>
    <n v="7351872"/>
    <n v="235586"/>
    <n v="7351872"/>
    <n v="6499940"/>
    <n v="6183056"/>
    <x v="1"/>
    <n v="0.08"/>
    <n v="494644.47999999998"/>
    <n v="0.88412039817885835"/>
    <n v="15776.549356223177"/>
    <n v="0.47627338325902274"/>
  </r>
  <r>
    <s v="BANK LEUMI USA"/>
    <s v="New York"/>
    <x v="2"/>
    <n v="10017"/>
    <d v="2021-09-30T00:00:00"/>
    <x v="2"/>
    <n v="478"/>
    <n v="7970895"/>
    <n v="407722"/>
    <n v="7970895"/>
    <n v="7074373"/>
    <n v="6770733"/>
    <x v="1"/>
    <n v="0.08"/>
    <n v="541658.64"/>
    <n v="0.88752555390580357"/>
    <n v="16675.512552301254"/>
    <n v="0.7527286927427207"/>
  </r>
  <r>
    <s v="BANK OF AKRON"/>
    <s v="Akron"/>
    <x v="2"/>
    <n v="14001"/>
    <d v="2019-09-30T00:00:00"/>
    <x v="0"/>
    <n v="76"/>
    <n v="388877"/>
    <n v="25885"/>
    <n v="388877"/>
    <n v="350458"/>
    <n v="339733"/>
    <x v="0"/>
    <n v="8.5000000000000006E-2"/>
    <n v="28877.305"/>
    <n v="0.90120526541811419"/>
    <n v="5116.8026315789475"/>
    <n v="0.89637866137439071"/>
  </r>
  <r>
    <s v="BANK OF AMERICA CALIFORNIA, NATIONAL ASSOCIATION"/>
    <s v="San Francisco"/>
    <x v="0"/>
    <n v="94104"/>
    <d v="2019-09-30T00:00:00"/>
    <x v="0"/>
    <n v="1300"/>
    <n v="13363000"/>
    <n v="3019000"/>
    <n v="13363000"/>
    <n v="11382000"/>
    <n v="10828000"/>
    <x v="1"/>
    <n v="0.08"/>
    <n v="866240"/>
    <n v="0.85175484546883184"/>
    <n v="10279.23076923077"/>
    <n v="3.4851773180642778"/>
  </r>
  <r>
    <s v="BANK OF AMERICA CALIFORNIA, NATIONAL ASSOCIATION"/>
    <s v="San Francisco"/>
    <x v="0"/>
    <n v="94104"/>
    <d v="2020-09-30T00:00:00"/>
    <x v="1"/>
    <n v="1305"/>
    <n v="22254000"/>
    <n v="14284000"/>
    <n v="22254000"/>
    <n v="20170000"/>
    <n v="19621000"/>
    <x v="1"/>
    <n v="0.08"/>
    <n v="1569680"/>
    <n v="0.90635391390311859"/>
    <n v="17052.873563218393"/>
    <n v="9.0999439376178586"/>
  </r>
  <r>
    <s v="BANK OF AMERICA CALIFORNIA, NATIONAL ASSOCIATION"/>
    <s v="San Francisco"/>
    <x v="0"/>
    <n v="94104"/>
    <d v="2021-09-30T00:00:00"/>
    <x v="2"/>
    <n v="1360"/>
    <n v="26632000"/>
    <n v="12838000"/>
    <n v="26632000"/>
    <n v="24440000"/>
    <n v="24164000"/>
    <x v="1"/>
    <n v="0.08"/>
    <n v="1933120"/>
    <n v="0.91769300090117156"/>
    <n v="19582.352941176472"/>
    <n v="6.6410776361529544"/>
  </r>
  <r>
    <s v="BANK OF BARODA"/>
    <s v="New York"/>
    <x v="2"/>
    <n v="10016"/>
    <d v="2019-09-30T00:00:00"/>
    <x v="0"/>
    <n v="1101"/>
    <n v="10857592"/>
    <n v="3329031"/>
    <n v="10857592"/>
    <n v="10857592"/>
    <n v="5264805"/>
    <x v="1"/>
    <n v="0.08"/>
    <n v="421184.4"/>
    <n v="1"/>
    <n v="9861.5731153496818"/>
    <n v="7.9039750759999654"/>
  </r>
  <r>
    <s v="BANK OF BARODA"/>
    <s v="New York"/>
    <x v="2"/>
    <n v="10016"/>
    <d v="2020-09-30T00:00:00"/>
    <x v="1"/>
    <n v="1132"/>
    <n v="12433259"/>
    <n v="6209027"/>
    <n v="12433259"/>
    <n v="12433259"/>
    <n v="5603890"/>
    <x v="1"/>
    <n v="0.08"/>
    <n v="448311.2"/>
    <n v="1"/>
    <n v="10983.444346289753"/>
    <n v="13.849814593077308"/>
  </r>
  <r>
    <s v="BANK OF BARODA"/>
    <s v="New York"/>
    <x v="2"/>
    <n v="10016"/>
    <d v="2021-09-30T00:00:00"/>
    <x v="2"/>
    <n v="1350"/>
    <n v="10520020"/>
    <n v="5434730"/>
    <n v="10520020"/>
    <n v="10520020"/>
    <n v="3838945"/>
    <x v="1"/>
    <n v="0.08"/>
    <n v="307115.60000000003"/>
    <n v="1"/>
    <n v="7792.6074074074077"/>
    <n v="17.696040188124599"/>
  </r>
  <r>
    <s v="BANK OF BELLEVILLE"/>
    <s v="Belleville"/>
    <x v="1"/>
    <n v="62220"/>
    <d v="2019-09-30T00:00:00"/>
    <x v="0"/>
    <n v="39"/>
    <n v="225988"/>
    <n v="33808"/>
    <n v="225988"/>
    <n v="207950"/>
    <n v="192919"/>
    <x v="0"/>
    <n v="0.08"/>
    <n v="15433.52"/>
    <n v="0.92018160256296799"/>
    <n v="5794.5641025641025"/>
    <n v="2.1905566584939793"/>
  </r>
  <r>
    <s v="BANK OF BELLEVILLE"/>
    <s v="Belleville"/>
    <x v="1"/>
    <n v="62220"/>
    <d v="2020-09-30T00:00:00"/>
    <x v="1"/>
    <n v="42"/>
    <n v="299301"/>
    <n v="24646"/>
    <n v="299301"/>
    <n v="277834"/>
    <n v="223571"/>
    <x v="0"/>
    <n v="0.08"/>
    <n v="17885.68"/>
    <n v="0.92827621691875406"/>
    <n v="7126.2142857142853"/>
    <n v="1.3779738874898801"/>
  </r>
  <r>
    <s v="BANK OF BELLEVILLE"/>
    <s v="Belleville"/>
    <x v="1"/>
    <n v="62220"/>
    <d v="2021-09-30T00:00:00"/>
    <x v="2"/>
    <n v="56"/>
    <n v="337418"/>
    <n v="31905"/>
    <n v="337418"/>
    <n v="309850"/>
    <n v="285269"/>
    <x v="0"/>
    <n v="0.08"/>
    <n v="22821.52"/>
    <n v="0.9182971862793331"/>
    <n v="6025.3214285714284"/>
    <n v="1.3980225681724967"/>
  </r>
  <r>
    <s v="BANK OF BLUFFS"/>
    <s v="Bluffs"/>
    <x v="1"/>
    <n v="62621"/>
    <d v="2019-09-30T00:00:00"/>
    <x v="0"/>
    <n v="14"/>
    <n v="54384"/>
    <n v="4774"/>
    <n v="54384"/>
    <n v="46215"/>
    <n v="46183"/>
    <x v="2"/>
    <n v="0.09"/>
    <n v="4156.47"/>
    <n v="0.84979037952338921"/>
    <n v="3884.5714285714284"/>
    <n v="1.148570782418735"/>
  </r>
  <r>
    <s v="BANK OF BLUFFS"/>
    <s v="Bluffs"/>
    <x v="1"/>
    <n v="62621"/>
    <d v="2020-09-30T00:00:00"/>
    <x v="1"/>
    <n v="15"/>
    <n v="59532"/>
    <n v="8579"/>
    <n v="59532"/>
    <n v="51031"/>
    <n v="46984"/>
    <x v="2"/>
    <n v="0.09"/>
    <n v="4228.5599999999995"/>
    <n v="0.85720284888799303"/>
    <n v="3968.8"/>
    <n v="2.0288230508731107"/>
  </r>
  <r>
    <s v="BANK OF BLUFFS"/>
    <s v="Bluffs"/>
    <x v="1"/>
    <n v="62621"/>
    <d v="2021-09-30T00:00:00"/>
    <x v="2"/>
    <n v="13"/>
    <n v="61246"/>
    <n v="6620"/>
    <n v="61246"/>
    <n v="52829"/>
    <n v="52776"/>
    <x v="2"/>
    <n v="0.09"/>
    <n v="4749.84"/>
    <n v="0.86257061685661107"/>
    <n v="4711.2307692307695"/>
    <n v="1.3937311572600339"/>
  </r>
  <r>
    <s v="BANK OF CALHOUN COUNTY"/>
    <s v="Hardin"/>
    <x v="1"/>
    <n v="62047"/>
    <d v="2019-09-30T00:00:00"/>
    <x v="0"/>
    <n v="14"/>
    <n v="66805"/>
    <n v="15626"/>
    <n v="66805"/>
    <n v="60087"/>
    <n v="59726"/>
    <x v="2"/>
    <n v="0.09"/>
    <n v="5375.34"/>
    <n v="0.89943866477060097"/>
    <n v="4771.7857142857147"/>
    <n v="2.9069789073807422"/>
  </r>
  <r>
    <s v="BANK OF CALHOUN COUNTY"/>
    <s v="Hardin"/>
    <x v="1"/>
    <n v="62047"/>
    <d v="2020-09-30T00:00:00"/>
    <x v="1"/>
    <n v="14"/>
    <n v="72427"/>
    <n v="23056"/>
    <n v="72427"/>
    <n v="65446"/>
    <n v="63859"/>
    <x v="2"/>
    <n v="0.09"/>
    <n v="5747.3099999999995"/>
    <n v="0.90361329338506358"/>
    <n v="5173.3571428571431"/>
    <n v="4.0116158689891446"/>
  </r>
  <r>
    <s v="BANK OF CALHOUN COUNTY"/>
    <s v="Hardin"/>
    <x v="1"/>
    <n v="62047"/>
    <d v="2021-09-30T00:00:00"/>
    <x v="2"/>
    <n v="14"/>
    <n v="80059"/>
    <n v="28494"/>
    <n v="80059"/>
    <n v="73043"/>
    <n v="72690"/>
    <x v="2"/>
    <n v="0.09"/>
    <n v="6542.0999999999995"/>
    <n v="0.91236463108457511"/>
    <n v="5718.5"/>
    <n v="4.3554821846196177"/>
  </r>
  <r>
    <s v="BANK OF CATTARAUGUS"/>
    <s v="Cattaraugus"/>
    <x v="2"/>
    <n v="14719"/>
    <d v="2019-09-30T00:00:00"/>
    <x v="0"/>
    <n v="9"/>
    <n v="23927"/>
    <n v="5274"/>
    <n v="23927"/>
    <n v="21878"/>
    <n v="21852"/>
    <x v="2"/>
    <n v="0.09"/>
    <n v="1966.6799999999998"/>
    <n v="0.91436452543152091"/>
    <n v="2658.5555555555557"/>
    <n v="2.6816767343950212"/>
  </r>
  <r>
    <s v="BANK OF CATTARAUGUS"/>
    <s v="Cattaraugus"/>
    <x v="2"/>
    <n v="14719"/>
    <d v="2020-09-30T00:00:00"/>
    <x v="1"/>
    <n v="9"/>
    <n v="25255"/>
    <n v="5205"/>
    <n v="25255"/>
    <n v="23088"/>
    <n v="23065"/>
    <x v="2"/>
    <n v="0.09"/>
    <n v="2075.85"/>
    <n v="0.91419520886953076"/>
    <n v="2806.1111111111113"/>
    <n v="2.5074066045234482"/>
  </r>
  <r>
    <s v="BANK OF CATTARAUGUS"/>
    <s v="Cattaraugus"/>
    <x v="2"/>
    <n v="14719"/>
    <d v="2021-09-30T00:00:00"/>
    <x v="2"/>
    <n v="8"/>
    <n v="28220"/>
    <n v="8514"/>
    <n v="28220"/>
    <n v="25957"/>
    <n v="25932"/>
    <x v="2"/>
    <n v="0.09"/>
    <n v="2333.88"/>
    <n v="0.91980864635010628"/>
    <n v="3527.5"/>
    <n v="3.648002467993213"/>
  </r>
  <r>
    <s v="BANK OF CHESTNUT"/>
    <s v="Chestnut"/>
    <x v="1"/>
    <n v="62518"/>
    <d v="2019-09-30T00:00:00"/>
    <x v="0"/>
    <n v="5"/>
    <n v="18068"/>
    <n v="1280"/>
    <n v="18068"/>
    <n v="16258"/>
    <n v="16195"/>
    <x v="2"/>
    <n v="0.09"/>
    <n v="1457.55"/>
    <n v="0.89982289129953508"/>
    <n v="3613.6"/>
    <n v="0.8781859970498439"/>
  </r>
  <r>
    <s v="BANK OF CHESTNUT"/>
    <s v="Chestnut"/>
    <x v="1"/>
    <n v="62518"/>
    <d v="2020-09-30T00:00:00"/>
    <x v="1"/>
    <n v="5"/>
    <n v="18449"/>
    <n v="1100"/>
    <n v="18449"/>
    <n v="16612"/>
    <n v="16539"/>
    <x v="2"/>
    <n v="0.09"/>
    <n v="1488.51"/>
    <n v="0.9004282074909209"/>
    <n v="3689.8"/>
    <n v="0.73899402758463162"/>
  </r>
  <r>
    <s v="BANK OF CHESTNUT"/>
    <s v="Chestnut"/>
    <x v="1"/>
    <n v="62518"/>
    <d v="2021-09-30T00:00:00"/>
    <x v="2"/>
    <n v="6"/>
    <n v="20605"/>
    <n v="599"/>
    <n v="20605"/>
    <n v="18778"/>
    <n v="18511"/>
    <x v="2"/>
    <n v="0.09"/>
    <n v="1665.99"/>
    <n v="0.91133220092210632"/>
    <n v="3434.1666666666665"/>
    <n v="0.35954597566612045"/>
  </r>
  <r>
    <s v="BANK OF CHINA"/>
    <s v="New York"/>
    <x v="2"/>
    <n v="10018"/>
    <d v="2019-09-30T00:00:00"/>
    <x v="0"/>
    <n v="310000"/>
    <n v="43589352"/>
    <n v="22122799"/>
    <n v="43589352"/>
    <n v="43589352"/>
    <n v="19114117"/>
    <x v="1"/>
    <n v="0.08"/>
    <n v="1529129.36"/>
    <n v="1"/>
    <n v="140.61081290322582"/>
    <n v="14.467578465696322"/>
  </r>
  <r>
    <s v="BANK OF CHINA"/>
    <s v="New York"/>
    <x v="2"/>
    <n v="10018"/>
    <d v="2020-09-30T00:00:00"/>
    <x v="1"/>
    <n v="311000"/>
    <n v="51877638"/>
    <n v="27893161"/>
    <n v="51877638"/>
    <n v="51877638"/>
    <n v="23144796"/>
    <x v="1"/>
    <n v="0.08"/>
    <n v="1851583.68"/>
    <n v="1"/>
    <n v="166.80912540192926"/>
    <n v="15.064488470756018"/>
  </r>
  <r>
    <s v="BANK OF CHINA"/>
    <s v="New York"/>
    <x v="2"/>
    <n v="10018"/>
    <d v="2021-09-30T00:00:00"/>
    <x v="2"/>
    <n v="315000"/>
    <n v="42829037"/>
    <n v="21828831"/>
    <n v="42829037"/>
    <n v="42829037"/>
    <n v="21763226"/>
    <x v="1"/>
    <n v="0.08"/>
    <n v="1741058.08"/>
    <n v="1"/>
    <n v="135.96519682539682"/>
    <n v="12.537681109409055"/>
  </r>
  <r>
    <s v="BANK OF EASTON"/>
    <s v="North Easton"/>
    <x v="3"/>
    <n v="2356"/>
    <d v="2019-09-30T00:00:00"/>
    <x v="0"/>
    <n v="17"/>
    <n v="154172"/>
    <n v="28390"/>
    <n v="154172"/>
    <n v="136396"/>
    <n v="127728"/>
    <x v="0"/>
    <n v="8.5000000000000006E-2"/>
    <n v="10856.880000000001"/>
    <n v="0.88470020496588231"/>
    <n v="9068.9411764705874"/>
    <n v="2.6149317299260928"/>
  </r>
  <r>
    <s v="BANK OF EASTON"/>
    <s v="North Easton"/>
    <x v="3"/>
    <n v="2356"/>
    <d v="2020-09-30T00:00:00"/>
    <x v="1"/>
    <n v="18"/>
    <n v="175577"/>
    <n v="39405"/>
    <n v="175577"/>
    <n v="156093"/>
    <n v="152999"/>
    <x v="0"/>
    <n v="8.5000000000000006E-2"/>
    <n v="13004.915000000001"/>
    <n v="0.88902874522289366"/>
    <n v="9754.2777777777774"/>
    <n v="3.0300082699502457"/>
  </r>
  <r>
    <s v="BANK OF EASTON"/>
    <s v="North Easton"/>
    <x v="3"/>
    <n v="2356"/>
    <d v="2021-09-30T00:00:00"/>
    <x v="2"/>
    <n v="17"/>
    <n v="184488"/>
    <n v="35146"/>
    <n v="184488"/>
    <n v="164507"/>
    <n v="161458"/>
    <x v="0"/>
    <n v="8.5000000000000006E-2"/>
    <n v="13723.93"/>
    <n v="0.89169485278175276"/>
    <n v="10852.235294117647"/>
    <n v="2.5609282472294743"/>
  </r>
  <r>
    <s v="BANK OF FARMINGTON"/>
    <s v="Farmington"/>
    <x v="1"/>
    <n v="61531"/>
    <d v="2019-09-30T00:00:00"/>
    <x v="0"/>
    <n v="39"/>
    <n v="180428"/>
    <n v="16498"/>
    <n v="180428"/>
    <n v="159261"/>
    <n v="157623"/>
    <x v="0"/>
    <n v="0.08"/>
    <n v="12609.84"/>
    <n v="0.8826845057308178"/>
    <n v="4626.3589743589746"/>
    <n v="1.3083433255299035"/>
  </r>
  <r>
    <s v="BANK OF FARMINGTON"/>
    <s v="Farmington"/>
    <x v="1"/>
    <n v="61531"/>
    <d v="2020-09-30T00:00:00"/>
    <x v="1"/>
    <n v="37"/>
    <n v="198218"/>
    <n v="12163"/>
    <n v="198218"/>
    <n v="176022"/>
    <n v="165135"/>
    <x v="0"/>
    <n v="0.08"/>
    <n v="13210.800000000001"/>
    <n v="0.88802227850144788"/>
    <n v="5357.2432432432433"/>
    <n v="0.92068610530777839"/>
  </r>
  <r>
    <s v="BANK OF FARMINGTON"/>
    <s v="Farmington"/>
    <x v="1"/>
    <n v="61531"/>
    <d v="2021-09-30T00:00:00"/>
    <x v="2"/>
    <n v="39"/>
    <n v="217482"/>
    <n v="23105"/>
    <n v="217482"/>
    <n v="194507"/>
    <n v="185080"/>
    <x v="0"/>
    <n v="0.08"/>
    <n v="14806.4"/>
    <n v="0.89435907339457976"/>
    <n v="5576.4615384615381"/>
    <n v="1.560473849146315"/>
  </r>
  <r>
    <s v="BANK OF FEATHER RIVER"/>
    <s v="Yuba City"/>
    <x v="0"/>
    <n v="95991"/>
    <d v="2019-09-30T00:00:00"/>
    <x v="0"/>
    <n v="25"/>
    <n v="135667"/>
    <n v="15472"/>
    <n v="135667"/>
    <n v="120828"/>
    <n v="105819"/>
    <x v="0"/>
    <n v="0.09"/>
    <n v="9523.7099999999991"/>
    <n v="0.89062189036390571"/>
    <n v="5426.68"/>
    <n v="1.624576976829408"/>
  </r>
  <r>
    <s v="BANK OF FEATHER RIVER"/>
    <s v="Yuba City"/>
    <x v="0"/>
    <n v="95991"/>
    <d v="2020-09-30T00:00:00"/>
    <x v="1"/>
    <n v="25"/>
    <n v="184409"/>
    <n v="21319"/>
    <n v="184409"/>
    <n v="167673"/>
    <n v="150532"/>
    <x v="0"/>
    <n v="0.09"/>
    <n v="13547.88"/>
    <n v="0.9092452103747648"/>
    <n v="7376.36"/>
    <n v="1.5736041358500372"/>
  </r>
  <r>
    <s v="BANK OF GIBSON CITY"/>
    <s v="Gibson City"/>
    <x v="1"/>
    <n v="60936"/>
    <d v="2019-09-30T00:00:00"/>
    <x v="0"/>
    <n v="13"/>
    <n v="86279"/>
    <n v="14249"/>
    <n v="86279"/>
    <n v="75846"/>
    <n v="68285"/>
    <x v="2"/>
    <n v="0.09"/>
    <n v="6145.65"/>
    <n v="0.87907833887736297"/>
    <n v="6636.8461538461543"/>
    <n v="2.3185505194731233"/>
  </r>
  <r>
    <s v="BANK OF GIBSON CITY"/>
    <s v="Gibson City"/>
    <x v="1"/>
    <n v="60936"/>
    <d v="2020-09-30T00:00:00"/>
    <x v="1"/>
    <n v="15"/>
    <n v="105373"/>
    <n v="17448"/>
    <n v="105373"/>
    <n v="94068"/>
    <n v="76510"/>
    <x v="0"/>
    <n v="0.08"/>
    <n v="6120.8"/>
    <n v="0.89271445246884873"/>
    <n v="7024.8666666666668"/>
    <n v="2.8506077636910208"/>
  </r>
  <r>
    <s v="BANK OF GIBSON CITY"/>
    <s v="Gibson City"/>
    <x v="1"/>
    <n v="60936"/>
    <d v="2021-09-30T00:00:00"/>
    <x v="2"/>
    <n v="17"/>
    <n v="124764"/>
    <n v="30599"/>
    <n v="124764"/>
    <n v="112047"/>
    <n v="96811"/>
    <x v="0"/>
    <n v="0.08"/>
    <n v="7744.88"/>
    <n v="0.8980715591035876"/>
    <n v="7339.0588235294117"/>
    <n v="3.9508681864664137"/>
  </r>
  <r>
    <s v="BANK OF HILLSBORO, NATIONAL ASSOCIATION"/>
    <s v="Hillsboro"/>
    <x v="1"/>
    <n v="62049"/>
    <d v="2019-09-30T00:00:00"/>
    <x v="0"/>
    <n v="96"/>
    <n v="360656"/>
    <n v="16308"/>
    <n v="360656"/>
    <n v="319580"/>
    <n v="318601"/>
    <x v="0"/>
    <n v="0.08"/>
    <n v="25488.080000000002"/>
    <n v="0.88610753737633641"/>
    <n v="3756.8333333333335"/>
    <n v="0.63982850022441862"/>
  </r>
  <r>
    <s v="BANK OF HILLSBORO, NATIONAL ASSOCIATION"/>
    <s v="Hillsboro"/>
    <x v="1"/>
    <n v="62049"/>
    <d v="2020-09-30T00:00:00"/>
    <x v="1"/>
    <n v="97"/>
    <n v="442376"/>
    <n v="19041"/>
    <n v="442376"/>
    <n v="396240"/>
    <n v="391071"/>
    <x v="0"/>
    <n v="0.08"/>
    <n v="31285.68"/>
    <n v="0.89570862795450024"/>
    <n v="4560.5773195876291"/>
    <n v="0.60861710533381408"/>
  </r>
  <r>
    <s v="BANK OF HILLSBORO, NATIONAL ASSOCIATION"/>
    <s v="Hillsboro"/>
    <x v="1"/>
    <n v="62049"/>
    <d v="2021-09-30T00:00:00"/>
    <x v="2"/>
    <n v="101"/>
    <n v="514699"/>
    <n v="10905"/>
    <n v="514699"/>
    <n v="466268"/>
    <n v="465563"/>
    <x v="0"/>
    <n v="0.08"/>
    <n v="37245.040000000001"/>
    <n v="0.90590422751938515"/>
    <n v="5096.029702970297"/>
    <n v="0.2927906642065628"/>
  </r>
  <r>
    <s v="BANK OF HOLLAND"/>
    <s v="Holland"/>
    <x v="2"/>
    <n v="14080"/>
    <d v="2019-09-30T00:00:00"/>
    <x v="0"/>
    <n v="30"/>
    <n v="143962"/>
    <n v="4812"/>
    <n v="143962"/>
    <n v="132517"/>
    <n v="132102"/>
    <x v="0"/>
    <n v="8.5000000000000006E-2"/>
    <n v="11228.67"/>
    <n v="0.9204998541281727"/>
    <n v="4798.7333333333336"/>
    <n v="0.42854585627683422"/>
  </r>
  <r>
    <s v="BANK OF HOLLAND"/>
    <s v="Holland"/>
    <x v="2"/>
    <n v="14080"/>
    <d v="2020-09-30T00:00:00"/>
    <x v="1"/>
    <n v="30"/>
    <n v="165946"/>
    <n v="5498"/>
    <n v="165946"/>
    <n v="152971"/>
    <n v="152300"/>
    <x v="0"/>
    <n v="8.5000000000000006E-2"/>
    <n v="12945.500000000002"/>
    <n v="0.92181191471924606"/>
    <n v="5531.5333333333338"/>
    <n v="0.42470356494534772"/>
  </r>
  <r>
    <s v="BANK OF HOLLAND"/>
    <s v="Holland"/>
    <x v="2"/>
    <n v="14080"/>
    <d v="2021-09-30T00:00:00"/>
    <x v="2"/>
    <n v="34"/>
    <n v="192060"/>
    <n v="6540"/>
    <n v="192060"/>
    <n v="177616"/>
    <n v="176978"/>
    <x v="0"/>
    <n v="8.5000000000000006E-2"/>
    <n v="15043.130000000001"/>
    <n v="0.92479433510361342"/>
    <n v="5648.8235294117649"/>
    <n v="0.43474994898003272"/>
  </r>
  <r>
    <s v="BANK OF HOPE"/>
    <s v="Los Angeles"/>
    <x v="0"/>
    <n v="90010"/>
    <d v="2019-09-30T00:00:00"/>
    <x v="0"/>
    <n v="1452"/>
    <n v="15380225"/>
    <n v="606780"/>
    <n v="15380225"/>
    <n v="13073982"/>
    <n v="12255855"/>
    <x v="1"/>
    <n v="0.08"/>
    <n v="980468.4"/>
    <n v="0.85005141342210533"/>
    <n v="10592.441460055097"/>
    <n v="0.61886747191444413"/>
  </r>
  <r>
    <s v="BANK OF HOPE"/>
    <s v="Los Angeles"/>
    <x v="0"/>
    <n v="90010"/>
    <d v="2020-09-30T00:00:00"/>
    <x v="1"/>
    <n v="1436"/>
    <n v="16731681"/>
    <n v="724673"/>
    <n v="16731681"/>
    <n v="14410207"/>
    <n v="14029082"/>
    <x v="1"/>
    <n v="0.08"/>
    <n v="1122326.56"/>
    <n v="0.86125279342822758"/>
    <n v="11651.58844011142"/>
    <n v="0.64568818544221207"/>
  </r>
  <r>
    <s v="BANK OF HOPE"/>
    <s v="Los Angeles"/>
    <x v="0"/>
    <n v="90010"/>
    <d v="2021-09-30T00:00:00"/>
    <x v="2"/>
    <n v="1461"/>
    <n v="17793623"/>
    <n v="698910"/>
    <n v="17793623"/>
    <n v="15431104"/>
    <n v="15087270"/>
    <x v="1"/>
    <n v="0.08"/>
    <n v="1206981.6000000001"/>
    <n v="0.86722664631031021"/>
    <n v="12179.071184120465"/>
    <n v="0.57905605189010334"/>
  </r>
  <r>
    <s v="BANK OF INDIA"/>
    <s v="New York"/>
    <x v="2"/>
    <n v="10017"/>
    <d v="2019-09-30T00:00:00"/>
    <x v="0"/>
    <n v="200"/>
    <n v="3982412"/>
    <n v="1664815"/>
    <n v="3982412"/>
    <n v="3982412"/>
    <n v="3247804"/>
    <x v="1"/>
    <n v="0.08"/>
    <n v="259824.32"/>
    <n v="1"/>
    <n v="19912.060000000001"/>
    <n v="6.4074640895817607"/>
  </r>
  <r>
    <s v="BANK OF INDIA"/>
    <s v="New York"/>
    <x v="2"/>
    <n v="10017"/>
    <d v="2020-09-30T00:00:00"/>
    <x v="1"/>
    <n v="369"/>
    <n v="4468278"/>
    <n v="2915416"/>
    <n v="4468278"/>
    <n v="4468278"/>
    <n v="2018117"/>
    <x v="1"/>
    <n v="0.08"/>
    <n v="161449.36000000002"/>
    <n v="1"/>
    <n v="12109.154471544716"/>
    <n v="18.057773657325118"/>
  </r>
  <r>
    <s v="BANK OF INDIA"/>
    <s v="New York"/>
    <x v="2"/>
    <n v="10017"/>
    <d v="2021-09-30T00:00:00"/>
    <x v="2"/>
    <n v="780"/>
    <n v="4451922"/>
    <n v="2563212"/>
    <n v="4451922"/>
    <n v="4451922"/>
    <n v="1726518"/>
    <x v="1"/>
    <n v="0.08"/>
    <n v="138121.44"/>
    <n v="1"/>
    <n v="5707.5923076923073"/>
    <n v="18.557669251059068"/>
  </r>
  <r>
    <s v="BANK OF KAMPSVILLE"/>
    <s v="Kampsville"/>
    <x v="1"/>
    <n v="62053"/>
    <d v="2019-09-30T00:00:00"/>
    <x v="0"/>
    <n v="25"/>
    <n v="108963"/>
    <n v="7282"/>
    <n v="108963"/>
    <n v="89483"/>
    <n v="89084"/>
    <x v="0"/>
    <n v="0.08"/>
    <n v="7126.72"/>
    <n v="0.82122371814285589"/>
    <n v="4358.5200000000004"/>
    <n v="1.0217884244084234"/>
  </r>
  <r>
    <s v="BANK OF KAMPSVILLE"/>
    <s v="Kampsville"/>
    <x v="1"/>
    <n v="62053"/>
    <d v="2020-09-30T00:00:00"/>
    <x v="1"/>
    <n v="25"/>
    <n v="117331"/>
    <n v="14047"/>
    <n v="117331"/>
    <n v="96705"/>
    <n v="96213"/>
    <x v="0"/>
    <n v="0.08"/>
    <n v="7697.04"/>
    <n v="0.8242067313838628"/>
    <n v="4693.24"/>
    <n v="1.8249872678328292"/>
  </r>
  <r>
    <s v="BANK OF KAMPSVILLE"/>
    <s v="Kampsville"/>
    <x v="1"/>
    <n v="62053"/>
    <d v="2021-09-30T00:00:00"/>
    <x v="2"/>
    <n v="24"/>
    <n v="125977"/>
    <n v="29793"/>
    <n v="125977"/>
    <n v="105190"/>
    <n v="104883"/>
    <x v="0"/>
    <n v="0.08"/>
    <n v="8390.64"/>
    <n v="0.83499368932424167"/>
    <n v="5249.041666666667"/>
    <n v="3.5507422556563029"/>
  </r>
  <r>
    <s v="BANK OF MARIN"/>
    <s v="Novato"/>
    <x v="0"/>
    <n v="94947"/>
    <d v="2019-09-30T00:00:00"/>
    <x v="0"/>
    <n v="291"/>
    <n v="2592052"/>
    <n v="182486"/>
    <n v="2592052"/>
    <n v="2270651"/>
    <n v="2238949"/>
    <x v="1"/>
    <n v="0.08"/>
    <n v="179115.92"/>
    <n v="0.87600518816752138"/>
    <n v="8907.3951890034368"/>
    <n v="1.0188150779673855"/>
  </r>
  <r>
    <s v="BANK OF MARIN"/>
    <s v="Novato"/>
    <x v="0"/>
    <n v="94947"/>
    <d v="2020-09-30T00:00:00"/>
    <x v="1"/>
    <n v="291"/>
    <n v="2975150"/>
    <n v="213584"/>
    <n v="2975150"/>
    <n v="2627004"/>
    <n v="2581524"/>
    <x v="1"/>
    <n v="0.08"/>
    <n v="206521.92"/>
    <n v="0.88298203451926793"/>
    <n v="10223.883161512027"/>
    <n v="1.0341953047889541"/>
  </r>
  <r>
    <s v="BANK OF MARIN"/>
    <s v="Novato"/>
    <x v="0"/>
    <n v="94947"/>
    <d v="2021-09-30T00:00:00"/>
    <x v="2"/>
    <n v="348"/>
    <n v="4259898"/>
    <n v="584739"/>
    <n v="4259898"/>
    <n v="3817843"/>
    <n v="3743994"/>
    <x v="1"/>
    <n v="0.08"/>
    <n v="299519.52"/>
    <n v="0.89622873599320918"/>
    <n v="12241.086206896553"/>
    <n v="1.9522567343857922"/>
  </r>
  <r>
    <s v="BANK OF MILLBROOK"/>
    <s v="Millbrook"/>
    <x v="2"/>
    <n v="12545"/>
    <d v="2019-09-30T00:00:00"/>
    <x v="0"/>
    <n v="46"/>
    <n v="229443"/>
    <n v="33594"/>
    <n v="229443"/>
    <n v="203867"/>
    <n v="202740"/>
    <x v="0"/>
    <n v="8.5000000000000006E-2"/>
    <n v="17232.900000000001"/>
    <n v="0.88853004885745046"/>
    <n v="4987.891304347826"/>
    <n v="1.9494107201921904"/>
  </r>
  <r>
    <s v="BANK OF MILLBROOK"/>
    <s v="Millbrook"/>
    <x v="2"/>
    <n v="12545"/>
    <d v="2020-09-30T00:00:00"/>
    <x v="1"/>
    <n v="42"/>
    <n v="273429"/>
    <n v="63449"/>
    <n v="273429"/>
    <n v="246983"/>
    <n v="245359"/>
    <x v="0"/>
    <n v="8.5000000000000006E-2"/>
    <n v="20855.515000000003"/>
    <n v="0.90328019339572618"/>
    <n v="6510.2142857142853"/>
    <n v="3.0423127887275854"/>
  </r>
  <r>
    <s v="BANK OF MILLBROOK"/>
    <s v="Millbrook"/>
    <x v="2"/>
    <n v="12545"/>
    <d v="2021-09-30T00:00:00"/>
    <x v="2"/>
    <n v="41"/>
    <n v="320086"/>
    <n v="63363"/>
    <n v="320086"/>
    <n v="294729"/>
    <n v="293027"/>
    <x v="0"/>
    <n v="8.5000000000000006E-2"/>
    <n v="24907.295000000002"/>
    <n v="0.92078066519622848"/>
    <n v="7806.9756097560976"/>
    <n v="2.5439534883254082"/>
  </r>
  <r>
    <s v="BANK OF MONTGOMERY"/>
    <s v="Montgomery"/>
    <x v="1"/>
    <n v="60538"/>
    <d v="2019-09-30T00:00:00"/>
    <x v="0"/>
    <n v="6"/>
    <n v="40872"/>
    <n v="14857"/>
    <n v="40872"/>
    <n v="36922"/>
    <n v="36861"/>
    <x v="2"/>
    <n v="0.09"/>
    <n v="3317.49"/>
    <n v="0.90335682129575257"/>
    <n v="6812"/>
    <n v="4.4783857675531804"/>
  </r>
  <r>
    <s v="BANK OF MONTGOMERY"/>
    <s v="Montgomery"/>
    <x v="1"/>
    <n v="60538"/>
    <d v="2020-09-30T00:00:00"/>
    <x v="1"/>
    <n v="4"/>
    <n v="42982"/>
    <n v="14060"/>
    <n v="42982"/>
    <n v="38685"/>
    <n v="38634"/>
    <x v="2"/>
    <n v="0.09"/>
    <n v="3477.06"/>
    <n v="0.90002791866362664"/>
    <n v="10745.5"/>
    <n v="4.0436460688052547"/>
  </r>
  <r>
    <s v="BANK OF MONTGOMERY"/>
    <s v="Montgomery"/>
    <x v="1"/>
    <n v="60538"/>
    <d v="2021-09-30T00:00:00"/>
    <x v="2"/>
    <n v="3"/>
    <n v="47774"/>
    <n v="15951"/>
    <n v="47774"/>
    <n v="43669"/>
    <n v="43632"/>
    <x v="2"/>
    <n v="0.09"/>
    <n v="3926.8799999999997"/>
    <n v="0.91407460124754047"/>
    <n v="15924.666666666666"/>
    <n v="4.0620034225644792"/>
  </r>
  <r>
    <s v="BANK OF O'FALLON"/>
    <s v="O'fallon"/>
    <x v="1"/>
    <n v="62269"/>
    <d v="2019-09-30T00:00:00"/>
    <x v="0"/>
    <n v="32"/>
    <n v="311657"/>
    <n v="46285"/>
    <n v="311657"/>
    <n v="267293"/>
    <n v="266402"/>
    <x v="0"/>
    <n v="0.08"/>
    <n v="21312.16"/>
    <n v="0.85765119987678762"/>
    <n v="9739.28125"/>
    <n v="2.1717648516152281"/>
  </r>
  <r>
    <s v="BANK OF O'FALLON"/>
    <s v="O'fallon"/>
    <x v="1"/>
    <n v="62269"/>
    <d v="2020-09-30T00:00:00"/>
    <x v="1"/>
    <n v="31"/>
    <n v="341000"/>
    <n v="58959"/>
    <n v="341000"/>
    <n v="294929"/>
    <n v="290049"/>
    <x v="0"/>
    <n v="0.08"/>
    <n v="23203.920000000002"/>
    <n v="0.86489442815249262"/>
    <n v="11000"/>
    <n v="2.5409068812510989"/>
  </r>
  <r>
    <s v="BANK OF O'FALLON"/>
    <s v="O'fallon"/>
    <x v="1"/>
    <n v="62269"/>
    <d v="2021-09-30T00:00:00"/>
    <x v="2"/>
    <n v="34"/>
    <n v="370199"/>
    <n v="78559"/>
    <n v="370199"/>
    <n v="323015"/>
    <n v="322105"/>
    <x v="0"/>
    <n v="0.08"/>
    <n v="25768.400000000001"/>
    <n v="0.87254422621346894"/>
    <n v="10888.205882352941"/>
    <n v="3.0486564940004035"/>
  </r>
  <r>
    <s v="BANK OF PONTIAC"/>
    <s v="Pontiac"/>
    <x v="1"/>
    <n v="61764"/>
    <d v="2019-09-30T00:00:00"/>
    <x v="0"/>
    <n v="95"/>
    <n v="559629"/>
    <n v="36282"/>
    <n v="559629"/>
    <n v="484137"/>
    <n v="473913"/>
    <x v="0"/>
    <n v="0.08"/>
    <n v="37913.040000000001"/>
    <n v="0.86510348820379213"/>
    <n v="5890.8315789473681"/>
    <n v="0.95697944559444448"/>
  </r>
  <r>
    <s v="BANK OF PONTIAC"/>
    <s v="Pontiac"/>
    <x v="1"/>
    <n v="61764"/>
    <d v="2020-09-30T00:00:00"/>
    <x v="1"/>
    <n v="90"/>
    <n v="620601"/>
    <n v="71970"/>
    <n v="620601"/>
    <n v="541255"/>
    <n v="525525"/>
    <x v="0"/>
    <n v="0.08"/>
    <n v="42042"/>
    <n v="0.87214651603848525"/>
    <n v="6895.5666666666666"/>
    <n v="1.7118595690024261"/>
  </r>
  <r>
    <s v="BANK OF PONTIAC"/>
    <s v="Pontiac"/>
    <x v="1"/>
    <n v="61764"/>
    <d v="2021-09-30T00:00:00"/>
    <x v="2"/>
    <n v="117"/>
    <n v="907690"/>
    <n v="140429"/>
    <n v="907690"/>
    <n v="803013"/>
    <n v="776698"/>
    <x v="0"/>
    <n v="0.08"/>
    <n v="62135.840000000004"/>
    <n v="0.88467758816335973"/>
    <n v="7758.0341880341884"/>
    <n v="2.2600322132926824"/>
  </r>
  <r>
    <s v="BANK OF RANTOUL"/>
    <s v="Rantoul"/>
    <x v="1"/>
    <n v="61866"/>
    <d v="2019-09-30T00:00:00"/>
    <x v="0"/>
    <n v="37"/>
    <n v="231029"/>
    <n v="11062"/>
    <n v="231029"/>
    <n v="204284"/>
    <n v="194107"/>
    <x v="0"/>
    <n v="0.08"/>
    <n v="15528.56"/>
    <n v="0.88423531244995213"/>
    <n v="6244.0270270270266"/>
    <n v="0.7123648297073264"/>
  </r>
  <r>
    <s v="BANK OF RANTOUL"/>
    <s v="Rantoul"/>
    <x v="1"/>
    <n v="61866"/>
    <d v="2020-09-30T00:00:00"/>
    <x v="1"/>
    <n v="35"/>
    <n v="248602"/>
    <n v="17564"/>
    <n v="248602"/>
    <n v="219320"/>
    <n v="197023"/>
    <x v="0"/>
    <n v="0.08"/>
    <n v="15761.84"/>
    <n v="0.88221333698039439"/>
    <n v="7102.9142857142861"/>
    <n v="1.1143369048283702"/>
  </r>
  <r>
    <s v="BANK OF RANTOUL"/>
    <s v="Rantoul"/>
    <x v="1"/>
    <n v="61866"/>
    <d v="2021-09-30T00:00:00"/>
    <x v="2"/>
    <n v="34"/>
    <n v="256986"/>
    <n v="12419"/>
    <n v="256986"/>
    <n v="228060"/>
    <n v="206161"/>
    <x v="0"/>
    <n v="0.08"/>
    <n v="16492.88"/>
    <n v="0.88744133921692236"/>
    <n v="7558.411764705882"/>
    <n v="0.75299159394841886"/>
  </r>
  <r>
    <s v="BANK OF RICHMONDVILLE"/>
    <s v="Cobleskill"/>
    <x v="2"/>
    <n v="12043"/>
    <d v="2019-09-30T00:00:00"/>
    <x v="0"/>
    <n v="34"/>
    <n v="152944"/>
    <n v="26682"/>
    <n v="152944"/>
    <n v="136192"/>
    <n v="135291"/>
    <x v="0"/>
    <n v="8.5000000000000006E-2"/>
    <n v="11499.735000000001"/>
    <n v="0.89046971440527256"/>
    <n v="4498.3529411764703"/>
    <n v="2.3202273791526498"/>
  </r>
  <r>
    <s v="BANK OF RICHMONDVILLE"/>
    <s v="Cobleskill"/>
    <x v="2"/>
    <n v="12043"/>
    <d v="2020-09-30T00:00:00"/>
    <x v="1"/>
    <n v="34"/>
    <n v="164441"/>
    <n v="27120"/>
    <n v="164441"/>
    <n v="146414"/>
    <n v="145743"/>
    <x v="0"/>
    <n v="8.5000000000000006E-2"/>
    <n v="12388.155000000001"/>
    <n v="0.89037405513223589"/>
    <n v="4836.5"/>
    <n v="2.1891879783551302"/>
  </r>
  <r>
    <s v="BANK OF RICHMONDVILLE"/>
    <s v="Cobleskill"/>
    <x v="2"/>
    <n v="12043"/>
    <d v="2021-09-30T00:00:00"/>
    <x v="2"/>
    <n v="33"/>
    <n v="182108"/>
    <n v="39357"/>
    <n v="182108"/>
    <n v="164793"/>
    <n v="163469"/>
    <x v="0"/>
    <n v="8.5000000000000006E-2"/>
    <n v="13894.865000000002"/>
    <n v="0.9049190590199222"/>
    <n v="5518.424242424242"/>
    <n v="2.8324852382516847"/>
  </r>
  <r>
    <s v="BANK OF SAN FRANCISCO"/>
    <s v="San Francisco"/>
    <x v="0"/>
    <n v="94105"/>
    <d v="2019-09-30T00:00:00"/>
    <x v="0"/>
    <n v="41"/>
    <n v="361068"/>
    <n v="47588"/>
    <n v="361068"/>
    <n v="321335"/>
    <n v="317791"/>
    <x v="0"/>
    <n v="0.09"/>
    <n v="28601.19"/>
    <n v="0.88995701640688185"/>
    <n v="8806.5365853658532"/>
    <n v="1.6638468539246094"/>
  </r>
  <r>
    <s v="BANK OF SAN FRANCISCO"/>
    <s v="San Francisco"/>
    <x v="0"/>
    <n v="94105"/>
    <d v="2020-09-30T00:00:00"/>
    <x v="1"/>
    <n v="46"/>
    <n v="662421"/>
    <n v="129475"/>
    <n v="662421"/>
    <n v="618353"/>
    <n v="515812"/>
    <x v="0"/>
    <n v="0.09"/>
    <n v="46423.08"/>
    <n v="0.93347433127874868"/>
    <n v="14400.45652173913"/>
    <n v="2.7890221846547019"/>
  </r>
  <r>
    <s v="BANK OF SAN FRANCISCO"/>
    <s v="San Francisco"/>
    <x v="0"/>
    <n v="94105"/>
    <d v="2021-09-30T00:00:00"/>
    <x v="2"/>
    <n v="47"/>
    <n v="627679"/>
    <n v="117500"/>
    <n v="627679"/>
    <n v="574699"/>
    <n v="549303"/>
    <x v="0"/>
    <n v="0.09"/>
    <n v="49437.27"/>
    <n v="0.91559379874107627"/>
    <n v="13354.872340425532"/>
    <n v="2.3767493633851546"/>
  </r>
  <r>
    <s v="BANK OF SANTA CLARITA"/>
    <s v="Santa Clarita"/>
    <x v="0"/>
    <n v="91355"/>
    <d v="2019-09-30T00:00:00"/>
    <x v="0"/>
    <n v="25"/>
    <n v="316633"/>
    <n v="55836"/>
    <n v="316633"/>
    <n v="280442"/>
    <n v="244244"/>
    <x v="0"/>
    <n v="0.09"/>
    <n v="21981.96"/>
    <n v="0.88570047973521393"/>
    <n v="12665.32"/>
    <n v="2.5400828679517207"/>
  </r>
  <r>
    <s v="BANK OF SANTA CLARITA"/>
    <s v="Santa Clarita"/>
    <x v="0"/>
    <n v="91355"/>
    <d v="2020-09-30T00:00:00"/>
    <x v="1"/>
    <n v="26"/>
    <n v="391976"/>
    <n v="74011"/>
    <n v="391976"/>
    <n v="352097"/>
    <n v="293559"/>
    <x v="0"/>
    <n v="0.09"/>
    <n v="26420.309999999998"/>
    <n v="0.89826162826295486"/>
    <n v="15076"/>
    <n v="2.8012918849173234"/>
  </r>
  <r>
    <s v="BANK OF SANTA CLARITA"/>
    <s v="Santa Clarita"/>
    <x v="0"/>
    <n v="91355"/>
    <d v="2021-09-30T00:00:00"/>
    <x v="2"/>
    <n v="21"/>
    <n v="423942"/>
    <n v="113160"/>
    <n v="423942"/>
    <n v="379698"/>
    <n v="340122"/>
    <x v="0"/>
    <n v="0.09"/>
    <n v="30610.98"/>
    <n v="0.89563666727995805"/>
    <n v="20187.714285714286"/>
    <n v="3.6967127481707545"/>
  </r>
  <r>
    <s v="BANK OF SOUTHERN CALIFORNIA, N.A."/>
    <s v="San Diego"/>
    <x v="0"/>
    <n v="92130"/>
    <d v="2019-09-30T00:00:00"/>
    <x v="0"/>
    <n v="96"/>
    <n v="839060"/>
    <n v="55761"/>
    <n v="839060"/>
    <n v="731660"/>
    <n v="692899"/>
    <x v="0"/>
    <n v="0.09"/>
    <n v="62360.909999999996"/>
    <n v="0.87199961862083764"/>
    <n v="8740.2083333333339"/>
    <n v="0.89416591258851108"/>
  </r>
  <r>
    <s v="BANK OF SOUTHERN CALIFORNIA, N.A."/>
    <s v="San Diego"/>
    <x v="0"/>
    <n v="92130"/>
    <d v="2020-09-30T00:00:00"/>
    <x v="1"/>
    <n v="118"/>
    <n v="1575329"/>
    <n v="108069"/>
    <n v="1575329"/>
    <n v="1430897"/>
    <n v="1142113"/>
    <x v="1"/>
    <n v="0.08"/>
    <n v="91369.040000000008"/>
    <n v="0.90831629456450047"/>
    <n v="13350.245762711864"/>
    <n v="1.1827748217558156"/>
  </r>
  <r>
    <s v="BANK OF SOUTHERN CALIFORNIA, N.A."/>
    <s v="San Diego"/>
    <x v="0"/>
    <n v="92130"/>
    <d v="2021-09-30T00:00:00"/>
    <x v="2"/>
    <n v="195"/>
    <n v="1783357"/>
    <n v="408347"/>
    <n v="1783357"/>
    <n v="1588727"/>
    <n v="1569321"/>
    <x v="1"/>
    <n v="0.08"/>
    <n v="125545.68000000001"/>
    <n v="0.8908631306014444"/>
    <n v="9145.4205128205122"/>
    <n v="3.2525770699557324"/>
  </r>
  <r>
    <s v="BANK OF SPRINGFIELD"/>
    <s v="Springfield"/>
    <x v="1"/>
    <n v="62711"/>
    <d v="2019-09-30T00:00:00"/>
    <x v="0"/>
    <n v="276"/>
    <n v="1055036"/>
    <n v="87794"/>
    <n v="1055036"/>
    <n v="957780"/>
    <n v="892324"/>
    <x v="1"/>
    <n v="7.4999999999999997E-2"/>
    <n v="66924.3"/>
    <n v="0.90781736357811482"/>
    <n v="3822.5942028985505"/>
    <n v="1.3118403928020166"/>
  </r>
  <r>
    <s v="BANK OF SPRINGFIELD"/>
    <s v="Springfield"/>
    <x v="1"/>
    <n v="62711"/>
    <d v="2020-09-30T00:00:00"/>
    <x v="1"/>
    <n v="296"/>
    <n v="1246518"/>
    <n v="134633"/>
    <n v="1246518"/>
    <n v="1142052"/>
    <n v="1039188"/>
    <x v="1"/>
    <n v="7.4999999999999997E-2"/>
    <n v="77939.099999999991"/>
    <n v="0.91619374930807251"/>
    <n v="4211.2094594594591"/>
    <n v="1.7274128133375932"/>
  </r>
  <r>
    <s v="BANK OF SPRINGFIELD"/>
    <s v="Springfield"/>
    <x v="1"/>
    <n v="62711"/>
    <d v="2021-09-30T00:00:00"/>
    <x v="2"/>
    <n v="306"/>
    <n v="1426343"/>
    <n v="316678"/>
    <n v="1426343"/>
    <n v="1315750"/>
    <n v="1234656"/>
    <x v="1"/>
    <n v="7.4999999999999997E-2"/>
    <n v="92599.2"/>
    <n v="0.92246395151797289"/>
    <n v="4661.251633986928"/>
    <n v="3.4198783574804104"/>
  </r>
  <r>
    <s v="BANK OF STOCKTON"/>
    <s v="Stockton"/>
    <x v="0"/>
    <n v="95202"/>
    <d v="2019-09-30T00:00:00"/>
    <x v="0"/>
    <n v="387"/>
    <n v="3312484"/>
    <n v="235306"/>
    <n v="3312484"/>
    <n v="2731762"/>
    <n v="2563701"/>
    <x v="1"/>
    <n v="0.08"/>
    <n v="205096.08000000002"/>
    <n v="0.82468685131762143"/>
    <n v="8559.3901808785522"/>
    <n v="1.1472964280936035"/>
  </r>
  <r>
    <s v="BANK OF STOCKTON"/>
    <s v="Stockton"/>
    <x v="0"/>
    <n v="95202"/>
    <d v="2020-09-30T00:00:00"/>
    <x v="1"/>
    <n v="402"/>
    <n v="3850180"/>
    <n v="433120"/>
    <n v="3850180"/>
    <n v="3249336"/>
    <n v="3102635"/>
    <x v="1"/>
    <n v="0.08"/>
    <n v="248210.80000000002"/>
    <n v="0.84394391950506209"/>
    <n v="9577.5621890547263"/>
    <n v="1.7449683897719195"/>
  </r>
  <r>
    <s v="BANK OF STOCKTON"/>
    <s v="Stockton"/>
    <x v="0"/>
    <n v="95202"/>
    <d v="2021-09-30T00:00:00"/>
    <x v="2"/>
    <n v="397"/>
    <n v="4584707"/>
    <n v="651957"/>
    <n v="4584707"/>
    <n v="3928875"/>
    <n v="3778028"/>
    <x v="1"/>
    <n v="0.08"/>
    <n v="302242.24"/>
    <n v="0.85695225452793389"/>
    <n v="11548.380352644836"/>
    <n v="2.157067787745353"/>
  </r>
  <r>
    <s v="BANK OF STRONGHURST"/>
    <s v="Stronghurst"/>
    <x v="1"/>
    <n v="61480"/>
    <d v="2019-09-30T00:00:00"/>
    <x v="0"/>
    <n v="18"/>
    <n v="74219"/>
    <n v="2736"/>
    <n v="74219"/>
    <n v="61088"/>
    <n v="60979"/>
    <x v="2"/>
    <n v="0.09"/>
    <n v="5488.11"/>
    <n v="0.8230776485805521"/>
    <n v="4123.2777777777774"/>
    <n v="0.49853228160514279"/>
  </r>
  <r>
    <s v="BANK OF STRONGHURST"/>
    <s v="Stronghurst"/>
    <x v="1"/>
    <n v="61480"/>
    <d v="2020-09-30T00:00:00"/>
    <x v="1"/>
    <n v="18"/>
    <n v="80324"/>
    <n v="2453"/>
    <n v="80324"/>
    <n v="66692"/>
    <n v="66403"/>
    <x v="2"/>
    <n v="0.09"/>
    <n v="5976.2699999999995"/>
    <n v="0.83028733628803342"/>
    <n v="4462.4444444444443"/>
    <n v="0.41045668954046594"/>
  </r>
  <r>
    <s v="BANK OF STRONGHURST"/>
    <s v="Stronghurst"/>
    <x v="1"/>
    <n v="61480"/>
    <d v="2021-09-30T00:00:00"/>
    <x v="2"/>
    <n v="19"/>
    <n v="88704"/>
    <n v="1528"/>
    <n v="88704"/>
    <n v="75482"/>
    <n v="72432"/>
    <x v="2"/>
    <n v="0.09"/>
    <n v="6518.88"/>
    <n v="0.85094246031746035"/>
    <n v="4668.6315789473683"/>
    <n v="0.23439609258032054"/>
  </r>
  <r>
    <s v="BANK OF THE ORIENT"/>
    <s v="San Francisco"/>
    <x v="0"/>
    <n v="94104"/>
    <d v="2019-09-30T00:00:00"/>
    <x v="0"/>
    <n v="147"/>
    <n v="927282"/>
    <n v="109007"/>
    <n v="927282"/>
    <n v="828594"/>
    <n v="799522"/>
    <x v="0"/>
    <n v="0.09"/>
    <n v="71956.98"/>
    <n v="0.8935728289775926"/>
    <n v="6308.0408163265311"/>
    <n v="1.5148912586381476"/>
  </r>
  <r>
    <s v="BANK OF THE ORIENT"/>
    <s v="San Francisco"/>
    <x v="0"/>
    <n v="94104"/>
    <d v="2020-09-30T00:00:00"/>
    <x v="1"/>
    <n v="122"/>
    <n v="931663"/>
    <n v="161153"/>
    <n v="931663"/>
    <n v="831155"/>
    <n v="789695"/>
    <x v="0"/>
    <n v="0.09"/>
    <n v="71072.55"/>
    <n v="0.89211979009577502"/>
    <n v="7636.5819672131147"/>
    <n v="2.2674436192313348"/>
  </r>
  <r>
    <s v="BANK OF THE ORIENT"/>
    <s v="San Francisco"/>
    <x v="0"/>
    <n v="94104"/>
    <d v="2021-09-30T00:00:00"/>
    <x v="2"/>
    <n v="106"/>
    <n v="932525"/>
    <n v="187179"/>
    <n v="932525"/>
    <n v="825296"/>
    <n v="787197"/>
    <x v="0"/>
    <n v="0.09"/>
    <n v="70847.73"/>
    <n v="0.88501219806439502"/>
    <n v="8797.4056603773588"/>
    <n v="2.6419900821098996"/>
  </r>
  <r>
    <s v="BANK OF THE SIERRA"/>
    <s v="Porterville"/>
    <x v="0"/>
    <n v="93257"/>
    <d v="2019-09-30T00:00:00"/>
    <x v="0"/>
    <n v="519"/>
    <n v="2635728"/>
    <n v="80646"/>
    <n v="2635727"/>
    <n v="2306165"/>
    <n v="2204867"/>
    <x v="1"/>
    <n v="0.08"/>
    <n v="176389.36000000002"/>
    <n v="0.87496319802346822"/>
    <n v="5078.4739884393066"/>
    <n v="0.4572044481594581"/>
  </r>
  <r>
    <s v="BANK OF THE SIERRA"/>
    <s v="Porterville"/>
    <x v="0"/>
    <n v="93257"/>
    <d v="2020-09-30T00:00:00"/>
    <x v="1"/>
    <n v="491"/>
    <n v="3199559"/>
    <n v="88933"/>
    <n v="3199559"/>
    <n v="2840140"/>
    <n v="2603565"/>
    <x v="1"/>
    <n v="0.08"/>
    <n v="208285.2"/>
    <n v="0.88766608148185422"/>
    <n v="6516.4134419551938"/>
    <n v="0.42697704877734949"/>
  </r>
  <r>
    <s v="BANK OF THE SIERRA"/>
    <s v="Porterville"/>
    <x v="0"/>
    <n v="93257"/>
    <d v="2021-09-30T00:00:00"/>
    <x v="2"/>
    <n v="482"/>
    <n v="3443274"/>
    <n v="422350"/>
    <n v="3443274"/>
    <n v="3047249"/>
    <n v="2874329"/>
    <x v="1"/>
    <n v="0.08"/>
    <n v="229946.32"/>
    <n v="0.88498591747273092"/>
    <n v="7143.7219917012444"/>
    <n v="1.8367330253426104"/>
  </r>
  <r>
    <s v="BANK OF THE WEST"/>
    <s v="San Francisco"/>
    <x v="0"/>
    <n v="94104"/>
    <d v="2019-09-30T00:00:00"/>
    <x v="0"/>
    <n v="9683"/>
    <n v="91025838"/>
    <n v="3564223"/>
    <n v="91025838"/>
    <n v="78134165"/>
    <n v="69776526"/>
    <x v="1"/>
    <n v="0.08"/>
    <n v="5582122.0800000001"/>
    <n v="0.85837347633097316"/>
    <n v="9400.5822575648035"/>
    <n v="0.63850681674808518"/>
  </r>
  <r>
    <s v="BANK OF THE WEST"/>
    <s v="San Francisco"/>
    <x v="0"/>
    <n v="94104"/>
    <d v="2020-09-30T00:00:00"/>
    <x v="1"/>
    <n v="9413"/>
    <n v="96304549"/>
    <n v="5122340"/>
    <n v="96304549"/>
    <n v="82429586"/>
    <n v="78652372"/>
    <x v="1"/>
    <n v="0.08"/>
    <n v="6292189.7599999998"/>
    <n v="0.85592619306072448"/>
    <n v="10231.015510464251"/>
    <n v="0.81407907189372497"/>
  </r>
  <r>
    <s v="BANK OF THE WEST"/>
    <s v="San Francisco"/>
    <x v="0"/>
    <n v="94104"/>
    <d v="2021-09-30T00:00:00"/>
    <x v="2"/>
    <n v="8900"/>
    <n v="105411908"/>
    <n v="17578659"/>
    <n v="105411908"/>
    <n v="91699524"/>
    <n v="89340272"/>
    <x v="1"/>
    <n v="0.08"/>
    <n v="7147221.7599999998"/>
    <n v="0.86991617683269706"/>
    <n v="11844.034606741572"/>
    <n v="2.4595093856441359"/>
  </r>
  <r>
    <s v="BANK OF UTICA"/>
    <s v="Utica"/>
    <x v="2"/>
    <n v="13502"/>
    <d v="2019-09-30T00:00:00"/>
    <x v="0"/>
    <n v="42"/>
    <n v="1135120"/>
    <n v="13234"/>
    <n v="1135120"/>
    <n v="899471"/>
    <n v="885814"/>
    <x v="1"/>
    <n v="0.08"/>
    <n v="70865.119999999995"/>
    <n v="0.79240168440341108"/>
    <n v="27026.666666666668"/>
    <n v="0.18674913695200121"/>
  </r>
  <r>
    <s v="BANK OF UTICA"/>
    <s v="Utica"/>
    <x v="2"/>
    <n v="13502"/>
    <d v="2020-09-30T00:00:00"/>
    <x v="1"/>
    <n v="43"/>
    <n v="1297520"/>
    <n v="38051"/>
    <n v="1297520"/>
    <n v="1049465"/>
    <n v="1034269"/>
    <x v="1"/>
    <n v="0.08"/>
    <n v="82741.52"/>
    <n v="0.80882375608853818"/>
    <n v="30174.883720930233"/>
    <n v="0.45987794277890953"/>
  </r>
  <r>
    <s v="BANK OF UTICA"/>
    <s v="Utica"/>
    <x v="2"/>
    <n v="13502"/>
    <d v="2021-09-30T00:00:00"/>
    <x v="2"/>
    <n v="42"/>
    <n v="1497293"/>
    <n v="80371"/>
    <n v="1497293"/>
    <n v="1212870"/>
    <n v="1190452"/>
    <x v="1"/>
    <n v="0.08"/>
    <n v="95236.160000000003"/>
    <n v="0.8100418555352894"/>
    <n v="35649.833333333336"/>
    <n v="0.84391264830501356"/>
  </r>
  <r>
    <s v="BANK OF WHITTIER, NATIONAL ASSOCIATION"/>
    <s v="Whittier"/>
    <x v="0"/>
    <n v="90609"/>
    <d v="2019-09-30T00:00:00"/>
    <x v="0"/>
    <n v="20"/>
    <n v="71979"/>
    <n v="39791"/>
    <n v="71979"/>
    <n v="61114"/>
    <n v="60421"/>
    <x v="2"/>
    <n v="0.1"/>
    <n v="6042.1"/>
    <n v="0.84905319607107632"/>
    <n v="3598.95"/>
    <n v="6.5856242035054038"/>
  </r>
  <r>
    <s v="BANK OF WHITTIER, NATIONAL ASSOCIATION"/>
    <s v="Whittier"/>
    <x v="0"/>
    <n v="90603"/>
    <d v="2020-09-30T00:00:00"/>
    <x v="1"/>
    <n v="24"/>
    <n v="107488"/>
    <n v="63002"/>
    <n v="107488"/>
    <n v="91512"/>
    <n v="90696"/>
    <x v="0"/>
    <n v="0.09"/>
    <n v="8162.6399999999994"/>
    <n v="0.85136945519499851"/>
    <n v="4478.666666666667"/>
    <n v="7.7183362245548013"/>
  </r>
  <r>
    <s v="BANK OF WHITTIER, NATIONAL ASSOCIATION"/>
    <s v="Whittier"/>
    <x v="0"/>
    <n v="90603"/>
    <d v="2021-09-30T00:00:00"/>
    <x v="2"/>
    <n v="26"/>
    <n v="170482"/>
    <n v="126895"/>
    <n v="170482"/>
    <n v="150787"/>
    <n v="149767"/>
    <x v="0"/>
    <n v="0.09"/>
    <n v="13479.029999999999"/>
    <n v="0.88447460728991922"/>
    <n v="6557"/>
    <n v="9.4142531027826202"/>
  </r>
  <r>
    <s v="BANK OF YATES CITY"/>
    <s v="Yates City"/>
    <x v="1"/>
    <n v="61572"/>
    <d v="2019-09-30T00:00:00"/>
    <x v="0"/>
    <n v="15"/>
    <n v="70725"/>
    <n v="2220"/>
    <n v="70725"/>
    <n v="64243"/>
    <n v="60417"/>
    <x v="2"/>
    <n v="0.09"/>
    <n v="5437.53"/>
    <n v="0.9083492400141393"/>
    <n v="4715"/>
    <n v="0.40827360952491298"/>
  </r>
  <r>
    <s v="BANK OF YATES CITY"/>
    <s v="Yates City"/>
    <x v="1"/>
    <n v="61572"/>
    <d v="2020-09-30T00:00:00"/>
    <x v="1"/>
    <n v="15"/>
    <n v="71131"/>
    <n v="2762"/>
    <n v="71131"/>
    <n v="64531"/>
    <n v="62781"/>
    <x v="2"/>
    <n v="0.09"/>
    <n v="5650.29"/>
    <n v="0.9072134512378569"/>
    <n v="4742.0666666666666"/>
    <n v="0.48882446741671665"/>
  </r>
  <r>
    <s v="BANK OF YATES CITY"/>
    <s v="Yates City"/>
    <x v="1"/>
    <n v="61572"/>
    <d v="2021-09-30T00:00:00"/>
    <x v="2"/>
    <n v="15"/>
    <n v="74844"/>
    <n v="1739"/>
    <n v="74844"/>
    <n v="67691"/>
    <n v="66640"/>
    <x v="2"/>
    <n v="0.09"/>
    <n v="5997.5999999999995"/>
    <n v="0.90442787665009883"/>
    <n v="4989.6000000000004"/>
    <n v="0.28994931305855676"/>
  </r>
  <r>
    <s v="BANKCHAMPAIGN, NATIONAL ASSOCIATION"/>
    <s v="Champaign"/>
    <x v="1"/>
    <n v="61820"/>
    <d v="2019-09-30T00:00:00"/>
    <x v="0"/>
    <n v="40"/>
    <n v="224718"/>
    <n v="12021"/>
    <n v="224718"/>
    <n v="201771"/>
    <n v="189215"/>
    <x v="0"/>
    <n v="0.08"/>
    <n v="15137.2"/>
    <n v="0.8978853496382132"/>
    <n v="5617.95"/>
    <n v="0.79413629997621749"/>
  </r>
  <r>
    <s v="BANKCHAMPAIGN, NATIONAL ASSOCIATION"/>
    <s v="Champaign"/>
    <x v="1"/>
    <n v="61820"/>
    <d v="2020-09-30T00:00:00"/>
    <x v="1"/>
    <n v="37"/>
    <n v="260213"/>
    <n v="38317"/>
    <n v="260213"/>
    <n v="235710"/>
    <n v="214389"/>
    <x v="0"/>
    <n v="0.08"/>
    <n v="17151.12"/>
    <n v="0.90583483530799769"/>
    <n v="7032.7837837837842"/>
    <n v="2.2340815060474184"/>
  </r>
  <r>
    <s v="BANKCHAMPAIGN, NATIONAL ASSOCIATION"/>
    <s v="Champaign"/>
    <x v="1"/>
    <n v="61820"/>
    <d v="2021-09-30T00:00:00"/>
    <x v="2"/>
    <n v="37"/>
    <n v="254141"/>
    <n v="43133"/>
    <n v="254141"/>
    <n v="228960"/>
    <n v="210659"/>
    <x v="0"/>
    <n v="0.08"/>
    <n v="16852.72"/>
    <n v="0.9009172073770072"/>
    <n v="6868.6756756756758"/>
    <n v="2.5594088075990107"/>
  </r>
  <r>
    <s v="BANKFINANCIAL, NATIONAL ASSOCIATION"/>
    <s v="Olympia Fields"/>
    <x v="1"/>
    <n v="60461"/>
    <d v="2019-09-30T00:00:00"/>
    <x v="0"/>
    <n v="223"/>
    <n v="1489425"/>
    <n v="193789"/>
    <n v="1489425"/>
    <n v="1324188"/>
    <n v="1305268"/>
    <x v="1"/>
    <n v="7.4999999999999997E-2"/>
    <n v="97895.099999999991"/>
    <n v="0.88905987209829296"/>
    <n v="6679.0358744394616"/>
    <n v="1.9795577102429029"/>
  </r>
  <r>
    <s v="BANKFINANCIAL, NATIONAL ASSOCIATION"/>
    <s v="Olympia Fields"/>
    <x v="1"/>
    <n v="60461"/>
    <d v="2020-09-30T00:00:00"/>
    <x v="1"/>
    <n v="210"/>
    <n v="1604329"/>
    <n v="462389"/>
    <n v="1604329"/>
    <n v="1440854"/>
    <n v="1420227"/>
    <x v="1"/>
    <n v="7.4999999999999997E-2"/>
    <n v="106517.02499999999"/>
    <n v="0.89810381785780846"/>
    <n v="7639.6619047619051"/>
    <n v="4.3409868046915507"/>
  </r>
  <r>
    <s v="BANKFINANCIAL, NATIONAL ASSOCIATION"/>
    <s v="Olympia Fields"/>
    <x v="1"/>
    <n v="60461"/>
    <d v="2021-09-30T00:00:00"/>
    <x v="2"/>
    <n v="224"/>
    <n v="1659315"/>
    <n v="536056"/>
    <n v="1659315"/>
    <n v="1492510"/>
    <n v="1471953"/>
    <x v="1"/>
    <n v="7.4999999999999997E-2"/>
    <n v="110396.47499999999"/>
    <n v="0.89947357795234784"/>
    <n v="7407.65625"/>
    <n v="4.8557347505887307"/>
  </r>
  <r>
    <s v="BANKGLOUCESTER"/>
    <s v="Gloucester"/>
    <x v="3"/>
    <n v="1930"/>
    <d v="2019-09-30T00:00:00"/>
    <x v="0"/>
    <n v="49"/>
    <n v="278540"/>
    <n v="10743"/>
    <n v="278540"/>
    <n v="254913"/>
    <n v="233255"/>
    <x v="0"/>
    <n v="8.5000000000000006E-2"/>
    <n v="19826.675000000003"/>
    <n v="0.91517555826811225"/>
    <n v="5684.4897959183672"/>
    <n v="0.54184577091216746"/>
  </r>
  <r>
    <s v="BANKGLOUCESTER"/>
    <s v="Gloucester"/>
    <x v="3"/>
    <n v="1930"/>
    <d v="2020-09-30T00:00:00"/>
    <x v="1"/>
    <n v="54"/>
    <n v="329398"/>
    <n v="41603"/>
    <n v="329398"/>
    <n v="304070"/>
    <n v="289901"/>
    <x v="0"/>
    <n v="8.5000000000000006E-2"/>
    <n v="24641.585000000003"/>
    <n v="0.92310821559329448"/>
    <n v="6099.9629629629626"/>
    <n v="1.6883248378706157"/>
  </r>
  <r>
    <s v="BANKGLOUCESTER"/>
    <s v="Gloucester"/>
    <x v="3"/>
    <n v="1930"/>
    <d v="2021-09-30T00:00:00"/>
    <x v="2"/>
    <n v="55"/>
    <n v="347283"/>
    <n v="58721"/>
    <n v="347283"/>
    <n v="320350"/>
    <n v="310704"/>
    <x v="0"/>
    <n v="8.5000000000000006E-2"/>
    <n v="26409.84"/>
    <n v="0.92244653495852091"/>
    <n v="6314.2363636363634"/>
    <n v="2.22345156199356"/>
  </r>
  <r>
    <s v="BANKORION"/>
    <s v="Orion"/>
    <x v="1"/>
    <n v="61273"/>
    <d v="2019-09-30T00:00:00"/>
    <x v="0"/>
    <n v="88"/>
    <n v="477706"/>
    <n v="42045"/>
    <n v="477706"/>
    <n v="419059"/>
    <n v="393127"/>
    <x v="0"/>
    <n v="0.08"/>
    <n v="31450.16"/>
    <n v="0.87723202136879164"/>
    <n v="5428.477272727273"/>
    <n v="1.336877141483541"/>
  </r>
  <r>
    <s v="BANKORION"/>
    <s v="Orion"/>
    <x v="1"/>
    <n v="61273"/>
    <d v="2020-09-30T00:00:00"/>
    <x v="1"/>
    <n v="89"/>
    <n v="572617"/>
    <n v="72768"/>
    <n v="572617"/>
    <n v="508159"/>
    <n v="468368"/>
    <x v="0"/>
    <n v="0.08"/>
    <n v="37469.440000000002"/>
    <n v="0.88743261202514068"/>
    <n v="6433.8988764044943"/>
    <n v="1.9420626515902024"/>
  </r>
  <r>
    <s v="BANKORION"/>
    <s v="Orion"/>
    <x v="1"/>
    <n v="61273"/>
    <d v="2021-09-30T00:00:00"/>
    <x v="2"/>
    <n v="89"/>
    <n v="604608"/>
    <n v="29002"/>
    <n v="604608"/>
    <n v="540321"/>
    <n v="509011"/>
    <x v="0"/>
    <n v="0.08"/>
    <n v="40720.879999999997"/>
    <n v="0.89367160209590346"/>
    <n v="6793.348314606742"/>
    <n v="0.7122144708071142"/>
  </r>
  <r>
    <s v="BANTERRA BANK"/>
    <s v="Marion"/>
    <x v="1"/>
    <n v="62959"/>
    <d v="2019-09-30T00:00:00"/>
    <x v="0"/>
    <n v="383"/>
    <n v="1865514"/>
    <n v="37548"/>
    <n v="1865514"/>
    <n v="1691693"/>
    <n v="1588828"/>
    <x v="1"/>
    <n v="7.4999999999999997E-2"/>
    <n v="119162.09999999999"/>
    <n v="0.90682407100670381"/>
    <n v="4870.7937336814621"/>
    <n v="0.31510018705611936"/>
  </r>
  <r>
    <s v="BANTERRA BANK"/>
    <s v="Marion"/>
    <x v="1"/>
    <n v="62959"/>
    <d v="2020-09-30T00:00:00"/>
    <x v="1"/>
    <n v="393"/>
    <n v="2234733"/>
    <n v="48862"/>
    <n v="2234733"/>
    <n v="2026808"/>
    <n v="1937631"/>
    <x v="1"/>
    <n v="7.4999999999999997E-2"/>
    <n v="145322.32499999998"/>
    <n v="0.90695756495294966"/>
    <n v="5686.3435114503818"/>
    <n v="0.3362318900416712"/>
  </r>
  <r>
    <s v="BANTERRA BANK"/>
    <s v="Marion"/>
    <x v="1"/>
    <n v="62959"/>
    <d v="2021-09-30T00:00:00"/>
    <x v="2"/>
    <n v="409"/>
    <n v="2436872"/>
    <n v="46699"/>
    <n v="2436872"/>
    <n v="2208462"/>
    <n v="2176186"/>
    <x v="1"/>
    <n v="7.4999999999999997E-2"/>
    <n v="163213.94999999998"/>
    <n v="0.9062691844298757"/>
    <n v="5958.1222493887526"/>
    <n v="0.28612137626716344"/>
  </r>
  <r>
    <s v="BARRINGTON BANK &amp; TRUST COMPANY, NATIONAL ASSOCIATION"/>
    <s v="Barrington"/>
    <x v="1"/>
    <n v="60010"/>
    <d v="2019-09-30T00:00:00"/>
    <x v="0"/>
    <n v="1026"/>
    <n v="2604075"/>
    <n v="133798"/>
    <n v="2604075"/>
    <n v="2247903"/>
    <n v="2003090"/>
    <x v="1"/>
    <n v="7.4999999999999997E-2"/>
    <n v="150231.75"/>
    <n v="0.86322513752484087"/>
    <n v="2538.0847953216376"/>
    <n v="0.8906106731766088"/>
  </r>
  <r>
    <s v="BARRINGTON BANK &amp; TRUST COMPANY, NATIONAL ASSOCIATION"/>
    <s v="Barrington"/>
    <x v="1"/>
    <n v="60010"/>
    <d v="2020-09-30T00:00:00"/>
    <x v="1"/>
    <n v="1181"/>
    <n v="3505954"/>
    <n v="90751"/>
    <n v="3505954"/>
    <n v="3090199"/>
    <n v="2563687"/>
    <x v="1"/>
    <n v="7.4999999999999997E-2"/>
    <n v="192276.52499999999"/>
    <n v="0.88141458786966398"/>
    <n v="2968.6316680779"/>
    <n v="0.47198169407315843"/>
  </r>
  <r>
    <s v="BARRINGTON BANK &amp; TRUST COMPANY, NATIONAL ASSOCIATION"/>
    <s v="Barrington"/>
    <x v="1"/>
    <n v="60010"/>
    <d v="2021-09-30T00:00:00"/>
    <x v="2"/>
    <n v="1217"/>
    <n v="3382070"/>
    <n v="69547"/>
    <n v="3382070"/>
    <n v="2980947"/>
    <n v="2789937"/>
    <x v="1"/>
    <n v="7.4999999999999997E-2"/>
    <n v="209245.27499999999"/>
    <n v="0.8813971916607285"/>
    <n v="2779.0221857025472"/>
    <n v="0.33237070705658706"/>
  </r>
  <r>
    <s v="BAY STATE SAVINGS BANK"/>
    <s v="Worcester"/>
    <x v="3"/>
    <n v="1608"/>
    <d v="2019-09-30T00:00:00"/>
    <x v="0"/>
    <n v="68"/>
    <n v="424955"/>
    <n v="11659"/>
    <n v="424955"/>
    <n v="385596"/>
    <n v="356755"/>
    <x v="0"/>
    <n v="8.5000000000000006E-2"/>
    <n v="30324.175000000003"/>
    <n v="0.90738078149451118"/>
    <n v="6249.338235294118"/>
    <n v="0.38447872036090014"/>
  </r>
  <r>
    <s v="BAY STATE SAVINGS BANK"/>
    <s v="Worcester"/>
    <x v="3"/>
    <n v="1608"/>
    <d v="2020-09-30T00:00:00"/>
    <x v="1"/>
    <n v="72"/>
    <n v="465209"/>
    <n v="13330"/>
    <n v="465209"/>
    <n v="423806"/>
    <n v="400128"/>
    <x v="0"/>
    <n v="8.5000000000000006E-2"/>
    <n v="34010.880000000005"/>
    <n v="0.91100129189246126"/>
    <n v="6461.2361111111113"/>
    <n v="0.39193340483986294"/>
  </r>
  <r>
    <s v="BAY STATE SAVINGS BANK"/>
    <s v="Worcester"/>
    <x v="3"/>
    <n v="1608"/>
    <d v="2021-09-30T00:00:00"/>
    <x v="2"/>
    <n v="71"/>
    <n v="488109"/>
    <n v="72321"/>
    <n v="488109"/>
    <n v="443491"/>
    <n v="426730"/>
    <x v="0"/>
    <n v="8.5000000000000006E-2"/>
    <n v="36272.050000000003"/>
    <n v="0.9085900895086958"/>
    <n v="6874.7746478873241"/>
    <n v="1.9938492585889134"/>
  </r>
  <r>
    <s v="BAYCOAST BANK"/>
    <s v="Swansea"/>
    <x v="3"/>
    <n v="2777"/>
    <d v="2019-09-30T00:00:00"/>
    <x v="0"/>
    <n v="424"/>
    <n v="1858809"/>
    <n v="65515"/>
    <n v="1858809"/>
    <n v="1693995"/>
    <n v="1516947"/>
    <x v="1"/>
    <n v="0.08"/>
    <n v="121355.76000000001"/>
    <n v="0.91133354744893103"/>
    <n v="4383.9834905660373"/>
    <n v="0.53985900628037764"/>
  </r>
  <r>
    <s v="BAYCOAST BANK"/>
    <s v="Swansea"/>
    <x v="3"/>
    <n v="2777"/>
    <d v="2020-09-30T00:00:00"/>
    <x v="1"/>
    <n v="479"/>
    <n v="2168622"/>
    <n v="28459"/>
    <n v="2168622"/>
    <n v="1991545"/>
    <n v="1739564"/>
    <x v="1"/>
    <n v="0.08"/>
    <n v="139165.12"/>
    <n v="0.91834584358177684"/>
    <n v="4527.3945720250522"/>
    <n v="0.2044980811283747"/>
  </r>
  <r>
    <s v="BAYCOAST BANK"/>
    <s v="Swansea"/>
    <x v="3"/>
    <n v="2777"/>
    <d v="2021-09-30T00:00:00"/>
    <x v="2"/>
    <n v="533"/>
    <n v="2249593"/>
    <n v="57911"/>
    <n v="2249593"/>
    <n v="2051172"/>
    <n v="1978652"/>
    <x v="1"/>
    <n v="0.08"/>
    <n v="158292.16"/>
    <n v="0.91179693393427164"/>
    <n v="4220.6247654784238"/>
    <n v="0.36584882030796723"/>
  </r>
  <r>
    <s v="BEACON BUSINESS BANK, NATIONAL ASSOCIATION"/>
    <s v="San Francisco"/>
    <x v="0"/>
    <n v="94108"/>
    <d v="2019-09-30T00:00:00"/>
    <x v="0"/>
    <n v="31"/>
    <n v="140620"/>
    <n v="32616"/>
    <n v="140620"/>
    <n v="122071"/>
    <n v="120647"/>
    <x v="0"/>
    <n v="0.09"/>
    <n v="10858.23"/>
    <n v="0.86809130991324135"/>
    <n v="4536.1290322580644"/>
    <n v="3.0038044874717151"/>
  </r>
  <r>
    <s v="BEACON BUSINESS BANK, NATIONAL ASSOCIATION"/>
    <s v="San Francisco"/>
    <x v="0"/>
    <n v="94108"/>
    <d v="2020-09-30T00:00:00"/>
    <x v="1"/>
    <n v="26"/>
    <n v="160317"/>
    <n v="38993"/>
    <n v="160317"/>
    <n v="142866"/>
    <n v="141803"/>
    <x v="0"/>
    <n v="0.09"/>
    <n v="12762.27"/>
    <n v="0.89114691517431088"/>
    <n v="6166.0384615384619"/>
    <n v="3.0553341999503223"/>
  </r>
  <r>
    <s v="BEACON BUSINESS BANK, NATIONAL ASSOCIATION"/>
    <s v="San Francisco"/>
    <x v="0"/>
    <n v="94108"/>
    <d v="2021-09-30T00:00:00"/>
    <x v="2"/>
    <n v="23"/>
    <n v="179511"/>
    <n v="59438"/>
    <n v="179511"/>
    <n v="160214"/>
    <n v="159430"/>
    <x v="0"/>
    <n v="0.09"/>
    <n v="14348.699999999999"/>
    <n v="0.89250240932310554"/>
    <n v="7804.826086956522"/>
    <n v="4.142396175263265"/>
  </r>
  <r>
    <s v="BEARDSTOWN SAVINGS S.B."/>
    <s v="Beardstown"/>
    <x v="1"/>
    <n v="62618"/>
    <d v="2019-09-30T00:00:00"/>
    <x v="0"/>
    <n v="13"/>
    <n v="52129"/>
    <n v="2077"/>
    <n v="52129"/>
    <n v="45947"/>
    <n v="39119"/>
    <x v="2"/>
    <n v="0.09"/>
    <n v="3520.71"/>
    <n v="0.88140958008018566"/>
    <n v="4009.9230769230771"/>
    <n v="0.58993782504097181"/>
  </r>
  <r>
    <s v="BEARDSTOWN SAVINGS S.B."/>
    <s v="Beardstown"/>
    <x v="1"/>
    <n v="62618"/>
    <d v="2020-09-30T00:00:00"/>
    <x v="1"/>
    <n v="13"/>
    <n v="60349"/>
    <n v="6967"/>
    <n v="60349"/>
    <n v="53559"/>
    <n v="44581"/>
    <x v="2"/>
    <n v="0.09"/>
    <n v="4012.29"/>
    <n v="0.88748777941639467"/>
    <n v="4642.2307692307695"/>
    <n v="1.736414865326285"/>
  </r>
  <r>
    <s v="BEARDSTOWN SAVINGS S.B."/>
    <s v="Beardstown"/>
    <x v="1"/>
    <n v="62618"/>
    <d v="2021-09-30T00:00:00"/>
    <x v="2"/>
    <n v="12"/>
    <n v="68300"/>
    <n v="9674"/>
    <n v="68300"/>
    <n v="61244"/>
    <n v="51320"/>
    <x v="2"/>
    <n v="0.09"/>
    <n v="4618.8"/>
    <n v="0.89669106881405569"/>
    <n v="5691.666666666667"/>
    <n v="2.0944834156057848"/>
  </r>
  <r>
    <s v="BELMONT BANK &amp; TRUST COMPANY"/>
    <s v="Chicago"/>
    <x v="1"/>
    <n v="60634"/>
    <d v="2019-09-30T00:00:00"/>
    <x v="0"/>
    <n v="37"/>
    <n v="533573"/>
    <n v="55904"/>
    <n v="533573"/>
    <n v="478835"/>
    <n v="476151"/>
    <x v="0"/>
    <n v="0.08"/>
    <n v="38092.080000000002"/>
    <n v="0.89741235032507272"/>
    <n v="14420.891891891892"/>
    <n v="1.4676016641779603"/>
  </r>
  <r>
    <s v="BELMONT BANK &amp; TRUST COMPANY"/>
    <s v="Chicago"/>
    <x v="1"/>
    <n v="60634"/>
    <d v="2020-09-30T00:00:00"/>
    <x v="1"/>
    <n v="36"/>
    <n v="732232"/>
    <n v="111833"/>
    <n v="732232"/>
    <n v="656978"/>
    <n v="645679"/>
    <x v="0"/>
    <n v="0.08"/>
    <n v="51654.32"/>
    <n v="0.89722656207322271"/>
    <n v="20339.777777777777"/>
    <n v="2.1650270490444941"/>
  </r>
  <r>
    <s v="BELMONT BANK &amp; TRUST COMPANY"/>
    <s v="Chicago"/>
    <x v="1"/>
    <n v="60634"/>
    <d v="2021-09-30T00:00:00"/>
    <x v="2"/>
    <n v="39"/>
    <n v="862147"/>
    <n v="182944"/>
    <n v="862147"/>
    <n v="775762"/>
    <n v="766492"/>
    <x v="0"/>
    <n v="0.08"/>
    <n v="61319.360000000001"/>
    <n v="0.89980246988042645"/>
    <n v="22106.333333333332"/>
    <n v="2.9834623192414274"/>
  </r>
  <r>
    <s v="BEN FRANKLIN BANK OF ILLINOIS"/>
    <s v="Arlington Height"/>
    <x v="1"/>
    <n v="60004"/>
    <d v="2019-09-30T00:00:00"/>
    <x v="0"/>
    <n v="25"/>
    <n v="99973"/>
    <n v="10606"/>
    <n v="99973"/>
    <n v="90173"/>
    <n v="81455"/>
    <x v="2"/>
    <n v="0.09"/>
    <n v="7330.95"/>
    <n v="0.9019735328538705"/>
    <n v="3998.92"/>
    <n v="1.4467429187213117"/>
  </r>
  <r>
    <s v="BENEFICIAL STATE BANK"/>
    <s v="Oakland"/>
    <x v="0"/>
    <n v="94612"/>
    <d v="2019-09-30T00:00:00"/>
    <x v="0"/>
    <n v="234"/>
    <n v="1056166"/>
    <n v="224566"/>
    <n v="1056166"/>
    <n v="936421"/>
    <n v="852987"/>
    <x v="1"/>
    <n v="0.08"/>
    <n v="68238.960000000006"/>
    <n v="0.88662293616723131"/>
    <n v="4513.5299145299141"/>
    <n v="3.2908766487648693"/>
  </r>
  <r>
    <s v="BENEFICIAL STATE BANK"/>
    <s v="Oakland"/>
    <x v="0"/>
    <n v="94612"/>
    <d v="2020-09-30T00:00:00"/>
    <x v="1"/>
    <n v="194"/>
    <n v="1201069"/>
    <n v="79094"/>
    <n v="1201069"/>
    <n v="1085656"/>
    <n v="1032091"/>
    <x v="1"/>
    <n v="0.08"/>
    <n v="82567.28"/>
    <n v="0.90390810186592108"/>
    <n v="6191.0773195876291"/>
    <n v="0.95793394187140479"/>
  </r>
  <r>
    <s v="BENEFICIAL STATE BANK"/>
    <s v="Oakland"/>
    <x v="0"/>
    <n v="94612"/>
    <d v="2021-09-30T00:00:00"/>
    <x v="2"/>
    <n v="197"/>
    <n v="1496354"/>
    <n v="60825"/>
    <n v="1496354"/>
    <n v="1368763"/>
    <n v="1307742"/>
    <x v="1"/>
    <n v="0.08"/>
    <n v="104619.36"/>
    <n v="0.91473207543134849"/>
    <n v="7595.7055837563448"/>
    <n v="0.58139334822923783"/>
  </r>
  <r>
    <s v="BERKSHIRE BANK"/>
    <s v="Pittsfield"/>
    <x v="3"/>
    <n v="1201"/>
    <d v="2019-09-30T00:00:00"/>
    <x v="0"/>
    <n v="1732"/>
    <n v="13504792"/>
    <n v="212766"/>
    <n v="13504792"/>
    <n v="11745513"/>
    <n v="10502442"/>
    <x v="1"/>
    <n v="0.08"/>
    <n v="840195.36"/>
    <n v="0.86972927831839242"/>
    <n v="7797.2240184757502"/>
    <n v="0.25323396215851512"/>
  </r>
  <r>
    <s v="BERKSHIRE BANK"/>
    <s v="Pittsfield"/>
    <x v="3"/>
    <n v="1201"/>
    <d v="2020-09-30T00:00:00"/>
    <x v="1"/>
    <n v="1473"/>
    <n v="12607803"/>
    <n v="930949"/>
    <n v="12607803"/>
    <n v="11431899"/>
    <n v="10561436"/>
    <x v="1"/>
    <n v="0.08"/>
    <n v="844914.88"/>
    <n v="0.90673204522627771"/>
    <n v="8559.2688391038701"/>
    <n v="1.1018257839180203"/>
  </r>
  <r>
    <s v="BERKSHIRE BANK"/>
    <s v="Pittsfield"/>
    <x v="3"/>
    <n v="1201"/>
    <d v="2021-09-30T00:00:00"/>
    <x v="2"/>
    <n v="1333"/>
    <n v="11856047"/>
    <n v="2121407"/>
    <n v="11856047"/>
    <n v="10694578"/>
    <n v="10487472"/>
    <x v="1"/>
    <n v="0.08"/>
    <n v="838997.76"/>
    <n v="0.90203572910937346"/>
    <n v="8894.2588147036768"/>
    <n v="2.5285013871789119"/>
  </r>
  <r>
    <s v="BESSEMER TRUST COMPANY, NATIONAL ASSOCIATION"/>
    <s v="New York"/>
    <x v="2"/>
    <n v="10111"/>
    <d v="2019-09-30T00:00:00"/>
    <x v="0"/>
    <n v="556"/>
    <n v="1841070"/>
    <n v="319630"/>
    <n v="1841070"/>
    <n v="1574905"/>
    <n v="1452413"/>
    <x v="1"/>
    <n v="0.08"/>
    <n v="116193.04000000001"/>
    <n v="0.85542917977045962"/>
    <n v="3311.276978417266"/>
    <n v="2.7508532352712347"/>
  </r>
  <r>
    <s v="BESSEMER TRUST COMPANY, NATIONAL ASSOCIATION"/>
    <s v="New York"/>
    <x v="2"/>
    <n v="10111"/>
    <d v="2020-09-30T00:00:00"/>
    <x v="1"/>
    <n v="590"/>
    <n v="2318528"/>
    <n v="797094"/>
    <n v="2318528"/>
    <n v="2026013"/>
    <n v="1887763"/>
    <x v="1"/>
    <n v="0.08"/>
    <n v="151021.04"/>
    <n v="0.87383589932922956"/>
    <n v="3929.7084745762713"/>
    <n v="5.278032782716898"/>
  </r>
  <r>
    <s v="BESSEMER TRUST COMPANY, NATIONAL ASSOCIATION"/>
    <s v="New York"/>
    <x v="2"/>
    <n v="10020"/>
    <d v="2021-09-30T00:00:00"/>
    <x v="2"/>
    <n v="595"/>
    <n v="3123987"/>
    <n v="946997"/>
    <n v="3123987"/>
    <n v="2814377"/>
    <n v="2636682"/>
    <x v="1"/>
    <n v="0.08"/>
    <n v="210934.56"/>
    <n v="0.90089267336899925"/>
    <n v="5250.3983193277309"/>
    <n v="4.4895298333284028"/>
  </r>
  <r>
    <s v="BEST HOMETOWN BANK"/>
    <s v="Collinsville"/>
    <x v="1"/>
    <n v="62234"/>
    <d v="2019-09-30T00:00:00"/>
    <x v="0"/>
    <n v="20"/>
    <n v="115624"/>
    <n v="7960"/>
    <n v="115624"/>
    <n v="104445"/>
    <n v="100761"/>
    <x v="0"/>
    <n v="0.08"/>
    <n v="8060.88"/>
    <n v="0.90331592057012389"/>
    <n v="5781.2"/>
    <n v="0.98748523734381355"/>
  </r>
  <r>
    <s v="BETTER BANKS"/>
    <s v="Peoria"/>
    <x v="1"/>
    <n v="61615"/>
    <d v="2019-09-30T00:00:00"/>
    <x v="0"/>
    <n v="70"/>
    <n v="290313"/>
    <n v="18467"/>
    <n v="290313"/>
    <n v="261091"/>
    <n v="259620"/>
    <x v="0"/>
    <n v="0.08"/>
    <n v="20769.600000000002"/>
    <n v="0.89934312276749573"/>
    <n v="4147.3285714285712"/>
    <n v="0.8891360449888297"/>
  </r>
  <r>
    <s v="BETTER BANKS"/>
    <s v="Peoria"/>
    <x v="1"/>
    <n v="61615"/>
    <d v="2020-09-30T00:00:00"/>
    <x v="1"/>
    <n v="68"/>
    <n v="331098"/>
    <n v="33753"/>
    <n v="331098"/>
    <n v="299206"/>
    <n v="293374"/>
    <x v="0"/>
    <n v="0.08"/>
    <n v="23469.920000000002"/>
    <n v="0.90367806510459137"/>
    <n v="4869.088235294118"/>
    <n v="1.4381386898634507"/>
  </r>
  <r>
    <s v="BETTER BANKS"/>
    <s v="Peoria"/>
    <x v="1"/>
    <n v="61615"/>
    <d v="2021-09-30T00:00:00"/>
    <x v="2"/>
    <n v="72"/>
    <n v="404344"/>
    <n v="29115"/>
    <n v="404344"/>
    <n v="371831"/>
    <n v="370083"/>
    <x v="0"/>
    <n v="0.08"/>
    <n v="29606.639999999999"/>
    <n v="0.91959074451457179"/>
    <n v="5615.8888888888887"/>
    <n v="0.98339426561068732"/>
  </r>
  <r>
    <s v="BEVERLY BANK"/>
    <s v="Beverly"/>
    <x v="3"/>
    <n v="1915"/>
    <d v="2019-09-30T00:00:00"/>
    <x v="0"/>
    <n v="71"/>
    <n v="502198"/>
    <n v="10316"/>
    <n v="502198"/>
    <n v="458745"/>
    <n v="434440"/>
    <x v="0"/>
    <n v="8.5000000000000006E-2"/>
    <n v="36927.4"/>
    <n v="0.9134743666840569"/>
    <n v="7073.211267605634"/>
    <n v="0.27935895838862201"/>
  </r>
  <r>
    <s v="BEVERLY BANK &amp; TRUST COMPANY, NATIONAL ASSOCIATION"/>
    <s v="Chicago"/>
    <x v="1"/>
    <n v="60643"/>
    <d v="2019-09-30T00:00:00"/>
    <x v="0"/>
    <n v="156"/>
    <n v="1585403"/>
    <n v="50561"/>
    <n v="1585403"/>
    <n v="1411626"/>
    <n v="1369778"/>
    <x v="1"/>
    <n v="7.4999999999999997E-2"/>
    <n v="102733.34999999999"/>
    <n v="0.89038938364567244"/>
    <n v="10162.839743589744"/>
    <n v="0.49215760996794133"/>
  </r>
  <r>
    <s v="BEVERLY BANK &amp; TRUST COMPANY, NATIONAL ASSOCIATION"/>
    <s v="Chicago"/>
    <x v="1"/>
    <n v="60643"/>
    <d v="2020-09-30T00:00:00"/>
    <x v="1"/>
    <n v="172"/>
    <n v="1761899"/>
    <n v="108715"/>
    <n v="1761899"/>
    <n v="1581622"/>
    <n v="1530200"/>
    <x v="1"/>
    <n v="7.4999999999999997E-2"/>
    <n v="114765"/>
    <n v="0.89768028700850622"/>
    <n v="10243.598837209302"/>
    <n v="0.94728357948852004"/>
  </r>
  <r>
    <s v="BEVERLY BANK &amp; TRUST COMPANY, NATIONAL ASSOCIATION"/>
    <s v="Chicago"/>
    <x v="1"/>
    <n v="60643"/>
    <d v="2021-09-30T00:00:00"/>
    <x v="2"/>
    <n v="168"/>
    <n v="1818590"/>
    <n v="167889"/>
    <n v="1818590"/>
    <n v="1630648"/>
    <n v="1584344"/>
    <x v="1"/>
    <n v="7.4999999999999997E-2"/>
    <n v="118825.79999999999"/>
    <n v="0.89665510092984124"/>
    <n v="10824.940476190477"/>
    <n v="1.4129002287382035"/>
  </r>
  <r>
    <s v="BLACKHAWK BANK &amp; TRUST"/>
    <s v="Milan"/>
    <x v="1"/>
    <n v="61264"/>
    <d v="2019-09-30T00:00:00"/>
    <x v="0"/>
    <n v="215"/>
    <n v="1381090"/>
    <n v="73313"/>
    <n v="1381090"/>
    <n v="1202603"/>
    <n v="944755"/>
    <x v="1"/>
    <n v="7.4999999999999997E-2"/>
    <n v="70856.625"/>
    <n v="0.87076367217198014"/>
    <n v="6423.6744186046508"/>
    <n v="1.0346668360227431"/>
  </r>
  <r>
    <s v="BLACKHAWK BANK &amp; TRUST"/>
    <s v="Milan"/>
    <x v="1"/>
    <n v="61264"/>
    <d v="2020-09-30T00:00:00"/>
    <x v="1"/>
    <n v="227"/>
    <n v="1554217"/>
    <n v="49627"/>
    <n v="1554217"/>
    <n v="1366197"/>
    <n v="1098011"/>
    <x v="1"/>
    <n v="7.4999999999999997E-2"/>
    <n v="82350.824999999997"/>
    <n v="0.87902590178848905"/>
    <n v="6846.7709251101323"/>
    <n v="0.60262905684308565"/>
  </r>
  <r>
    <s v="BLACKHAWK BANK &amp; TRUST"/>
    <s v="Milan"/>
    <x v="1"/>
    <n v="61264"/>
    <d v="2021-09-30T00:00:00"/>
    <x v="2"/>
    <n v="219"/>
    <n v="1742274"/>
    <n v="51434"/>
    <n v="1742274"/>
    <n v="1551098"/>
    <n v="1249094"/>
    <x v="1"/>
    <n v="7.4999999999999997E-2"/>
    <n v="93682.05"/>
    <n v="0.89027213859588106"/>
    <n v="7955.58904109589"/>
    <n v="0.54902726829739523"/>
  </r>
  <r>
    <s v="BLUESTONE BANK"/>
    <s v="Raynham"/>
    <x v="3"/>
    <n v="2767"/>
    <d v="2021-09-30T00:00:00"/>
    <x v="2"/>
    <n v="188"/>
    <n v="1305286"/>
    <n v="115037"/>
    <n v="1305286"/>
    <n v="1172790"/>
    <n v="1163364"/>
    <x v="1"/>
    <n v="0.08"/>
    <n v="93069.119999999995"/>
    <n v="0.89849274411891344"/>
    <n v="6943.010638297872"/>
    <n v="1.2360383336599723"/>
  </r>
  <r>
    <s v="BMO HARRIS BANK NATIONAL ASSOCIATION"/>
    <s v="Chicago"/>
    <x v="1"/>
    <n v="60603"/>
    <d v="2019-09-30T00:00:00"/>
    <x v="0"/>
    <n v="11448"/>
    <n v="138843929"/>
    <n v="20503342"/>
    <n v="138843929"/>
    <n v="122108112"/>
    <n v="105369232"/>
    <x v="1"/>
    <n v="7.4999999999999997E-2"/>
    <n v="7902692.3999999994"/>
    <n v="0.87946309845495663"/>
    <n v="12128.225803633823"/>
    <n v="2.5944755233039314"/>
  </r>
  <r>
    <s v="BMO HARRIS BANK NATIONAL ASSOCIATION"/>
    <s v="Chicago"/>
    <x v="1"/>
    <n v="60603"/>
    <d v="2020-09-30T00:00:00"/>
    <x v="1"/>
    <n v="10632"/>
    <n v="151532887"/>
    <n v="14616327"/>
    <n v="151532887"/>
    <n v="133661375"/>
    <n v="126012708"/>
    <x v="1"/>
    <n v="7.4999999999999997E-2"/>
    <n v="9450953.0999999996"/>
    <n v="0.88206182595861182"/>
    <n v="14252.528875094056"/>
    <n v="1.5465452897020513"/>
  </r>
  <r>
    <s v="BMO HARRIS BANK NATIONAL ASSOCIATION"/>
    <s v="Chicago"/>
    <x v="1"/>
    <n v="60603"/>
    <d v="2021-09-30T00:00:00"/>
    <x v="2"/>
    <n v="10367"/>
    <n v="166195578"/>
    <n v="35657723"/>
    <n v="166195578"/>
    <n v="147709830"/>
    <n v="139123423"/>
    <x v="1"/>
    <n v="7.4999999999999997E-2"/>
    <n v="10434256.725"/>
    <n v="0.88877112001138803"/>
    <n v="16031.212308285907"/>
    <n v="3.4173706800375858"/>
  </r>
  <r>
    <s v="BMO HARRIS CENTRAL NATIONAL ASSOCIATION"/>
    <s v="Roselle"/>
    <x v="1"/>
    <n v="60172"/>
    <d v="2019-09-30T00:00:00"/>
    <x v="0"/>
    <n v="25"/>
    <n v="7920"/>
    <n v="7742"/>
    <n v="7920"/>
    <n v="1047"/>
    <n v="1000"/>
    <x v="2"/>
    <n v="0.09"/>
    <n v="90"/>
    <n v="0.1321969696969697"/>
    <n v="316.8"/>
    <n v="86.022222222222226"/>
  </r>
  <r>
    <s v="BMO HARRIS CENTRAL NATIONAL ASSOCIATION"/>
    <s v="Roselle"/>
    <x v="1"/>
    <n v="60172"/>
    <d v="2020-09-30T00:00:00"/>
    <x v="1"/>
    <n v="23"/>
    <n v="7981"/>
    <n v="7801"/>
    <n v="7981"/>
    <n v="1028"/>
    <n v="1000"/>
    <x v="2"/>
    <n v="0.09"/>
    <n v="90"/>
    <n v="0.12880591404585892"/>
    <n v="347"/>
    <n v="86.677777777777777"/>
  </r>
  <r>
    <s v="BMO HARRIS CENTRAL NATIONAL ASSOCIATION"/>
    <s v="Roselle"/>
    <x v="1"/>
    <n v="60172"/>
    <d v="2021-09-30T00:00:00"/>
    <x v="2"/>
    <n v="23"/>
    <n v="7998"/>
    <n v="7818"/>
    <n v="7998"/>
    <n v="1014"/>
    <n v="1000"/>
    <x v="2"/>
    <n v="0.09"/>
    <n v="90"/>
    <n v="0.12678169542385595"/>
    <n v="347.73913043478262"/>
    <n v="86.86666666666666"/>
  </r>
  <r>
    <s v="BNB BANK"/>
    <s v="Bridgehampton"/>
    <x v="2"/>
    <n v="11932"/>
    <d v="2019-09-30T00:00:00"/>
    <x v="0"/>
    <n v="490"/>
    <n v="4735802"/>
    <n v="131218"/>
    <n v="4735802"/>
    <n v="4173714"/>
    <n v="3746503"/>
    <x v="1"/>
    <n v="0.08"/>
    <n v="299720.24"/>
    <n v="0.88131091629253078"/>
    <n v="9664.9020408163269"/>
    <n v="0.43780159791677736"/>
  </r>
  <r>
    <s v="BNB BANK"/>
    <s v="Bridgehampton"/>
    <x v="2"/>
    <n v="11932"/>
    <d v="2020-09-30T00:00:00"/>
    <x v="1"/>
    <n v="493"/>
    <n v="6322033"/>
    <n v="710467"/>
    <n v="6322033"/>
    <n v="5732577"/>
    <n v="5370526"/>
    <x v="1"/>
    <n v="0.08"/>
    <n v="429642.08"/>
    <n v="0.9067616382261845"/>
    <n v="12823.596348884381"/>
    <n v="1.6536252687353157"/>
  </r>
  <r>
    <s v="BOSTON PRIVATE BANK &amp; TRUST COMPANY"/>
    <s v="Boston"/>
    <x v="3"/>
    <n v="2109"/>
    <d v="2019-09-30T00:00:00"/>
    <x v="0"/>
    <n v="767"/>
    <n v="8654381"/>
    <n v="74787"/>
    <n v="8654381"/>
    <n v="7802992"/>
    <n v="6700308"/>
    <x v="1"/>
    <n v="0.08"/>
    <n v="536024.64"/>
    <n v="0.90162335122523496"/>
    <n v="11283.417209908735"/>
    <n v="0.13952157124717252"/>
  </r>
  <r>
    <s v="BOSTON PRIVATE BANK &amp; TRUST COMPANY"/>
    <s v="Boston"/>
    <x v="3"/>
    <n v="2109"/>
    <d v="2020-09-30T00:00:00"/>
    <x v="1"/>
    <n v="798"/>
    <n v="9399435"/>
    <n v="543113"/>
    <n v="9399435"/>
    <n v="8522301"/>
    <n v="7883262"/>
    <x v="1"/>
    <n v="0.08"/>
    <n v="630660.96"/>
    <n v="0.90668226334880764"/>
    <n v="11778.74060150376"/>
    <n v="0.86118062548219254"/>
  </r>
  <r>
    <s v="BOSTON TRUST WALDEN COMPANY"/>
    <s v="Boston"/>
    <x v="3"/>
    <n v="2108"/>
    <d v="2019-09-30T00:00:00"/>
    <x v="0"/>
    <n v="62"/>
    <n v="51453"/>
    <n v="9986"/>
    <n v="51453"/>
    <n v="13125"/>
    <n v="500"/>
    <x v="2"/>
    <n v="9.5000000000000001E-2"/>
    <n v="47.5"/>
    <n v="0.25508716692904204"/>
    <n v="829.88709677419354"/>
    <n v="210.23157894736843"/>
  </r>
  <r>
    <s v="BOSTON TRUST WALDEN COMPANY"/>
    <s v="Boston"/>
    <x v="3"/>
    <n v="2108"/>
    <d v="2020-09-30T00:00:00"/>
    <x v="1"/>
    <n v="70"/>
    <n v="52204"/>
    <n v="10062"/>
    <n v="52204"/>
    <n v="13499"/>
    <n v="500"/>
    <x v="2"/>
    <n v="9.5000000000000001E-2"/>
    <n v="47.5"/>
    <n v="0.25858171787602485"/>
    <n v="745.7714285714286"/>
    <n v="211.83157894736843"/>
  </r>
  <r>
    <s v="BOSTON TRUST WALDEN COMPANY"/>
    <s v="Boston"/>
    <x v="3"/>
    <n v="2108"/>
    <d v="2021-09-30T00:00:00"/>
    <x v="2"/>
    <n v="70"/>
    <n v="62250"/>
    <n v="16941"/>
    <n v="62250"/>
    <n v="20035"/>
    <n v="500"/>
    <x v="2"/>
    <n v="9.5000000000000001E-2"/>
    <n v="47.5"/>
    <n v="0.32184738955823294"/>
    <n v="889.28571428571433"/>
    <n v="356.65263157894736"/>
  </r>
  <r>
    <s v="BRICKYARD BANK"/>
    <s v="Lincolnwood"/>
    <x v="1"/>
    <n v="60712"/>
    <d v="2019-09-30T00:00:00"/>
    <x v="0"/>
    <n v="22"/>
    <n v="122310"/>
    <n v="25519"/>
    <n v="122310"/>
    <n v="107817"/>
    <n v="103312"/>
    <x v="0"/>
    <n v="0.08"/>
    <n v="8264.9600000000009"/>
    <n v="0.88150600932057888"/>
    <n v="5559.545454545455"/>
    <n v="3.0876132491869286"/>
  </r>
  <r>
    <s v="BRICKYARD BANK"/>
    <s v="Lincolnwood"/>
    <x v="1"/>
    <n v="60712"/>
    <d v="2020-09-30T00:00:00"/>
    <x v="1"/>
    <n v="22"/>
    <n v="161310"/>
    <n v="56897"/>
    <n v="161310"/>
    <n v="146213"/>
    <n v="137688"/>
    <x v="0"/>
    <n v="0.08"/>
    <n v="11015.04"/>
    <n v="0.90641001797780674"/>
    <n v="7332.272727272727"/>
    <n v="5.1653920457846718"/>
  </r>
  <r>
    <s v="BRICKYARD BANK"/>
    <s v="Lincolnwood"/>
    <x v="1"/>
    <n v="60712"/>
    <d v="2021-09-30T00:00:00"/>
    <x v="2"/>
    <n v="22"/>
    <n v="170048"/>
    <n v="63329"/>
    <n v="170048"/>
    <n v="154746"/>
    <n v="150263"/>
    <x v="0"/>
    <n v="0.08"/>
    <n v="12021.04"/>
    <n v="0.91001364320662403"/>
    <n v="7729.454545454545"/>
    <n v="5.2681797914323552"/>
  </r>
  <r>
    <s v="BRIDGEWATER SAVINGS BANK"/>
    <s v="Raynham"/>
    <x v="3"/>
    <n v="2767"/>
    <d v="2019-09-30T00:00:00"/>
    <x v="0"/>
    <n v="115"/>
    <n v="622905"/>
    <n v="8366"/>
    <n v="622905"/>
    <n v="561713"/>
    <n v="532617"/>
    <x v="0"/>
    <n v="8.5000000000000006E-2"/>
    <n v="45272.445"/>
    <n v="0.90176351128984356"/>
    <n v="5416.565217391304"/>
    <n v="0.18479231682759789"/>
  </r>
  <r>
    <s v="BRIDGEWATER SAVINGS BANK"/>
    <s v="Raynham"/>
    <x v="3"/>
    <n v="2767"/>
    <d v="2020-09-30T00:00:00"/>
    <x v="1"/>
    <n v="119"/>
    <n v="712150"/>
    <n v="38306"/>
    <n v="712150"/>
    <n v="645539"/>
    <n v="620861"/>
    <x v="0"/>
    <n v="8.5000000000000006E-2"/>
    <n v="52773.185000000005"/>
    <n v="0.90646493014112195"/>
    <n v="5984.453781512605"/>
    <n v="0.72586105993034145"/>
  </r>
  <r>
    <s v="BRISTOL COUNTY SAVINGS BANK"/>
    <s v="Taunton"/>
    <x v="3"/>
    <n v="2780"/>
    <d v="2019-09-30T00:00:00"/>
    <x v="0"/>
    <n v="419"/>
    <n v="2279692"/>
    <n v="48655"/>
    <n v="2279692"/>
    <n v="1963969"/>
    <n v="1906705"/>
    <x v="1"/>
    <n v="0.08"/>
    <n v="152536.4"/>
    <n v="0.86150629120074118"/>
    <n v="5440.7923627684968"/>
    <n v="0.31897304512234459"/>
  </r>
  <r>
    <s v="BRISTOL COUNTY SAVINGS BANK"/>
    <s v="Taunton"/>
    <x v="3"/>
    <n v="2780"/>
    <d v="2020-09-30T00:00:00"/>
    <x v="1"/>
    <n v="425"/>
    <n v="2745813"/>
    <n v="135015"/>
    <n v="2745814"/>
    <n v="2432559"/>
    <n v="2288667"/>
    <x v="1"/>
    <n v="0.08"/>
    <n v="183093.36000000002"/>
    <n v="0.88591575609846707"/>
    <n v="6460.7364705882355"/>
    <n v="0.73741068490960016"/>
  </r>
  <r>
    <s v="BRISTOL COUNTY SAVINGS BANK"/>
    <s v="Taunton"/>
    <x v="3"/>
    <n v="2780"/>
    <d v="2021-09-30T00:00:00"/>
    <x v="2"/>
    <n v="326"/>
    <n v="2990438"/>
    <n v="200252"/>
    <n v="2990438"/>
    <n v="2613258"/>
    <n v="2554758"/>
    <x v="1"/>
    <n v="0.08"/>
    <n v="204380.64"/>
    <n v="0.87387131918468131"/>
    <n v="9173.1226993865039"/>
    <n v="0.9797992608301842"/>
  </r>
  <r>
    <s v="BROADWAY FEDERAL BANK, F.S.B."/>
    <s v="Los Angeles"/>
    <x v="0"/>
    <n v="90036"/>
    <d v="2019-09-30T00:00:00"/>
    <x v="0"/>
    <n v="61"/>
    <n v="412174"/>
    <n v="21823"/>
    <n v="412174"/>
    <n v="361111"/>
    <n v="283569"/>
    <x v="0"/>
    <n v="0.09"/>
    <n v="25521.21"/>
    <n v="0.87611300082004206"/>
    <n v="6756.9508196721308"/>
    <n v="0.85509268565244367"/>
  </r>
  <r>
    <s v="BROADWAY FEDERAL BANK, F.S.B."/>
    <s v="Los Angeles"/>
    <x v="0"/>
    <n v="90036"/>
    <d v="2020-09-30T00:00:00"/>
    <x v="1"/>
    <n v="65"/>
    <n v="497028"/>
    <n v="69717"/>
    <n v="497028"/>
    <n v="446767"/>
    <n v="329037"/>
    <x v="0"/>
    <n v="0.09"/>
    <n v="29613.329999999998"/>
    <n v="0.89887692443886458"/>
    <n v="7646.5846153846151"/>
    <n v="2.3542438489693662"/>
  </r>
  <r>
    <s v="BROOKLINE BANK"/>
    <s v="Brookline"/>
    <x v="3"/>
    <n v="2445"/>
    <d v="2019-09-30T00:00:00"/>
    <x v="0"/>
    <n v="431"/>
    <n v="4979031"/>
    <n v="98491"/>
    <n v="4979031"/>
    <n v="4436469"/>
    <n v="3544406"/>
    <x v="1"/>
    <n v="0.08"/>
    <n v="283552.48"/>
    <n v="0.89103060414767454"/>
    <n v="11552.276102088166"/>
    <n v="0.34734663579736635"/>
  </r>
  <r>
    <s v="BROOKLINE BANK"/>
    <s v="Brookline"/>
    <x v="3"/>
    <n v="2445"/>
    <d v="2020-09-30T00:00:00"/>
    <x v="1"/>
    <n v="495"/>
    <n v="5855764"/>
    <n v="185551"/>
    <n v="5855764"/>
    <n v="5267198"/>
    <n v="4420674"/>
    <x v="1"/>
    <n v="0.08"/>
    <n v="353653.92"/>
    <n v="0.899489460299288"/>
    <n v="11829.826262626262"/>
    <n v="0.52466829718726149"/>
  </r>
  <r>
    <s v="BROOKLINE BANK"/>
    <s v="Brookline"/>
    <x v="3"/>
    <n v="2445"/>
    <d v="2021-09-30T00:00:00"/>
    <x v="2"/>
    <n v="496"/>
    <n v="5319415"/>
    <n v="57158"/>
    <n v="5319415"/>
    <n v="4707730"/>
    <n v="4319068"/>
    <x v="1"/>
    <n v="0.08"/>
    <n v="345525.44"/>
    <n v="0.88500897185122795"/>
    <n v="10724.627016129032"/>
    <n v="0.1654234200526595"/>
  </r>
  <r>
    <s v="BUCKLEY STATE BANK"/>
    <s v="Buckley"/>
    <x v="1"/>
    <n v="60918"/>
    <d v="2019-09-30T00:00:00"/>
    <x v="0"/>
    <n v="8"/>
    <n v="41734"/>
    <n v="4688"/>
    <n v="41734"/>
    <n v="36423"/>
    <n v="36415"/>
    <x v="2"/>
    <n v="0.09"/>
    <n v="3277.35"/>
    <n v="0.87274164949441702"/>
    <n v="5216.75"/>
    <n v="1.4304239705859918"/>
  </r>
  <r>
    <s v="BUCKLEY STATE BANK"/>
    <s v="Buckley"/>
    <x v="1"/>
    <n v="60918"/>
    <d v="2020-09-30T00:00:00"/>
    <x v="1"/>
    <n v="8"/>
    <n v="43973"/>
    <n v="9232"/>
    <n v="43973"/>
    <n v="38633"/>
    <n v="38608"/>
    <x v="2"/>
    <n v="0.09"/>
    <n v="3474.72"/>
    <n v="0.87856184476838062"/>
    <n v="5496.625"/>
    <n v="2.6569047290141365"/>
  </r>
  <r>
    <s v="BUCKLEY STATE BANK"/>
    <s v="Buckley"/>
    <x v="1"/>
    <n v="60918"/>
    <d v="2021-09-30T00:00:00"/>
    <x v="2"/>
    <n v="9"/>
    <n v="50785"/>
    <n v="4428"/>
    <n v="50785"/>
    <n v="45366"/>
    <n v="45340"/>
    <x v="2"/>
    <n v="0.09"/>
    <n v="4080.6"/>
    <n v="0.89329526434970952"/>
    <n v="5642.7777777777774"/>
    <n v="1.0851345390383766"/>
  </r>
  <r>
    <s v="BUENA VISTA NATIONAL BANK"/>
    <s v="Chester"/>
    <x v="1"/>
    <n v="62233"/>
    <d v="2019-09-30T00:00:00"/>
    <x v="0"/>
    <n v="63"/>
    <n v="207566"/>
    <n v="19322"/>
    <n v="207566"/>
    <n v="178227"/>
    <n v="173092"/>
    <x v="0"/>
    <n v="0.08"/>
    <n v="13847.36"/>
    <n v="0.8586521877378761"/>
    <n v="3294.6984126984125"/>
    <n v="1.3953562267464701"/>
  </r>
  <r>
    <s v="BUENA VISTA NATIONAL BANK"/>
    <s v="Chester"/>
    <x v="1"/>
    <n v="62233"/>
    <d v="2020-09-30T00:00:00"/>
    <x v="1"/>
    <n v="59"/>
    <n v="237910"/>
    <n v="36589"/>
    <n v="237910"/>
    <n v="206417"/>
    <n v="201354"/>
    <x v="0"/>
    <n v="0.08"/>
    <n v="16108.32"/>
    <n v="0.86762641334958601"/>
    <n v="4032.3728813559323"/>
    <n v="2.2714348858229783"/>
  </r>
  <r>
    <s v="BUENA VISTA NATIONAL BANK"/>
    <s v="Chester"/>
    <x v="1"/>
    <n v="62233"/>
    <d v="2021-09-30T00:00:00"/>
    <x v="2"/>
    <n v="58"/>
    <n v="255556"/>
    <n v="38042"/>
    <n v="255556"/>
    <n v="223372"/>
    <n v="218634"/>
    <x v="0"/>
    <n v="0.08"/>
    <n v="17490.72"/>
    <n v="0.87406282771682131"/>
    <n v="4406.1379310344828"/>
    <n v="2.1749819332766176"/>
  </r>
  <r>
    <s v="BURLING BANK"/>
    <s v="Chicago"/>
    <x v="1"/>
    <n v="60604"/>
    <d v="2019-09-30T00:00:00"/>
    <x v="0"/>
    <n v="17"/>
    <n v="132299"/>
    <n v="6035"/>
    <n v="132300"/>
    <n v="117077"/>
    <n v="115659"/>
    <x v="0"/>
    <n v="0.08"/>
    <n v="9252.7199999999993"/>
    <n v="0.88494244098594854"/>
    <n v="7782.2941176470586"/>
    <n v="0.65224063842848379"/>
  </r>
  <r>
    <s v="BURLING BANK"/>
    <s v="Chicago"/>
    <x v="1"/>
    <n v="60604"/>
    <d v="2020-09-30T00:00:00"/>
    <x v="1"/>
    <n v="16"/>
    <n v="147022"/>
    <n v="4224"/>
    <n v="147022"/>
    <n v="129509"/>
    <n v="120827"/>
    <x v="0"/>
    <n v="0.08"/>
    <n v="9666.16"/>
    <n v="0.88088177279590807"/>
    <n v="9188.875"/>
    <n v="0.43698842146209044"/>
  </r>
  <r>
    <s v="BURLING BANK"/>
    <s v="Chicago"/>
    <x v="1"/>
    <n v="60604"/>
    <d v="2021-09-30T00:00:00"/>
    <x v="2"/>
    <n v="17"/>
    <n v="220359"/>
    <n v="41758"/>
    <n v="220359"/>
    <n v="199294"/>
    <n v="193360"/>
    <x v="0"/>
    <n v="0.08"/>
    <n v="15468.800000000001"/>
    <n v="0.90440599204026162"/>
    <n v="12962.294117647059"/>
    <n v="2.6994983450558543"/>
  </r>
  <r>
    <s v="BUSEY BANK"/>
    <s v="Champaign"/>
    <x v="1"/>
    <n v="61820"/>
    <d v="2019-09-30T00:00:00"/>
    <x v="0"/>
    <n v="1257"/>
    <n v="7803711"/>
    <n v="185479"/>
    <n v="7803711"/>
    <n v="6665004"/>
    <n v="6381073"/>
    <x v="1"/>
    <n v="7.4999999999999997E-2"/>
    <n v="478580.47499999998"/>
    <n v="0.8540813466823669"/>
    <n v="6208.2028639618138"/>
    <n v="0.38756073364672894"/>
  </r>
  <r>
    <s v="BUSEY BANK"/>
    <s v="Champaign"/>
    <x v="1"/>
    <n v="61820"/>
    <d v="2020-09-30T00:00:00"/>
    <x v="1"/>
    <n v="1323"/>
    <n v="10516925"/>
    <n v="471760"/>
    <n v="10516925"/>
    <n v="9129684"/>
    <n v="8788741"/>
    <x v="1"/>
    <n v="7.4999999999999997E-2"/>
    <n v="659155.57499999995"/>
    <n v="0.86809442874224163"/>
    <n v="7949.3008314436884"/>
    <n v="0.71570357271119189"/>
  </r>
  <r>
    <s v="BUSEY BANK"/>
    <s v="Champaign"/>
    <x v="1"/>
    <n v="61820"/>
    <d v="2021-09-30T00:00:00"/>
    <x v="2"/>
    <n v="1408"/>
    <n v="12866133"/>
    <n v="877365"/>
    <n v="12866133"/>
    <n v="11280516"/>
    <n v="10895769"/>
    <x v="1"/>
    <n v="7.4999999999999997E-2"/>
    <n v="817182.67499999993"/>
    <n v="0.8767604065650495"/>
    <n v="9137.878551136364"/>
    <n v="1.0736461097881207"/>
  </r>
  <r>
    <s v="BYLINE BANK"/>
    <s v="Chicago"/>
    <x v="1"/>
    <n v="60601"/>
    <d v="2019-09-30T00:00:00"/>
    <x v="0"/>
    <n v="1004"/>
    <n v="5432970"/>
    <n v="108839"/>
    <n v="5432970"/>
    <n v="4672752"/>
    <n v="4088250"/>
    <x v="1"/>
    <n v="7.4999999999999997E-2"/>
    <n v="306618.75"/>
    <n v="0.86007321962020777"/>
    <n v="5411.3247011952189"/>
    <n v="0.35496524592837198"/>
  </r>
  <r>
    <s v="BYLINE BANK"/>
    <s v="Chicago"/>
    <x v="1"/>
    <n v="60601"/>
    <d v="2020-09-30T00:00:00"/>
    <x v="1"/>
    <n v="964"/>
    <n v="6490094"/>
    <n v="101078"/>
    <n v="6490094"/>
    <n v="5677717"/>
    <n v="4897790"/>
    <x v="1"/>
    <n v="7.4999999999999997E-2"/>
    <n v="367334.25"/>
    <n v="0.87482816119458362"/>
    <n v="6732.4626556016601"/>
    <n v="0.27516628247978508"/>
  </r>
  <r>
    <s v="BYLINE BANK"/>
    <s v="Chicago"/>
    <x v="1"/>
    <n v="60601"/>
    <d v="2021-09-30T00:00:00"/>
    <x v="2"/>
    <n v="967"/>
    <n v="6694301"/>
    <n v="142878"/>
    <n v="6694301"/>
    <n v="5825367"/>
    <n v="5214487"/>
    <x v="1"/>
    <n v="7.4999999999999997E-2"/>
    <n v="391086.52499999997"/>
    <n v="0.87019794897181946"/>
    <n v="6922.7518097207858"/>
    <n v="0.36533603401446779"/>
  </r>
  <r>
    <s v="BYRON BANK"/>
    <s v="Byron"/>
    <x v="1"/>
    <n v="61010"/>
    <d v="2019-09-30T00:00:00"/>
    <x v="0"/>
    <n v="67"/>
    <n v="275837"/>
    <n v="15540"/>
    <n v="275837"/>
    <n v="246787"/>
    <n v="244779"/>
    <x v="0"/>
    <n v="0.08"/>
    <n v="19582.32"/>
    <n v="0.89468417942480527"/>
    <n v="4116.9701492537315"/>
    <n v="0.79357297807409954"/>
  </r>
  <r>
    <s v="BYRON BANK"/>
    <s v="Byron"/>
    <x v="1"/>
    <n v="61010"/>
    <d v="2020-09-30T00:00:00"/>
    <x v="1"/>
    <n v="62"/>
    <n v="325233"/>
    <n v="34164"/>
    <n v="325233"/>
    <n v="293176"/>
    <n v="287263"/>
    <x v="0"/>
    <n v="0.08"/>
    <n v="22981.040000000001"/>
    <n v="0.90143374134851018"/>
    <n v="5245.6935483870966"/>
    <n v="1.4866167936699122"/>
  </r>
  <r>
    <s v="BYRON BANK"/>
    <s v="Byron"/>
    <x v="1"/>
    <n v="61010"/>
    <d v="2021-09-30T00:00:00"/>
    <x v="2"/>
    <n v="65"/>
    <n v="341803"/>
    <n v="47680"/>
    <n v="341803"/>
    <n v="306950"/>
    <n v="304943"/>
    <x v="0"/>
    <n v="0.08"/>
    <n v="24395.439999999999"/>
    <n v="0.8980319072682218"/>
    <n v="5258.5076923076922"/>
    <n v="1.9544636210701674"/>
  </r>
  <r>
    <s v="C3BANK, NATIONAL ASSOCIATION"/>
    <s v="Encinitas"/>
    <x v="0"/>
    <n v="92024"/>
    <d v="2019-09-30T00:00:00"/>
    <x v="0"/>
    <n v="37"/>
    <n v="326761"/>
    <n v="39090"/>
    <n v="326761"/>
    <n v="283685"/>
    <n v="282428"/>
    <x v="0"/>
    <n v="0.09"/>
    <n v="25418.52"/>
    <n v="0.86817276235536067"/>
    <n v="8831.3783783783783"/>
    <n v="1.5378550757479192"/>
  </r>
  <r>
    <s v="C3BANK, NATIONAL ASSOCIATION"/>
    <s v="Encinitas"/>
    <x v="0"/>
    <n v="92024"/>
    <d v="2020-09-30T00:00:00"/>
    <x v="1"/>
    <n v="36"/>
    <n v="470493"/>
    <n v="70324"/>
    <n v="470493"/>
    <n v="422964"/>
    <n v="411772"/>
    <x v="0"/>
    <n v="0.09"/>
    <n v="37059.479999999996"/>
    <n v="0.89898043116475701"/>
    <n v="13069.25"/>
    <n v="1.8975981314362751"/>
  </r>
  <r>
    <s v="C3BANK, NATIONAL ASSOCIATION"/>
    <s v="Encinitas"/>
    <x v="0"/>
    <n v="92024"/>
    <d v="2021-09-30T00:00:00"/>
    <x v="2"/>
    <n v="42"/>
    <n v="654000"/>
    <n v="166404"/>
    <n v="654000"/>
    <n v="598506"/>
    <n v="596908"/>
    <x v="0"/>
    <n v="0.09"/>
    <n v="53721.72"/>
    <n v="0.91514678899082569"/>
    <n v="15571.428571428571"/>
    <n v="3.0975180988248328"/>
  </r>
  <r>
    <s v="CALIFORNIA BANK OF COMMERCE"/>
    <s v="Lafayette"/>
    <x v="0"/>
    <n v="94549"/>
    <d v="2019-09-30T00:00:00"/>
    <x v="0"/>
    <n v="130"/>
    <n v="1094856"/>
    <n v="67661"/>
    <n v="1094856"/>
    <n v="968093"/>
    <n v="926396"/>
    <x v="1"/>
    <n v="0.08"/>
    <n v="74111.680000000008"/>
    <n v="0.88421947726459005"/>
    <n v="8421.9692307692312"/>
    <n v="0.91296000846290348"/>
  </r>
  <r>
    <s v="CALIFORNIA BANK OF COMMERCE"/>
    <s v="Walnut Creek"/>
    <x v="0"/>
    <n v="94597"/>
    <d v="2020-09-30T00:00:00"/>
    <x v="1"/>
    <n v="142"/>
    <n v="1972944"/>
    <n v="503893"/>
    <n v="1972944"/>
    <n v="1829639"/>
    <n v="1448874"/>
    <x v="1"/>
    <n v="0.08"/>
    <n v="115909.92"/>
    <n v="0.9273648922625275"/>
    <n v="13893.971830985916"/>
    <n v="4.3472810610170383"/>
  </r>
  <r>
    <s v="CALIFORNIA BANK OF COMMERCE"/>
    <s v="Walnut Creek"/>
    <x v="0"/>
    <n v="94597"/>
    <d v="2021-09-30T00:00:00"/>
    <x v="2"/>
    <n v="146"/>
    <n v="2049148"/>
    <n v="601050"/>
    <n v="2049148"/>
    <n v="1856965"/>
    <n v="1746379"/>
    <x v="1"/>
    <n v="0.08"/>
    <n v="139710.32"/>
    <n v="0.90621321641970221"/>
    <n v="14035.260273972603"/>
    <n v="4.3021159782613054"/>
  </r>
  <r>
    <s v="CALIFORNIA BUSINESS BANK"/>
    <s v="Irvine"/>
    <x v="0"/>
    <n v="92602"/>
    <d v="2019-09-30T00:00:00"/>
    <x v="0"/>
    <n v="12"/>
    <n v="82653"/>
    <n v="10893"/>
    <n v="82653"/>
    <n v="70066"/>
    <n v="55286"/>
    <x v="2"/>
    <n v="0.1"/>
    <n v="5528.6"/>
    <n v="0.84771272670078524"/>
    <n v="6887.75"/>
    <n v="1.9702998950909814"/>
  </r>
  <r>
    <s v="CALIFORNIA BUSINESS BANK"/>
    <s v="Irvine"/>
    <x v="0"/>
    <n v="92602"/>
    <d v="2020-09-30T00:00:00"/>
    <x v="1"/>
    <n v="12"/>
    <n v="97413"/>
    <n v="21300"/>
    <n v="97413"/>
    <n v="85746"/>
    <n v="68136"/>
    <x v="2"/>
    <n v="0.1"/>
    <n v="6813.6"/>
    <n v="0.88023159126605277"/>
    <n v="8117.75"/>
    <n v="3.1261007396970761"/>
  </r>
  <r>
    <s v="CALIFORNIA BUSINESS BANK"/>
    <s v="Irvine"/>
    <x v="0"/>
    <n v="92602"/>
    <d v="2021-09-30T00:00:00"/>
    <x v="2"/>
    <n v="12"/>
    <n v="104337"/>
    <n v="22805"/>
    <n v="104337"/>
    <n v="92534"/>
    <n v="80834"/>
    <x v="0"/>
    <n v="0.09"/>
    <n v="7275.0599999999995"/>
    <n v="0.88687618007034896"/>
    <n v="8694.75"/>
    <n v="3.1346820507322279"/>
  </r>
  <r>
    <s v="CALIFORNIA FIRST NATIONAL BANK"/>
    <s v="Irvine"/>
    <x v="0"/>
    <n v="92614"/>
    <d v="2019-09-30T00:00:00"/>
    <x v="0"/>
    <n v="20"/>
    <n v="145422"/>
    <n v="23085"/>
    <n v="145422"/>
    <n v="76420"/>
    <n v="71214"/>
    <x v="0"/>
    <n v="0.09"/>
    <n v="6409.2599999999993"/>
    <n v="0.52550508176204425"/>
    <n v="7271.1"/>
    <n v="3.601819866880108"/>
  </r>
  <r>
    <s v="CALIFORNIA FIRST NATIONAL BANK"/>
    <s v="Irvine"/>
    <x v="0"/>
    <n v="92614"/>
    <d v="2020-09-30T00:00:00"/>
    <x v="1"/>
    <n v="17"/>
    <n v="115713"/>
    <n v="53831"/>
    <n v="115713"/>
    <n v="57082"/>
    <n v="52364"/>
    <x v="0"/>
    <n v="0.09"/>
    <n v="4712.76"/>
    <n v="0.49330671575363183"/>
    <n v="6806.6470588235297"/>
    <n v="11.422393671648885"/>
  </r>
  <r>
    <s v="CALIFORNIA FIRST NATIONAL BANK"/>
    <s v="Irvine"/>
    <x v="0"/>
    <n v="92614"/>
    <d v="2021-09-30T00:00:00"/>
    <x v="2"/>
    <n v="20"/>
    <n v="146610"/>
    <n v="94227"/>
    <n v="146610"/>
    <n v="102188"/>
    <n v="101715"/>
    <x v="0"/>
    <n v="0.09"/>
    <n v="9154.35"/>
    <n v="0.69700566127822117"/>
    <n v="7330.5"/>
    <n v="10.293139327205099"/>
  </r>
  <r>
    <s v="CALIFORNIA INTERNATIONAL BANK, N.A."/>
    <s v="Westminster"/>
    <x v="0"/>
    <n v="92683"/>
    <d v="2019-09-30T00:00:00"/>
    <x v="0"/>
    <n v="18"/>
    <n v="45401"/>
    <n v="14646"/>
    <n v="45401"/>
    <n v="31889"/>
    <n v="24381"/>
    <x v="2"/>
    <n v="0.1"/>
    <n v="2438.1"/>
    <n v="0.70238541001299526"/>
    <n v="2522.2777777777778"/>
    <n v="6.0071367048111233"/>
  </r>
  <r>
    <s v="CALIFORNIA INTERNATIONAL BANK, N.A."/>
    <s v="Westminster"/>
    <x v="0"/>
    <n v="92683"/>
    <d v="2020-09-30T00:00:00"/>
    <x v="1"/>
    <n v="16"/>
    <n v="71586"/>
    <n v="28463"/>
    <n v="71586"/>
    <n v="59520"/>
    <n v="49844"/>
    <x v="2"/>
    <n v="0.1"/>
    <n v="4984.4000000000005"/>
    <n v="0.83144748973262927"/>
    <n v="4474.125"/>
    <n v="5.7104164994783719"/>
  </r>
  <r>
    <s v="CALIFORNIA INTERNATIONAL BANK, N.A."/>
    <s v="Westminster"/>
    <x v="0"/>
    <n v="92683"/>
    <d v="2021-09-30T00:00:00"/>
    <x v="2"/>
    <n v="16"/>
    <n v="82282"/>
    <n v="30076"/>
    <n v="82282"/>
    <n v="70898"/>
    <n v="70379"/>
    <x v="2"/>
    <n v="0.1"/>
    <n v="7037.9000000000005"/>
    <n v="0.8616465326559879"/>
    <n v="5142.625"/>
    <n v="4.2734338367979081"/>
  </r>
  <r>
    <s v="CALIFORNIA PACIFIC BANK"/>
    <s v="San Francisco"/>
    <x v="0"/>
    <n v="94104"/>
    <d v="2019-09-30T00:00:00"/>
    <x v="0"/>
    <n v="8"/>
    <n v="74560"/>
    <n v="4820"/>
    <n v="74560"/>
    <n v="41847"/>
    <n v="40883"/>
    <x v="2"/>
    <n v="0.1"/>
    <n v="4088.3"/>
    <n v="0.56125268240343351"/>
    <n v="9320"/>
    <n v="1.1789741457329452"/>
  </r>
  <r>
    <s v="CALIFORNIA PACIFIC BANK"/>
    <s v="San Francisco"/>
    <x v="0"/>
    <n v="94104"/>
    <d v="2020-09-30T00:00:00"/>
    <x v="1"/>
    <n v="8"/>
    <n v="89177"/>
    <n v="25042"/>
    <n v="89177"/>
    <n v="54918"/>
    <n v="54093"/>
    <x v="2"/>
    <n v="0.1"/>
    <n v="5409.3"/>
    <n v="0.61583143635690818"/>
    <n v="11147.125"/>
    <n v="4.6294344924481905"/>
  </r>
  <r>
    <s v="CALIFORNIA PACIFIC BANK"/>
    <s v="San Francisco"/>
    <x v="0"/>
    <n v="94104"/>
    <d v="2021-09-30T00:00:00"/>
    <x v="2"/>
    <n v="8"/>
    <n v="79096"/>
    <n v="18295"/>
    <n v="79096"/>
    <n v="43675"/>
    <n v="43165"/>
    <x v="2"/>
    <n v="0.1"/>
    <n v="4316.5"/>
    <n v="0.55217710124405783"/>
    <n v="9887"/>
    <n v="4.2383875825321438"/>
  </r>
  <r>
    <s v="CALPRIVATE BANK"/>
    <s v="La Jolla"/>
    <x v="0"/>
    <n v="92037"/>
    <d v="2019-09-30T00:00:00"/>
    <x v="0"/>
    <n v="130"/>
    <n v="999638"/>
    <n v="90108"/>
    <n v="999638"/>
    <n v="891681"/>
    <n v="827936"/>
    <x v="0"/>
    <n v="0.09"/>
    <n v="74514.239999999991"/>
    <n v="0.89200390541375973"/>
    <n v="7689.5230769230766"/>
    <n v="1.2092722142774321"/>
  </r>
  <r>
    <s v="CALPRIVATE BANK"/>
    <s v="La Jolla"/>
    <x v="0"/>
    <n v="92037"/>
    <d v="2020-09-30T00:00:00"/>
    <x v="1"/>
    <n v="134"/>
    <n v="1243375"/>
    <n v="161107"/>
    <n v="1243375"/>
    <n v="1124704"/>
    <n v="1031653"/>
    <x v="1"/>
    <n v="0.08"/>
    <n v="82532.240000000005"/>
    <n v="0.90455735397607318"/>
    <n v="9278.9179104477607"/>
    <n v="1.9520492840131323"/>
  </r>
  <r>
    <s v="CALPRIVATE BANK"/>
    <s v="La Jolla"/>
    <x v="0"/>
    <n v="92037"/>
    <d v="2021-09-30T00:00:00"/>
    <x v="2"/>
    <n v="162"/>
    <n v="1474186"/>
    <n v="144313"/>
    <n v="1474186"/>
    <n v="1339431"/>
    <n v="1319364"/>
    <x v="1"/>
    <n v="0.08"/>
    <n v="105549.12"/>
    <n v="0.90859023216880364"/>
    <n v="9099.9135802469136"/>
    <n v="1.3672591491051749"/>
  </r>
  <r>
    <s v="CALWEST BANK"/>
    <s v="Rancho Santa Mar"/>
    <x v="0"/>
    <n v="92688"/>
    <d v="2019-09-30T00:00:00"/>
    <x v="0"/>
    <n v="40"/>
    <n v="226463"/>
    <n v="18542"/>
    <n v="226463"/>
    <n v="200522"/>
    <n v="195362"/>
    <x v="0"/>
    <n v="0.09"/>
    <n v="17582.579999999998"/>
    <n v="0.88545148655630279"/>
    <n v="5661.5749999999998"/>
    <n v="1.0545665084418785"/>
  </r>
  <r>
    <s v="CAMBRIDGE SAVINGS BANK"/>
    <s v="Cambridge"/>
    <x v="3"/>
    <n v="2138"/>
    <d v="2019-09-30T00:00:00"/>
    <x v="0"/>
    <n v="389"/>
    <n v="4125490"/>
    <n v="93650"/>
    <n v="4125490"/>
    <n v="3707036"/>
    <n v="3133167"/>
    <x v="1"/>
    <n v="0.08"/>
    <n v="250653.36000000002"/>
    <n v="0.89856865487493609"/>
    <n v="10605.372750642673"/>
    <n v="0.37362355725053914"/>
  </r>
  <r>
    <s v="CAMBRIDGE SAVINGS BANK"/>
    <s v="Cambridge"/>
    <x v="3"/>
    <n v="2138"/>
    <d v="2020-09-30T00:00:00"/>
    <x v="1"/>
    <n v="428"/>
    <n v="5194891"/>
    <n v="142937"/>
    <n v="5194891"/>
    <n v="4745042"/>
    <n v="4023459"/>
    <x v="1"/>
    <n v="0.08"/>
    <n v="321876.72000000003"/>
    <n v="0.91340549782468972"/>
    <n v="12137.595794392524"/>
    <n v="0.44407374351273365"/>
  </r>
  <r>
    <s v="CAMBRIDGE SAVINGS BANK"/>
    <s v="Cambridge"/>
    <x v="3"/>
    <n v="2138"/>
    <d v="2021-09-30T00:00:00"/>
    <x v="2"/>
    <n v="455"/>
    <n v="5350980"/>
    <n v="366283"/>
    <n v="5350980"/>
    <n v="4852227"/>
    <n v="4522210"/>
    <x v="1"/>
    <n v="0.08"/>
    <n v="361776.8"/>
    <n v="0.90679221376271257"/>
    <n v="11760.395604395604"/>
    <n v="1.0124557461948915"/>
  </r>
  <r>
    <s v="CAMBRIDGE TRUST COMPANY"/>
    <s v="Cambridge"/>
    <x v="3"/>
    <n v="2138"/>
    <d v="2019-09-30T00:00:00"/>
    <x v="0"/>
    <n v="322"/>
    <n v="2841855"/>
    <n v="68907"/>
    <n v="2841855"/>
    <n v="2602703"/>
    <n v="2412039"/>
    <x v="1"/>
    <n v="0.08"/>
    <n v="192963.12"/>
    <n v="0.9158465157441178"/>
    <n v="8825.6366459627334"/>
    <n v="0.35709932550841839"/>
  </r>
  <r>
    <s v="CAMBRIDGE TRUST COMPANY"/>
    <s v="Cambridge"/>
    <x v="3"/>
    <n v="2138"/>
    <d v="2020-09-30T00:00:00"/>
    <x v="1"/>
    <n v="383"/>
    <n v="3986816"/>
    <n v="64520"/>
    <n v="3986815"/>
    <n v="3592116"/>
    <n v="3340132"/>
    <x v="1"/>
    <n v="0.08"/>
    <n v="267210.56"/>
    <n v="0.900998691687803"/>
    <n v="10409.441253263707"/>
    <n v="0.24145752323560865"/>
  </r>
  <r>
    <s v="CAMBRIDGE TRUST COMPANY"/>
    <s v="Cambridge"/>
    <x v="3"/>
    <n v="2138"/>
    <d v="2021-09-30T00:00:00"/>
    <x v="2"/>
    <n v="385"/>
    <n v="4483246"/>
    <n v="93477"/>
    <n v="4483246"/>
    <n v="4061324"/>
    <n v="3940180"/>
    <x v="1"/>
    <n v="0.08"/>
    <n v="315214.40000000002"/>
    <n v="0.90588917048049555"/>
    <n v="11644.794805194806"/>
    <n v="0.29655053830028066"/>
  </r>
  <r>
    <s v="CAMP GROVE STATE BANK"/>
    <s v="Camp Grove"/>
    <x v="1"/>
    <n v="61424"/>
    <d v="2019-09-30T00:00:00"/>
    <x v="0"/>
    <n v="5"/>
    <n v="19497"/>
    <n v="6987"/>
    <n v="19497"/>
    <n v="17201"/>
    <n v="16599"/>
    <x v="2"/>
    <n v="0.09"/>
    <n v="1493.9099999999999"/>
    <n v="0.88223829307072887"/>
    <n v="3899.4"/>
    <n v="4.6769885736088526"/>
  </r>
  <r>
    <s v="CAMP GROVE STATE BANK"/>
    <s v="Camp Grove"/>
    <x v="1"/>
    <n v="61424"/>
    <d v="2020-09-30T00:00:00"/>
    <x v="1"/>
    <n v="5"/>
    <n v="17201"/>
    <n v="6200"/>
    <n v="17201"/>
    <n v="14616"/>
    <n v="14600"/>
    <x v="2"/>
    <n v="0.09"/>
    <n v="1314"/>
    <n v="0.84971803964885761"/>
    <n v="3440.2"/>
    <n v="4.7184170471841709"/>
  </r>
  <r>
    <s v="CAMP GROVE STATE BANK"/>
    <s v="Camp Grove"/>
    <x v="1"/>
    <n v="61424"/>
    <d v="2021-09-30T00:00:00"/>
    <x v="2"/>
    <n v="7"/>
    <n v="19346"/>
    <n v="6739"/>
    <n v="19346"/>
    <n v="15341"/>
    <n v="15183"/>
    <x v="2"/>
    <n v="0.09"/>
    <n v="1366.47"/>
    <n v="0.79298046107722531"/>
    <n v="2763.7142857142858"/>
    <n v="4.9316852912980158"/>
  </r>
  <r>
    <s v="CAMPUS STATE BANK"/>
    <s v="Campus"/>
    <x v="1"/>
    <n v="60920"/>
    <d v="2019-09-30T00:00:00"/>
    <x v="0"/>
    <n v="4"/>
    <n v="21762"/>
    <n v="4439"/>
    <n v="21762"/>
    <n v="19268"/>
    <n v="19246"/>
    <x v="2"/>
    <n v="0.09"/>
    <n v="1732.1399999999999"/>
    <n v="0.88539656281591761"/>
    <n v="5440.5"/>
    <n v="2.56272587666124"/>
  </r>
  <r>
    <s v="CAMPUS STATE BANK"/>
    <s v="Campus"/>
    <x v="1"/>
    <n v="60920"/>
    <d v="2020-09-30T00:00:00"/>
    <x v="1"/>
    <n v="4"/>
    <n v="21439"/>
    <n v="4888"/>
    <n v="21439"/>
    <n v="18932"/>
    <n v="18896"/>
    <x v="2"/>
    <n v="0.09"/>
    <n v="1700.6399999999999"/>
    <n v="0.88306357572647975"/>
    <n v="5359.75"/>
    <n v="2.8742120613416127"/>
  </r>
  <r>
    <s v="CAMPUS STATE BANK"/>
    <s v="Campus"/>
    <x v="1"/>
    <n v="60920"/>
    <d v="2021-09-30T00:00:00"/>
    <x v="2"/>
    <n v="4"/>
    <n v="24907"/>
    <n v="8162"/>
    <n v="24907"/>
    <n v="22429"/>
    <n v="22397"/>
    <x v="2"/>
    <n v="0.09"/>
    <n v="2015.73"/>
    <n v="0.90050989681615612"/>
    <n v="6226.75"/>
    <n v="4.0491534084425993"/>
  </r>
  <r>
    <s v="CANTON CO-OPERATIVE BANK"/>
    <s v="Canton"/>
    <x v="3"/>
    <n v="2021"/>
    <d v="2019-09-30T00:00:00"/>
    <x v="0"/>
    <n v="17"/>
    <n v="122804"/>
    <n v="22894"/>
    <n v="122805"/>
    <n v="103216"/>
    <n v="100216"/>
    <x v="0"/>
    <n v="8.5000000000000006E-2"/>
    <n v="8518.36"/>
    <n v="0.84049379499039123"/>
    <n v="7223.7647058823532"/>
    <n v="2.6876065345911653"/>
  </r>
  <r>
    <s v="CANTON CO-OPERATIVE BANK"/>
    <s v="Canton"/>
    <x v="3"/>
    <n v="2021"/>
    <d v="2020-09-30T00:00:00"/>
    <x v="1"/>
    <n v="16"/>
    <n v="138853"/>
    <n v="28133"/>
    <n v="138853"/>
    <n v="118218"/>
    <n v="115917"/>
    <x v="0"/>
    <n v="8.5000000000000006E-2"/>
    <n v="9852.9450000000015"/>
    <n v="0.8513895990724003"/>
    <n v="8678.3125"/>
    <n v="2.8552884442164244"/>
  </r>
  <r>
    <s v="CANTON CO-OPERATIVE BANK"/>
    <s v="Canton"/>
    <x v="3"/>
    <n v="2021"/>
    <d v="2021-09-30T00:00:00"/>
    <x v="2"/>
    <n v="16"/>
    <n v="152637"/>
    <n v="36956"/>
    <n v="152637"/>
    <n v="131467"/>
    <n v="129251"/>
    <x v="0"/>
    <n v="8.5000000000000006E-2"/>
    <n v="10986.335000000001"/>
    <n v="0.86130492606641906"/>
    <n v="9539.8125"/>
    <n v="3.3638151394436813"/>
  </r>
  <r>
    <s v="CAPE ANN SAVINGS BANK"/>
    <s v="Gloucester"/>
    <x v="3"/>
    <n v="1930"/>
    <d v="2019-09-30T00:00:00"/>
    <x v="0"/>
    <n v="74"/>
    <n v="676529"/>
    <n v="38371"/>
    <n v="676529"/>
    <n v="519455"/>
    <n v="494766"/>
    <x v="0"/>
    <n v="8.5000000000000006E-2"/>
    <n v="42055.11"/>
    <n v="0.76782370009267897"/>
    <n v="9142.2837837837833"/>
    <n v="0.91239804152218362"/>
  </r>
  <r>
    <s v="CAPE ANN SAVINGS BANK"/>
    <s v="Gloucester"/>
    <x v="3"/>
    <n v="1930"/>
    <d v="2020-09-30T00:00:00"/>
    <x v="1"/>
    <n v="74"/>
    <n v="747829"/>
    <n v="87650"/>
    <n v="747829"/>
    <n v="584688"/>
    <n v="557914"/>
    <x v="0"/>
    <n v="8.5000000000000006E-2"/>
    <n v="47422.69"/>
    <n v="0.78184718699060884"/>
    <n v="10105.797297297297"/>
    <n v="1.8482713654581804"/>
  </r>
  <r>
    <s v="CAPE ANN SAVINGS BANK"/>
    <s v="Gloucester"/>
    <x v="3"/>
    <n v="1930"/>
    <d v="2021-09-30T00:00:00"/>
    <x v="2"/>
    <n v="75"/>
    <n v="834026"/>
    <n v="56328"/>
    <n v="834026"/>
    <n v="661061"/>
    <n v="632814"/>
    <x v="0"/>
    <n v="8.5000000000000006E-2"/>
    <n v="53789.19"/>
    <n v="0.79261437892823483"/>
    <n v="11120.346666666666"/>
    <n v="1.0471992606692906"/>
  </r>
  <r>
    <s v="CAPE COD CO-OPERATIVE BANK"/>
    <s v="Yarmouth Port"/>
    <x v="3"/>
    <n v="2675"/>
    <d v="2019-09-30T00:00:00"/>
    <x v="0"/>
    <n v="159"/>
    <n v="958735"/>
    <n v="50094"/>
    <n v="958735"/>
    <n v="862819"/>
    <n v="839489"/>
    <x v="0"/>
    <n v="8.5000000000000006E-2"/>
    <n v="71356.565000000002"/>
    <n v="0.89995567075364935"/>
    <n v="6029.7798742138366"/>
    <n v="0.70202370307483264"/>
  </r>
  <r>
    <s v="CAPE COD CO-OPERATIVE BANK"/>
    <s v="Yarmouth Port"/>
    <x v="3"/>
    <n v="2675"/>
    <d v="2020-09-30T00:00:00"/>
    <x v="1"/>
    <n v="159"/>
    <n v="1126661"/>
    <n v="111435"/>
    <n v="1126661"/>
    <n v="1024285"/>
    <n v="986363"/>
    <x v="1"/>
    <n v="0.08"/>
    <n v="78909.040000000008"/>
    <n v="0.90913327078864004"/>
    <n v="7085.9182389937105"/>
    <n v="1.4121956115547722"/>
  </r>
  <r>
    <s v="CAPE COD CO-OPERATIVE BANK"/>
    <s v="Yarmouth Port"/>
    <x v="3"/>
    <n v="2675"/>
    <d v="2021-09-30T00:00:00"/>
    <x v="2"/>
    <n v="159"/>
    <n v="1331322"/>
    <n v="311923"/>
    <n v="1331322"/>
    <n v="1221578"/>
    <n v="1198643"/>
    <x v="1"/>
    <n v="0.08"/>
    <n v="95891.44"/>
    <n v="0.9175676508012337"/>
    <n v="8373.0943396226412"/>
    <n v="3.2528763777037866"/>
  </r>
  <r>
    <s v="CAPITAL BANK AND TRUST COMPANY"/>
    <s v="Irvine"/>
    <x v="0"/>
    <n v="92618"/>
    <d v="2019-09-30T00:00:00"/>
    <x v="0"/>
    <n v="324"/>
    <n v="205057"/>
    <n v="48"/>
    <n v="205057"/>
    <n v="65734"/>
    <n v="500"/>
    <x v="0"/>
    <n v="0.09"/>
    <n v="45"/>
    <n v="0.32056452596107426"/>
    <n v="632.89197530864203"/>
    <n v="1.0666666666666667"/>
  </r>
  <r>
    <s v="CAPITAL BANK AND TRUST COMPANY"/>
    <s v="Irvine"/>
    <x v="0"/>
    <n v="92618"/>
    <d v="2020-09-30T00:00:00"/>
    <x v="1"/>
    <n v="329"/>
    <n v="203067"/>
    <n v="15384"/>
    <n v="203067"/>
    <n v="58420"/>
    <n v="500"/>
    <x v="0"/>
    <n v="0.09"/>
    <n v="45"/>
    <n v="0.28768829992071582"/>
    <n v="617.224924012158"/>
    <n v="341.86666666666667"/>
  </r>
  <r>
    <s v="CAPITAL BANK AND TRUST COMPANY"/>
    <s v="Irvine"/>
    <x v="0"/>
    <n v="92618"/>
    <d v="2021-09-30T00:00:00"/>
    <x v="2"/>
    <n v="177"/>
    <n v="203544"/>
    <n v="38460"/>
    <n v="203544"/>
    <n v="35251"/>
    <n v="500"/>
    <x v="0"/>
    <n v="0.09"/>
    <n v="45"/>
    <n v="0.17318614157135559"/>
    <n v="1149.9661016949153"/>
    <n v="854.66666666666663"/>
  </r>
  <r>
    <s v="CARROLLTON BANK"/>
    <s v="Carrollton"/>
    <x v="1"/>
    <n v="62016"/>
    <d v="2019-09-30T00:00:00"/>
    <x v="0"/>
    <n v="258"/>
    <n v="1919832"/>
    <n v="226869"/>
    <n v="1919832"/>
    <n v="1766478"/>
    <n v="1701722"/>
    <x v="1"/>
    <n v="7.4999999999999997E-2"/>
    <n v="127629.15"/>
    <n v="0.92012113559936493"/>
    <n v="7441.2093023255811"/>
    <n v="1.7775641379731826"/>
  </r>
  <r>
    <s v="CARROLLTON BANK"/>
    <s v="Carrollton"/>
    <x v="1"/>
    <n v="62016"/>
    <d v="2020-09-30T00:00:00"/>
    <x v="1"/>
    <n v="283"/>
    <n v="2506451"/>
    <n v="288378"/>
    <n v="2506451"/>
    <n v="2338416"/>
    <n v="2278875"/>
    <x v="1"/>
    <n v="7.4999999999999997E-2"/>
    <n v="170915.625"/>
    <n v="0.93295899261545512"/>
    <n v="8856.7173144876324"/>
    <n v="1.6872535790686194"/>
  </r>
  <r>
    <s v="CARROLLTON BANK"/>
    <s v="Carrollton"/>
    <x v="1"/>
    <n v="62016"/>
    <d v="2021-09-30T00:00:00"/>
    <x v="2"/>
    <n v="296"/>
    <n v="3023404"/>
    <n v="829457"/>
    <n v="3023404"/>
    <n v="2840075"/>
    <n v="2833118"/>
    <x v="1"/>
    <n v="7.4999999999999997E-2"/>
    <n v="212483.85"/>
    <n v="0.93936337981956763"/>
    <n v="10214.202702702703"/>
    <n v="3.9036237342273306"/>
  </r>
  <r>
    <s v="CARTHAGE FEDERAL SAVINGS AND LOAN ASSOCIATION"/>
    <s v="Carthage"/>
    <x v="2"/>
    <n v="13619"/>
    <d v="2019-09-30T00:00:00"/>
    <x v="0"/>
    <n v="37"/>
    <n v="251050"/>
    <n v="44796"/>
    <n v="251050"/>
    <n v="223650"/>
    <n v="210031"/>
    <x v="0"/>
    <n v="8.5000000000000006E-2"/>
    <n v="17852.635000000002"/>
    <n v="0.89085839474208328"/>
    <n v="6785.135135135135"/>
    <n v="2.509209424827203"/>
  </r>
  <r>
    <s v="CARTHAGE FEDERAL SAVINGS AND LOAN ASSOCIATION"/>
    <s v="Carthage"/>
    <x v="2"/>
    <n v="13619"/>
    <d v="2020-09-30T00:00:00"/>
    <x v="1"/>
    <n v="34"/>
    <n v="282355"/>
    <n v="45735"/>
    <n v="282355"/>
    <n v="252919"/>
    <n v="239457"/>
    <x v="0"/>
    <n v="8.5000000000000006E-2"/>
    <n v="20353.845000000001"/>
    <n v="0.89574826016893627"/>
    <n v="8304.5588235294126"/>
    <n v="2.24699559223331"/>
  </r>
  <r>
    <s v="CARTHAGE FEDERAL SAVINGS AND LOAN ASSOCIATION"/>
    <s v="Carthage"/>
    <x v="2"/>
    <n v="13619"/>
    <d v="2021-09-30T00:00:00"/>
    <x v="2"/>
    <n v="36"/>
    <n v="290212"/>
    <n v="25178"/>
    <n v="290212"/>
    <n v="259442"/>
    <n v="248588"/>
    <x v="0"/>
    <n v="8.5000000000000006E-2"/>
    <n v="21129.980000000003"/>
    <n v="0.8939740603420947"/>
    <n v="8061.4444444444443"/>
    <n v="1.1915770862064232"/>
  </r>
  <r>
    <s v="CARVER FEDERAL SAVINGS BANK"/>
    <s v="New York"/>
    <x v="2"/>
    <n v="10027"/>
    <d v="2019-09-30T00:00:00"/>
    <x v="0"/>
    <n v="108"/>
    <n v="589778"/>
    <n v="41839"/>
    <n v="589778"/>
    <n v="523191"/>
    <n v="481154"/>
    <x v="0"/>
    <n v="8.5000000000000006E-2"/>
    <n v="40898.090000000004"/>
    <n v="0.88709819627046105"/>
    <n v="5460.9074074074078"/>
    <n v="1.0230062088474057"/>
  </r>
  <r>
    <s v="CARVER FEDERAL SAVINGS BANK"/>
    <s v="New York"/>
    <x v="2"/>
    <n v="10027"/>
    <d v="2020-09-30T00:00:00"/>
    <x v="1"/>
    <n v="109"/>
    <n v="673051"/>
    <n v="71910"/>
    <n v="673051"/>
    <n v="611009"/>
    <n v="546913"/>
    <x v="0"/>
    <n v="8.5000000000000006E-2"/>
    <n v="46487.605000000003"/>
    <n v="0.90781976402976894"/>
    <n v="6174.779816513761"/>
    <n v="1.5468639436254028"/>
  </r>
  <r>
    <s v="CARVER FEDERAL SAVINGS BANK"/>
    <s v="New York"/>
    <x v="2"/>
    <n v="10027"/>
    <d v="2021-09-30T00:00:00"/>
    <x v="2"/>
    <n v="99"/>
    <n v="707304"/>
    <n v="79126"/>
    <n v="707304"/>
    <n v="641716"/>
    <n v="616096"/>
    <x v="0"/>
    <n v="8.5000000000000006E-2"/>
    <n v="52368.160000000003"/>
    <n v="0.90727042403266489"/>
    <n v="7144.484848484848"/>
    <n v="1.5109562757217361"/>
  </r>
  <r>
    <s v="CASEY STATE BANK"/>
    <s v="Casey"/>
    <x v="1"/>
    <n v="62420"/>
    <d v="2019-09-30T00:00:00"/>
    <x v="0"/>
    <n v="64"/>
    <n v="327892"/>
    <n v="4742"/>
    <n v="327893"/>
    <n v="293111"/>
    <n v="291503"/>
    <x v="0"/>
    <n v="0.08"/>
    <n v="23320.240000000002"/>
    <n v="0.89392543886401621"/>
    <n v="5123.3125"/>
    <n v="0.20334267571860323"/>
  </r>
  <r>
    <s v="CASEY STATE BANK"/>
    <s v="Casey"/>
    <x v="1"/>
    <n v="62420"/>
    <d v="2020-09-30T00:00:00"/>
    <x v="1"/>
    <n v="66"/>
    <n v="364095"/>
    <n v="3453"/>
    <n v="364095"/>
    <n v="325296"/>
    <n v="323439"/>
    <x v="0"/>
    <n v="0.08"/>
    <n v="25875.119999999999"/>
    <n v="0.8934371523915462"/>
    <n v="5516.590909090909"/>
    <n v="0.13344865646999898"/>
  </r>
  <r>
    <s v="CASEY STATE BANK"/>
    <s v="Casey"/>
    <x v="1"/>
    <n v="62420"/>
    <d v="2021-09-30T00:00:00"/>
    <x v="2"/>
    <n v="64"/>
    <n v="400182"/>
    <n v="11211"/>
    <n v="400182"/>
    <n v="359937"/>
    <n v="357862"/>
    <x v="0"/>
    <n v="0.08"/>
    <n v="28628.959999999999"/>
    <n v="0.89943325786767025"/>
    <n v="6252.84375"/>
    <n v="0.39159648132520358"/>
  </r>
  <r>
    <s v="CATHAY BANK"/>
    <s v="Los Angeles"/>
    <x v="0"/>
    <n v="90012"/>
    <d v="2019-09-30T00:00:00"/>
    <x v="0"/>
    <n v="1228"/>
    <n v="17971214"/>
    <n v="786062"/>
    <n v="17971214"/>
    <n v="15617640"/>
    <n v="14691259"/>
    <x v="1"/>
    <n v="0.08"/>
    <n v="1175300.72"/>
    <n v="0.8690364490679372"/>
    <n v="14634.539087947882"/>
    <n v="0.66881776435906548"/>
  </r>
  <r>
    <s v="CATHAY BANK"/>
    <s v="Los Angeles"/>
    <x v="0"/>
    <n v="90012"/>
    <d v="2020-09-30T00:00:00"/>
    <x v="1"/>
    <n v="1208"/>
    <n v="19000888"/>
    <n v="1431474"/>
    <n v="19000888"/>
    <n v="16555309"/>
    <n v="16065245"/>
    <x v="1"/>
    <n v="0.08"/>
    <n v="1285219.6000000001"/>
    <n v="0.87129133122620372"/>
    <n v="15729.211920529802"/>
    <n v="1.1137972063295642"/>
  </r>
  <r>
    <s v="CATHAY BANK"/>
    <s v="Los Angeles"/>
    <x v="0"/>
    <n v="90012"/>
    <d v="2021-09-30T00:00:00"/>
    <x v="2"/>
    <n v="1171"/>
    <n v="19846076"/>
    <n v="1822825"/>
    <n v="19846076"/>
    <n v="17310998"/>
    <n v="17040010"/>
    <x v="1"/>
    <n v="0.08"/>
    <n v="1363200.8"/>
    <n v="0.87226301058204148"/>
    <n v="16947.972672929121"/>
    <n v="1.3371654418043182"/>
  </r>
  <r>
    <s v="CATLIN BANK"/>
    <s v="Catlin"/>
    <x v="1"/>
    <n v="61817"/>
    <d v="2019-09-30T00:00:00"/>
    <x v="0"/>
    <n v="20"/>
    <n v="63196"/>
    <n v="6431"/>
    <n v="63196"/>
    <n v="56880"/>
    <n v="55893"/>
    <x v="2"/>
    <n v="0.09"/>
    <n v="5030.37"/>
    <n v="0.90005696563073612"/>
    <n v="3159.8"/>
    <n v="1.2784347871031356"/>
  </r>
  <r>
    <s v="CATLIN BANK"/>
    <s v="Catlin"/>
    <x v="1"/>
    <n v="61817"/>
    <d v="2020-09-30T00:00:00"/>
    <x v="1"/>
    <n v="19"/>
    <n v="67168"/>
    <n v="7413"/>
    <n v="67168"/>
    <n v="59975"/>
    <n v="58828"/>
    <x v="2"/>
    <n v="0.09"/>
    <n v="5294.5199999999995"/>
    <n v="0.89291031443544544"/>
    <n v="3535.1578947368421"/>
    <n v="1.4001269236871332"/>
  </r>
  <r>
    <s v="CATLIN BANK"/>
    <s v="Catlin"/>
    <x v="1"/>
    <n v="61817"/>
    <d v="2021-09-30T00:00:00"/>
    <x v="2"/>
    <n v="21"/>
    <n v="73983"/>
    <n v="17370"/>
    <n v="73983"/>
    <n v="65699"/>
    <n v="64801"/>
    <x v="2"/>
    <n v="0.09"/>
    <n v="5832.09"/>
    <n v="0.88802833083275889"/>
    <n v="3523"/>
    <n v="2.978349099550933"/>
  </r>
  <r>
    <s v="CATSKILL HUDSON BANK"/>
    <s v="Monticello"/>
    <x v="2"/>
    <n v="12701"/>
    <d v="2019-09-30T00:00:00"/>
    <x v="0"/>
    <n v="96"/>
    <n v="525224"/>
    <n v="66182"/>
    <n v="525224"/>
    <n v="487570"/>
    <n v="486944"/>
    <x v="0"/>
    <n v="8.5000000000000006E-2"/>
    <n v="41390.240000000005"/>
    <n v="0.92830868353312113"/>
    <n v="5471.083333333333"/>
    <n v="1.5989759904750489"/>
  </r>
  <r>
    <s v="CATSKILL HUDSON BANK"/>
    <s v="Monticello"/>
    <x v="2"/>
    <n v="12701"/>
    <d v="2020-09-30T00:00:00"/>
    <x v="1"/>
    <n v="89"/>
    <n v="591935"/>
    <n v="106867"/>
    <n v="591935"/>
    <n v="551822"/>
    <n v="550932"/>
    <x v="0"/>
    <n v="8.5000000000000006E-2"/>
    <n v="46829.22"/>
    <n v="0.93223411354287211"/>
    <n v="6650.9550561797751"/>
    <n v="2.2820580825390642"/>
  </r>
  <r>
    <s v="CATSKILL HUDSON BANK"/>
    <s v="Monticello"/>
    <x v="2"/>
    <n v="12701"/>
    <d v="2021-09-30T00:00:00"/>
    <x v="2"/>
    <n v="87"/>
    <n v="595749"/>
    <n v="39030"/>
    <n v="595749"/>
    <n v="555488"/>
    <n v="554381"/>
    <x v="0"/>
    <n v="8.5000000000000006E-2"/>
    <n v="47122.385000000002"/>
    <n v="0.93241952567272457"/>
    <n v="6847.6896551724139"/>
    <n v="0.82826877289848544"/>
  </r>
  <r>
    <s v="CATTARAUGUS COUNTY BANK"/>
    <s v="Little Valley"/>
    <x v="2"/>
    <n v="14755"/>
    <d v="2019-09-30T00:00:00"/>
    <x v="0"/>
    <n v="66"/>
    <n v="251356"/>
    <n v="11760"/>
    <n v="251356"/>
    <n v="228771"/>
    <n v="224456"/>
    <x v="0"/>
    <n v="8.5000000000000006E-2"/>
    <n v="19078.760000000002"/>
    <n v="0.91014736071547919"/>
    <n v="3808.4242424242425"/>
    <n v="0.6163922602936458"/>
  </r>
  <r>
    <s v="CATTARAUGUS COUNTY BANK"/>
    <s v="Little Valley"/>
    <x v="2"/>
    <n v="14755"/>
    <d v="2020-09-30T00:00:00"/>
    <x v="1"/>
    <n v="60"/>
    <n v="292251"/>
    <n v="12468"/>
    <n v="292251"/>
    <n v="268586"/>
    <n v="258962"/>
    <x v="0"/>
    <n v="8.5000000000000006E-2"/>
    <n v="22011.77"/>
    <n v="0.91902508460193466"/>
    <n v="4870.8500000000004"/>
    <n v="0.56642423576114054"/>
  </r>
  <r>
    <s v="CATTARAUGUS COUNTY BANK"/>
    <s v="Little Valley"/>
    <x v="2"/>
    <n v="14755"/>
    <d v="2021-09-30T00:00:00"/>
    <x v="2"/>
    <n v="62"/>
    <n v="323990"/>
    <n v="31204"/>
    <n v="323990"/>
    <n v="299338"/>
    <n v="289694"/>
    <x v="0"/>
    <n v="8.5000000000000006E-2"/>
    <n v="24623.99"/>
    <n v="0.92391123182814283"/>
    <n v="5225.6451612903229"/>
    <n v="1.2672194879871215"/>
  </r>
  <r>
    <s v="CAYUGA LAKE NATIONAL BANK"/>
    <s v="Union Springs"/>
    <x v="2"/>
    <n v="13160"/>
    <d v="2019-09-30T00:00:00"/>
    <x v="0"/>
    <n v="24"/>
    <n v="153844"/>
    <n v="11438"/>
    <n v="153844"/>
    <n v="140129"/>
    <n v="138539"/>
    <x v="0"/>
    <n v="8.5000000000000006E-2"/>
    <n v="11775.815000000001"/>
    <n v="0.91085125191752681"/>
    <n v="6410.166666666667"/>
    <n v="0.97131281359294452"/>
  </r>
  <r>
    <s v="CAYUGA LAKE NATIONAL BANK"/>
    <s v="Union Springs"/>
    <x v="2"/>
    <n v="13160"/>
    <d v="2020-09-30T00:00:00"/>
    <x v="1"/>
    <n v="24"/>
    <n v="186462"/>
    <n v="10504"/>
    <n v="186462"/>
    <n v="171202"/>
    <n v="169820"/>
    <x v="0"/>
    <n v="8.5000000000000006E-2"/>
    <n v="14434.7"/>
    <n v="0.91816026858019328"/>
    <n v="7769.25"/>
    <n v="0.7276909114841319"/>
  </r>
  <r>
    <s v="CAYUGA LAKE NATIONAL BANK"/>
    <s v="Union Springs"/>
    <x v="2"/>
    <n v="13160"/>
    <d v="2021-09-30T00:00:00"/>
    <x v="2"/>
    <n v="30"/>
    <n v="228889"/>
    <n v="11752"/>
    <n v="228889"/>
    <n v="207186"/>
    <n v="205704"/>
    <x v="0"/>
    <n v="8.5000000000000006E-2"/>
    <n v="17484.84"/>
    <n v="0.90518111398975054"/>
    <n v="7629.6333333333332"/>
    <n v="0.67212510952345006"/>
  </r>
  <r>
    <s v="CENTRAL BANK ILLINOIS"/>
    <s v="Geneseo"/>
    <x v="1"/>
    <n v="61254"/>
    <d v="2019-09-30T00:00:00"/>
    <x v="0"/>
    <n v="165"/>
    <n v="919878"/>
    <n v="23988"/>
    <n v="919878"/>
    <n v="812995"/>
    <n v="715680"/>
    <x v="0"/>
    <n v="0.08"/>
    <n v="57254.400000000001"/>
    <n v="0.88380741794020512"/>
    <n v="5575.0181818181818"/>
    <n v="0.41897216633132123"/>
  </r>
  <r>
    <s v="CENTRAL BANK ILLINOIS"/>
    <s v="Geneseo"/>
    <x v="1"/>
    <n v="61254"/>
    <d v="2020-09-30T00:00:00"/>
    <x v="1"/>
    <n v="165"/>
    <n v="956978"/>
    <n v="28287"/>
    <n v="956978"/>
    <n v="844684"/>
    <n v="738492"/>
    <x v="0"/>
    <n v="0.08"/>
    <n v="59079.360000000001"/>
    <n v="0.88265769955004192"/>
    <n v="5799.8666666666668"/>
    <n v="0.47879665588794462"/>
  </r>
  <r>
    <s v="CENTRAL BANK ILLINOIS"/>
    <s v="Geneseo"/>
    <x v="1"/>
    <n v="61254"/>
    <d v="2021-09-30T00:00:00"/>
    <x v="2"/>
    <n v="168"/>
    <n v="1094117"/>
    <n v="26786"/>
    <n v="1094117"/>
    <n v="973768"/>
    <n v="865441"/>
    <x v="1"/>
    <n v="7.4999999999999997E-2"/>
    <n v="64908.074999999997"/>
    <n v="0.89000353709886604"/>
    <n v="6512.6011904761908"/>
    <n v="0.41267592668554726"/>
  </r>
  <r>
    <s v="CENTRAL FEDERAL SAVINGS AND LOAN ASSOCIATION"/>
    <s v="Cicero"/>
    <x v="1"/>
    <n v="60804"/>
    <d v="2019-09-30T00:00:00"/>
    <x v="0"/>
    <n v="49"/>
    <n v="187869"/>
    <n v="33059"/>
    <n v="187869"/>
    <n v="168696"/>
    <n v="147827"/>
    <x v="0"/>
    <n v="0.08"/>
    <n v="11826.16"/>
    <n v="0.8979448445459336"/>
    <n v="3834.0612244897961"/>
    <n v="2.7954128812733803"/>
  </r>
  <r>
    <s v="CENTRAL FEDERAL SAVINGS AND LOAN ASSOCIATION"/>
    <s v="Cicero"/>
    <x v="1"/>
    <n v="60804"/>
    <d v="2020-09-30T00:00:00"/>
    <x v="1"/>
    <n v="48"/>
    <n v="191652"/>
    <n v="41145"/>
    <n v="191652"/>
    <n v="171895"/>
    <n v="155380"/>
    <x v="0"/>
    <n v="0.08"/>
    <n v="12430.4"/>
    <n v="0.89691211153549144"/>
    <n v="3992.75"/>
    <n v="3.3100302484232205"/>
  </r>
  <r>
    <s v="CENTRAL FEDERAL SAVINGS AND LOAN ASSOCIATION"/>
    <s v="Cicero"/>
    <x v="1"/>
    <n v="60804"/>
    <d v="2021-09-30T00:00:00"/>
    <x v="2"/>
    <n v="49"/>
    <n v="198210"/>
    <n v="29407"/>
    <n v="198210"/>
    <n v="178151"/>
    <n v="165364"/>
    <x v="0"/>
    <n v="0.08"/>
    <n v="13229.12"/>
    <n v="0.8987992533171888"/>
    <n v="4045.1020408163267"/>
    <n v="2.222899179990808"/>
  </r>
  <r>
    <s v="CENTRAL SAVINGS, F.S.B."/>
    <s v="Chicago"/>
    <x v="1"/>
    <n v="60657"/>
    <d v="2019-09-30T00:00:00"/>
    <x v="0"/>
    <n v="24"/>
    <n v="103572"/>
    <n v="7469"/>
    <n v="103572"/>
    <n v="75550"/>
    <n v="74662"/>
    <x v="0"/>
    <n v="0.08"/>
    <n v="5972.96"/>
    <n v="0.72944425134206159"/>
    <n v="4315.5"/>
    <n v="1.2504687792987061"/>
  </r>
  <r>
    <s v="CENTRAL SAVINGS, F.S.B."/>
    <s v="Chicago"/>
    <x v="1"/>
    <n v="60657"/>
    <d v="2020-09-30T00:00:00"/>
    <x v="1"/>
    <n v="25"/>
    <n v="116164"/>
    <n v="17841"/>
    <n v="116164"/>
    <n v="87980"/>
    <n v="83246"/>
    <x v="0"/>
    <n v="0.08"/>
    <n v="6659.68"/>
    <n v="0.75737750077476673"/>
    <n v="4646.5600000000004"/>
    <n v="2.67895754750979"/>
  </r>
  <r>
    <s v="CENTRAL SAVINGS, F.S.B."/>
    <s v="Chicago"/>
    <x v="1"/>
    <n v="60657"/>
    <d v="2021-09-30T00:00:00"/>
    <x v="2"/>
    <n v="22"/>
    <n v="114436"/>
    <n v="19612"/>
    <n v="114436"/>
    <n v="86092"/>
    <n v="80434"/>
    <x v="0"/>
    <n v="0.08"/>
    <n v="6434.72"/>
    <n v="0.75231570484812471"/>
    <n v="5201.636363636364"/>
    <n v="3.047840465474799"/>
  </r>
  <r>
    <s v="CENTRAL STATE BANK"/>
    <s v="Clayton"/>
    <x v="1"/>
    <n v="62324"/>
    <d v="2019-09-30T00:00:00"/>
    <x v="0"/>
    <n v="32"/>
    <n v="144220"/>
    <n v="9443"/>
    <n v="144220"/>
    <n v="122309"/>
    <n v="114706"/>
    <x v="0"/>
    <n v="0.08"/>
    <n v="9176.48"/>
    <n v="0.84807238940507557"/>
    <n v="4506.875"/>
    <n v="1.0290438163653166"/>
  </r>
  <r>
    <s v="CENTRAL STATE BANK"/>
    <s v="Clayton"/>
    <x v="1"/>
    <n v="62324"/>
    <d v="2020-09-30T00:00:00"/>
    <x v="1"/>
    <n v="30"/>
    <n v="161352"/>
    <n v="33324"/>
    <n v="161352"/>
    <n v="138706"/>
    <n v="129332"/>
    <x v="0"/>
    <n v="0.08"/>
    <n v="10346.56"/>
    <n v="0.85964847042490955"/>
    <n v="5378.4"/>
    <n v="3.2207806266043981"/>
  </r>
  <r>
    <s v="CENTRAL STATE BANK"/>
    <s v="Clayton"/>
    <x v="1"/>
    <n v="62324"/>
    <d v="2021-09-30T00:00:00"/>
    <x v="2"/>
    <n v="31"/>
    <n v="176739"/>
    <n v="46458"/>
    <n v="176739"/>
    <n v="152771"/>
    <n v="145983"/>
    <x v="0"/>
    <n v="0.08"/>
    <n v="11678.64"/>
    <n v="0.86438759979404656"/>
    <n v="5701.2580645161288"/>
    <n v="3.9780316886212779"/>
  </r>
  <r>
    <s v="CENTRAL VALLEY COMMUNITY BANK"/>
    <s v="Fresno"/>
    <x v="0"/>
    <n v="93720"/>
    <d v="2019-09-30T00:00:00"/>
    <x v="0"/>
    <n v="270"/>
    <n v="1583970"/>
    <n v="42947"/>
    <n v="1583970"/>
    <n v="1347481"/>
    <n v="1311541"/>
    <x v="1"/>
    <n v="0.08"/>
    <n v="104923.28"/>
    <n v="0.85069856121012388"/>
    <n v="5866.5555555555557"/>
    <n v="0.4093181227273871"/>
  </r>
  <r>
    <s v="CENTRAL VALLEY COMMUNITY BANK"/>
    <s v="Fresno"/>
    <x v="0"/>
    <n v="93720"/>
    <d v="2020-09-30T00:00:00"/>
    <x v="1"/>
    <n v="287"/>
    <n v="1950121"/>
    <n v="86863"/>
    <n v="1950121"/>
    <n v="1710501"/>
    <n v="1681879"/>
    <x v="1"/>
    <n v="0.08"/>
    <n v="134550.32"/>
    <n v="0.87712557323366092"/>
    <n v="6794.8466898954703"/>
    <n v="0.64558003280854326"/>
  </r>
  <r>
    <s v="CENTRAL VALLEY COMMUNITY BANK"/>
    <s v="Fresno"/>
    <x v="0"/>
    <n v="93720"/>
    <d v="2021-09-30T00:00:00"/>
    <x v="2"/>
    <n v="246"/>
    <n v="2347934"/>
    <n v="67461"/>
    <n v="2347934"/>
    <n v="2097799"/>
    <n v="2059446"/>
    <x v="1"/>
    <n v="0.08"/>
    <n v="164755.68"/>
    <n v="0.89346591514071516"/>
    <n v="9544.4471544715452"/>
    <n v="0.40946084529528814"/>
  </r>
  <r>
    <s v="CENTRUST BANK, NATIONAL ASSOCIATION"/>
    <s v="Northbrook"/>
    <x v="1"/>
    <n v="60062"/>
    <d v="2019-09-30T00:00:00"/>
    <x v="0"/>
    <n v="27"/>
    <n v="125844"/>
    <n v="4851"/>
    <n v="125844"/>
    <n v="113621"/>
    <n v="108099"/>
    <x v="0"/>
    <n v="0.08"/>
    <n v="8647.92"/>
    <n v="0.90287180954197255"/>
    <n v="4660.8888888888887"/>
    <n v="0.56094413454333525"/>
  </r>
  <r>
    <s v="CENTRUST BANK, NATIONAL ASSOCIATION"/>
    <s v="Northbrook"/>
    <x v="1"/>
    <n v="60062"/>
    <d v="2020-09-30T00:00:00"/>
    <x v="1"/>
    <n v="28"/>
    <n v="164444"/>
    <n v="9249"/>
    <n v="164444"/>
    <n v="146020"/>
    <n v="125614"/>
    <x v="0"/>
    <n v="0.08"/>
    <n v="10049.120000000001"/>
    <n v="0.88796185935637661"/>
    <n v="5873"/>
    <n v="0.92037909787125627"/>
  </r>
  <r>
    <s v="CENTRUST BANK, NATIONAL ASSOCIATION"/>
    <s v="Northbrook"/>
    <x v="1"/>
    <n v="60062"/>
    <d v="2021-09-30T00:00:00"/>
    <x v="2"/>
    <n v="28"/>
    <n v="158810"/>
    <n v="27971"/>
    <n v="158810"/>
    <n v="139332"/>
    <n v="130794"/>
    <x v="0"/>
    <n v="0.08"/>
    <n v="10463.52"/>
    <n v="0.87735029280272026"/>
    <n v="5671.7857142857147"/>
    <n v="2.6731921953606435"/>
  </r>
  <r>
    <s v="CENTURY BANK AND TRUST COMPANY"/>
    <s v="Somerville"/>
    <x v="3"/>
    <n v="2145"/>
    <d v="2019-09-30T00:00:00"/>
    <x v="0"/>
    <n v="429"/>
    <n v="5282207"/>
    <n v="334121"/>
    <n v="5282207"/>
    <n v="4931960"/>
    <n v="4342179"/>
    <x v="1"/>
    <n v="0.08"/>
    <n v="347374.32"/>
    <n v="0.93369305670906122"/>
    <n v="12312.83682983683"/>
    <n v="0.96184715093504891"/>
  </r>
  <r>
    <s v="CENTURY BANK AND TRUST COMPANY"/>
    <s v="Somerville"/>
    <x v="3"/>
    <n v="2145"/>
    <d v="2020-09-30T00:00:00"/>
    <x v="1"/>
    <n v="426"/>
    <n v="6279089"/>
    <n v="412580"/>
    <n v="6279089"/>
    <n v="5896016"/>
    <n v="5416881"/>
    <x v="1"/>
    <n v="0.08"/>
    <n v="433350.48"/>
    <n v="0.93899226464221164"/>
    <n v="14739.645539906103"/>
    <n v="0.95207001962937721"/>
  </r>
  <r>
    <s v="CENTURY BANK AND TRUST COMPANY"/>
    <s v="Somerville"/>
    <x v="3"/>
    <n v="2145"/>
    <d v="2021-09-30T00:00:00"/>
    <x v="2"/>
    <n v="399"/>
    <n v="7112322"/>
    <n v="589984"/>
    <n v="7112322"/>
    <n v="6687355"/>
    <n v="6206208"/>
    <x v="1"/>
    <n v="0.08"/>
    <n v="496496.64000000001"/>
    <n v="0.94024919006760377"/>
    <n v="17825.36842105263"/>
    <n v="1.1882940436414635"/>
  </r>
  <r>
    <s v="CHAMPLAIN NATIONAL BANK"/>
    <s v="Elizabethtown"/>
    <x v="2"/>
    <n v="12932"/>
    <d v="2019-09-30T00:00:00"/>
    <x v="0"/>
    <n v="69"/>
    <n v="379998"/>
    <n v="19118"/>
    <n v="379998"/>
    <n v="349952"/>
    <n v="341826"/>
    <x v="0"/>
    <n v="8.5000000000000006E-2"/>
    <n v="29055.210000000003"/>
    <n v="0.92093116279559362"/>
    <n v="5507.217391304348"/>
    <n v="0.6579887049517108"/>
  </r>
  <r>
    <s v="CHAMPLAIN NATIONAL BANK"/>
    <s v="Elizabethtown"/>
    <x v="2"/>
    <n v="12932"/>
    <d v="2020-09-30T00:00:00"/>
    <x v="1"/>
    <n v="66"/>
    <n v="403031"/>
    <n v="12328"/>
    <n v="403031"/>
    <n v="368012"/>
    <n v="358816"/>
    <x v="0"/>
    <n v="8.5000000000000006E-2"/>
    <n v="30499.360000000001"/>
    <n v="0.91311090213904145"/>
    <n v="6106.530303030303"/>
    <n v="0.40420520299442347"/>
  </r>
  <r>
    <s v="CHAMPLAIN NATIONAL BANK"/>
    <s v="Elizabethtown"/>
    <x v="2"/>
    <n v="12932"/>
    <d v="2021-09-30T00:00:00"/>
    <x v="2"/>
    <n v="70"/>
    <n v="469563"/>
    <n v="35968"/>
    <n v="469563"/>
    <n v="431085"/>
    <n v="421683"/>
    <x v="0"/>
    <n v="8.5000000000000006E-2"/>
    <n v="35843.055"/>
    <n v="0.91805572415203074"/>
    <n v="6708.0428571428574"/>
    <n v="1.0034858914788374"/>
  </r>
  <r>
    <s v="CHARLES RIVER BANK"/>
    <s v="Medway"/>
    <x v="3"/>
    <n v="2053"/>
    <d v="2019-09-30T00:00:00"/>
    <x v="0"/>
    <n v="45"/>
    <n v="251824"/>
    <n v="28005"/>
    <n v="251824"/>
    <n v="231309"/>
    <n v="212331"/>
    <x v="0"/>
    <n v="8.5000000000000006E-2"/>
    <n v="18048.135000000002"/>
    <n v="0.91853437321303766"/>
    <n v="5596.0888888888885"/>
    <n v="1.5516838720455048"/>
  </r>
  <r>
    <s v="CHARLES RIVER BANK"/>
    <s v="Medway"/>
    <x v="3"/>
    <n v="2053"/>
    <d v="2020-09-30T00:00:00"/>
    <x v="1"/>
    <n v="45"/>
    <n v="281557"/>
    <n v="19030"/>
    <n v="281557"/>
    <n v="259041"/>
    <n v="247681"/>
    <x v="0"/>
    <n v="8.5000000000000006E-2"/>
    <n v="21052.885000000002"/>
    <n v="0.92003040236968003"/>
    <n v="6256.8222222222221"/>
    <n v="0.90391411913379083"/>
  </r>
  <r>
    <s v="CHARLES RIVER BANK"/>
    <s v="Medway"/>
    <x v="3"/>
    <n v="2053"/>
    <d v="2021-09-30T00:00:00"/>
    <x v="2"/>
    <n v="47"/>
    <n v="327771"/>
    <n v="52845"/>
    <n v="327771"/>
    <n v="305045"/>
    <n v="301569"/>
    <x v="0"/>
    <n v="8.5000000000000006E-2"/>
    <n v="25633.365000000002"/>
    <n v="0.93066500697133059"/>
    <n v="6973.8510638297876"/>
    <n v="2.0615709252374783"/>
  </r>
  <r>
    <s v="CHEMUNG CANAL TRUST COMPANY"/>
    <s v="Elmira"/>
    <x v="2"/>
    <n v="14902"/>
    <d v="2019-09-30T00:00:00"/>
    <x v="0"/>
    <n v="352"/>
    <n v="1789350"/>
    <n v="145473"/>
    <n v="1789349"/>
    <n v="1615722"/>
    <n v="1581705"/>
    <x v="1"/>
    <n v="0.08"/>
    <n v="126536.40000000001"/>
    <n v="0.90296588146533663"/>
    <n v="5083.380681818182"/>
    <n v="1.1496533803711817"/>
  </r>
  <r>
    <s v="CHEMUNG CANAL TRUST COMPANY"/>
    <s v="Elmira"/>
    <x v="2"/>
    <n v="14902"/>
    <d v="2020-09-30T00:00:00"/>
    <x v="1"/>
    <n v="331"/>
    <n v="2160200"/>
    <n v="149117"/>
    <n v="2160200"/>
    <n v="1969518"/>
    <n v="1926741"/>
    <x v="1"/>
    <n v="0.08"/>
    <n v="154139.28"/>
    <n v="0.91172946949356537"/>
    <n v="6526.283987915408"/>
    <n v="0.9674172605451381"/>
  </r>
  <r>
    <s v="CHEMUNG CANAL TRUST COMPANY"/>
    <s v="Elmira"/>
    <x v="2"/>
    <n v="14902"/>
    <d v="2021-09-30T00:00:00"/>
    <x v="2"/>
    <n v="327"/>
    <n v="2412643"/>
    <n v="60615"/>
    <n v="2412643"/>
    <n v="2214697"/>
    <n v="2177933"/>
    <x v="1"/>
    <n v="0.08"/>
    <n v="174234.64"/>
    <n v="0.91795470776239996"/>
    <n v="7378.113149847095"/>
    <n v="0.34789293334551613"/>
  </r>
  <r>
    <s v="CHESTER NATIONAL BANK"/>
    <s v="Chester"/>
    <x v="1"/>
    <n v="62233"/>
    <d v="2019-09-30T00:00:00"/>
    <x v="0"/>
    <n v="16"/>
    <n v="61361"/>
    <n v="1716"/>
    <n v="61361"/>
    <n v="52719"/>
    <n v="52560"/>
    <x v="2"/>
    <n v="0.09"/>
    <n v="4730.3999999999996"/>
    <n v="0.85916135656198567"/>
    <n v="3835.0625"/>
    <n v="0.3627600202942669"/>
  </r>
  <r>
    <s v="CHESTER NATIONAL BANK"/>
    <s v="Chester"/>
    <x v="1"/>
    <n v="62233"/>
    <d v="2020-09-30T00:00:00"/>
    <x v="1"/>
    <n v="16"/>
    <n v="67446"/>
    <n v="12524"/>
    <n v="67446"/>
    <n v="59478"/>
    <n v="55328"/>
    <x v="2"/>
    <n v="0.09"/>
    <n v="4979.5199999999995"/>
    <n v="0.88186104439106838"/>
    <n v="4215.375"/>
    <n v="2.5151018572071204"/>
  </r>
  <r>
    <s v="CHESTER NATIONAL BANK"/>
    <s v="Chester"/>
    <x v="1"/>
    <n v="62233"/>
    <d v="2021-09-30T00:00:00"/>
    <x v="2"/>
    <n v="16"/>
    <n v="65098"/>
    <n v="13427"/>
    <n v="65098"/>
    <n v="58745"/>
    <n v="58529"/>
    <x v="2"/>
    <n v="0.09"/>
    <n v="5267.61"/>
    <n v="0.90240867614980491"/>
    <n v="4068.625"/>
    <n v="2.5489738230430881"/>
  </r>
  <r>
    <s v="CHESTERFIELD STATE BANK"/>
    <s v="Chesterfield"/>
    <x v="1"/>
    <n v="62630"/>
    <d v="2019-09-30T00:00:00"/>
    <x v="0"/>
    <n v="5"/>
    <n v="17151"/>
    <n v="4151"/>
    <n v="17151"/>
    <n v="15231"/>
    <n v="14725"/>
    <x v="2"/>
    <n v="0.09"/>
    <n v="1325.25"/>
    <n v="0.88805317474199752"/>
    <n v="3430.2"/>
    <n v="3.1322392001509147"/>
  </r>
  <r>
    <s v="CHESTERFIELD STATE BANK"/>
    <s v="Chesterfield"/>
    <x v="1"/>
    <n v="62630"/>
    <d v="2020-09-30T00:00:00"/>
    <x v="1"/>
    <n v="5"/>
    <n v="18002"/>
    <n v="5764"/>
    <n v="18002"/>
    <n v="16044"/>
    <n v="16035"/>
    <x v="2"/>
    <n v="0.09"/>
    <n v="1443.1499999999999"/>
    <n v="0.89123430729918895"/>
    <n v="3600.4"/>
    <n v="3.9940408134982506"/>
  </r>
  <r>
    <s v="CHESTERFIELD STATE BANK"/>
    <s v="Chesterfield"/>
    <x v="1"/>
    <n v="62630"/>
    <d v="2021-09-30T00:00:00"/>
    <x v="2"/>
    <n v="5"/>
    <n v="21825"/>
    <n v="6401"/>
    <n v="21825"/>
    <n v="19685"/>
    <n v="19679"/>
    <x v="2"/>
    <n v="0.09"/>
    <n v="1771.11"/>
    <n v="0.90194730813287516"/>
    <n v="4365"/>
    <n v="3.6141177001993103"/>
  </r>
  <r>
    <s v="CHINO COMMERCIAL BANK, N.A."/>
    <s v="Chino"/>
    <x v="0"/>
    <n v="91710"/>
    <d v="2019-09-30T00:00:00"/>
    <x v="0"/>
    <n v="50"/>
    <n v="235309"/>
    <n v="5543"/>
    <n v="235309"/>
    <n v="210273"/>
    <n v="188657"/>
    <x v="0"/>
    <n v="0.09"/>
    <n v="16979.13"/>
    <n v="0.89360372956410505"/>
    <n v="4706.18"/>
    <n v="0.32645960069803337"/>
  </r>
  <r>
    <s v="CHINO COMMERCIAL BANK, N.A."/>
    <s v="Chino"/>
    <x v="0"/>
    <n v="91710"/>
    <d v="2020-09-30T00:00:00"/>
    <x v="1"/>
    <n v="49"/>
    <n v="303332"/>
    <n v="58948"/>
    <n v="303332"/>
    <n v="276512"/>
    <n v="244746"/>
    <x v="0"/>
    <n v="0.09"/>
    <n v="22027.14"/>
    <n v="0.91158202893199536"/>
    <n v="6190.4489795918371"/>
    <n v="2.6761531456194496"/>
  </r>
  <r>
    <s v="CHINO COMMERCIAL BANK, N.A."/>
    <s v="Chino"/>
    <x v="0"/>
    <n v="91710"/>
    <d v="2021-09-30T00:00:00"/>
    <x v="2"/>
    <n v="53"/>
    <n v="369712"/>
    <n v="123449"/>
    <n v="369712"/>
    <n v="333923"/>
    <n v="317133"/>
    <x v="0"/>
    <n v="0.09"/>
    <n v="28541.969999999998"/>
    <n v="0.9031976240965941"/>
    <n v="6975.6981132075471"/>
    <n v="4.3251744711384674"/>
  </r>
  <r>
    <s v="CIBC BANK USA"/>
    <s v="Chicago"/>
    <x v="1"/>
    <n v="60603"/>
    <d v="2019-09-30T00:00:00"/>
    <x v="0"/>
    <n v="1678"/>
    <n v="31742815"/>
    <n v="951348"/>
    <n v="31742815"/>
    <n v="25603535"/>
    <n v="23172370"/>
    <x v="1"/>
    <n v="7.4999999999999997E-2"/>
    <n v="1737927.75"/>
    <n v="0.80659308256057316"/>
    <n v="18917.053039332539"/>
    <n v="0.54740365357535725"/>
  </r>
  <r>
    <s v="CIBC BANK USA"/>
    <s v="Chicago"/>
    <x v="1"/>
    <n v="60603"/>
    <d v="2020-09-30T00:00:00"/>
    <x v="1"/>
    <n v="1671"/>
    <n v="39464720"/>
    <n v="4229451"/>
    <n v="39464720"/>
    <n v="32662659"/>
    <n v="30575170"/>
    <x v="1"/>
    <n v="7.4999999999999997E-2"/>
    <n v="2293137.75"/>
    <n v="0.82764197997603939"/>
    <n v="23617.426690604429"/>
    <n v="1.8443946509536988"/>
  </r>
  <r>
    <s v="CIBC BANK USA"/>
    <s v="Chicago"/>
    <x v="1"/>
    <n v="60603"/>
    <d v="2021-09-30T00:00:00"/>
    <x v="2"/>
    <n v="1727"/>
    <n v="45859037"/>
    <n v="8531080"/>
    <n v="45859037"/>
    <n v="38567065"/>
    <n v="36277822"/>
    <x v="1"/>
    <n v="7.4999999999999997E-2"/>
    <n v="2720836.65"/>
    <n v="0.84099160215684421"/>
    <n v="26554.161551823971"/>
    <n v="3.1354620278288299"/>
  </r>
  <r>
    <s v="CIBM BANK"/>
    <s v="Champaign"/>
    <x v="1"/>
    <n v="61821"/>
    <d v="2019-09-30T00:00:00"/>
    <x v="0"/>
    <n v="182"/>
    <n v="692392"/>
    <n v="9582"/>
    <n v="692392"/>
    <n v="608179"/>
    <n v="563100"/>
    <x v="0"/>
    <n v="0.08"/>
    <n v="45048"/>
    <n v="0.87837381136697135"/>
    <n v="3804.3516483516482"/>
    <n v="0.21270644645711242"/>
  </r>
  <r>
    <s v="CIBM BANK"/>
    <s v="Champaign"/>
    <x v="1"/>
    <n v="61821"/>
    <d v="2020-09-30T00:00:00"/>
    <x v="1"/>
    <n v="176"/>
    <n v="785559"/>
    <n v="30544"/>
    <n v="785559"/>
    <n v="693887"/>
    <n v="595146"/>
    <x v="0"/>
    <n v="0.08"/>
    <n v="47611.68"/>
    <n v="0.88330348197907482"/>
    <n v="4463.403409090909"/>
    <n v="0.64152325647824227"/>
  </r>
  <r>
    <s v="CIBM BANK"/>
    <s v="Champaign"/>
    <x v="1"/>
    <n v="61821"/>
    <d v="2021-09-30T00:00:00"/>
    <x v="2"/>
    <n v="179"/>
    <n v="768084"/>
    <n v="69217"/>
    <n v="768084"/>
    <n v="689319"/>
    <n v="647279"/>
    <x v="0"/>
    <n v="0.08"/>
    <n v="51782.32"/>
    <n v="0.89745262236942835"/>
    <n v="4290.9720670391062"/>
    <n v="1.3366917511614003"/>
  </r>
  <r>
    <s v="CIT BANK, NATIONAL ASSOCIATION"/>
    <s v="Pasadena"/>
    <x v="0"/>
    <n v="91103"/>
    <d v="2019-09-30T00:00:00"/>
    <x v="0"/>
    <n v="3116"/>
    <n v="45380876"/>
    <n v="1463672"/>
    <n v="45380876"/>
    <n v="40216834"/>
    <n v="36764650"/>
    <x v="1"/>
    <n v="0.08"/>
    <n v="2941172"/>
    <n v="0.88620664792808324"/>
    <n v="14563.824133504493"/>
    <n v="0.49764923642683939"/>
  </r>
  <r>
    <s v="CIT BANK, NATIONAL ASSOCIATION"/>
    <s v="Pasadena"/>
    <x v="0"/>
    <n v="91103"/>
    <d v="2020-09-30T00:00:00"/>
    <x v="1"/>
    <n v="3801"/>
    <n v="55419466"/>
    <n v="6490414"/>
    <n v="55419466"/>
    <n v="50493757"/>
    <n v="45639288"/>
    <x v="1"/>
    <n v="0.08"/>
    <n v="3651143.04"/>
    <n v="0.91111951529810842"/>
    <n v="14580.233096553538"/>
    <n v="1.7776389281094831"/>
  </r>
  <r>
    <s v="CIT BANK, NATIONAL ASSOCIATION"/>
    <s v="Pasadena"/>
    <x v="0"/>
    <n v="91103"/>
    <d v="2021-09-30T00:00:00"/>
    <x v="2"/>
    <n v="3378"/>
    <n v="48720884"/>
    <n v="4377364"/>
    <n v="48720884"/>
    <n v="43372782"/>
    <n v="40856213"/>
    <x v="1"/>
    <n v="0.08"/>
    <n v="3268497.04"/>
    <n v="0.89022978318702095"/>
    <n v="14422.997039668442"/>
    <n v="1.3392589763520177"/>
  </r>
  <r>
    <s v="CITIZENS BANK OF CAPE VINCENT"/>
    <s v="Cape Vincent"/>
    <x v="2"/>
    <n v="13618"/>
    <d v="2019-09-30T00:00:00"/>
    <x v="0"/>
    <n v="16"/>
    <n v="69897"/>
    <n v="6294"/>
    <n v="69897"/>
    <n v="62904"/>
    <n v="62644"/>
    <x v="2"/>
    <n v="0.09"/>
    <n v="5637.96"/>
    <n v="0.89995278767329068"/>
    <n v="4368.5625"/>
    <n v="1.1163612370431859"/>
  </r>
  <r>
    <s v="CITIZENS BANK OF CAPE VINCENT"/>
    <s v="Cape Vincent"/>
    <x v="2"/>
    <n v="13618"/>
    <d v="2020-09-30T00:00:00"/>
    <x v="1"/>
    <n v="17"/>
    <n v="76473"/>
    <n v="8405"/>
    <n v="76473"/>
    <n v="68988"/>
    <n v="68557"/>
    <x v="2"/>
    <n v="0.09"/>
    <n v="6170.13"/>
    <n v="0.90212231768075002"/>
    <n v="4498.411764705882"/>
    <n v="1.3622079275477177"/>
  </r>
  <r>
    <s v="CITIZENS BANK OF CAPE VINCENT"/>
    <s v="Cape Vincent"/>
    <x v="2"/>
    <n v="13618"/>
    <d v="2021-09-30T00:00:00"/>
    <x v="2"/>
    <n v="17"/>
    <n v="87204"/>
    <n v="9942"/>
    <n v="87204"/>
    <n v="79935"/>
    <n v="79696"/>
    <x v="2"/>
    <n v="0.09"/>
    <n v="7172.6399999999994"/>
    <n v="0.91664373193890192"/>
    <n v="5129.6470588235297"/>
    <n v="1.386100515291441"/>
  </r>
  <r>
    <s v="CITIZENS BANK OF CHATSWORTH"/>
    <s v="Chatsworth"/>
    <x v="1"/>
    <n v="60921"/>
    <d v="2019-09-30T00:00:00"/>
    <x v="0"/>
    <n v="11"/>
    <n v="31184"/>
    <n v="3272"/>
    <n v="31184"/>
    <n v="26842"/>
    <n v="26714"/>
    <x v="2"/>
    <n v="0.09"/>
    <n v="2404.2599999999998"/>
    <n v="0.86076192919445871"/>
    <n v="2834.909090909091"/>
    <n v="1.3609177044080092"/>
  </r>
  <r>
    <s v="CITIZENS BANK OF CHATSWORTH"/>
    <s v="Chatsworth"/>
    <x v="1"/>
    <n v="60921"/>
    <d v="2020-09-30T00:00:00"/>
    <x v="1"/>
    <n v="11"/>
    <n v="41594"/>
    <n v="3844"/>
    <n v="41594"/>
    <n v="37459"/>
    <n v="30253"/>
    <x v="2"/>
    <n v="0.09"/>
    <n v="2722.77"/>
    <n v="0.90058662307063519"/>
    <n v="3781.2727272727275"/>
    <n v="1.4117975444124917"/>
  </r>
  <r>
    <s v="CITIZENS BANK OF CHATSWORTH"/>
    <s v="Chatsworth"/>
    <x v="1"/>
    <n v="60921"/>
    <d v="2021-09-30T00:00:00"/>
    <x v="2"/>
    <n v="10"/>
    <n v="41503"/>
    <n v="8382"/>
    <n v="41503"/>
    <n v="36260"/>
    <n v="35518"/>
    <x v="2"/>
    <n v="0.09"/>
    <n v="3196.62"/>
    <n v="0.87367178276269186"/>
    <n v="4150.3"/>
    <n v="2.622144640276292"/>
  </r>
  <r>
    <s v="CITIZENS BANK OF EDINBURG"/>
    <s v="Edinburg"/>
    <x v="1"/>
    <n v="62531"/>
    <d v="2019-09-30T00:00:00"/>
    <x v="0"/>
    <n v="3"/>
    <n v="26079"/>
    <n v="7909"/>
    <n v="26079"/>
    <n v="23580"/>
    <n v="23545"/>
    <x v="2"/>
    <n v="0.09"/>
    <n v="2119.0499999999997"/>
    <n v="0.90417577361095136"/>
    <n v="8693"/>
    <n v="3.7323328850192308"/>
  </r>
  <r>
    <s v="CITIZENS BANK OF EDINBURG"/>
    <s v="Edinburg"/>
    <x v="1"/>
    <n v="62531"/>
    <d v="2020-09-30T00:00:00"/>
    <x v="1"/>
    <n v="3"/>
    <n v="28849"/>
    <n v="11178"/>
    <n v="28849"/>
    <n v="26230"/>
    <n v="24716"/>
    <x v="2"/>
    <n v="0.09"/>
    <n v="2224.44"/>
    <n v="0.90921695726021701"/>
    <n v="9616.3333333333339"/>
    <n v="5.0250849652047256"/>
  </r>
  <r>
    <s v="CITIZENS BANK OF EDINBURG"/>
    <s v="Edinburg"/>
    <x v="1"/>
    <n v="62531"/>
    <d v="2021-09-30T00:00:00"/>
    <x v="2"/>
    <n v="3"/>
    <n v="30399"/>
    <n v="9807"/>
    <n v="30399"/>
    <n v="27792"/>
    <n v="27773"/>
    <x v="2"/>
    <n v="0.09"/>
    <n v="2499.5699999999997"/>
    <n v="0.9142406000197375"/>
    <n v="10133"/>
    <n v="3.9234748376720803"/>
  </r>
  <r>
    <s v="CITIZENS BUSINESS BANK"/>
    <s v="Ontario"/>
    <x v="0"/>
    <n v="91764"/>
    <d v="2019-09-30T00:00:00"/>
    <x v="0"/>
    <n v="1033"/>
    <n v="11330311"/>
    <n v="443221"/>
    <n v="11330311"/>
    <n v="9353948"/>
    <n v="8825368"/>
    <x v="1"/>
    <n v="0.08"/>
    <n v="706029.44000000006"/>
    <n v="0.82556851263835562"/>
    <n v="10968.35527589545"/>
    <n v="0.62776560705457263"/>
  </r>
  <r>
    <s v="CITIZENS BUSINESS BANK"/>
    <s v="Ontario"/>
    <x v="0"/>
    <n v="91764"/>
    <d v="2020-09-30T00:00:00"/>
    <x v="1"/>
    <n v="1002"/>
    <n v="13813407"/>
    <n v="1529320"/>
    <n v="13813407"/>
    <n v="11828648"/>
    <n v="11203756"/>
    <x v="1"/>
    <n v="0.08"/>
    <n v="896300.48"/>
    <n v="0.85631647572535874"/>
    <n v="13785.835329341317"/>
    <n v="1.7062581512842658"/>
  </r>
  <r>
    <s v="CITIZENS BUSINESS BANK"/>
    <s v="Ontario"/>
    <x v="0"/>
    <n v="91764"/>
    <d v="2021-09-30T00:00:00"/>
    <x v="2"/>
    <n v="982"/>
    <n v="16196109"/>
    <n v="2588623"/>
    <n v="16196109"/>
    <n v="14173801"/>
    <n v="12984880"/>
    <x v="1"/>
    <n v="0.08"/>
    <n v="1038790.4"/>
    <n v="0.87513618240035307"/>
    <n v="16492.982688391039"/>
    <n v="2.4919589168325005"/>
  </r>
  <r>
    <s v="CITIZENS COMMUNITY BANK"/>
    <s v="Mascoutah"/>
    <x v="1"/>
    <n v="62258"/>
    <d v="2019-09-30T00:00:00"/>
    <x v="0"/>
    <n v="48"/>
    <n v="399361"/>
    <n v="6829"/>
    <n v="399361"/>
    <n v="352495"/>
    <n v="338177"/>
    <x v="0"/>
    <n v="0.08"/>
    <n v="27054.16"/>
    <n v="0.88264752942826163"/>
    <n v="8320.0208333333339"/>
    <n v="0.25241959092427929"/>
  </r>
  <r>
    <s v="CITIZENS COMMUNITY BANK"/>
    <s v="Mascoutah"/>
    <x v="1"/>
    <n v="62258"/>
    <d v="2020-09-30T00:00:00"/>
    <x v="1"/>
    <n v="51"/>
    <n v="439001"/>
    <n v="11175"/>
    <n v="439001"/>
    <n v="388312"/>
    <n v="371498"/>
    <x v="0"/>
    <n v="0.08"/>
    <n v="29719.84"/>
    <n v="0.88453557053400789"/>
    <n v="8607.8627450980384"/>
    <n v="0.37601144555286975"/>
  </r>
  <r>
    <s v="CITIZENS COMMUNITY BANK"/>
    <s v="Mascoutah"/>
    <x v="1"/>
    <n v="62258"/>
    <d v="2021-09-30T00:00:00"/>
    <x v="2"/>
    <n v="49"/>
    <n v="458759"/>
    <n v="4895"/>
    <n v="458759"/>
    <n v="409558"/>
    <n v="390927"/>
    <x v="0"/>
    <n v="0.08"/>
    <n v="31274.16"/>
    <n v="0.89275196780880595"/>
    <n v="9362.4285714285706"/>
    <n v="0.15651899203687644"/>
  </r>
  <r>
    <s v="CITIZENS FIRST STATE BANK OF WALNUT"/>
    <s v="Walnut"/>
    <x v="1"/>
    <n v="61376"/>
    <d v="2019-09-30T00:00:00"/>
    <x v="0"/>
    <n v="8"/>
    <n v="47286"/>
    <n v="9730"/>
    <n v="47286"/>
    <n v="42946"/>
    <n v="42866"/>
    <x v="2"/>
    <n v="0.09"/>
    <n v="3857.94"/>
    <n v="0.90821807723216175"/>
    <n v="5910.75"/>
    <n v="2.5220713645105937"/>
  </r>
  <r>
    <s v="CITIZENS FIRST STATE BANK OF WALNUT"/>
    <s v="Walnut"/>
    <x v="1"/>
    <n v="61376"/>
    <d v="2020-09-30T00:00:00"/>
    <x v="1"/>
    <n v="8"/>
    <n v="53281"/>
    <n v="14622"/>
    <n v="53281"/>
    <n v="48495"/>
    <n v="48390"/>
    <x v="2"/>
    <n v="0.09"/>
    <n v="4355.0999999999995"/>
    <n v="0.9101743585893658"/>
    <n v="6660.125"/>
    <n v="3.357442997864573"/>
  </r>
  <r>
    <s v="CITIZENS FIRST STATE BANK OF WALNUT"/>
    <s v="Walnut"/>
    <x v="1"/>
    <n v="61376"/>
    <d v="2021-09-30T00:00:00"/>
    <x v="2"/>
    <n v="7"/>
    <n v="55108"/>
    <n v="17147"/>
    <n v="55108"/>
    <n v="50187"/>
    <n v="50104"/>
    <x v="2"/>
    <n v="0.09"/>
    <n v="4509.3599999999997"/>
    <n v="0.91070262030921101"/>
    <n v="7872.5714285714284"/>
    <n v="3.8025351712881652"/>
  </r>
  <r>
    <s v="CITIZENS NATIONAL BANK OF ALBION"/>
    <s v="Albion"/>
    <x v="1"/>
    <n v="62806"/>
    <d v="2019-09-30T00:00:00"/>
    <x v="0"/>
    <n v="61"/>
    <n v="318837"/>
    <n v="19408"/>
    <n v="318837"/>
    <n v="263017"/>
    <n v="246918"/>
    <x v="0"/>
    <n v="0.08"/>
    <n v="19753.439999999999"/>
    <n v="0.82492621621706386"/>
    <n v="5226.8360655737706"/>
    <n v="0.9825124130278069"/>
  </r>
  <r>
    <s v="CITIZENS NATIONAL BANK OF ALBION"/>
    <s v="Albion"/>
    <x v="1"/>
    <n v="62806"/>
    <d v="2020-09-30T00:00:00"/>
    <x v="1"/>
    <n v="64"/>
    <n v="323010"/>
    <n v="30168"/>
    <n v="323010"/>
    <n v="264754"/>
    <n v="255868"/>
    <x v="0"/>
    <n v="0.08"/>
    <n v="20469.439999999999"/>
    <n v="0.81964645057428565"/>
    <n v="5047.03125"/>
    <n v="1.473806806634671"/>
  </r>
  <r>
    <s v="CITIZENS NATIONAL BANK OF ALBION"/>
    <s v="Albion"/>
    <x v="1"/>
    <n v="62806"/>
    <d v="2021-09-30T00:00:00"/>
    <x v="2"/>
    <n v="57"/>
    <n v="336696"/>
    <n v="54056"/>
    <n v="336696"/>
    <n v="278482"/>
    <n v="276874"/>
    <x v="0"/>
    <n v="0.08"/>
    <n v="22149.920000000002"/>
    <n v="0.82710219307624677"/>
    <n v="5906.9473684210525"/>
    <n v="2.4404602815721228"/>
  </r>
  <r>
    <s v="CITIZENS STATE BANK"/>
    <s v="Lena"/>
    <x v="1"/>
    <n v="61048"/>
    <d v="2019-09-30T00:00:00"/>
    <x v="0"/>
    <n v="51"/>
    <n v="263560"/>
    <n v="7834"/>
    <n v="263560"/>
    <n v="230497"/>
    <n v="227691"/>
    <x v="0"/>
    <n v="0.08"/>
    <n v="18215.28"/>
    <n v="0.87455228410988006"/>
    <n v="5167.8431372549021"/>
    <n v="0.4300784835588583"/>
  </r>
  <r>
    <s v="CITIZENS STATE BANK"/>
    <s v="Lena"/>
    <x v="1"/>
    <n v="61048"/>
    <d v="2020-09-30T00:00:00"/>
    <x v="1"/>
    <n v="51"/>
    <n v="303899"/>
    <n v="34095"/>
    <n v="303899"/>
    <n v="267660"/>
    <n v="260132"/>
    <x v="0"/>
    <n v="0.08"/>
    <n v="20810.560000000001"/>
    <n v="0.88075314495934509"/>
    <n v="5958.8039215686276"/>
    <n v="1.6383509141512769"/>
  </r>
  <r>
    <s v="CITIZENS STATE BANK"/>
    <s v="Lena"/>
    <x v="1"/>
    <n v="61048"/>
    <d v="2021-09-30T00:00:00"/>
    <x v="2"/>
    <n v="51"/>
    <n v="309648"/>
    <n v="35955"/>
    <n v="309648"/>
    <n v="271000"/>
    <n v="262589"/>
    <x v="0"/>
    <n v="0.08"/>
    <n v="21007.119999999999"/>
    <n v="0.87518730946106549"/>
    <n v="6071.5294117647063"/>
    <n v="1.7115625559334169"/>
  </r>
  <r>
    <s v="CITIZENS STATE BANK OF MILFORD"/>
    <s v="Milford"/>
    <x v="1"/>
    <n v="60953"/>
    <d v="2019-09-30T00:00:00"/>
    <x v="0"/>
    <n v="15"/>
    <n v="41593"/>
    <n v="7220"/>
    <n v="41593"/>
    <n v="37035"/>
    <n v="36983"/>
    <x v="2"/>
    <n v="0.09"/>
    <n v="3328.47"/>
    <n v="0.89041425239824012"/>
    <n v="2772.8666666666668"/>
    <n v="2.16916481145992"/>
  </r>
  <r>
    <s v="CITIZENS STATE BANK OF MILFORD"/>
    <s v="Milford"/>
    <x v="1"/>
    <n v="60953"/>
    <d v="2020-09-30T00:00:00"/>
    <x v="1"/>
    <n v="14"/>
    <n v="49481"/>
    <n v="13764"/>
    <n v="49481"/>
    <n v="44850"/>
    <n v="41791"/>
    <x v="2"/>
    <n v="0.09"/>
    <n v="3761.19"/>
    <n v="0.90640852044218989"/>
    <n v="3534.3571428571427"/>
    <n v="3.6594801113477384"/>
  </r>
  <r>
    <s v="CITIZENS STATE BANK OF MILFORD"/>
    <s v="Milford"/>
    <x v="1"/>
    <n v="60953"/>
    <d v="2021-09-30T00:00:00"/>
    <x v="2"/>
    <n v="12"/>
    <n v="51948"/>
    <n v="17039"/>
    <n v="51948"/>
    <n v="47375"/>
    <n v="47329"/>
    <x v="2"/>
    <n v="0.09"/>
    <n v="4259.6099999999997"/>
    <n v="0.911969661969662"/>
    <n v="4329"/>
    <n v="4.0001314674348123"/>
  </r>
  <r>
    <s v="CITY NATIONAL BANK"/>
    <s v="Los Angeles"/>
    <x v="0"/>
    <n v="90071"/>
    <d v="2019-09-30T00:00:00"/>
    <x v="0"/>
    <n v="5169"/>
    <n v="58193096"/>
    <n v="1995161"/>
    <n v="58193096"/>
    <n v="53045798"/>
    <n v="49246076"/>
    <x v="1"/>
    <n v="0.08"/>
    <n v="3939686.08"/>
    <n v="0.91154796094711987"/>
    <n v="11258.095569742696"/>
    <n v="0.50642639019604319"/>
  </r>
  <r>
    <s v="CITY NATIONAL BANK"/>
    <s v="Los Angeles"/>
    <x v="0"/>
    <n v="90071"/>
    <d v="2020-09-30T00:00:00"/>
    <x v="1"/>
    <n v="5308"/>
    <n v="72984004"/>
    <n v="3849295"/>
    <n v="72984004"/>
    <n v="66669668"/>
    <n v="63982800"/>
    <x v="1"/>
    <n v="0.08"/>
    <n v="5118624"/>
    <n v="0.91348328874913465"/>
    <n v="13749.812358703843"/>
    <n v="0.75201753439986996"/>
  </r>
  <r>
    <s v="CITY NATIONAL BANK"/>
    <s v="Los Angeles"/>
    <x v="0"/>
    <n v="90071"/>
    <d v="2021-09-30T00:00:00"/>
    <x v="2"/>
    <n v="6697"/>
    <n v="89831054"/>
    <n v="8917488"/>
    <n v="89831054"/>
    <n v="83270729"/>
    <n v="80093535"/>
    <x v="1"/>
    <n v="0.08"/>
    <n v="6407482.7999999998"/>
    <n v="0.92697041047742801"/>
    <n v="13413.626101239361"/>
    <n v="1.3917303063224766"/>
  </r>
  <r>
    <s v="CLAY COUNTY STATE BANK"/>
    <s v="Louisville"/>
    <x v="1"/>
    <n v="62858"/>
    <d v="2019-09-30T00:00:00"/>
    <x v="0"/>
    <n v="19"/>
    <n v="78476"/>
    <n v="8116"/>
    <n v="78476"/>
    <n v="66391"/>
    <n v="66219"/>
    <x v="2"/>
    <n v="0.09"/>
    <n v="5959.71"/>
    <n v="0.84600387379581021"/>
    <n v="4130.3157894736842"/>
    <n v="1.3618112290698707"/>
  </r>
  <r>
    <s v="CLAY COUNTY STATE BANK"/>
    <s v="Louisville"/>
    <x v="1"/>
    <n v="62858"/>
    <d v="2020-09-30T00:00:00"/>
    <x v="1"/>
    <n v="19"/>
    <n v="90122"/>
    <n v="19514"/>
    <n v="90122"/>
    <n v="77445"/>
    <n v="72874"/>
    <x v="2"/>
    <n v="0.09"/>
    <n v="6558.66"/>
    <n v="0.85933512349925656"/>
    <n v="4743.2631578947367"/>
    <n v="2.9753028819911385"/>
  </r>
  <r>
    <s v="CLAY COUNTY STATE BANK"/>
    <s v="Louisville"/>
    <x v="1"/>
    <n v="62858"/>
    <d v="2021-09-30T00:00:00"/>
    <x v="2"/>
    <n v="18"/>
    <n v="97734"/>
    <n v="25269"/>
    <n v="97734"/>
    <n v="85342"/>
    <n v="79842"/>
    <x v="2"/>
    <n v="0.09"/>
    <n v="7185.78"/>
    <n v="0.87320686762027544"/>
    <n v="5429.666666666667"/>
    <n v="3.5165284770755578"/>
  </r>
  <r>
    <s v="CLINTON SAVINGS BANK"/>
    <s v="Clinton"/>
    <x v="3"/>
    <n v="1510"/>
    <d v="2019-09-30T00:00:00"/>
    <x v="0"/>
    <n v="95"/>
    <n v="584592"/>
    <n v="23237"/>
    <n v="584592"/>
    <n v="519467"/>
    <n v="463195"/>
    <x v="0"/>
    <n v="8.5000000000000006E-2"/>
    <n v="39371.575000000004"/>
    <n v="0.8885975175849139"/>
    <n v="6153.6"/>
    <n v="0.59019736954897017"/>
  </r>
  <r>
    <s v="CLINTON SAVINGS BANK"/>
    <s v="Clinton"/>
    <x v="3"/>
    <n v="1510"/>
    <d v="2020-09-30T00:00:00"/>
    <x v="1"/>
    <n v="96"/>
    <n v="629750"/>
    <n v="47560"/>
    <n v="629750"/>
    <n v="559731"/>
    <n v="512588"/>
    <x v="0"/>
    <n v="8.5000000000000006E-2"/>
    <n v="43569.98"/>
    <n v="0.88881460897181419"/>
    <n v="6559.895833333333"/>
    <n v="1.0915772740772429"/>
  </r>
  <r>
    <s v="CLINTON SAVINGS BANK"/>
    <s v="Clinton"/>
    <x v="3"/>
    <n v="1510"/>
    <d v="2021-09-30T00:00:00"/>
    <x v="2"/>
    <n v="103"/>
    <n v="644010"/>
    <n v="55834"/>
    <n v="644010"/>
    <n v="571795"/>
    <n v="540856"/>
    <x v="0"/>
    <n v="8.5000000000000006E-2"/>
    <n v="45972.76"/>
    <n v="0.88786664803341564"/>
    <n v="6252.5242718446598"/>
    <n v="1.2145018049819065"/>
  </r>
  <r>
    <s v="CNB BANK AND TRUST, N.A."/>
    <s v="Carlinville"/>
    <x v="1"/>
    <n v="62626"/>
    <d v="2019-09-30T00:00:00"/>
    <x v="0"/>
    <n v="286"/>
    <n v="1321421"/>
    <n v="84598"/>
    <n v="1321421"/>
    <n v="1183507"/>
    <n v="1120724"/>
    <x v="1"/>
    <n v="7.4999999999999997E-2"/>
    <n v="84054.3"/>
    <n v="0.89563205064850637"/>
    <n v="4620.3531468531464"/>
    <n v="1.0064684376647"/>
  </r>
  <r>
    <s v="CNB BANK AND TRUST, N.A."/>
    <s v="Carlinville"/>
    <x v="1"/>
    <n v="62626"/>
    <d v="2020-09-30T00:00:00"/>
    <x v="1"/>
    <n v="278"/>
    <n v="1484046"/>
    <n v="120407"/>
    <n v="1484045"/>
    <n v="1332378"/>
    <n v="1255476"/>
    <x v="1"/>
    <n v="7.4999999999999997E-2"/>
    <n v="94160.7"/>
    <n v="0.89780101155894088"/>
    <n v="5338.294964028777"/>
    <n v="1.2787394316312433"/>
  </r>
  <r>
    <s v="CNB BANK AND TRUST, N.A."/>
    <s v="Carlinville"/>
    <x v="1"/>
    <n v="62626"/>
    <d v="2021-09-30T00:00:00"/>
    <x v="2"/>
    <n v="274"/>
    <n v="1583203"/>
    <n v="122468"/>
    <n v="1583203"/>
    <n v="1423539"/>
    <n v="1360619"/>
    <x v="1"/>
    <n v="7.4999999999999997E-2"/>
    <n v="102046.425"/>
    <n v="0.89915127750515889"/>
    <n v="5778.1131386861316"/>
    <n v="1.2001204353802692"/>
  </r>
  <r>
    <s v="COASTAL HERITAGE BANK"/>
    <s v="Weymouth"/>
    <x v="3"/>
    <n v="2188"/>
    <d v="2019-09-30T00:00:00"/>
    <x v="0"/>
    <n v="144"/>
    <n v="849216"/>
    <n v="26059"/>
    <n v="849216"/>
    <n v="760959"/>
    <n v="716916"/>
    <x v="0"/>
    <n v="8.5000000000000006E-2"/>
    <n v="60937.860000000008"/>
    <n v="0.89607237734569301"/>
    <n v="5897.333333333333"/>
    <n v="0.42763234547455387"/>
  </r>
  <r>
    <s v="COASTAL HERITAGE BANK"/>
    <s v="Weymouth"/>
    <x v="3"/>
    <n v="2188"/>
    <d v="2020-09-30T00:00:00"/>
    <x v="1"/>
    <n v="133"/>
    <n v="908788"/>
    <n v="77639"/>
    <n v="908788"/>
    <n v="816578"/>
    <n v="779984"/>
    <x v="0"/>
    <n v="8.5000000000000006E-2"/>
    <n v="66298.64"/>
    <n v="0.89853519192594977"/>
    <n v="6832.9924812030076"/>
    <n v="1.1710496625571807"/>
  </r>
  <r>
    <s v="COASTAL HERITAGE BANK"/>
    <s v="Weymouth"/>
    <x v="3"/>
    <n v="2188"/>
    <d v="2021-09-30T00:00:00"/>
    <x v="2"/>
    <n v="125"/>
    <n v="954958"/>
    <n v="113792"/>
    <n v="954958"/>
    <n v="858571"/>
    <n v="825580"/>
    <x v="0"/>
    <n v="8.5000000000000006E-2"/>
    <n v="70174.3"/>
    <n v="0.89906676523993723"/>
    <n v="7639.6639999999998"/>
    <n v="1.6215623098484773"/>
  </r>
  <r>
    <s v="COLCHESTER STATE BANK"/>
    <s v="Colchester"/>
    <x v="1"/>
    <n v="62326"/>
    <d v="2019-09-30T00:00:00"/>
    <x v="0"/>
    <n v="8"/>
    <n v="68792"/>
    <n v="4971"/>
    <n v="68792"/>
    <n v="58046"/>
    <n v="57530"/>
    <x v="2"/>
    <n v="0.09"/>
    <n v="5177.7"/>
    <n v="0.84378997557855562"/>
    <n v="8599"/>
    <n v="0.96007879946694485"/>
  </r>
  <r>
    <s v="COLCHESTER STATE BANK"/>
    <s v="Colchester"/>
    <x v="1"/>
    <n v="62326"/>
    <d v="2020-09-30T00:00:00"/>
    <x v="1"/>
    <n v="8"/>
    <n v="78485"/>
    <n v="5340"/>
    <n v="78485"/>
    <n v="66570"/>
    <n v="65865"/>
    <x v="2"/>
    <n v="0.09"/>
    <n v="5927.8499999999995"/>
    <n v="0.84818755176148308"/>
    <n v="9810.625"/>
    <n v="0.90083251094410288"/>
  </r>
  <r>
    <s v="COLCHESTER STATE BANK"/>
    <s v="Colchester"/>
    <x v="1"/>
    <n v="62326"/>
    <d v="2021-09-30T00:00:00"/>
    <x v="2"/>
    <n v="8"/>
    <n v="85778"/>
    <n v="8622"/>
    <n v="85778"/>
    <n v="73279"/>
    <n v="72562"/>
    <x v="2"/>
    <n v="0.09"/>
    <n v="6530.58"/>
    <n v="0.85428664692578515"/>
    <n v="10722.25"/>
    <n v="1.3202502687357018"/>
  </r>
  <r>
    <s v="COLLINSVILLE BUILDING AND LOAN ASSOCIATION"/>
    <s v="Collinsville"/>
    <x v="1"/>
    <n v="62234"/>
    <d v="2019-09-30T00:00:00"/>
    <x v="0"/>
    <n v="18"/>
    <n v="120875"/>
    <n v="5886"/>
    <n v="120875"/>
    <n v="87559"/>
    <n v="87308"/>
    <x v="0"/>
    <n v="0.08"/>
    <n v="6984.64"/>
    <n v="0.72437642192347462"/>
    <n v="6715.2777777777774"/>
    <n v="0.84270628121134372"/>
  </r>
  <r>
    <s v="COLLINSVILLE BUILDING AND LOAN ASSOCIATION"/>
    <s v="Collinsville"/>
    <x v="1"/>
    <n v="62234"/>
    <d v="2020-09-30T00:00:00"/>
    <x v="1"/>
    <n v="15"/>
    <n v="131344"/>
    <n v="10891"/>
    <n v="131344"/>
    <n v="97584"/>
    <n v="93343"/>
    <x v="0"/>
    <n v="0.08"/>
    <n v="7467.4400000000005"/>
    <n v="0.74296503837251793"/>
    <n v="8756.2666666666664"/>
    <n v="1.4584650161233299"/>
  </r>
  <r>
    <s v="COLLINSVILLE BUILDING AND LOAN ASSOCIATION"/>
    <s v="Collinsville"/>
    <x v="1"/>
    <n v="62234"/>
    <d v="2021-09-30T00:00:00"/>
    <x v="2"/>
    <n v="16"/>
    <n v="136807"/>
    <n v="12360"/>
    <n v="136807"/>
    <n v="102944"/>
    <n v="97755"/>
    <x v="0"/>
    <n v="0.08"/>
    <n v="7820.4000000000005"/>
    <n v="0.75247611598821695"/>
    <n v="8550.4375"/>
    <n v="1.5804818167868651"/>
  </r>
  <r>
    <s v="COLONIAL FEDERAL SAVINGS BANK"/>
    <s v="Quincy"/>
    <x v="3"/>
    <n v="2170"/>
    <d v="2019-09-30T00:00:00"/>
    <x v="0"/>
    <n v="31"/>
    <n v="310895"/>
    <n v="17675"/>
    <n v="310895"/>
    <n v="264922"/>
    <n v="255188"/>
    <x v="0"/>
    <n v="8.5000000000000006E-2"/>
    <n v="21690.980000000003"/>
    <n v="0.85212692388105304"/>
    <n v="10028.870967741936"/>
    <n v="0.81485483827839944"/>
  </r>
  <r>
    <s v="COLONIAL FEDERAL SAVINGS BANK"/>
    <s v="Quincy"/>
    <x v="3"/>
    <n v="2170"/>
    <d v="2020-09-30T00:00:00"/>
    <x v="1"/>
    <n v="28"/>
    <n v="333493"/>
    <n v="39592"/>
    <n v="333493"/>
    <n v="285973"/>
    <n v="280205"/>
    <x v="0"/>
    <n v="8.5000000000000006E-2"/>
    <n v="23817.425000000003"/>
    <n v="0.85750825354655125"/>
    <n v="11910.464285714286"/>
    <n v="1.6623123616427886"/>
  </r>
  <r>
    <s v="COLONIAL FEDERAL SAVINGS BANK"/>
    <s v="Quincy"/>
    <x v="3"/>
    <n v="2170"/>
    <d v="2021-09-30T00:00:00"/>
    <x v="2"/>
    <n v="29"/>
    <n v="336678"/>
    <n v="38700"/>
    <n v="336678"/>
    <n v="287571"/>
    <n v="283820"/>
    <x v="0"/>
    <n v="8.5000000000000006E-2"/>
    <n v="24124.7"/>
    <n v="0.85414253381569338"/>
    <n v="11609.586206896553"/>
    <n v="1.6041650258863323"/>
  </r>
  <r>
    <s v="COLUMBIA NATIONAL BANK"/>
    <s v="Columbia"/>
    <x v="1"/>
    <n v="62236"/>
    <d v="2019-09-30T00:00:00"/>
    <x v="0"/>
    <n v="13"/>
    <n v="45546"/>
    <n v="7646"/>
    <n v="45546"/>
    <n v="39303"/>
    <n v="39117"/>
    <x v="2"/>
    <n v="0.09"/>
    <n v="3520.5299999999997"/>
    <n v="0.86292978527203268"/>
    <n v="3503.5384615384614"/>
    <n v="2.1718320821012749"/>
  </r>
  <r>
    <s v="COLUMN NATIONAL ASSOCIATION"/>
    <s v="Chico"/>
    <x v="0"/>
    <n v="95926"/>
    <d v="2021-09-30T00:00:00"/>
    <x v="2"/>
    <n v="26"/>
    <n v="342820"/>
    <n v="68490"/>
    <n v="342820"/>
    <n v="298984"/>
    <n v="298094"/>
    <x v="0"/>
    <n v="0.09"/>
    <n v="26828.46"/>
    <n v="0.87213114754098364"/>
    <n v="13185.384615384615"/>
    <n v="2.5528860024019271"/>
  </r>
  <r>
    <s v="COMMERCE WEST BANK"/>
    <s v="Irvine"/>
    <x v="0"/>
    <n v="92612"/>
    <d v="2019-09-30T00:00:00"/>
    <x v="0"/>
    <n v="63"/>
    <n v="635190"/>
    <n v="112934"/>
    <n v="635190"/>
    <n v="571425"/>
    <n v="564725"/>
    <x v="0"/>
    <n v="0.09"/>
    <n v="50825.25"/>
    <n v="0.89961271430595569"/>
    <n v="10082.380952380952"/>
    <n v="2.2220057943640219"/>
  </r>
  <r>
    <s v="COMMERCE WEST BANK"/>
    <s v="Irvine"/>
    <x v="0"/>
    <n v="92612"/>
    <d v="2020-09-30T00:00:00"/>
    <x v="1"/>
    <n v="58"/>
    <n v="937741"/>
    <n v="238537"/>
    <n v="937741"/>
    <n v="872106"/>
    <n v="865721"/>
    <x v="0"/>
    <n v="0.09"/>
    <n v="77914.89"/>
    <n v="0.93000732611669956"/>
    <n v="16167.948275862069"/>
    <n v="3.061507242068878"/>
  </r>
  <r>
    <s v="COMMERCE WEST BANK"/>
    <s v="Irvine"/>
    <x v="0"/>
    <n v="92614"/>
    <d v="2021-09-30T00:00:00"/>
    <x v="2"/>
    <n v="64"/>
    <n v="1323629"/>
    <n v="541109"/>
    <n v="1323629"/>
    <n v="1222472"/>
    <n v="1210200"/>
    <x v="1"/>
    <n v="0.08"/>
    <n v="96816"/>
    <n v="0.92357601714679871"/>
    <n v="20681.703125"/>
    <n v="5.5890451991406378"/>
  </r>
  <r>
    <s v="COMMERCIAL BANK OF CALIFORNIA"/>
    <s v="Irvine"/>
    <x v="0"/>
    <n v="92612"/>
    <d v="2019-09-30T00:00:00"/>
    <x v="0"/>
    <n v="175"/>
    <n v="1016735"/>
    <n v="141879"/>
    <n v="1016735"/>
    <n v="913420"/>
    <n v="901048"/>
    <x v="1"/>
    <n v="0.08"/>
    <n v="72083.839999999997"/>
    <n v="0.89838551835040592"/>
    <n v="5809.9142857142861"/>
    <n v="1.9682497491809539"/>
  </r>
  <r>
    <s v="COMMERCIAL BANK OF CALIFORNIA"/>
    <s v="Irvine"/>
    <x v="0"/>
    <n v="92612"/>
    <d v="2020-09-30T00:00:00"/>
    <x v="1"/>
    <n v="191"/>
    <n v="1587533"/>
    <n v="418534"/>
    <n v="1587533"/>
    <n v="1469245"/>
    <n v="1355612"/>
    <x v="1"/>
    <n v="0.08"/>
    <n v="108448.96000000001"/>
    <n v="0.92548942289703584"/>
    <n v="8311.6910994764403"/>
    <n v="3.8592716795071156"/>
  </r>
  <r>
    <s v="COMMERCIAL BANK OF CALIFORNIA"/>
    <s v="Irvine"/>
    <x v="0"/>
    <n v="92612"/>
    <d v="2021-09-30T00:00:00"/>
    <x v="2"/>
    <n v="190"/>
    <n v="1764126"/>
    <n v="394667"/>
    <n v="1764126"/>
    <n v="1603506"/>
    <n v="1589113"/>
    <x v="1"/>
    <n v="0.08"/>
    <n v="127129.04000000001"/>
    <n v="0.90895208165403152"/>
    <n v="9284.8736842105263"/>
    <n v="3.104459846467809"/>
  </r>
  <r>
    <s v="COMMONWEALTH BUSINESS BANK"/>
    <s v="Los Angeles"/>
    <x v="0"/>
    <n v="90010"/>
    <d v="2019-09-30T00:00:00"/>
    <x v="0"/>
    <n v="190"/>
    <n v="1159601"/>
    <n v="84382"/>
    <n v="1159601"/>
    <n v="1014929"/>
    <n v="989805"/>
    <x v="1"/>
    <n v="0.08"/>
    <n v="79184.400000000009"/>
    <n v="0.87523984542959177"/>
    <n v="6103.1631578947372"/>
    <n v="1.0656391915579331"/>
  </r>
  <r>
    <s v="COMMONWEALTH BUSINESS BANK"/>
    <s v="Los Angeles"/>
    <x v="0"/>
    <n v="90010"/>
    <d v="2020-09-30T00:00:00"/>
    <x v="1"/>
    <n v="179"/>
    <n v="1399381"/>
    <n v="220073"/>
    <n v="1399381"/>
    <n v="1243810"/>
    <n v="1101866"/>
    <x v="1"/>
    <n v="0.08"/>
    <n v="88149.28"/>
    <n v="0.88882870354821164"/>
    <n v="7817.7709497206706"/>
    <n v="2.496594413476775"/>
  </r>
  <r>
    <s v="COMMONWEALTH BUSINESS BANK"/>
    <s v="Los Angeles"/>
    <x v="0"/>
    <n v="90010"/>
    <d v="2021-09-30T00:00:00"/>
    <x v="2"/>
    <n v="200"/>
    <n v="1909035"/>
    <n v="397522"/>
    <n v="1909035"/>
    <n v="1730967"/>
    <n v="1666296"/>
    <x v="1"/>
    <n v="0.08"/>
    <n v="133303.67999999999"/>
    <n v="0.90672355404693994"/>
    <n v="9545.1749999999993"/>
    <n v="2.982078214194837"/>
  </r>
  <r>
    <s v="COMMONWEALTH CO-OPERATIVE BANK"/>
    <s v="Hyde Park"/>
    <x v="3"/>
    <n v="2136"/>
    <d v="2019-09-30T00:00:00"/>
    <x v="0"/>
    <n v="21"/>
    <n v="189845"/>
    <n v="10931"/>
    <n v="189845"/>
    <n v="161706"/>
    <n v="139190"/>
    <x v="0"/>
    <n v="8.5000000000000006E-2"/>
    <n v="11831.150000000001"/>
    <n v="0.8517790829360794"/>
    <n v="9040.2380952380954"/>
    <n v="0.92391694805661317"/>
  </r>
  <r>
    <s v="COMMONWEALTH CO-OPERATIVE BANK"/>
    <s v="Hyde Park"/>
    <x v="3"/>
    <n v="2136"/>
    <d v="2020-09-30T00:00:00"/>
    <x v="1"/>
    <n v="21"/>
    <n v="189492"/>
    <n v="14686"/>
    <n v="189492"/>
    <n v="160740"/>
    <n v="138191"/>
    <x v="0"/>
    <n v="8.5000000000000006E-2"/>
    <n v="11746.235000000001"/>
    <n v="0.84826800075992659"/>
    <n v="9023.4285714285706"/>
    <n v="1.2502729598037157"/>
  </r>
  <r>
    <s v="COMMONWEALTH CO-OPERATIVE BANK"/>
    <s v="Hyde Park"/>
    <x v="3"/>
    <n v="2136"/>
    <d v="2021-09-30T00:00:00"/>
    <x v="2"/>
    <n v="19"/>
    <n v="200187"/>
    <n v="19363"/>
    <n v="200187"/>
    <n v="170702"/>
    <n v="154494"/>
    <x v="0"/>
    <n v="8.5000000000000006E-2"/>
    <n v="13131.990000000002"/>
    <n v="0.85271271361277201"/>
    <n v="10536.157894736842"/>
    <n v="1.4744909187411808"/>
  </r>
  <r>
    <s v="COMMUNITY BANK"/>
    <s v="Winslow"/>
    <x v="1"/>
    <n v="61089"/>
    <d v="2019-09-30T00:00:00"/>
    <x v="0"/>
    <n v="20"/>
    <n v="217335"/>
    <n v="12368"/>
    <n v="217334"/>
    <n v="185257"/>
    <n v="150092"/>
    <x v="0"/>
    <n v="0.08"/>
    <n v="12007.36"/>
    <n v="0.85240297236984375"/>
    <n v="10866.75"/>
    <n v="1.0300349119206886"/>
  </r>
  <r>
    <s v="COMMUNITY BANK"/>
    <s v="Winslow"/>
    <x v="1"/>
    <n v="61089"/>
    <d v="2020-09-30T00:00:00"/>
    <x v="1"/>
    <n v="15"/>
    <n v="260654"/>
    <n v="18721"/>
    <n v="260653"/>
    <n v="224082"/>
    <n v="184719"/>
    <x v="0"/>
    <n v="0.08"/>
    <n v="14777.52"/>
    <n v="0.85969139165330288"/>
    <n v="17376.933333333334"/>
    <n v="1.2668566850188665"/>
  </r>
  <r>
    <s v="COMMUNITY BANK"/>
    <s v="Winslow"/>
    <x v="1"/>
    <n v="61089"/>
    <d v="2021-09-30T00:00:00"/>
    <x v="2"/>
    <n v="16"/>
    <n v="257396"/>
    <n v="7884"/>
    <n v="257396"/>
    <n v="218313"/>
    <n v="180528"/>
    <x v="0"/>
    <n v="0.08"/>
    <n v="14442.24"/>
    <n v="0.84816003356695524"/>
    <n v="16087.25"/>
    <n v="0.54589869715501194"/>
  </r>
  <r>
    <s v="COMMUNITY BANK OF EASTON"/>
    <s v="Easton"/>
    <x v="1"/>
    <n v="62633"/>
    <d v="2019-09-30T00:00:00"/>
    <x v="0"/>
    <n v="4"/>
    <n v="36222"/>
    <n v="7758"/>
    <n v="36222"/>
    <n v="28683"/>
    <n v="28668"/>
    <x v="2"/>
    <n v="0.09"/>
    <n v="2580.12"/>
    <n v="0.79186682126884211"/>
    <n v="9055.5"/>
    <n v="3.0068368913073811"/>
  </r>
  <r>
    <s v="COMMUNITY BANK OF EASTON"/>
    <s v="Easton"/>
    <x v="1"/>
    <n v="62633"/>
    <d v="2020-09-30T00:00:00"/>
    <x v="1"/>
    <n v="4"/>
    <n v="37904"/>
    <n v="8067"/>
    <n v="37904"/>
    <n v="29612"/>
    <n v="29596"/>
    <x v="2"/>
    <n v="0.09"/>
    <n v="2663.64"/>
    <n v="0.78123680878007595"/>
    <n v="9476"/>
    <n v="3.0285624183448214"/>
  </r>
  <r>
    <s v="COMMUNITY BANK OF EASTON"/>
    <s v="Easton"/>
    <x v="1"/>
    <n v="62633"/>
    <d v="2021-09-30T00:00:00"/>
    <x v="2"/>
    <n v="4"/>
    <n v="39706"/>
    <n v="11404"/>
    <n v="39706"/>
    <n v="30675"/>
    <n v="30658"/>
    <x v="2"/>
    <n v="0.09"/>
    <n v="2759.22"/>
    <n v="0.77255326650883993"/>
    <n v="9926.5"/>
    <n v="4.1330520944324851"/>
  </r>
  <r>
    <s v="COMMUNITY BANK OF ELMHURST"/>
    <s v="Elmhurst"/>
    <x v="1"/>
    <n v="60126"/>
    <d v="2019-09-30T00:00:00"/>
    <x v="0"/>
    <n v="25"/>
    <n v="145795"/>
    <n v="5707"/>
    <n v="145795"/>
    <n v="130045"/>
    <n v="129926"/>
    <x v="0"/>
    <n v="0.08"/>
    <n v="10394.08"/>
    <n v="0.89197160396447062"/>
    <n v="5831.8"/>
    <n v="0.54906254329387494"/>
  </r>
  <r>
    <s v="COMMUNITY BANK OF ELMHURST"/>
    <s v="Elmhurst"/>
    <x v="1"/>
    <n v="60126"/>
    <d v="2020-09-30T00:00:00"/>
    <x v="1"/>
    <n v="28"/>
    <n v="175924"/>
    <n v="16129"/>
    <n v="175924"/>
    <n v="158463"/>
    <n v="158306"/>
    <x v="0"/>
    <n v="0.08"/>
    <n v="12664.48"/>
    <n v="0.90074691343989455"/>
    <n v="6283"/>
    <n v="1.2735619622755929"/>
  </r>
  <r>
    <s v="COMMUNITY BANK OF ELMHURST"/>
    <s v="Elmhurst"/>
    <x v="1"/>
    <n v="60126"/>
    <d v="2021-09-30T00:00:00"/>
    <x v="2"/>
    <n v="29"/>
    <n v="188791"/>
    <n v="5047"/>
    <n v="188791"/>
    <n v="172108"/>
    <n v="171930"/>
    <x v="0"/>
    <n v="0.08"/>
    <n v="13754.4"/>
    <n v="0.91163244010572542"/>
    <n v="6510.0344827586205"/>
    <n v="0.36693712557436164"/>
  </r>
  <r>
    <s v="COMMUNITY BANK OF SANTA MARIA"/>
    <s v="Santa Maria"/>
    <x v="0"/>
    <n v="93455"/>
    <d v="2019-09-30T00:00:00"/>
    <x v="0"/>
    <n v="51"/>
    <n v="263881"/>
    <n v="17738"/>
    <n v="263881"/>
    <n v="235003"/>
    <n v="233525"/>
    <x v="0"/>
    <n v="0.09"/>
    <n v="21017.25"/>
    <n v="0.8905643073961369"/>
    <n v="5174.1372549019607"/>
    <n v="0.84397340280008093"/>
  </r>
  <r>
    <s v="COMMUNITY BANK OF SANTA MARIA"/>
    <s v="Santa Maria"/>
    <x v="0"/>
    <n v="93455"/>
    <d v="2020-09-30T00:00:00"/>
    <x v="1"/>
    <n v="60"/>
    <n v="327457"/>
    <n v="24024"/>
    <n v="327457"/>
    <n v="298299"/>
    <n v="296783"/>
    <x v="0"/>
    <n v="0.09"/>
    <n v="26710.469999999998"/>
    <n v="0.91095624769053651"/>
    <n v="5457.6166666666668"/>
    <n v="0.89942258597471336"/>
  </r>
  <r>
    <s v="COMMUNITY BANK OF SANTA MARIA"/>
    <s v="Santa Maria"/>
    <x v="0"/>
    <n v="93455"/>
    <d v="2021-09-30T00:00:00"/>
    <x v="2"/>
    <n v="59"/>
    <n v="402097"/>
    <n v="68357"/>
    <n v="402097"/>
    <n v="370923"/>
    <n v="367847"/>
    <x v="0"/>
    <n v="0.09"/>
    <n v="33106.229999999996"/>
    <n v="0.92247144345767318"/>
    <n v="6815.2033898305081"/>
    <n v="2.0647775358293594"/>
  </r>
  <r>
    <s v="COMMUNITY BANK OF THE BAY"/>
    <s v="Oakland"/>
    <x v="0"/>
    <n v="94612"/>
    <d v="2019-09-30T00:00:00"/>
    <x v="0"/>
    <n v="50"/>
    <n v="491389"/>
    <n v="70018"/>
    <n v="491389"/>
    <n v="436561"/>
    <n v="400746"/>
    <x v="0"/>
    <n v="0.09"/>
    <n v="36067.14"/>
    <n v="0.8884224107580756"/>
    <n v="9827.7800000000007"/>
    <n v="1.9413238754167921"/>
  </r>
  <r>
    <s v="COMMUNITY BANK OF THE BAY"/>
    <s v="Oakland"/>
    <x v="0"/>
    <n v="94612"/>
    <d v="2020-09-30T00:00:00"/>
    <x v="1"/>
    <n v="55"/>
    <n v="636346"/>
    <n v="113811"/>
    <n v="636346"/>
    <n v="576309"/>
    <n v="530610"/>
    <x v="0"/>
    <n v="0.09"/>
    <n v="47754.9"/>
    <n v="0.90565352811206479"/>
    <n v="11569.927272727273"/>
    <n v="2.3832318777758932"/>
  </r>
  <r>
    <s v="COMMUNITY BANK OF THE BAY"/>
    <s v="Oakland"/>
    <x v="0"/>
    <n v="94612"/>
    <d v="2021-09-30T00:00:00"/>
    <x v="2"/>
    <n v="63"/>
    <n v="749914"/>
    <n v="155969"/>
    <n v="749914"/>
    <n v="683350"/>
    <n v="654863"/>
    <x v="0"/>
    <n v="0.09"/>
    <n v="58937.67"/>
    <n v="0.91123782193691538"/>
    <n v="11903.396825396825"/>
    <n v="2.6463380720683394"/>
  </r>
  <r>
    <s v="COMMUNITY BANK OF TRENTON"/>
    <s v="Trenton"/>
    <x v="1"/>
    <n v="62293"/>
    <d v="2019-09-30T00:00:00"/>
    <x v="0"/>
    <n v="16"/>
    <n v="84534"/>
    <n v="6710"/>
    <n v="84535"/>
    <n v="74607"/>
    <n v="68454"/>
    <x v="2"/>
    <n v="0.09"/>
    <n v="6160.86"/>
    <n v="0.88256796082049827"/>
    <n v="5283.375"/>
    <n v="1.0891336599111163"/>
  </r>
  <r>
    <s v="COMMUNITY BANK OF TRENTON"/>
    <s v="Trenton"/>
    <x v="1"/>
    <n v="62293"/>
    <d v="2020-09-30T00:00:00"/>
    <x v="1"/>
    <n v="17"/>
    <n v="96804"/>
    <n v="8718"/>
    <n v="96804"/>
    <n v="86235"/>
    <n v="76222"/>
    <x v="2"/>
    <n v="0.09"/>
    <n v="6859.98"/>
    <n v="0.89082062724680799"/>
    <n v="5694.3529411764703"/>
    <n v="1.2708491861492308"/>
  </r>
  <r>
    <s v="COMMUNITY BANK OF TRENTON"/>
    <s v="Trenton"/>
    <x v="1"/>
    <n v="62293"/>
    <d v="2021-09-30T00:00:00"/>
    <x v="2"/>
    <n v="16"/>
    <n v="98407"/>
    <n v="5762"/>
    <n v="98407"/>
    <n v="87299"/>
    <n v="82424"/>
    <x v="2"/>
    <n v="0.09"/>
    <n v="7418.16"/>
    <n v="0.88712185108782915"/>
    <n v="6150.4375"/>
    <n v="0.77674248061513906"/>
  </r>
  <r>
    <s v="COMMUNITY BANK, NATIONAL ASSOCIATION"/>
    <s v="Canton"/>
    <x v="2"/>
    <n v="13617"/>
    <d v="2019-09-30T00:00:00"/>
    <x v="0"/>
    <n v="2229"/>
    <n v="11391467"/>
    <n v="1008346"/>
    <n v="11391467"/>
    <n v="9824413"/>
    <n v="9389787"/>
    <x v="1"/>
    <n v="0.08"/>
    <n v="751182.96"/>
    <n v="0.86243615506238136"/>
    <n v="5110.5729026469271"/>
    <n v="1.3423440808614722"/>
  </r>
  <r>
    <s v="COMMUNITY BANK, NATIONAL ASSOCIATION"/>
    <s v="Canton"/>
    <x v="2"/>
    <n v="13617"/>
    <d v="2020-09-30T00:00:00"/>
    <x v="1"/>
    <n v="2304"/>
    <n v="13647935"/>
    <n v="1830832"/>
    <n v="13647935"/>
    <n v="11872597"/>
    <n v="11398660"/>
    <x v="1"/>
    <n v="0.08"/>
    <n v="911892.8"/>
    <n v="0.86991892912737345"/>
    <n v="5923.5828993055557"/>
    <n v="2.0077272240772159"/>
  </r>
  <r>
    <s v="COMMUNITY BANK, NATIONAL ASSOCIATION"/>
    <s v="Canton"/>
    <x v="2"/>
    <n v="13617"/>
    <d v="2021-09-30T00:00:00"/>
    <x v="2"/>
    <n v="2186"/>
    <n v="15096387"/>
    <n v="2314056"/>
    <n v="15096387"/>
    <n v="13438366"/>
    <n v="12972272"/>
    <x v="1"/>
    <n v="0.08"/>
    <n v="1037781.76"/>
    <n v="0.89017100581748465"/>
    <n v="6905.9409881061301"/>
    <n v="2.2298098590593844"/>
  </r>
  <r>
    <s v="COMMUNITY BANKS OF SHELBY COUNTY"/>
    <s v="Cowden"/>
    <x v="1"/>
    <n v="62422"/>
    <d v="2019-09-30T00:00:00"/>
    <x v="0"/>
    <n v="20"/>
    <n v="46437"/>
    <n v="11037"/>
    <n v="46437"/>
    <n v="40873"/>
    <n v="40806"/>
    <x v="2"/>
    <n v="0.09"/>
    <n v="3672.54"/>
    <n v="0.88018175162047507"/>
    <n v="2321.85"/>
    <n v="3.0052770017481092"/>
  </r>
  <r>
    <s v="COMMUNITY BANKS OF SHELBY COUNTY"/>
    <s v="Cowden"/>
    <x v="1"/>
    <n v="62422"/>
    <d v="2020-09-30T00:00:00"/>
    <x v="1"/>
    <n v="20"/>
    <n v="52319"/>
    <n v="10937"/>
    <n v="52320"/>
    <n v="46647"/>
    <n v="46594"/>
    <x v="2"/>
    <n v="0.09"/>
    <n v="4193.46"/>
    <n v="0.89158814197519065"/>
    <n v="2615.9499999999998"/>
    <n v="2.6081088170627598"/>
  </r>
  <r>
    <s v="COMMUNITY BANKS OF SHELBY COUNTY"/>
    <s v="Cowden"/>
    <x v="1"/>
    <n v="62422"/>
    <d v="2021-09-30T00:00:00"/>
    <x v="2"/>
    <n v="20"/>
    <n v="59305"/>
    <n v="12987"/>
    <n v="59305"/>
    <n v="53724"/>
    <n v="53672"/>
    <x v="2"/>
    <n v="0.09"/>
    <n v="4830.4799999999996"/>
    <n v="0.90589326363713008"/>
    <n v="2965.25"/>
    <n v="2.6885526904158596"/>
  </r>
  <r>
    <s v="COMMUNITY COMMERCE BANK"/>
    <s v="Claremont"/>
    <x v="0"/>
    <n v="91711"/>
    <d v="2019-09-30T00:00:00"/>
    <x v="0"/>
    <n v="38"/>
    <n v="276756"/>
    <n v="48613"/>
    <n v="276756"/>
    <n v="223621"/>
    <n v="183099"/>
    <x v="0"/>
    <n v="0.09"/>
    <n v="16478.91"/>
    <n v="0.80800777580251193"/>
    <n v="7283.0526315789475"/>
    <n v="2.950013077321255"/>
  </r>
  <r>
    <s v="COMMUNITY COMMERCE BANK"/>
    <s v="Claremont"/>
    <x v="0"/>
    <n v="91711"/>
    <d v="2020-09-30T00:00:00"/>
    <x v="1"/>
    <n v="45"/>
    <n v="338351"/>
    <n v="45535"/>
    <n v="338351"/>
    <n v="284593"/>
    <n v="203517"/>
    <x v="0"/>
    <n v="0.09"/>
    <n v="18316.53"/>
    <n v="0.84111765592535559"/>
    <n v="7518.9111111111115"/>
    <n v="2.48600581005245"/>
  </r>
  <r>
    <s v="COMMUNITY COMMERCE BANK"/>
    <s v="Claremont"/>
    <x v="0"/>
    <n v="91711"/>
    <d v="2021-09-30T00:00:00"/>
    <x v="2"/>
    <n v="48"/>
    <n v="324319"/>
    <n v="48633"/>
    <n v="324319"/>
    <n v="268372"/>
    <n v="231977"/>
    <x v="0"/>
    <n v="0.09"/>
    <n v="20877.93"/>
    <n v="0.82749391802515426"/>
    <n v="6756.645833333333"/>
    <n v="2.3293975983251212"/>
  </r>
  <r>
    <s v="COMMUNITY FEDERAL SAVINGS BANK"/>
    <s v="Woodhaven"/>
    <x v="2"/>
    <n v="11421"/>
    <d v="2019-09-30T00:00:00"/>
    <x v="0"/>
    <n v="56"/>
    <n v="175640"/>
    <n v="36239"/>
    <n v="175640"/>
    <n v="159447"/>
    <n v="158126"/>
    <x v="0"/>
    <n v="8.5000000000000006E-2"/>
    <n v="13440.710000000001"/>
    <n v="0.90780573901161465"/>
    <n v="3136.4285714285716"/>
    <n v="2.6962117328623263"/>
  </r>
  <r>
    <s v="COMMUNITY FEDERAL SAVINGS BANK"/>
    <s v="Woodhaven"/>
    <x v="2"/>
    <n v="11421"/>
    <d v="2020-09-30T00:00:00"/>
    <x v="1"/>
    <n v="68"/>
    <n v="380731"/>
    <n v="107727"/>
    <n v="380731"/>
    <n v="354372"/>
    <n v="212573"/>
    <x v="0"/>
    <n v="8.5000000000000006E-2"/>
    <n v="18068.705000000002"/>
    <n v="0.93076739220079263"/>
    <n v="5598.9852941176468"/>
    <n v="5.9620764188689774"/>
  </r>
  <r>
    <s v="COMMUNITY FEDERAL SAVINGS BANK"/>
    <s v="Woodhaven"/>
    <x v="2"/>
    <n v="11421"/>
    <d v="2021-09-30T00:00:00"/>
    <x v="2"/>
    <n v="81"/>
    <n v="624676"/>
    <n v="246866"/>
    <n v="624676"/>
    <n v="588649"/>
    <n v="312995"/>
    <x v="0"/>
    <n v="8.5000000000000006E-2"/>
    <n v="26604.575000000001"/>
    <n v="0.9423269022661348"/>
    <n v="7712.049382716049"/>
    <n v="9.2790807596061953"/>
  </r>
  <r>
    <s v="COMMUNITY FIRST BANK OF THE HEARTLAND"/>
    <s v="Mount Vernon"/>
    <x v="1"/>
    <n v="62864"/>
    <d v="2019-09-30T00:00:00"/>
    <x v="0"/>
    <n v="46"/>
    <n v="203408"/>
    <n v="9791"/>
    <n v="203408"/>
    <n v="183788"/>
    <n v="181728"/>
    <x v="0"/>
    <n v="0.08"/>
    <n v="14538.24"/>
    <n v="0.9035436167702352"/>
    <n v="4421.913043478261"/>
    <n v="0.67346528878323653"/>
  </r>
  <r>
    <s v="COMMUNITY FIRST BANK OF THE HEARTLAND"/>
    <s v="Mount Vernon"/>
    <x v="1"/>
    <n v="62864"/>
    <d v="2020-09-30T00:00:00"/>
    <x v="1"/>
    <n v="44"/>
    <n v="251314"/>
    <n v="9374"/>
    <n v="251314"/>
    <n v="227798"/>
    <n v="217421"/>
    <x v="0"/>
    <n v="0.08"/>
    <n v="17393.68"/>
    <n v="0.90642781540224582"/>
    <n v="5711.681818181818"/>
    <n v="0.53893138197322243"/>
  </r>
  <r>
    <s v="COMMUNITY FIRST BANK OF THE HEARTLAND"/>
    <s v="Mount Vernon"/>
    <x v="1"/>
    <n v="62864"/>
    <d v="2021-09-30T00:00:00"/>
    <x v="2"/>
    <n v="43"/>
    <n v="242649"/>
    <n v="37967"/>
    <n v="242649"/>
    <n v="216753"/>
    <n v="207229"/>
    <x v="0"/>
    <n v="0.08"/>
    <n v="16578.32"/>
    <n v="0.89327794468553345"/>
    <n v="5643"/>
    <n v="2.2901596784233869"/>
  </r>
  <r>
    <s v="COMMUNITY NATIONAL BANK IN MONMOUTH"/>
    <s v="Monmouth"/>
    <x v="1"/>
    <n v="61462"/>
    <d v="2019-09-30T00:00:00"/>
    <x v="0"/>
    <n v="13"/>
    <n v="40966"/>
    <n v="7101"/>
    <n v="40966"/>
    <n v="34924"/>
    <n v="34455"/>
    <x v="2"/>
    <n v="0.09"/>
    <n v="3100.95"/>
    <n v="0.85251183908607142"/>
    <n v="3151.2307692307691"/>
    <n v="2.2899434044405749"/>
  </r>
  <r>
    <s v="COMMUNITY NATIONAL BANK IN MONMOUTH"/>
    <s v="Monmouth"/>
    <x v="1"/>
    <n v="61462"/>
    <d v="2020-09-30T00:00:00"/>
    <x v="1"/>
    <n v="12"/>
    <n v="44160"/>
    <n v="9938"/>
    <n v="44160"/>
    <n v="37853"/>
    <n v="37203"/>
    <x v="2"/>
    <n v="0.09"/>
    <n v="3348.27"/>
    <n v="0.85717844202898552"/>
    <n v="3680"/>
    <n v="2.9680999441502629"/>
  </r>
  <r>
    <s v="COMMUNITY NATIONAL BANK IN MONMOUTH"/>
    <s v="Monmouth"/>
    <x v="1"/>
    <n v="61462"/>
    <d v="2021-09-30T00:00:00"/>
    <x v="2"/>
    <n v="10"/>
    <n v="49543"/>
    <n v="10617"/>
    <n v="49543"/>
    <n v="43045"/>
    <n v="42481"/>
    <x v="2"/>
    <n v="0.09"/>
    <n v="3823.29"/>
    <n v="0.86884120864703385"/>
    <n v="4954.3"/>
    <n v="2.7769277245513679"/>
  </r>
  <r>
    <s v="COMMUNITY PARTNERS SAVINGS BANK"/>
    <s v="Salem"/>
    <x v="1"/>
    <n v="62881"/>
    <d v="2019-09-30T00:00:00"/>
    <x v="0"/>
    <n v="50"/>
    <n v="202847"/>
    <n v="25915"/>
    <n v="202847"/>
    <n v="179111"/>
    <n v="167796"/>
    <x v="0"/>
    <n v="0.08"/>
    <n v="13423.68"/>
    <n v="0.88298569858070364"/>
    <n v="4056.94"/>
    <n v="1.9305436363202937"/>
  </r>
  <r>
    <s v="COMMUNITY PARTNERS SAVINGS BANK"/>
    <s v="Salem"/>
    <x v="1"/>
    <n v="62881"/>
    <d v="2020-09-30T00:00:00"/>
    <x v="1"/>
    <n v="53"/>
    <n v="223649"/>
    <n v="20563"/>
    <n v="223649"/>
    <n v="198101"/>
    <n v="178724"/>
    <x v="0"/>
    <n v="0.08"/>
    <n v="14297.92"/>
    <n v="0.88576743021430904"/>
    <n v="4219.7924528301883"/>
    <n v="1.4381812179673688"/>
  </r>
  <r>
    <s v="COMMUNITY PARTNERS SAVINGS BANK"/>
    <s v="Salem"/>
    <x v="1"/>
    <n v="62881"/>
    <d v="2021-09-30T00:00:00"/>
    <x v="2"/>
    <n v="51"/>
    <n v="234496"/>
    <n v="22070"/>
    <n v="234496"/>
    <n v="208361"/>
    <n v="189983"/>
    <x v="0"/>
    <n v="0.08"/>
    <n v="15198.64"/>
    <n v="0.88854820551310043"/>
    <n v="4597.9607843137255"/>
    <n v="1.4521036092703032"/>
  </r>
  <r>
    <s v="COMMUNITY SAVINGS BANK"/>
    <s v="Chicago"/>
    <x v="1"/>
    <n v="60641"/>
    <d v="2019-09-30T00:00:00"/>
    <x v="0"/>
    <n v="62"/>
    <n v="396440"/>
    <n v="20495"/>
    <n v="396440"/>
    <n v="331009"/>
    <n v="329111"/>
    <x v="0"/>
    <n v="0.08"/>
    <n v="26328.880000000001"/>
    <n v="0.83495358692362021"/>
    <n v="6394.1935483870966"/>
    <n v="0.77842278137163445"/>
  </r>
  <r>
    <s v="COMMUNITY SAVINGS BANK"/>
    <s v="Chicago"/>
    <x v="1"/>
    <n v="60641"/>
    <d v="2020-09-30T00:00:00"/>
    <x v="1"/>
    <n v="60"/>
    <n v="425591"/>
    <n v="31318"/>
    <n v="425591"/>
    <n v="358794"/>
    <n v="352524"/>
    <x v="0"/>
    <n v="0.08"/>
    <n v="28201.920000000002"/>
    <n v="0.84304884266819557"/>
    <n v="7093.1833333333334"/>
    <n v="1.1104917679363673"/>
  </r>
  <r>
    <s v="COMMUNITY SAVINGS BANK"/>
    <s v="Chicago"/>
    <x v="1"/>
    <n v="60641"/>
    <d v="2021-09-30T00:00:00"/>
    <x v="2"/>
    <n v="60"/>
    <n v="448396"/>
    <n v="19557"/>
    <n v="448396"/>
    <n v="383964"/>
    <n v="377387"/>
    <x v="0"/>
    <n v="0.08"/>
    <n v="30190.959999999999"/>
    <n v="0.85630558702575399"/>
    <n v="7473.2666666666664"/>
    <n v="0.64777668547141265"/>
  </r>
  <r>
    <s v="COMMUNITY STATE BANK"/>
    <s v="Galva"/>
    <x v="1"/>
    <n v="61434"/>
    <d v="2019-09-30T00:00:00"/>
    <x v="0"/>
    <n v="46"/>
    <n v="237261"/>
    <n v="6652"/>
    <n v="237261"/>
    <n v="211352"/>
    <n v="210369"/>
    <x v="0"/>
    <n v="0.08"/>
    <n v="16829.52"/>
    <n v="0.8907995835809509"/>
    <n v="5157.847826086957"/>
    <n v="0.3952578564332197"/>
  </r>
  <r>
    <s v="COMMUNITY STATE BANK"/>
    <s v="Galva"/>
    <x v="1"/>
    <n v="61434"/>
    <d v="2020-09-30T00:00:00"/>
    <x v="1"/>
    <n v="44"/>
    <n v="260736"/>
    <n v="10597"/>
    <n v="260736"/>
    <n v="234222"/>
    <n v="215194"/>
    <x v="0"/>
    <n v="0.08"/>
    <n v="17215.52"/>
    <n v="0.89831093519882177"/>
    <n v="5925.818181818182"/>
    <n v="0.61554922535014911"/>
  </r>
  <r>
    <s v="COMMUNITY STATE BANK"/>
    <s v="Galva"/>
    <x v="1"/>
    <n v="61434"/>
    <d v="2021-09-30T00:00:00"/>
    <x v="2"/>
    <n v="46"/>
    <n v="264728"/>
    <n v="18267"/>
    <n v="264728"/>
    <n v="237006"/>
    <n v="231086"/>
    <x v="0"/>
    <n v="0.08"/>
    <n v="18486.88"/>
    <n v="0.89528119428243325"/>
    <n v="5754.95652173913"/>
    <n v="0.98810615961157311"/>
  </r>
  <r>
    <s v="COMMUNITY STATE BANK OF ROCK FALLS"/>
    <s v="Rock Falls"/>
    <x v="1"/>
    <n v="61071"/>
    <d v="2019-09-30T00:00:00"/>
    <x v="0"/>
    <n v="55"/>
    <n v="263471"/>
    <n v="22859"/>
    <n v="263471"/>
    <n v="235182"/>
    <n v="233778"/>
    <x v="0"/>
    <n v="0.08"/>
    <n v="18702.240000000002"/>
    <n v="0.89262954936216887"/>
    <n v="4790.3818181818178"/>
    <n v="1.2222600073574073"/>
  </r>
  <r>
    <s v="COMMUNITY STATE BANK OF ROCK FALLS"/>
    <s v="Rock Falls"/>
    <x v="1"/>
    <n v="61071"/>
    <d v="2020-09-30T00:00:00"/>
    <x v="1"/>
    <n v="55"/>
    <n v="303272"/>
    <n v="51147"/>
    <n v="303272"/>
    <n v="272603"/>
    <n v="270737"/>
    <x v="0"/>
    <n v="0.08"/>
    <n v="21658.959999999999"/>
    <n v="0.89887295892795904"/>
    <n v="5514.0363636363636"/>
    <n v="2.3614707262029202"/>
  </r>
  <r>
    <s v="COMMUNITY STATE BANK OF ROCK FALLS"/>
    <s v="Rock Falls"/>
    <x v="1"/>
    <n v="61071"/>
    <d v="2021-09-30T00:00:00"/>
    <x v="2"/>
    <n v="44"/>
    <n v="328942"/>
    <n v="33896"/>
    <n v="328942"/>
    <n v="296806"/>
    <n v="295194"/>
    <x v="0"/>
    <n v="0.08"/>
    <n v="23615.52"/>
    <n v="0.90230496561703888"/>
    <n v="7475.954545454545"/>
    <n v="1.4353272762996538"/>
  </r>
  <r>
    <s v="COMMUNITY TRUST BANK"/>
    <s v="Irvington"/>
    <x v="1"/>
    <n v="62848"/>
    <d v="2019-09-30T00:00:00"/>
    <x v="0"/>
    <n v="23"/>
    <n v="78175"/>
    <n v="12888"/>
    <n v="78175"/>
    <n v="66592"/>
    <n v="65834"/>
    <x v="2"/>
    <n v="0.09"/>
    <n v="5925.0599999999995"/>
    <n v="0.85183242724656216"/>
    <n v="3398.913043478261"/>
    <n v="2.1751678464015556"/>
  </r>
  <r>
    <s v="COMMUNITY TRUST BANK"/>
    <s v="Irvington"/>
    <x v="1"/>
    <n v="62848"/>
    <d v="2020-09-30T00:00:00"/>
    <x v="1"/>
    <n v="22"/>
    <n v="86927"/>
    <n v="8927"/>
    <n v="86927"/>
    <n v="74477"/>
    <n v="70503"/>
    <x v="2"/>
    <n v="0.09"/>
    <n v="6345.2699999999995"/>
    <n v="0.85677637557950925"/>
    <n v="3951.2272727272725"/>
    <n v="1.4068747271589706"/>
  </r>
  <r>
    <s v="COMMUNITY TRUST BANK"/>
    <s v="Irvington"/>
    <x v="1"/>
    <n v="62848"/>
    <d v="2021-09-30T00:00:00"/>
    <x v="2"/>
    <n v="19"/>
    <n v="97071"/>
    <n v="17472"/>
    <n v="97071"/>
    <n v="84316"/>
    <n v="83512"/>
    <x v="2"/>
    <n v="0.09"/>
    <n v="7516.08"/>
    <n v="0.86860133304488463"/>
    <n v="5109"/>
    <n v="2.3246160232461603"/>
  </r>
  <r>
    <s v="COMMUNITY VALLEY BANK"/>
    <s v="El Centro"/>
    <x v="0"/>
    <n v="92244"/>
    <d v="2019-09-30T00:00:00"/>
    <x v="0"/>
    <n v="41"/>
    <n v="189590"/>
    <n v="24316"/>
    <n v="189590"/>
    <n v="166862"/>
    <n v="159180"/>
    <x v="0"/>
    <n v="0.09"/>
    <n v="14326.199999999999"/>
    <n v="0.88012025950735795"/>
    <n v="4624.1463414634145"/>
    <n v="1.6973098239589006"/>
  </r>
  <r>
    <s v="COMMUNITY VALLEY BANK"/>
    <s v="El Centro"/>
    <x v="0"/>
    <n v="92244"/>
    <d v="2020-09-30T00:00:00"/>
    <x v="1"/>
    <n v="39"/>
    <n v="251789"/>
    <n v="33093"/>
    <n v="251789"/>
    <n v="226856"/>
    <n v="205540"/>
    <x v="0"/>
    <n v="0.09"/>
    <n v="18498.599999999999"/>
    <n v="0.90097661136904317"/>
    <n v="6456.1282051282051"/>
    <n v="1.7889461905225261"/>
  </r>
  <r>
    <s v="COMMUNITY VALLEY BANK"/>
    <s v="El Centro"/>
    <x v="0"/>
    <n v="92244"/>
    <d v="2021-09-30T00:00:00"/>
    <x v="2"/>
    <n v="41"/>
    <n v="270619"/>
    <n v="53064"/>
    <n v="270619"/>
    <n v="241316"/>
    <n v="233836"/>
    <x v="0"/>
    <n v="0.09"/>
    <n v="21045.239999999998"/>
    <n v="0.8917186154704585"/>
    <n v="6600.4634146341459"/>
    <n v="2.5214252724131443"/>
  </r>
  <r>
    <s v="COMMUNITY WEST BANK, NATIONAL ASSOCIATION"/>
    <s v="Goleta"/>
    <x v="0"/>
    <n v="93117"/>
    <d v="2019-09-30T00:00:00"/>
    <x v="0"/>
    <n v="128"/>
    <n v="903080"/>
    <n v="56341"/>
    <n v="903080"/>
    <n v="824261"/>
    <n v="762411"/>
    <x v="0"/>
    <n v="0.09"/>
    <n v="68616.989999999991"/>
    <n v="0.91272201798290298"/>
    <n v="7055.3125"/>
    <n v="0.82109401767696322"/>
  </r>
  <r>
    <s v="COMMUNITY WEST BANK, NATIONAL ASSOCIATION"/>
    <s v="Goleta"/>
    <x v="0"/>
    <n v="93117"/>
    <d v="2020-09-30T00:00:00"/>
    <x v="1"/>
    <n v="127"/>
    <n v="1041943"/>
    <n v="129562"/>
    <n v="1041943"/>
    <n v="955460"/>
    <n v="759464"/>
    <x v="1"/>
    <n v="0.08"/>
    <n v="60757.120000000003"/>
    <n v="0.91699833868071479"/>
    <n v="8204.2755905511804"/>
    <n v="2.1324578913549557"/>
  </r>
  <r>
    <s v="COMMUNITY WEST BANK, NATIONAL ASSOCIATION"/>
    <s v="Goleta"/>
    <x v="0"/>
    <n v="93117"/>
    <d v="2021-09-30T00:00:00"/>
    <x v="2"/>
    <n v="117"/>
    <n v="1135454"/>
    <n v="186933"/>
    <n v="1135454"/>
    <n v="1037381"/>
    <n v="932392"/>
    <x v="1"/>
    <n v="0.08"/>
    <n v="74591.360000000001"/>
    <n v="0.91362661983664684"/>
    <n v="9704.735042735043"/>
    <n v="2.5060945396356895"/>
  </r>
  <r>
    <s v="CORNERSTONE BANK"/>
    <s v="Spencer"/>
    <x v="3"/>
    <n v="1562"/>
    <d v="2019-09-30T00:00:00"/>
    <x v="0"/>
    <n v="168"/>
    <n v="1149873"/>
    <n v="20952"/>
    <n v="1149873"/>
    <n v="1031315"/>
    <n v="889611"/>
    <x v="1"/>
    <n v="0.08"/>
    <n v="71168.88"/>
    <n v="0.8968947005451906"/>
    <n v="6844.4821428571431"/>
    <n v="0.29439833815004535"/>
  </r>
  <r>
    <s v="CORNERSTONE BANK"/>
    <s v="Spencer"/>
    <x v="3"/>
    <n v="1562"/>
    <d v="2020-09-30T00:00:00"/>
    <x v="1"/>
    <n v="167"/>
    <n v="1323911"/>
    <n v="41138"/>
    <n v="1323911"/>
    <n v="1208328"/>
    <n v="1069123"/>
    <x v="1"/>
    <n v="0.08"/>
    <n v="85529.84"/>
    <n v="0.91269579299514847"/>
    <n v="7927.6107784431142"/>
    <n v="0.48097833457890254"/>
  </r>
  <r>
    <s v="CORNERSTONE BANK"/>
    <s v="Spencer"/>
    <x v="3"/>
    <n v="1562"/>
    <d v="2021-09-30T00:00:00"/>
    <x v="2"/>
    <n v="168"/>
    <n v="1420128"/>
    <n v="108636"/>
    <n v="1420128"/>
    <n v="1298530"/>
    <n v="1172490"/>
    <x v="1"/>
    <n v="0.08"/>
    <n v="93799.2"/>
    <n v="0.91437532391446408"/>
    <n v="8453.1428571428569"/>
    <n v="1.1581761891359414"/>
  </r>
  <r>
    <s v="CORNERSTONE COMMUNITY BANK"/>
    <s v="Red Bluff"/>
    <x v="0"/>
    <n v="96080"/>
    <d v="2019-09-30T00:00:00"/>
    <x v="0"/>
    <n v="39"/>
    <n v="304489"/>
    <n v="25051"/>
    <n v="304489"/>
    <n v="274897"/>
    <n v="270341"/>
    <x v="0"/>
    <n v="0.09"/>
    <n v="24330.69"/>
    <n v="0.9028142231739078"/>
    <n v="7807.4102564102568"/>
    <n v="1.0296049968167775"/>
  </r>
  <r>
    <s v="CORNERSTONE COMMUNITY BANK"/>
    <s v="Red Bluff"/>
    <x v="0"/>
    <n v="96080"/>
    <d v="2020-09-30T00:00:00"/>
    <x v="1"/>
    <n v="42"/>
    <n v="485281"/>
    <n v="67565"/>
    <n v="485281"/>
    <n v="451636"/>
    <n v="371635"/>
    <x v="0"/>
    <n v="0.09"/>
    <n v="33447.15"/>
    <n v="0.93066903505391718"/>
    <n v="11554.309523809523"/>
    <n v="2.0200525306341497"/>
  </r>
  <r>
    <s v="CORNERSTONE COMMUNITY BANK"/>
    <s v="Red Bluff"/>
    <x v="0"/>
    <n v="96080"/>
    <d v="2021-09-30T00:00:00"/>
    <x v="2"/>
    <n v="42"/>
    <n v="554521"/>
    <n v="29401"/>
    <n v="554521"/>
    <n v="507960"/>
    <n v="500794"/>
    <x v="0"/>
    <n v="0.09"/>
    <n v="45071.46"/>
    <n v="0.91603383821352125"/>
    <n v="13202.880952380952"/>
    <n v="0.65231967191655205"/>
  </r>
  <r>
    <s v="CORNERSTONE NATIONAL BANK &amp; TRUST COMPANY"/>
    <s v="Palatine"/>
    <x v="1"/>
    <n v="60067"/>
    <d v="2019-09-30T00:00:00"/>
    <x v="0"/>
    <n v="89"/>
    <n v="637318"/>
    <n v="85924"/>
    <n v="637318"/>
    <n v="583354"/>
    <n v="573242"/>
    <x v="0"/>
    <n v="0.08"/>
    <n v="45859.360000000001"/>
    <n v="0.9153264147568404"/>
    <n v="7160.8764044943819"/>
    <n v="1.8736414987038632"/>
  </r>
  <r>
    <s v="CORNERSTONE NATIONAL BANK &amp; TRUST COMPANY"/>
    <s v="Palatine"/>
    <x v="1"/>
    <n v="60067"/>
    <d v="2020-09-30T00:00:00"/>
    <x v="1"/>
    <n v="91"/>
    <n v="903675"/>
    <n v="126148"/>
    <n v="903674"/>
    <n v="829738"/>
    <n v="812086"/>
    <x v="0"/>
    <n v="0.08"/>
    <n v="64966.880000000005"/>
    <n v="0.91818186848147842"/>
    <n v="9930.4945054945056"/>
    <n v="1.9417278465581229"/>
  </r>
  <r>
    <s v="CORNERSTONE NATIONAL BANK &amp; TRUST COMPANY"/>
    <s v="Palatine"/>
    <x v="1"/>
    <n v="60067"/>
    <d v="2021-09-30T00:00:00"/>
    <x v="2"/>
    <n v="93"/>
    <n v="1001404"/>
    <n v="294822"/>
    <n v="1001404"/>
    <n v="917788"/>
    <n v="890451"/>
    <x v="1"/>
    <n v="7.4999999999999997E-2"/>
    <n v="66783.824999999997"/>
    <n v="0.91650123226989311"/>
    <n v="10767.784946236559"/>
    <n v="4.4145719416340707"/>
  </r>
  <r>
    <s v="COUNTRY BANK"/>
    <s v="New York"/>
    <x v="2"/>
    <n v="10017"/>
    <d v="2019-09-30T00:00:00"/>
    <x v="0"/>
    <n v="54"/>
    <n v="786321"/>
    <n v="18318"/>
    <n v="786321"/>
    <n v="697464"/>
    <n v="649109"/>
    <x v="0"/>
    <n v="8.5000000000000006E-2"/>
    <n v="55174.265000000007"/>
    <n v="0.88699653195069195"/>
    <n v="14561.5"/>
    <n v="0.33200261027491706"/>
  </r>
  <r>
    <s v="COUNTRY BANK FOR SAVINGS"/>
    <s v="Ware"/>
    <x v="3"/>
    <n v="1082"/>
    <d v="2019-09-30T00:00:00"/>
    <x v="0"/>
    <n v="223"/>
    <n v="1692907"/>
    <n v="55424"/>
    <n v="1692907"/>
    <n v="1446772"/>
    <n v="1187340"/>
    <x v="1"/>
    <n v="0.08"/>
    <n v="94987.199999999997"/>
    <n v="0.85460807947512774"/>
    <n v="7591.5112107623318"/>
    <n v="0.58348914380042782"/>
  </r>
  <r>
    <s v="COUNTRY BANK FOR SAVINGS"/>
    <s v="Ware"/>
    <x v="3"/>
    <n v="1082"/>
    <d v="2020-09-30T00:00:00"/>
    <x v="1"/>
    <n v="199"/>
    <n v="1736464"/>
    <n v="89131"/>
    <n v="1736464"/>
    <n v="1473762"/>
    <n v="1306479"/>
    <x v="1"/>
    <n v="0.08"/>
    <n v="104518.32"/>
    <n v="0.84871439891641864"/>
    <n v="8725.9497487437184"/>
    <n v="0.85277872816937728"/>
  </r>
  <r>
    <s v="COUNTRY BANK FOR SAVINGS"/>
    <s v="Ware"/>
    <x v="3"/>
    <n v="1082"/>
    <d v="2021-09-30T00:00:00"/>
    <x v="2"/>
    <n v="204"/>
    <n v="1753279"/>
    <n v="317290"/>
    <n v="1753279"/>
    <n v="1485618"/>
    <n v="1388288"/>
    <x v="1"/>
    <n v="0.08"/>
    <n v="111063.04000000001"/>
    <n v="0.84733690416642193"/>
    <n v="8594.504901960785"/>
    <n v="2.856845985847317"/>
  </r>
  <r>
    <s v="COUNTRY TRUST BANK"/>
    <s v="Bloomington"/>
    <x v="1"/>
    <n v="61701"/>
    <d v="2019-09-30T00:00:00"/>
    <x v="0"/>
    <n v="132"/>
    <n v="30878"/>
    <n v="3"/>
    <n v="30878"/>
    <n v="3755"/>
    <n v="665"/>
    <x v="2"/>
    <n v="0.09"/>
    <n v="59.849999999999994"/>
    <n v="0.12160761707364466"/>
    <n v="233.92424242424244"/>
    <n v="5.0125313283208024E-2"/>
  </r>
  <r>
    <s v="COUNTRY TRUST BANK"/>
    <s v="Bloomington"/>
    <x v="1"/>
    <n v="61701"/>
    <d v="2020-09-30T00:00:00"/>
    <x v="1"/>
    <n v="107"/>
    <n v="32590"/>
    <n v="559"/>
    <n v="32590"/>
    <n v="4231"/>
    <n v="670"/>
    <x v="2"/>
    <n v="0.09"/>
    <n v="60.3"/>
    <n v="0.12982509972384168"/>
    <n v="304.57943925233644"/>
    <n v="9.2703150912106143"/>
  </r>
  <r>
    <s v="COUNTRY TRUST BANK"/>
    <s v="Bloomington"/>
    <x v="1"/>
    <n v="61701"/>
    <d v="2021-09-30T00:00:00"/>
    <x v="2"/>
    <n v="96"/>
    <n v="32965"/>
    <n v="3"/>
    <n v="32965"/>
    <n v="4210"/>
    <n v="670"/>
    <x v="2"/>
    <n v="0.09"/>
    <n v="60.3"/>
    <n v="0.12771120885787957"/>
    <n v="343.38541666666669"/>
    <n v="4.975124378109453E-2"/>
  </r>
  <r>
    <s v="COUNTRYSIDE BANK"/>
    <s v="Countryside"/>
    <x v="1"/>
    <n v="60525"/>
    <d v="2019-09-30T00:00:00"/>
    <x v="0"/>
    <n v="97"/>
    <n v="590684"/>
    <n v="21704"/>
    <n v="590684"/>
    <n v="521168"/>
    <n v="513150"/>
    <x v="0"/>
    <n v="0.08"/>
    <n v="41052"/>
    <n v="0.8823127086564051"/>
    <n v="6089.5257731958764"/>
    <n v="0.52869531326122965"/>
  </r>
  <r>
    <s v="CROSS COUNTY SAVINGS BANK"/>
    <s v="Middle Village"/>
    <x v="2"/>
    <n v="11379"/>
    <d v="2019-09-30T00:00:00"/>
    <x v="0"/>
    <n v="79"/>
    <n v="452303"/>
    <n v="45839"/>
    <n v="452304"/>
    <n v="401644"/>
    <n v="380737"/>
    <x v="0"/>
    <n v="8.5000000000000006E-2"/>
    <n v="32362.645000000004"/>
    <n v="0.88799764759464339"/>
    <n v="5725.3544303797471"/>
    <n v="1.4164169832224776"/>
  </r>
  <r>
    <s v="CROSS COUNTY SAVINGS BANK"/>
    <s v="Middle Village"/>
    <x v="2"/>
    <n v="11379"/>
    <d v="2020-09-30T00:00:00"/>
    <x v="1"/>
    <n v="74"/>
    <n v="524675"/>
    <n v="92588"/>
    <n v="524675"/>
    <n v="472082"/>
    <n v="455244"/>
    <x v="0"/>
    <n v="8.5000000000000006E-2"/>
    <n v="38695.740000000005"/>
    <n v="0.89976080430742844"/>
    <n v="7090.2027027027025"/>
    <n v="2.3927181648419178"/>
  </r>
  <r>
    <s v="CROSS COUNTY SAVINGS BANK"/>
    <s v="Middle Village"/>
    <x v="2"/>
    <n v="11379"/>
    <d v="2021-09-30T00:00:00"/>
    <x v="2"/>
    <n v="79"/>
    <n v="571145"/>
    <n v="123993"/>
    <n v="571145"/>
    <n v="516724"/>
    <n v="504233"/>
    <x v="0"/>
    <n v="8.5000000000000006E-2"/>
    <n v="42859.805"/>
    <n v="0.90471596529777898"/>
    <n v="7229.6835443037971"/>
    <n v="2.8929902970860462"/>
  </r>
  <r>
    <s v="CROSSROADS BANK"/>
    <s v="Effingham"/>
    <x v="1"/>
    <n v="62401"/>
    <d v="2019-09-30T00:00:00"/>
    <x v="0"/>
    <n v="23"/>
    <n v="175642"/>
    <n v="14274"/>
    <n v="175642"/>
    <n v="150336"/>
    <n v="146109"/>
    <x v="0"/>
    <n v="0.08"/>
    <n v="11688.72"/>
    <n v="0.85592284305576116"/>
    <n v="7636.608695652174"/>
    <n v="1.2211773402049155"/>
  </r>
  <r>
    <s v="CROSSROADS BANK"/>
    <s v="Effingham"/>
    <x v="1"/>
    <n v="62401"/>
    <d v="2020-09-30T00:00:00"/>
    <x v="1"/>
    <n v="24"/>
    <n v="202799"/>
    <n v="9335"/>
    <n v="202798"/>
    <n v="174684"/>
    <n v="164767"/>
    <x v="0"/>
    <n v="0.08"/>
    <n v="13181.36"/>
    <n v="0.86136519410845225"/>
    <n v="8449.9583333333339"/>
    <n v="0.70819702974503385"/>
  </r>
  <r>
    <s v="CROSSROADS BANK"/>
    <s v="Effingham"/>
    <x v="1"/>
    <n v="62401"/>
    <d v="2021-09-30T00:00:00"/>
    <x v="2"/>
    <n v="28"/>
    <n v="212586"/>
    <n v="11647"/>
    <n v="212586"/>
    <n v="182557"/>
    <n v="174818"/>
    <x v="0"/>
    <n v="0.08"/>
    <n v="13985.44"/>
    <n v="0.85874422586623766"/>
    <n v="7592.3571428571431"/>
    <n v="0.83279467789358075"/>
  </r>
  <r>
    <s v="CRYSTAL LAKE BANK AND TRUST COMPANY, NATIONAL ASSOCIATION"/>
    <s v="Crystal Lake"/>
    <x v="1"/>
    <n v="60014"/>
    <d v="2019-09-30T00:00:00"/>
    <x v="0"/>
    <n v="59"/>
    <n v="1171070"/>
    <n v="39596"/>
    <n v="1171070"/>
    <n v="1055262"/>
    <n v="1019634"/>
    <x v="1"/>
    <n v="7.4999999999999997E-2"/>
    <n v="76472.55"/>
    <n v="0.90110924197528752"/>
    <n v="19848.644067796609"/>
    <n v="0.51778056309093912"/>
  </r>
  <r>
    <s v="CRYSTAL LAKE BANK AND TRUST COMPANY, NATIONAL ASSOCIATION"/>
    <s v="Crystal Lake"/>
    <x v="1"/>
    <n v="60014"/>
    <d v="2020-09-30T00:00:00"/>
    <x v="1"/>
    <n v="58"/>
    <n v="1287320"/>
    <n v="106108"/>
    <n v="1287320"/>
    <n v="1170415"/>
    <n v="1073587"/>
    <x v="1"/>
    <n v="7.4999999999999997E-2"/>
    <n v="80519.024999999994"/>
    <n v="0.90918730385607305"/>
    <n v="22195.172413793105"/>
    <n v="1.3178003583625113"/>
  </r>
  <r>
    <s v="CRYSTAL LAKE BANK AND TRUST COMPANY, NATIONAL ASSOCIATION"/>
    <s v="Crystal Lake"/>
    <x v="1"/>
    <n v="60014"/>
    <d v="2021-09-30T00:00:00"/>
    <x v="2"/>
    <n v="59"/>
    <n v="1334012"/>
    <n v="91272"/>
    <n v="1334012"/>
    <n v="1205249"/>
    <n v="1112521"/>
    <x v="1"/>
    <n v="7.4999999999999997E-2"/>
    <n v="83439.074999999997"/>
    <n v="0.90347688026794359"/>
    <n v="22610.372881355932"/>
    <n v="1.0938759807680034"/>
  </r>
  <r>
    <s v="CTBC BANK CORP. (USA)"/>
    <s v="Los Angeles"/>
    <x v="0"/>
    <n v="90017"/>
    <d v="2019-09-30T00:00:00"/>
    <x v="0"/>
    <n v="335"/>
    <n v="3563017"/>
    <n v="170476"/>
    <n v="3563017"/>
    <n v="3045105"/>
    <n v="3007490"/>
    <x v="1"/>
    <n v="0.08"/>
    <n v="240599.2"/>
    <n v="0.85464228770168649"/>
    <n v="10635.871641791045"/>
    <n v="0.70854765934383823"/>
  </r>
  <r>
    <s v="CTBC BANK CORP. (USA)"/>
    <s v="Los Angeles"/>
    <x v="0"/>
    <n v="90017"/>
    <d v="2020-09-30T00:00:00"/>
    <x v="1"/>
    <n v="334"/>
    <n v="4181256"/>
    <n v="680568"/>
    <n v="4181256"/>
    <n v="3634986"/>
    <n v="3495850"/>
    <x v="1"/>
    <n v="0.08"/>
    <n v="279668"/>
    <n v="0.8693526538437254"/>
    <n v="12518.730538922156"/>
    <n v="2.4334854184247035"/>
  </r>
  <r>
    <s v="CTBC BANK CORP. (USA)"/>
    <s v="Los Angeles"/>
    <x v="0"/>
    <n v="90017"/>
    <d v="2021-09-30T00:00:00"/>
    <x v="2"/>
    <n v="345"/>
    <n v="4193834"/>
    <n v="469385"/>
    <n v="4193834"/>
    <n v="3602663"/>
    <n v="3566997"/>
    <x v="1"/>
    <n v="0.08"/>
    <n v="285359.76"/>
    <n v="0.85903805443896919"/>
    <n v="12156.040579710145"/>
    <n v="1.6448885435003169"/>
  </r>
  <r>
    <s v="DE WITT SAVINGS BANK"/>
    <s v="Clinton"/>
    <x v="1"/>
    <n v="61727"/>
    <d v="2019-09-30T00:00:00"/>
    <x v="0"/>
    <n v="23"/>
    <n v="117392"/>
    <n v="15535"/>
    <n v="117392"/>
    <n v="102154"/>
    <n v="96825"/>
    <x v="0"/>
    <n v="0.08"/>
    <n v="7746"/>
    <n v="0.8701955840261687"/>
    <n v="5104"/>
    <n v="2.0055512522592305"/>
  </r>
  <r>
    <s v="DE WITT SAVINGS BANK"/>
    <s v="Clinton"/>
    <x v="1"/>
    <n v="61727"/>
    <d v="2020-09-30T00:00:00"/>
    <x v="1"/>
    <n v="25"/>
    <n v="132032"/>
    <n v="22326"/>
    <n v="132032"/>
    <n v="115537"/>
    <n v="106871"/>
    <x v="0"/>
    <n v="0.08"/>
    <n v="8549.68"/>
    <n v="0.87506816529326226"/>
    <n v="5281.28"/>
    <n v="2.6113258040066998"/>
  </r>
  <r>
    <s v="DE WITT SAVINGS BANK"/>
    <s v="Clinton"/>
    <x v="1"/>
    <n v="61727"/>
    <d v="2021-09-30T00:00:00"/>
    <x v="2"/>
    <n v="26"/>
    <n v="132848"/>
    <n v="9170"/>
    <n v="132848"/>
    <n v="115698"/>
    <n v="103232"/>
    <x v="0"/>
    <n v="0.08"/>
    <n v="8258.56"/>
    <n v="0.87090509454414067"/>
    <n v="5109.5384615384619"/>
    <n v="1.110363065716057"/>
  </r>
  <r>
    <s v="DEAN CO-OPERATIVE BANK"/>
    <s v="Franklin"/>
    <x v="3"/>
    <n v="2038"/>
    <d v="2019-09-30T00:00:00"/>
    <x v="0"/>
    <n v="69"/>
    <n v="331362"/>
    <n v="8217"/>
    <n v="331362"/>
    <n v="301965"/>
    <n v="279598"/>
    <x v="0"/>
    <n v="8.5000000000000006E-2"/>
    <n v="23765.83"/>
    <n v="0.91128433556050481"/>
    <n v="4802.347826086957"/>
    <n v="0.34574849689659481"/>
  </r>
  <r>
    <s v="DEAN CO-OPERATIVE BANK"/>
    <s v="Franklin"/>
    <x v="3"/>
    <n v="2038"/>
    <d v="2020-09-30T00:00:00"/>
    <x v="1"/>
    <n v="67"/>
    <n v="368646"/>
    <n v="30498"/>
    <n v="368645"/>
    <n v="336101"/>
    <n v="331680"/>
    <x v="0"/>
    <n v="8.5000000000000006E-2"/>
    <n v="28192.800000000003"/>
    <n v="0.91171747421645699"/>
    <n v="5502.1791044776119"/>
    <n v="1.081765557163531"/>
  </r>
  <r>
    <s v="DEAN CO-OPERATIVE BANK"/>
    <s v="Franklin"/>
    <x v="3"/>
    <n v="2038"/>
    <d v="2021-09-30T00:00:00"/>
    <x v="2"/>
    <n v="71"/>
    <n v="424759"/>
    <n v="20568"/>
    <n v="424759"/>
    <n v="390940"/>
    <n v="384717"/>
    <x v="0"/>
    <n v="8.5000000000000006E-2"/>
    <n v="32700.945000000003"/>
    <n v="0.9203807335453752"/>
    <n v="5982.5211267605637"/>
    <n v="0.6289726489555576"/>
  </r>
  <r>
    <s v="DEDHAM INSTITUTION FOR SAVINGS"/>
    <s v="Dedham"/>
    <x v="3"/>
    <n v="2026"/>
    <d v="2019-09-30T00:00:00"/>
    <x v="0"/>
    <n v="205"/>
    <n v="1525262"/>
    <n v="11465"/>
    <n v="1525262"/>
    <n v="1342145"/>
    <n v="1290118"/>
    <x v="1"/>
    <n v="0.08"/>
    <n v="103209.44"/>
    <n v="0.87994390471932038"/>
    <n v="7440.30243902439"/>
    <n v="0.11108479999503922"/>
  </r>
  <r>
    <s v="DEDHAM INSTITUTION FOR SAVINGS"/>
    <s v="Dedham"/>
    <x v="3"/>
    <n v="2026"/>
    <d v="2020-09-30T00:00:00"/>
    <x v="1"/>
    <n v="209"/>
    <n v="1720220"/>
    <n v="11665"/>
    <n v="1720220"/>
    <n v="1523245"/>
    <n v="1471596"/>
    <x v="1"/>
    <n v="0.08"/>
    <n v="117727.68000000001"/>
    <n v="0.88549429724105055"/>
    <n v="8230.7177033492826"/>
    <n v="9.9084599305787724E-2"/>
  </r>
  <r>
    <s v="DEDHAM INSTITUTION FOR SAVINGS"/>
    <s v="Dedham"/>
    <x v="3"/>
    <n v="2026"/>
    <d v="2021-09-30T00:00:00"/>
    <x v="2"/>
    <n v="211"/>
    <n v="1851016"/>
    <n v="53959"/>
    <n v="1851016"/>
    <n v="1642728"/>
    <n v="1598441"/>
    <x v="1"/>
    <n v="0.08"/>
    <n v="127875.28"/>
    <n v="0.88747369012477473"/>
    <n v="8772.5876777251178"/>
    <n v="0.42196584046580388"/>
  </r>
  <r>
    <s v="DELTA NATIONAL BANK AND TRUST COMPANY"/>
    <s v="New York"/>
    <x v="2"/>
    <n v="10019"/>
    <d v="2019-09-30T00:00:00"/>
    <x v="0"/>
    <n v="61"/>
    <n v="409044"/>
    <n v="205567"/>
    <n v="409044"/>
    <n v="354373"/>
    <n v="281812"/>
    <x v="0"/>
    <n v="8.5000000000000006E-2"/>
    <n v="23954.02"/>
    <n v="0.86634445194160037"/>
    <n v="6705.6393442622948"/>
    <n v="8.5817328364925807"/>
  </r>
  <r>
    <s v="DELTA NATIONAL BANK AND TRUST COMPANY"/>
    <s v="New York"/>
    <x v="2"/>
    <n v="10019"/>
    <d v="2020-09-30T00:00:00"/>
    <x v="1"/>
    <n v="62"/>
    <n v="330155"/>
    <n v="107746"/>
    <n v="330155"/>
    <n v="276600"/>
    <n v="258920"/>
    <x v="0"/>
    <n v="8.5000000000000006E-2"/>
    <n v="22008.2"/>
    <n v="0.83778831155063527"/>
    <n v="5325.0806451612907"/>
    <n v="4.8957206859261548"/>
  </r>
  <r>
    <s v="DELTA NATIONAL BANK AND TRUST COMPANY"/>
    <s v="New York"/>
    <x v="2"/>
    <n v="10019"/>
    <d v="2021-09-30T00:00:00"/>
    <x v="2"/>
    <n v="59"/>
    <n v="334863"/>
    <n v="143847"/>
    <n v="334863"/>
    <n v="283354"/>
    <n v="249518"/>
    <x v="0"/>
    <n v="8.5000000000000006E-2"/>
    <n v="21209.030000000002"/>
    <n v="0.84617888509629313"/>
    <n v="5675.6440677966102"/>
    <n v="6.7823469531609879"/>
  </r>
  <r>
    <s v="DEUTSCHE BANK TRUST COMPANY AMERICAS"/>
    <s v="New York"/>
    <x v="2"/>
    <n v="10005"/>
    <d v="2019-09-30T00:00:00"/>
    <x v="0"/>
    <n v="548"/>
    <n v="40272000"/>
    <n v="14717000"/>
    <n v="40272000"/>
    <n v="30759000"/>
    <n v="27156000"/>
    <x v="1"/>
    <n v="0.08"/>
    <n v="2172480"/>
    <n v="0.76378128724672234"/>
    <n v="73489.051094890514"/>
    <n v="6.7742856090735009"/>
  </r>
  <r>
    <s v="DEUTSCHE BANK TRUST COMPANY AMERICAS"/>
    <s v="New York"/>
    <x v="2"/>
    <n v="10005"/>
    <d v="2020-09-30T00:00:00"/>
    <x v="1"/>
    <n v="469"/>
    <n v="46336000"/>
    <n v="15918000"/>
    <n v="46336000"/>
    <n v="37053000"/>
    <n v="32074000"/>
    <x v="1"/>
    <n v="0.08"/>
    <n v="2565920"/>
    <n v="0.79965901243093918"/>
    <n v="98797.441364605547"/>
    <n v="6.2036228721082498"/>
  </r>
  <r>
    <s v="DEUTSCHE BANK TRUST COMPANY AMERICAS"/>
    <s v="New York"/>
    <x v="2"/>
    <n v="10019"/>
    <d v="2021-09-30T00:00:00"/>
    <x v="2"/>
    <n v="435"/>
    <n v="44620000"/>
    <n v="23285000"/>
    <n v="44620000"/>
    <n v="35290000"/>
    <n v="32743000"/>
    <x v="1"/>
    <n v="0.08"/>
    <n v="2619440"/>
    <n v="0.79090094128193633"/>
    <n v="102574.71264367815"/>
    <n v="8.8893045841859326"/>
  </r>
  <r>
    <s v="DEVON BANK"/>
    <s v="Chicago"/>
    <x v="1"/>
    <n v="60645"/>
    <d v="2019-09-30T00:00:00"/>
    <x v="0"/>
    <n v="101"/>
    <n v="288837"/>
    <n v="20349"/>
    <n v="288837"/>
    <n v="262292"/>
    <n v="260779"/>
    <x v="0"/>
    <n v="0.08"/>
    <n v="20862.32"/>
    <n v="0.90809695433756754"/>
    <n v="2859.772277227723"/>
    <n v="0.97539487458729424"/>
  </r>
  <r>
    <s v="DEVON BANK"/>
    <s v="Chicago"/>
    <x v="1"/>
    <n v="60645"/>
    <d v="2020-09-30T00:00:00"/>
    <x v="1"/>
    <n v="116"/>
    <n v="372390"/>
    <n v="12003"/>
    <n v="372390"/>
    <n v="343169"/>
    <n v="272665"/>
    <x v="0"/>
    <n v="0.08"/>
    <n v="21813.200000000001"/>
    <n v="0.92153119041864717"/>
    <n v="3210.2586206896553"/>
    <n v="0.55026314341774707"/>
  </r>
  <r>
    <s v="DEVON BANK"/>
    <s v="Chicago"/>
    <x v="1"/>
    <n v="60645"/>
    <d v="2021-09-30T00:00:00"/>
    <x v="2"/>
    <n v="136"/>
    <n v="448995"/>
    <n v="12705"/>
    <n v="448995"/>
    <n v="418937"/>
    <n v="339742"/>
    <x v="0"/>
    <n v="0.08"/>
    <n v="27179.360000000001"/>
    <n v="0.93305493379659021"/>
    <n v="3301.4338235294117"/>
    <n v="0.46745030052216091"/>
  </r>
  <r>
    <s v="DEWEY BANK"/>
    <s v="Dewey"/>
    <x v="1"/>
    <n v="61840"/>
    <d v="2019-09-30T00:00:00"/>
    <x v="0"/>
    <n v="9"/>
    <n v="21861"/>
    <n v="981"/>
    <n v="21861"/>
    <n v="18955"/>
    <n v="18912"/>
    <x v="2"/>
    <n v="0.09"/>
    <n v="1702.08"/>
    <n v="0.8670692100086913"/>
    <n v="2429"/>
    <n v="0.57635363790186123"/>
  </r>
  <r>
    <s v="DEWEY BANK"/>
    <s v="Dewey"/>
    <x v="1"/>
    <n v="61840"/>
    <d v="2020-09-30T00:00:00"/>
    <x v="1"/>
    <n v="7"/>
    <n v="27433"/>
    <n v="5785"/>
    <n v="27433"/>
    <n v="24395"/>
    <n v="22349"/>
    <x v="2"/>
    <n v="0.09"/>
    <n v="2011.4099999999999"/>
    <n v="0.8892574636386833"/>
    <n v="3919"/>
    <n v="2.8760918957348331"/>
  </r>
  <r>
    <s v="DEWEY BANK"/>
    <s v="Dewey"/>
    <x v="1"/>
    <n v="61840"/>
    <d v="2021-09-30T00:00:00"/>
    <x v="2"/>
    <n v="7"/>
    <n v="27412"/>
    <n v="3799"/>
    <n v="27412"/>
    <n v="24321"/>
    <n v="24291"/>
    <x v="2"/>
    <n v="0.09"/>
    <n v="2186.19"/>
    <n v="0.887239165329053"/>
    <n v="3916"/>
    <n v="1.7377263641312053"/>
  </r>
  <r>
    <s v="DIETERICH BANK"/>
    <s v="Effingham"/>
    <x v="1"/>
    <n v="62401"/>
    <d v="2019-09-30T00:00:00"/>
    <x v="0"/>
    <n v="123"/>
    <n v="709133"/>
    <n v="20341"/>
    <n v="709133"/>
    <n v="636438"/>
    <n v="567703"/>
    <x v="0"/>
    <n v="0.08"/>
    <n v="45416.24"/>
    <n v="0.89748749529354865"/>
    <n v="5765.3089430894306"/>
    <n v="0.4478794369591142"/>
  </r>
  <r>
    <s v="DIETERICH BANK"/>
    <s v="Effingham"/>
    <x v="1"/>
    <n v="62401"/>
    <d v="2020-09-30T00:00:00"/>
    <x v="1"/>
    <n v="164"/>
    <n v="1090781"/>
    <n v="149959"/>
    <n v="1090781"/>
    <n v="979309"/>
    <n v="911072"/>
    <x v="1"/>
    <n v="7.4999999999999997E-2"/>
    <n v="68330.399999999994"/>
    <n v="0.89780533397629769"/>
    <n v="6651.1036585365855"/>
    <n v="2.1946161591326847"/>
  </r>
  <r>
    <s v="DIETERICH BANK"/>
    <s v="Effingham"/>
    <x v="1"/>
    <n v="62401"/>
    <d v="2021-09-30T00:00:00"/>
    <x v="2"/>
    <n v="170"/>
    <n v="1275264"/>
    <n v="152243"/>
    <n v="1275264"/>
    <n v="1153974"/>
    <n v="1063995"/>
    <x v="1"/>
    <n v="7.4999999999999997E-2"/>
    <n v="79799.625"/>
    <n v="0.90489028154170426"/>
    <n v="7501.552941176471"/>
    <n v="1.9078159828445309"/>
  </r>
  <r>
    <s v="DIME COMMUNITY BANK"/>
    <s v="Brooklyn"/>
    <x v="2"/>
    <n v="11249"/>
    <d v="2019-09-30T00:00:00"/>
    <x v="0"/>
    <n v="426"/>
    <n v="6417504"/>
    <n v="112541"/>
    <n v="6417504"/>
    <n v="5744326"/>
    <n v="4545297"/>
    <x v="1"/>
    <n v="0.08"/>
    <n v="363623.76"/>
    <n v="0.89510283125651346"/>
    <n v="15064.56338028169"/>
    <n v="0.30949847721722035"/>
  </r>
  <r>
    <s v="DIME COMMUNITY BANK"/>
    <s v="Brooklyn"/>
    <x v="2"/>
    <n v="11249"/>
    <d v="2020-09-30T00:00:00"/>
    <x v="1"/>
    <n v="417"/>
    <n v="6612107"/>
    <n v="147283"/>
    <n v="6612107"/>
    <n v="5925596"/>
    <n v="4608592"/>
    <x v="1"/>
    <n v="0.08"/>
    <n v="368687.35999999999"/>
    <n v="0.89617364026323232"/>
    <n v="15856.371702637889"/>
    <n v="0.39947938546089568"/>
  </r>
  <r>
    <s v="DIME COMMUNITY BANK"/>
    <s v="Hauppauge"/>
    <x v="2"/>
    <n v="11788"/>
    <d v="2021-09-30T00:00:00"/>
    <x v="2"/>
    <n v="787"/>
    <n v="12350102"/>
    <n v="623764"/>
    <n v="12350102"/>
    <n v="11006898"/>
    <n v="10728041"/>
    <x v="1"/>
    <n v="0.08"/>
    <n v="858243.28"/>
    <n v="0.89123944077546891"/>
    <n v="15692.632782719187"/>
    <n v="0.72679159223944056"/>
  </r>
  <r>
    <s v="DU QUOIN STATE BANK"/>
    <s v="Du Quoin"/>
    <x v="1"/>
    <n v="62832"/>
    <d v="2019-09-30T00:00:00"/>
    <x v="0"/>
    <n v="19"/>
    <n v="108365"/>
    <n v="4373"/>
    <n v="108365"/>
    <n v="93492"/>
    <n v="83328"/>
    <x v="0"/>
    <n v="0.08"/>
    <n v="6666.24"/>
    <n v="0.86275088820191026"/>
    <n v="5703.4210526315792"/>
    <n v="0.65599198348694321"/>
  </r>
  <r>
    <s v="DU QUOIN STATE BANK"/>
    <s v="Du Quoin"/>
    <x v="1"/>
    <n v="62832"/>
    <d v="2020-09-30T00:00:00"/>
    <x v="1"/>
    <n v="19"/>
    <n v="119776"/>
    <n v="1065"/>
    <n v="119776"/>
    <n v="100852"/>
    <n v="88237"/>
    <x v="0"/>
    <n v="0.08"/>
    <n v="7058.96"/>
    <n v="0.84200507614213194"/>
    <n v="6304"/>
    <n v="0.15087208313972597"/>
  </r>
  <r>
    <s v="DU QUOIN STATE BANK"/>
    <s v="Du Quoin"/>
    <x v="1"/>
    <n v="62832"/>
    <d v="2021-09-30T00:00:00"/>
    <x v="2"/>
    <n v="17"/>
    <n v="132295"/>
    <n v="2374"/>
    <n v="132295"/>
    <n v="113962"/>
    <n v="102753"/>
    <x v="0"/>
    <n v="0.08"/>
    <n v="8220.24"/>
    <n v="0.8614233342152009"/>
    <n v="7782.0588235294117"/>
    <n v="0.28879935379015698"/>
  </r>
  <r>
    <s v="DURAND STATE BANK"/>
    <s v="Durand"/>
    <x v="1"/>
    <n v="61024"/>
    <d v="2019-09-30T00:00:00"/>
    <x v="0"/>
    <n v="21"/>
    <n v="105849"/>
    <n v="12082"/>
    <n v="105849"/>
    <n v="93770"/>
    <n v="93257"/>
    <x v="0"/>
    <n v="0.08"/>
    <n v="7460.56"/>
    <n v="0.88588460920745593"/>
    <n v="5040.4285714285716"/>
    <n v="1.6194494783233429"/>
  </r>
  <r>
    <s v="DURAND STATE BANK"/>
    <s v="Durand"/>
    <x v="1"/>
    <n v="61024"/>
    <d v="2020-09-30T00:00:00"/>
    <x v="1"/>
    <n v="20"/>
    <n v="118450"/>
    <n v="27559"/>
    <n v="118450"/>
    <n v="105389"/>
    <n v="104717"/>
    <x v="0"/>
    <n v="0.08"/>
    <n v="8377.36"/>
    <n v="0.88973406500633179"/>
    <n v="5922.5"/>
    <n v="3.2896998577117373"/>
  </r>
  <r>
    <s v="DURAND STATE BANK"/>
    <s v="Durand"/>
    <x v="1"/>
    <n v="61024"/>
    <d v="2021-09-30T00:00:00"/>
    <x v="2"/>
    <n v="20"/>
    <n v="138670"/>
    <n v="32128"/>
    <n v="138670"/>
    <n v="122043"/>
    <n v="121420"/>
    <x v="0"/>
    <n v="0.08"/>
    <n v="9713.6"/>
    <n v="0.88009663229249302"/>
    <n v="6933.5"/>
    <n v="3.3075275901828363"/>
  </r>
  <r>
    <s v="EAGLE BANK"/>
    <s v="Everett"/>
    <x v="3"/>
    <n v="2149"/>
    <d v="2019-09-30T00:00:00"/>
    <x v="0"/>
    <n v="74"/>
    <n v="459745"/>
    <n v="20246"/>
    <n v="459745"/>
    <n v="405721"/>
    <n v="401206"/>
    <x v="0"/>
    <n v="8.5000000000000006E-2"/>
    <n v="34102.51"/>
    <n v="0.88249138109169212"/>
    <n v="6212.77027027027"/>
    <n v="0.5936806411023704"/>
  </r>
  <r>
    <s v="EAGLE BANK"/>
    <s v="Everett"/>
    <x v="3"/>
    <n v="2149"/>
    <d v="2020-09-30T00:00:00"/>
    <x v="1"/>
    <n v="75"/>
    <n v="501398"/>
    <n v="46834"/>
    <n v="501398"/>
    <n v="444369"/>
    <n v="440040"/>
    <x v="0"/>
    <n v="8.5000000000000006E-2"/>
    <n v="37403.4"/>
    <n v="0.88626001699248902"/>
    <n v="6685.3066666666664"/>
    <n v="1.2521321591085302"/>
  </r>
  <r>
    <s v="EAGLE BANK"/>
    <s v="Everett"/>
    <x v="3"/>
    <n v="2149"/>
    <d v="2021-09-30T00:00:00"/>
    <x v="2"/>
    <n v="74"/>
    <n v="543608"/>
    <n v="32947"/>
    <n v="543608"/>
    <n v="484017"/>
    <n v="480094"/>
    <x v="0"/>
    <n v="8.5000000000000006E-2"/>
    <n v="40807.990000000005"/>
    <n v="0.89037872878986324"/>
    <n v="7346.0540540540542"/>
    <n v="0.80736640055048037"/>
  </r>
  <r>
    <s v="EAST BOSTON SAVINGS BANK"/>
    <s v="Boston"/>
    <x v="3"/>
    <n v="2128"/>
    <d v="2019-09-30T00:00:00"/>
    <x v="0"/>
    <n v="514"/>
    <n v="6352561"/>
    <n v="417818"/>
    <n v="6352561"/>
    <n v="5687789"/>
    <n v="4976379"/>
    <x v="1"/>
    <n v="0.08"/>
    <n v="398110.32"/>
    <n v="0.89535370065710507"/>
    <n v="12359.068093385215"/>
    <n v="1.0495030623672352"/>
  </r>
  <r>
    <s v="EAST BOSTON SAVINGS BANK"/>
    <s v="Boston"/>
    <x v="3"/>
    <n v="2128"/>
    <d v="2020-09-30T00:00:00"/>
    <x v="1"/>
    <n v="472"/>
    <n v="6566449"/>
    <n v="702138"/>
    <n v="6566449"/>
    <n v="5849715"/>
    <n v="4967844"/>
    <x v="1"/>
    <n v="0.08"/>
    <n v="397427.52"/>
    <n v="0.89084907230681298"/>
    <n v="13911.968220338984"/>
    <n v="1.766707046356528"/>
  </r>
  <r>
    <s v="EAST BOSTON SAVINGS BANK"/>
    <s v="Boston"/>
    <x v="3"/>
    <n v="2128"/>
    <d v="2021-09-30T00:00:00"/>
    <x v="2"/>
    <n v="427"/>
    <n v="6127605"/>
    <n v="1052553"/>
    <n v="6127605"/>
    <n v="5364824"/>
    <n v="4730515"/>
    <x v="1"/>
    <n v="0.08"/>
    <n v="378441.2"/>
    <n v="0.87551726979790634"/>
    <n v="14350.36299765808"/>
    <n v="2.7812854414371375"/>
  </r>
  <r>
    <s v="EAST CAMBRIDGE SAVINGS BANK"/>
    <s v="Cambridge"/>
    <x v="3"/>
    <n v="2141"/>
    <d v="2019-09-30T00:00:00"/>
    <x v="0"/>
    <n v="146"/>
    <n v="1136811"/>
    <n v="90648"/>
    <n v="1136811"/>
    <n v="1021806"/>
    <n v="942991"/>
    <x v="1"/>
    <n v="0.08"/>
    <n v="75439.28"/>
    <n v="0.89883542646930759"/>
    <n v="7786.3767123287671"/>
    <n v="1.2016021361815754"/>
  </r>
  <r>
    <s v="EAST CAMBRIDGE SAVINGS BANK"/>
    <s v="Cambridge"/>
    <x v="3"/>
    <n v="2141"/>
    <d v="2020-09-30T00:00:00"/>
    <x v="1"/>
    <n v="148"/>
    <n v="1199451"/>
    <n v="106204"/>
    <n v="1199451"/>
    <n v="1080440"/>
    <n v="1031137"/>
    <x v="1"/>
    <n v="0.08"/>
    <n v="82490.960000000006"/>
    <n v="0.90077877295529374"/>
    <n v="8104.3986486486483"/>
    <n v="1.2874622867766359"/>
  </r>
  <r>
    <s v="EAST CAMBRIDGE SAVINGS BANK"/>
    <s v="Cambridge"/>
    <x v="3"/>
    <n v="2141"/>
    <d v="2021-09-30T00:00:00"/>
    <x v="2"/>
    <n v="151"/>
    <n v="1285805"/>
    <n v="69313"/>
    <n v="1285805"/>
    <n v="1156883"/>
    <n v="1132378"/>
    <x v="1"/>
    <n v="0.08"/>
    <n v="90590.24"/>
    <n v="0.89973440762790624"/>
    <n v="8515.2649006622523"/>
    <n v="0.76512657434178333"/>
  </r>
  <r>
    <s v="EAST WEST BANK"/>
    <s v="Pasadena"/>
    <x v="0"/>
    <n v="91101"/>
    <d v="2019-09-30T00:00:00"/>
    <x v="0"/>
    <n v="3282"/>
    <n v="43243487"/>
    <n v="3199088"/>
    <n v="43243487"/>
    <n v="38383877"/>
    <n v="36856012"/>
    <x v="1"/>
    <n v="0.08"/>
    <n v="2948480.96"/>
    <n v="0.88762215220988072"/>
    <n v="13175.955819622182"/>
    <n v="1.0849953055148778"/>
  </r>
  <r>
    <s v="EAST WEST BANK"/>
    <s v="Pasadena"/>
    <x v="0"/>
    <n v="91101"/>
    <d v="2020-09-30T00:00:00"/>
    <x v="1"/>
    <n v="3208"/>
    <n v="50396229"/>
    <n v="5205637"/>
    <n v="50396229"/>
    <n v="45530709"/>
    <n v="42169284"/>
    <x v="1"/>
    <n v="0.08"/>
    <n v="3373542.72"/>
    <n v="0.90345468110322302"/>
    <n v="15709.547693266833"/>
    <n v="1.5430772431421884"/>
  </r>
  <r>
    <s v="EAST WEST BANK"/>
    <s v="Pasadena"/>
    <x v="0"/>
    <n v="91101"/>
    <d v="2021-09-30T00:00:00"/>
    <x v="2"/>
    <n v="3085"/>
    <n v="60941947"/>
    <n v="5707586"/>
    <n v="60941947"/>
    <n v="55459943"/>
    <n v="53774332"/>
    <x v="1"/>
    <n v="0.08"/>
    <n v="4301946.5600000005"/>
    <n v="0.91004547327639529"/>
    <n v="19754.27779578606"/>
    <n v="1.3267449793704549"/>
  </r>
  <r>
    <s v="EASTBANK, NATIONAL ASSOCIATION"/>
    <s v="New York"/>
    <x v="2"/>
    <n v="10013"/>
    <d v="2019-09-30T00:00:00"/>
    <x v="0"/>
    <n v="33"/>
    <n v="177851"/>
    <n v="21951"/>
    <n v="177851"/>
    <n v="144137"/>
    <n v="138824"/>
    <x v="0"/>
    <n v="8.5000000000000006E-2"/>
    <n v="11800.04"/>
    <n v="0.81043682633215441"/>
    <n v="5389.424242424242"/>
    <n v="1.8602479313629443"/>
  </r>
  <r>
    <s v="EASTBANK, NATIONAL ASSOCIATION"/>
    <s v="New York"/>
    <x v="2"/>
    <n v="10013"/>
    <d v="2020-09-30T00:00:00"/>
    <x v="1"/>
    <n v="30"/>
    <n v="158611"/>
    <n v="26806"/>
    <n v="158611"/>
    <n v="124348"/>
    <n v="120510"/>
    <x v="0"/>
    <n v="8.5000000000000006E-2"/>
    <n v="10243.35"/>
    <n v="0.78398093448751982"/>
    <n v="5287.0333333333338"/>
    <n v="2.6169173170886477"/>
  </r>
  <r>
    <s v="EASTBANK, NATIONAL ASSOCIATION"/>
    <s v="New York"/>
    <x v="2"/>
    <n v="10013"/>
    <d v="2021-09-30T00:00:00"/>
    <x v="2"/>
    <n v="29"/>
    <n v="167328"/>
    <n v="24097"/>
    <n v="167328"/>
    <n v="133268"/>
    <n v="130611"/>
    <x v="0"/>
    <n v="8.5000000000000006E-2"/>
    <n v="11101.935000000001"/>
    <n v="0.79644769554408112"/>
    <n v="5769.9310344827591"/>
    <n v="2.1705225260281202"/>
  </r>
  <r>
    <s v="EASTERN BANK"/>
    <s v="Boston"/>
    <x v="3"/>
    <n v="2110"/>
    <d v="2019-09-30T00:00:00"/>
    <x v="0"/>
    <n v="1784"/>
    <n v="11506995"/>
    <n v="353640"/>
    <n v="11506995"/>
    <n v="9915233"/>
    <n v="9434817"/>
    <x v="1"/>
    <n v="0.08"/>
    <n v="754785.36"/>
    <n v="0.86167005373687922"/>
    <n v="6450.1093049327355"/>
    <n v="0.46853055019509121"/>
  </r>
  <r>
    <s v="EASTERN BANK"/>
    <s v="Boston"/>
    <x v="3"/>
    <n v="2110"/>
    <d v="2020-09-30T00:00:00"/>
    <x v="1"/>
    <n v="1811"/>
    <n v="15453689"/>
    <n v="2329941"/>
    <n v="15453689"/>
    <n v="13746123"/>
    <n v="13348964"/>
    <x v="1"/>
    <n v="0.08"/>
    <n v="1067917.1200000001"/>
    <n v="0.88950431188307211"/>
    <n v="8533.2352291551633"/>
    <n v="2.1817620078981408"/>
  </r>
  <r>
    <s v="EASTERN BANK"/>
    <s v="Boston"/>
    <x v="3"/>
    <n v="2110"/>
    <d v="2021-09-30T00:00:00"/>
    <x v="2"/>
    <n v="1761"/>
    <n v="17449547"/>
    <n v="1248560"/>
    <n v="17449547"/>
    <n v="14804404"/>
    <n v="14438350"/>
    <x v="1"/>
    <n v="0.08"/>
    <n v="1155068"/>
    <n v="0.84841193871680454"/>
    <n v="9908.8852924474722"/>
    <n v="1.0809406892061766"/>
  </r>
  <r>
    <s v="EASTERN INTERNATIONAL BANK"/>
    <s v="Los Angeles"/>
    <x v="0"/>
    <n v="90012"/>
    <d v="2019-09-30T00:00:00"/>
    <x v="0"/>
    <n v="28"/>
    <n v="122882"/>
    <n v="27413"/>
    <n v="122882"/>
    <n v="102574"/>
    <n v="102464"/>
    <x v="0"/>
    <n v="0.09"/>
    <n v="9221.76"/>
    <n v="0.83473576276427797"/>
    <n v="4388.6428571428569"/>
    <n v="2.9726429662016796"/>
  </r>
  <r>
    <s v="EASTERN INTERNATIONAL BANK"/>
    <s v="Los Angeles"/>
    <x v="0"/>
    <n v="90012"/>
    <d v="2020-09-30T00:00:00"/>
    <x v="1"/>
    <n v="25"/>
    <n v="146554"/>
    <n v="33766"/>
    <n v="146554"/>
    <n v="126083"/>
    <n v="115888"/>
    <x v="0"/>
    <n v="0.09"/>
    <n v="10429.92"/>
    <n v="0.86031769859573948"/>
    <n v="5862.16"/>
    <n v="3.2374169696411861"/>
  </r>
  <r>
    <s v="EASTERN INTERNATIONAL BANK"/>
    <s v="Los Angeles"/>
    <x v="0"/>
    <n v="90012"/>
    <d v="2021-09-30T00:00:00"/>
    <x v="2"/>
    <n v="25"/>
    <n v="138254"/>
    <n v="22381"/>
    <n v="138254"/>
    <n v="117781"/>
    <n v="117645"/>
    <x v="0"/>
    <n v="0.09"/>
    <n v="10588.05"/>
    <n v="0.85191748520838462"/>
    <n v="5530.16"/>
    <n v="2.1137981025779062"/>
  </r>
  <r>
    <s v="EASTHAMPTON SAVINGS BANK"/>
    <s v="Easthampton"/>
    <x v="3"/>
    <n v="1027"/>
    <d v="2019-09-30T00:00:00"/>
    <x v="0"/>
    <n v="202"/>
    <n v="1421080"/>
    <n v="77803"/>
    <n v="1421080"/>
    <n v="1299562"/>
    <n v="1139156"/>
    <x v="1"/>
    <n v="0.08"/>
    <n v="91132.479999999996"/>
    <n v="0.9144889802122329"/>
    <n v="7035.0495049504952"/>
    <n v="0.85373513373058652"/>
  </r>
  <r>
    <s v="EASTHAMPTON SAVINGS BANK"/>
    <s v="Easthampton"/>
    <x v="3"/>
    <n v="1027"/>
    <d v="2020-09-30T00:00:00"/>
    <x v="1"/>
    <n v="203"/>
    <n v="1640596"/>
    <n v="214417"/>
    <n v="1640596"/>
    <n v="1499393"/>
    <n v="1324443"/>
    <x v="1"/>
    <n v="0.08"/>
    <n v="105955.44"/>
    <n v="0.91393188816747084"/>
    <n v="8081.7536945812808"/>
    <n v="2.0236525845204363"/>
  </r>
  <r>
    <s v="EASTHAMPTON SAVINGS BANK"/>
    <s v="Easthampton"/>
    <x v="3"/>
    <n v="1027"/>
    <d v="2021-09-30T00:00:00"/>
    <x v="2"/>
    <n v="193"/>
    <n v="1674734"/>
    <n v="200805"/>
    <n v="1674734"/>
    <n v="1521031"/>
    <n v="1422651"/>
    <x v="1"/>
    <n v="0.08"/>
    <n v="113812.08"/>
    <n v="0.90822244010093545"/>
    <n v="8677.3782383419693"/>
    <n v="1.7643557696160197"/>
  </r>
  <r>
    <s v="EH NATIONAL BANK"/>
    <s v="Beverly Hills"/>
    <x v="0"/>
    <n v="90211"/>
    <d v="2019-09-30T00:00:00"/>
    <x v="0"/>
    <n v="40"/>
    <n v="236951"/>
    <n v="14871"/>
    <n v="236951"/>
    <n v="199018"/>
    <n v="153676"/>
    <x v="0"/>
    <n v="0.09"/>
    <n v="13830.84"/>
    <n v="0.83991204932665409"/>
    <n v="5923.7749999999996"/>
    <n v="1.0752058443304962"/>
  </r>
  <r>
    <s v="EH NATIONAL BANK"/>
    <s v="Beverly Hills"/>
    <x v="0"/>
    <n v="90211"/>
    <d v="2020-09-30T00:00:00"/>
    <x v="1"/>
    <n v="44"/>
    <n v="281764"/>
    <n v="28745"/>
    <n v="281764"/>
    <n v="243941"/>
    <n v="225937"/>
    <x v="0"/>
    <n v="0.09"/>
    <n v="20334.329999999998"/>
    <n v="0.86576354679802958"/>
    <n v="6403.727272727273"/>
    <n v="1.4136192340736087"/>
  </r>
  <r>
    <s v="EH NATIONAL BANK"/>
    <s v="Beverly Hills"/>
    <x v="0"/>
    <n v="90211"/>
    <d v="2021-09-30T00:00:00"/>
    <x v="2"/>
    <n v="43"/>
    <n v="298939"/>
    <n v="34316"/>
    <n v="298939"/>
    <n v="260029"/>
    <n v="239359"/>
    <x v="0"/>
    <n v="0.09"/>
    <n v="21542.309999999998"/>
    <n v="0.86983966628643306"/>
    <n v="6952.0697674418607"/>
    <n v="1.5929582296420395"/>
  </r>
  <r>
    <s v="EL DORADO SAVINGS BANK, F.S.B."/>
    <s v="Placerville"/>
    <x v="0"/>
    <n v="95667"/>
    <d v="2019-09-30T00:00:00"/>
    <x v="0"/>
    <n v="283"/>
    <n v="2161211"/>
    <n v="329790"/>
    <n v="2161211"/>
    <n v="1913636"/>
    <n v="1901789"/>
    <x v="1"/>
    <n v="0.08"/>
    <n v="152143.12"/>
    <n v="0.88544616883774885"/>
    <n v="7636.7879858657243"/>
    <n v="2.1676300578034682"/>
  </r>
  <r>
    <s v="EL DORADO SAVINGS BANK, F.S.B."/>
    <s v="Placerville"/>
    <x v="0"/>
    <n v="95667"/>
    <d v="2020-09-30T00:00:00"/>
    <x v="1"/>
    <n v="265"/>
    <n v="2448387"/>
    <n v="382804"/>
    <n v="2448387"/>
    <n v="2191508"/>
    <n v="2178984"/>
    <x v="1"/>
    <n v="0.08"/>
    <n v="174318.72"/>
    <n v="0.89508235421932891"/>
    <n v="9239.1962264150952"/>
    <n v="2.1960005213438922"/>
  </r>
  <r>
    <s v="EL DORADO SAVINGS BANK, F.S.B."/>
    <s v="Placerville"/>
    <x v="0"/>
    <n v="95667"/>
    <d v="2021-09-30T00:00:00"/>
    <x v="2"/>
    <n v="266"/>
    <n v="2765296"/>
    <n v="705271"/>
    <n v="2765296"/>
    <n v="2503007"/>
    <n v="2490907"/>
    <x v="1"/>
    <n v="0.08"/>
    <n v="199272.56"/>
    <n v="0.90514975612014048"/>
    <n v="10395.849624060151"/>
    <n v="3.5392278796438408"/>
  </r>
  <r>
    <s v="ELMIRA SAVINGS BANK"/>
    <s v="Elmira"/>
    <x v="2"/>
    <n v="14901"/>
    <d v="2019-09-30T00:00:00"/>
    <x v="0"/>
    <n v="127"/>
    <n v="615868"/>
    <n v="18608"/>
    <n v="615869"/>
    <n v="557447"/>
    <n v="522520"/>
    <x v="0"/>
    <n v="8.5000000000000006E-2"/>
    <n v="44414.200000000004"/>
    <n v="0.90514038722583412"/>
    <n v="4849.3543307086611"/>
    <n v="0.41896510575446588"/>
  </r>
  <r>
    <s v="ELMIRA SAVINGS BANK"/>
    <s v="Elmira"/>
    <x v="2"/>
    <n v="14901"/>
    <d v="2020-09-30T00:00:00"/>
    <x v="1"/>
    <n v="115"/>
    <n v="674281"/>
    <n v="85381"/>
    <n v="674281"/>
    <n v="614321"/>
    <n v="552674"/>
    <x v="0"/>
    <n v="8.5000000000000006E-2"/>
    <n v="46977.29"/>
    <n v="0.91107564946958319"/>
    <n v="5863.3130434782606"/>
    <n v="1.8174952194986129"/>
  </r>
  <r>
    <s v="ELMIRA SAVINGS BANK"/>
    <s v="Elmira"/>
    <x v="2"/>
    <n v="14901"/>
    <d v="2021-09-30T00:00:00"/>
    <x v="2"/>
    <n v="115"/>
    <n v="643804"/>
    <n v="111522"/>
    <n v="643804"/>
    <n v="580408"/>
    <n v="547694"/>
    <x v="0"/>
    <n v="8.5000000000000006E-2"/>
    <n v="46553.990000000005"/>
    <n v="0.90152903678759377"/>
    <n v="5598.2956521739134"/>
    <n v="2.3955411770290791"/>
  </r>
  <r>
    <s v="EMIGRANT BANK"/>
    <s v="New York"/>
    <x v="2"/>
    <n v="10017"/>
    <d v="2019-09-30T00:00:00"/>
    <x v="0"/>
    <n v="488"/>
    <n v="5661961"/>
    <n v="213713"/>
    <n v="5661961"/>
    <n v="4440363"/>
    <n v="4353165"/>
    <x v="1"/>
    <n v="0.08"/>
    <n v="348253.2"/>
    <n v="0.78424471662733108"/>
    <n v="11602.379098360656"/>
    <n v="0.61367131730591418"/>
  </r>
  <r>
    <s v="EMIGRANT BANK"/>
    <s v="New York"/>
    <x v="2"/>
    <n v="10017"/>
    <d v="2020-09-30T00:00:00"/>
    <x v="1"/>
    <n v="473"/>
    <n v="6380573"/>
    <n v="919022"/>
    <n v="6380573"/>
    <n v="5147259"/>
    <n v="4865703"/>
    <x v="1"/>
    <n v="0.08"/>
    <n v="389256.24"/>
    <n v="0.80670795553941632"/>
    <n v="13489.583509513743"/>
    <n v="2.3609692165756933"/>
  </r>
  <r>
    <s v="EMIGRANT BANK"/>
    <s v="New York"/>
    <x v="2"/>
    <n v="10017"/>
    <d v="2021-09-30T00:00:00"/>
    <x v="2"/>
    <n v="459"/>
    <n v="5739920"/>
    <n v="401662"/>
    <n v="5739920"/>
    <n v="4450326"/>
    <n v="4237708"/>
    <x v="1"/>
    <n v="0.08"/>
    <n v="339016.64"/>
    <n v="0.77532892444493995"/>
    <n v="12505.272331154683"/>
    <n v="1.1847855019741804"/>
  </r>
  <r>
    <s v="EMIGRANT MERCANTILE BANK"/>
    <s v="New York"/>
    <x v="2"/>
    <n v="10017"/>
    <d v="2019-09-30T00:00:00"/>
    <x v="0"/>
    <n v="5"/>
    <n v="3443"/>
    <n v="3443"/>
    <n v="3443"/>
    <n v="507"/>
    <n v="500"/>
    <x v="2"/>
    <n v="0.09"/>
    <n v="45"/>
    <n v="0.14725530060993319"/>
    <n v="688.6"/>
    <n v="76.511111111111106"/>
  </r>
  <r>
    <s v="EMIGRANT MERCANTILE BANK"/>
    <s v="New York"/>
    <x v="2"/>
    <n v="10017"/>
    <d v="2020-09-30T00:00:00"/>
    <x v="1"/>
    <n v="5"/>
    <n v="3421"/>
    <n v="3415"/>
    <n v="3421"/>
    <n v="504"/>
    <n v="500"/>
    <x v="2"/>
    <n v="0.09"/>
    <n v="45"/>
    <n v="0.14732534346682258"/>
    <n v="684.2"/>
    <n v="75.888888888888886"/>
  </r>
  <r>
    <s v="EMIGRANT MERCANTILE BANK"/>
    <s v="New York"/>
    <x v="2"/>
    <n v="10017"/>
    <d v="2021-09-30T00:00:00"/>
    <x v="2"/>
    <n v="7"/>
    <n v="3397"/>
    <n v="3391"/>
    <n v="3397"/>
    <n v="505"/>
    <n v="500"/>
    <x v="2"/>
    <n v="0.09"/>
    <n v="45"/>
    <n v="0.1486605828672358"/>
    <n v="485.28571428571428"/>
    <n v="75.355555555555554"/>
  </r>
  <r>
    <s v="EMPIRE NATIONAL BANK"/>
    <s v="Islandia"/>
    <x v="2"/>
    <n v="11749"/>
    <d v="2019-09-30T00:00:00"/>
    <x v="0"/>
    <n v="74"/>
    <n v="1012533"/>
    <n v="48984"/>
    <n v="1012533"/>
    <n v="918867"/>
    <n v="902325"/>
    <x v="1"/>
    <n v="0.08"/>
    <n v="72186"/>
    <n v="0.90749338540077207"/>
    <n v="13682.878378378378"/>
    <n v="0.67858033413681318"/>
  </r>
  <r>
    <s v="EMPIRE NATIONAL BANK"/>
    <s v="Islandia"/>
    <x v="2"/>
    <n v="11749"/>
    <d v="2020-09-30T00:00:00"/>
    <x v="1"/>
    <n v="61"/>
    <n v="920864"/>
    <n v="48924"/>
    <n v="920864"/>
    <n v="818158"/>
    <n v="802963"/>
    <x v="0"/>
    <n v="8.5000000000000006E-2"/>
    <n v="68251.85500000001"/>
    <n v="0.88846778677415994"/>
    <n v="15096.131147540984"/>
    <n v="0.71681568215252156"/>
  </r>
  <r>
    <s v="EMPIRE STATE BANK"/>
    <s v="Newburgh"/>
    <x v="2"/>
    <n v="12550"/>
    <d v="2019-09-30T00:00:00"/>
    <x v="0"/>
    <n v="55"/>
    <n v="421821"/>
    <n v="24722"/>
    <n v="421821"/>
    <n v="391249"/>
    <n v="328311"/>
    <x v="0"/>
    <n v="8.5000000000000006E-2"/>
    <n v="27906.435000000001"/>
    <n v="0.92752376007832704"/>
    <n v="7669.4727272727268"/>
    <n v="0.88588886398423872"/>
  </r>
  <r>
    <s v="EMPIRE STATE BANK"/>
    <s v="Newburgh"/>
    <x v="2"/>
    <n v="12550"/>
    <d v="2020-09-30T00:00:00"/>
    <x v="1"/>
    <n v="54"/>
    <n v="495398"/>
    <n v="47246"/>
    <n v="495398"/>
    <n v="454560"/>
    <n v="357907"/>
    <x v="0"/>
    <n v="8.5000000000000006E-2"/>
    <n v="30422.095000000001"/>
    <n v="0.91756527075200145"/>
    <n v="9174.0370370370365"/>
    <n v="1.5530159905161034"/>
  </r>
  <r>
    <s v="EMPIRE STATE BANK"/>
    <s v="Newburgh"/>
    <x v="2"/>
    <n v="12550"/>
    <d v="2021-09-30T00:00:00"/>
    <x v="2"/>
    <n v="63"/>
    <n v="504046"/>
    <n v="46108"/>
    <n v="504046"/>
    <n v="454695"/>
    <n v="424193"/>
    <x v="0"/>
    <n v="8.5000000000000006E-2"/>
    <n v="36056.405000000006"/>
    <n v="0.90209028541045855"/>
    <n v="8000.730158730159"/>
    <n v="1.2787741872768512"/>
  </r>
  <r>
    <s v="ENDEAVOR BANK"/>
    <s v="San Diego"/>
    <x v="0"/>
    <n v="92101"/>
    <d v="2019-09-30T00:00:00"/>
    <x v="0"/>
    <n v="25"/>
    <n v="115943"/>
    <n v="31813"/>
    <n v="115943"/>
    <n v="97671"/>
    <n v="96595"/>
    <x v="0"/>
    <n v="0.09"/>
    <n v="8693.5499999999993"/>
    <n v="0.8424053198554462"/>
    <n v="4637.72"/>
    <n v="3.659379655031604"/>
  </r>
  <r>
    <s v="ENDEAVOR BANK"/>
    <s v="San Diego"/>
    <x v="0"/>
    <n v="92101"/>
    <d v="2020-09-30T00:00:00"/>
    <x v="1"/>
    <n v="31"/>
    <n v="360949"/>
    <n v="59040"/>
    <n v="360949"/>
    <n v="335306"/>
    <n v="188832"/>
    <x v="0"/>
    <n v="0.09"/>
    <n v="16994.88"/>
    <n v="0.92895672241784855"/>
    <n v="11643.516129032258"/>
    <n v="3.4739874597525842"/>
  </r>
  <r>
    <s v="ENDEAVOR BANK"/>
    <s v="San Diego"/>
    <x v="0"/>
    <n v="92101"/>
    <d v="2021-09-30T00:00:00"/>
    <x v="2"/>
    <n v="40"/>
    <n v="439853"/>
    <n v="88456"/>
    <n v="439853"/>
    <n v="408631"/>
    <n v="299812"/>
    <x v="0"/>
    <n v="0.09"/>
    <n v="26983.079999999998"/>
    <n v="0.92901719438084995"/>
    <n v="10996.325000000001"/>
    <n v="3.278202488374196"/>
  </r>
  <r>
    <s v="ENTERPRISE BANK AND TRUST COMPANY"/>
    <s v="Lowell"/>
    <x v="3"/>
    <n v="1852"/>
    <d v="2019-09-30T00:00:00"/>
    <x v="0"/>
    <n v="519"/>
    <n v="3138724"/>
    <n v="82864"/>
    <n v="3138724"/>
    <n v="2833537"/>
    <n v="2784707"/>
    <x v="1"/>
    <n v="0.08"/>
    <n v="222776.56"/>
    <n v="0.90276717545091567"/>
    <n v="6047.6377649325623"/>
    <n v="0.3719601379965648"/>
  </r>
  <r>
    <s v="ENTERPRISE BANK AND TRUST COMPANY"/>
    <s v="Lowell"/>
    <x v="3"/>
    <n v="1852"/>
    <d v="2020-09-30T00:00:00"/>
    <x v="1"/>
    <n v="523"/>
    <n v="4060547"/>
    <n v="308364"/>
    <n v="4060547"/>
    <n v="3664969"/>
    <n v="3614672"/>
    <x v="1"/>
    <n v="0.08"/>
    <n v="289173.76000000001"/>
    <n v="0.90258012036309399"/>
    <n v="7763.9521988527722"/>
    <n v="1.0663623144783261"/>
  </r>
  <r>
    <s v="ENTERPRISE BANK AND TRUST COMPANY"/>
    <s v="Lowell"/>
    <x v="3"/>
    <n v="1852"/>
    <d v="2021-09-30T00:00:00"/>
    <x v="2"/>
    <n v="537"/>
    <n v="4451433"/>
    <n v="644376"/>
    <n v="4451433"/>
    <n v="4046082"/>
    <n v="3971314"/>
    <x v="1"/>
    <n v="0.08"/>
    <n v="317705.12"/>
    <n v="0.90893921126073329"/>
    <n v="8289.4469273743016"/>
    <n v="2.0282203824729046"/>
  </r>
  <r>
    <s v="ENVISION BANK"/>
    <s v="Randolph"/>
    <x v="3"/>
    <n v="2368"/>
    <d v="2019-09-30T00:00:00"/>
    <x v="0"/>
    <n v="206"/>
    <n v="641763"/>
    <n v="9717"/>
    <n v="641763"/>
    <n v="569707"/>
    <n v="500868"/>
    <x v="0"/>
    <n v="8.5000000000000006E-2"/>
    <n v="42573.780000000006"/>
    <n v="0.88772179137781393"/>
    <n v="3115.3543689320391"/>
    <n v="0.22823907109023439"/>
  </r>
  <r>
    <s v="ENVISION BANK"/>
    <s v="Randolph"/>
    <x v="3"/>
    <n v="2368"/>
    <d v="2020-09-30T00:00:00"/>
    <x v="1"/>
    <n v="199"/>
    <n v="725171"/>
    <n v="49091"/>
    <n v="725172"/>
    <n v="639611"/>
    <n v="529731"/>
    <x v="0"/>
    <n v="8.5000000000000006E-2"/>
    <n v="45027.135000000002"/>
    <n v="0.88201403531029232"/>
    <n v="3644.075376884422"/>
    <n v="1.0902536881371643"/>
  </r>
  <r>
    <s v="ENVISION BANK"/>
    <s v="Randolph"/>
    <x v="3"/>
    <n v="2368"/>
    <d v="2021-09-30T00:00:00"/>
    <x v="2"/>
    <n v="184"/>
    <n v="751052"/>
    <n v="12974"/>
    <n v="751052"/>
    <n v="655899"/>
    <n v="576555"/>
    <x v="0"/>
    <n v="8.5000000000000006E-2"/>
    <n v="49007.175000000003"/>
    <n v="0.87330704132337045"/>
    <n v="4081.804347826087"/>
    <n v="0.26473674518068013"/>
  </r>
  <r>
    <s v="ESQUIRE BANK, NATIONAL ASSOCIATION"/>
    <s v="Jericho"/>
    <x v="2"/>
    <n v="11753"/>
    <d v="2019-09-30T00:00:00"/>
    <x v="0"/>
    <n v="79"/>
    <n v="756642"/>
    <n v="61676"/>
    <n v="756641"/>
    <n v="659443"/>
    <n v="649993"/>
    <x v="0"/>
    <n v="8.5000000000000006E-2"/>
    <n v="55249.405000000006"/>
    <n v="0.87153898409023023"/>
    <n v="9577.7468354430384"/>
    <n v="1.1163197142123067"/>
  </r>
  <r>
    <s v="ESQUIRE BANK, NATIONAL ASSOCIATION"/>
    <s v="Jericho"/>
    <x v="2"/>
    <n v="11753"/>
    <d v="2020-09-30T00:00:00"/>
    <x v="1"/>
    <n v="93"/>
    <n v="869519"/>
    <n v="104390"/>
    <n v="869519"/>
    <n v="761954"/>
    <n v="747797"/>
    <x v="0"/>
    <n v="8.5000000000000006E-2"/>
    <n v="63562.745000000003"/>
    <n v="0.87629367500882671"/>
    <n v="9349.6666666666661"/>
    <n v="1.642314220381766"/>
  </r>
  <r>
    <s v="ESQUIRE BANK, NATIONAL ASSOCIATION"/>
    <s v="Jericho"/>
    <x v="2"/>
    <n v="11753"/>
    <d v="2021-09-30T00:00:00"/>
    <x v="2"/>
    <n v="108"/>
    <n v="1101618"/>
    <n v="138053"/>
    <n v="1101618"/>
    <n v="986820"/>
    <n v="977445"/>
    <x v="1"/>
    <n v="0.08"/>
    <n v="78195.600000000006"/>
    <n v="0.89579146310245472"/>
    <n v="10200.166666666666"/>
    <n v="1.7654829683511604"/>
  </r>
  <r>
    <s v="ETHIC"/>
    <s v="Boston"/>
    <x v="3"/>
    <n v="2110"/>
    <d v="2020-09-30T00:00:00"/>
    <x v="1"/>
    <n v="45"/>
    <n v="270134"/>
    <n v="40923"/>
    <n v="270134"/>
    <n v="244069"/>
    <n v="241206"/>
    <x v="0"/>
    <n v="8.5000000000000006E-2"/>
    <n v="20502.510000000002"/>
    <n v="0.90351085017065602"/>
    <n v="6002.9777777777781"/>
    <n v="1.9959995142058213"/>
  </r>
  <r>
    <s v="ETHIC, A WEALTH BANK"/>
    <s v="Boston"/>
    <x v="3"/>
    <n v="2110"/>
    <d v="2021-09-30T00:00:00"/>
    <x v="2"/>
    <n v="28"/>
    <n v="239305"/>
    <n v="45352"/>
    <n v="239305"/>
    <n v="213681"/>
    <n v="211759"/>
    <x v="0"/>
    <n v="8.5000000000000006E-2"/>
    <n v="17999.515000000003"/>
    <n v="0.89292325693153085"/>
    <n v="8546.6071428571431"/>
    <n v="2.519623445409501"/>
  </r>
  <r>
    <s v="EUREKA SAVINGS BANK"/>
    <s v="La Salle"/>
    <x v="1"/>
    <n v="61301"/>
    <d v="2019-09-30T00:00:00"/>
    <x v="0"/>
    <n v="51"/>
    <n v="316029"/>
    <n v="25096"/>
    <n v="316029"/>
    <n v="238864"/>
    <n v="238080"/>
    <x v="0"/>
    <n v="0.08"/>
    <n v="19046.400000000001"/>
    <n v="0.75582937008945383"/>
    <n v="6196.6470588235297"/>
    <n v="1.3176243279569892"/>
  </r>
  <r>
    <s v="EUREKA SAVINGS BANK"/>
    <s v="La Salle"/>
    <x v="1"/>
    <n v="61301"/>
    <d v="2020-09-30T00:00:00"/>
    <x v="1"/>
    <n v="49"/>
    <n v="360336"/>
    <n v="28330"/>
    <n v="360336"/>
    <n v="277433"/>
    <n v="257435"/>
    <x v="0"/>
    <n v="0.08"/>
    <n v="20594.8"/>
    <n v="0.76992862217485902"/>
    <n v="7353.7959183673465"/>
    <n v="1.3755899547458583"/>
  </r>
  <r>
    <s v="EUREKA SAVINGS BANK"/>
    <s v="La Salle"/>
    <x v="1"/>
    <n v="61301"/>
    <d v="2021-09-30T00:00:00"/>
    <x v="2"/>
    <n v="51"/>
    <n v="417772"/>
    <n v="27649"/>
    <n v="417772"/>
    <n v="333583"/>
    <n v="315138"/>
    <x v="0"/>
    <n v="0.08"/>
    <n v="25211.040000000001"/>
    <n v="0.79848098963070768"/>
    <n v="8191.6078431372553"/>
    <n v="1.0967020797238034"/>
  </r>
  <r>
    <s v="EVANS BANK, NATIONAL ASSOCIATION"/>
    <s v="Angola"/>
    <x v="2"/>
    <n v="14006"/>
    <d v="2019-09-30T00:00:00"/>
    <x v="0"/>
    <n v="242"/>
    <n v="1439855"/>
    <n v="34308"/>
    <n v="1439855"/>
    <n v="1298469"/>
    <n v="1263458"/>
    <x v="1"/>
    <n v="0.08"/>
    <n v="101076.64"/>
    <n v="0.90180539012608907"/>
    <n v="5949.8140495867765"/>
    <n v="0.33942560813260114"/>
  </r>
  <r>
    <s v="EVANS BANK, NATIONAL ASSOCIATION"/>
    <s v="Angola"/>
    <x v="2"/>
    <n v="14006"/>
    <d v="2020-09-30T00:00:00"/>
    <x v="1"/>
    <n v="291"/>
    <n v="2040299"/>
    <n v="103601"/>
    <n v="2040299"/>
    <n v="1863418"/>
    <n v="1788248"/>
    <x v="1"/>
    <n v="0.08"/>
    <n v="143059.84"/>
    <n v="0.91330633402261141"/>
    <n v="7011.3367697594504"/>
    <n v="0.72417947622477419"/>
  </r>
  <r>
    <s v="EVANS BANK, NATIONAL ASSOCIATION"/>
    <s v="Angola"/>
    <x v="2"/>
    <n v="14006"/>
    <d v="2021-09-30T00:00:00"/>
    <x v="2"/>
    <n v="305"/>
    <n v="2134915"/>
    <n v="191727"/>
    <n v="2134915"/>
    <n v="1938910"/>
    <n v="1878409"/>
    <x v="1"/>
    <n v="0.08"/>
    <n v="150272.72"/>
    <n v="0.90819072422087066"/>
    <n v="6999.7213114754095"/>
    <n v="1.2758603158311101"/>
  </r>
  <r>
    <s v="EVERETT CO-OPERATIVE BANK"/>
    <s v="Everett"/>
    <x v="3"/>
    <n v="2149"/>
    <d v="2019-09-30T00:00:00"/>
    <x v="0"/>
    <n v="45"/>
    <n v="513780"/>
    <n v="11366"/>
    <n v="513780"/>
    <n v="446576"/>
    <n v="421237"/>
    <x v="0"/>
    <n v="8.5000000000000006E-2"/>
    <n v="35805.145000000004"/>
    <n v="0.86919693253921915"/>
    <n v="11417.333333333334"/>
    <n v="0.31744041254406313"/>
  </r>
  <r>
    <s v="EVERETT CO-OPERATIVE BANK"/>
    <s v="Everett"/>
    <x v="3"/>
    <n v="2149"/>
    <d v="2020-09-30T00:00:00"/>
    <x v="1"/>
    <n v="46"/>
    <n v="562099"/>
    <n v="38731"/>
    <n v="562099"/>
    <n v="490120"/>
    <n v="464845"/>
    <x v="0"/>
    <n v="8.5000000000000006E-2"/>
    <n v="39511.825000000004"/>
    <n v="0.87194604509170093"/>
    <n v="12219.54347826087"/>
    <n v="0.98023819451518612"/>
  </r>
  <r>
    <s v="EVERETT CO-OPERATIVE BANK"/>
    <s v="Everett"/>
    <x v="3"/>
    <n v="2149"/>
    <d v="2021-09-30T00:00:00"/>
    <x v="2"/>
    <n v="51"/>
    <n v="644538"/>
    <n v="61060"/>
    <n v="644538"/>
    <n v="567460"/>
    <n v="553090"/>
    <x v="0"/>
    <n v="8.5000000000000006E-2"/>
    <n v="47012.65"/>
    <n v="0.88041356754760769"/>
    <n v="12638"/>
    <n v="1.2987993657026353"/>
  </r>
  <r>
    <s v="EVERGREEN BANK GROUP"/>
    <s v="Oak Brook"/>
    <x v="1"/>
    <n v="60523"/>
    <d v="2019-09-30T00:00:00"/>
    <x v="0"/>
    <n v="145"/>
    <n v="1071091"/>
    <n v="81438"/>
    <n v="1071091"/>
    <n v="953741"/>
    <n v="917526"/>
    <x v="1"/>
    <n v="7.4999999999999997E-2"/>
    <n v="68814.45"/>
    <n v="0.89043881425574489"/>
    <n v="7386.8344827586207"/>
    <n v="1.1834433029690712"/>
  </r>
  <r>
    <s v="EVERGREEN BANK GROUP"/>
    <s v="Oak Brook"/>
    <x v="1"/>
    <n v="60523"/>
    <d v="2020-09-30T00:00:00"/>
    <x v="1"/>
    <n v="159"/>
    <n v="1261193"/>
    <n v="125103"/>
    <n v="1261193"/>
    <n v="1127044"/>
    <n v="1072166"/>
    <x v="1"/>
    <n v="7.4999999999999997E-2"/>
    <n v="80412.45"/>
    <n v="0.89363325042241748"/>
    <n v="7932.0314465408801"/>
    <n v="1.5557665510751135"/>
  </r>
  <r>
    <s v="EVERGREEN BANK GROUP"/>
    <s v="Oak Brook"/>
    <x v="1"/>
    <n v="60523"/>
    <d v="2021-09-30T00:00:00"/>
    <x v="2"/>
    <n v="169"/>
    <n v="1215250"/>
    <n v="120594"/>
    <n v="1215250"/>
    <n v="1059388"/>
    <n v="1020135"/>
    <x v="1"/>
    <n v="7.4999999999999997E-2"/>
    <n v="76510.125"/>
    <n v="0.87174490845505037"/>
    <n v="7190.8284023668639"/>
    <n v="1.5761835443348184"/>
  </r>
  <r>
    <s v="EVERTRUST BANK"/>
    <s v="Pasadena"/>
    <x v="0"/>
    <n v="91101"/>
    <d v="2019-09-30T00:00:00"/>
    <x v="0"/>
    <n v="102"/>
    <n v="933426"/>
    <n v="84478"/>
    <n v="933426"/>
    <n v="746099"/>
    <n v="734921"/>
    <x v="0"/>
    <n v="0.09"/>
    <n v="66142.89"/>
    <n v="0.79931242540919156"/>
    <n v="9151.2352941176468"/>
    <n v="1.2772045491208504"/>
  </r>
  <r>
    <s v="EVERTRUST BANK"/>
    <s v="Pasadena"/>
    <x v="0"/>
    <n v="91101"/>
    <d v="2020-09-30T00:00:00"/>
    <x v="1"/>
    <n v="97"/>
    <n v="983879"/>
    <n v="182477"/>
    <n v="983879"/>
    <n v="786604"/>
    <n v="738140"/>
    <x v="0"/>
    <n v="0.09"/>
    <n v="66432.599999999991"/>
    <n v="0.79949262053565529"/>
    <n v="10143.082474226803"/>
    <n v="2.7467990113287759"/>
  </r>
  <r>
    <s v="EVERTRUST BANK"/>
    <s v="Pasadena"/>
    <x v="0"/>
    <n v="91101"/>
    <d v="2021-09-30T00:00:00"/>
    <x v="2"/>
    <n v="92"/>
    <n v="1026418"/>
    <n v="231241"/>
    <n v="1026418"/>
    <n v="817390"/>
    <n v="778795"/>
    <x v="1"/>
    <n v="0.08"/>
    <n v="62303.6"/>
    <n v="0.79635197356242782"/>
    <n v="11156.717391304348"/>
    <n v="3.711519077549291"/>
  </r>
  <r>
    <s v="EXCHANGE BANK"/>
    <s v="Santa Rosa"/>
    <x v="0"/>
    <n v="95401"/>
    <d v="2019-09-30T00:00:00"/>
    <x v="0"/>
    <n v="415"/>
    <n v="2607873"/>
    <n v="204894"/>
    <n v="2607873"/>
    <n v="2345812"/>
    <n v="2296083"/>
    <x v="1"/>
    <n v="0.08"/>
    <n v="183686.64"/>
    <n v="0.89951159431460048"/>
    <n v="6284.0313253012046"/>
    <n v="1.1154540145107994"/>
  </r>
  <r>
    <s v="EXCHANGE BANK"/>
    <s v="Santa Rosa"/>
    <x v="0"/>
    <n v="95401"/>
    <d v="2020-09-30T00:00:00"/>
    <x v="1"/>
    <n v="388"/>
    <n v="3038464"/>
    <n v="296339"/>
    <n v="3038464"/>
    <n v="2740386"/>
    <n v="2685030"/>
    <x v="1"/>
    <n v="0.08"/>
    <n v="214802.4"/>
    <n v="0.90189845922150136"/>
    <n v="7831.0927835051543"/>
    <n v="1.3795888686532367"/>
  </r>
  <r>
    <s v="EXCHANGE BANK"/>
    <s v="Santa Rosa"/>
    <x v="0"/>
    <n v="95401"/>
    <d v="2021-09-30T00:00:00"/>
    <x v="2"/>
    <n v="372"/>
    <n v="3535757"/>
    <n v="572709"/>
    <n v="3535757"/>
    <n v="3219699"/>
    <n v="3171846"/>
    <x v="1"/>
    <n v="0.08"/>
    <n v="253747.68"/>
    <n v="0.91061093847795538"/>
    <n v="9504.7231182795695"/>
    <n v="2.2570019162342687"/>
  </r>
  <r>
    <s v="EXCHANGE STATE BANK"/>
    <s v="Lanark"/>
    <x v="1"/>
    <n v="61046"/>
    <d v="2019-09-30T00:00:00"/>
    <x v="0"/>
    <n v="14"/>
    <n v="91489"/>
    <n v="5266"/>
    <n v="91489"/>
    <n v="79630"/>
    <n v="77571"/>
    <x v="2"/>
    <n v="0.09"/>
    <n v="6981.3899999999994"/>
    <n v="0.87037785963339853"/>
    <n v="6534.9285714285716"/>
    <n v="0.75429105092252413"/>
  </r>
  <r>
    <s v="EXCHANGE STATE BANK"/>
    <s v="Lanark"/>
    <x v="1"/>
    <n v="61046"/>
    <d v="2020-09-30T00:00:00"/>
    <x v="1"/>
    <n v="15"/>
    <n v="101816"/>
    <n v="5431"/>
    <n v="101816"/>
    <n v="87873"/>
    <n v="81899"/>
    <x v="0"/>
    <n v="0.08"/>
    <n v="6551.92"/>
    <n v="0.86305688693329141"/>
    <n v="6787.7333333333336"/>
    <n v="0.82891732499786319"/>
  </r>
  <r>
    <s v="EXCHANGE STATE BANK"/>
    <s v="Lanark"/>
    <x v="1"/>
    <n v="61046"/>
    <d v="2021-09-30T00:00:00"/>
    <x v="2"/>
    <n v="14"/>
    <n v="106911"/>
    <n v="5591"/>
    <n v="106911"/>
    <n v="93600"/>
    <n v="86688"/>
    <x v="0"/>
    <n v="0.08"/>
    <n v="6935.04"/>
    <n v="0.87549457025002109"/>
    <n v="7636.5"/>
    <n v="0.80619578257659652"/>
  </r>
  <r>
    <s v="FAIRPORT SAVINGS BANK"/>
    <s v="Fairport"/>
    <x v="2"/>
    <n v="14450"/>
    <d v="2019-09-30T00:00:00"/>
    <x v="0"/>
    <n v="70"/>
    <n v="323122"/>
    <n v="3752"/>
    <n v="323122"/>
    <n v="292974"/>
    <n v="232896"/>
    <x v="0"/>
    <n v="8.5000000000000006E-2"/>
    <n v="19796.16"/>
    <n v="0.90669777978596322"/>
    <n v="4616.028571428571"/>
    <n v="0.18953170715936829"/>
  </r>
  <r>
    <s v="FAIRVIEW STATE BANKING COMPANY"/>
    <s v="Fairview"/>
    <x v="1"/>
    <n v="61432"/>
    <d v="2019-09-30T00:00:00"/>
    <x v="0"/>
    <n v="6"/>
    <n v="28885"/>
    <n v="4633"/>
    <n v="28885"/>
    <n v="24979"/>
    <n v="24291"/>
    <x v="2"/>
    <n v="0.09"/>
    <n v="2186.19"/>
    <n v="0.86477410420633549"/>
    <n v="4814.166666666667"/>
    <n v="2.1192119623637469"/>
  </r>
  <r>
    <s v="FAIRVIEW STATE BANKING COMPANY"/>
    <s v="Fairview"/>
    <x v="1"/>
    <n v="61432"/>
    <d v="2020-09-30T00:00:00"/>
    <x v="1"/>
    <n v="6"/>
    <n v="31338"/>
    <n v="3892"/>
    <n v="31338"/>
    <n v="27352"/>
    <n v="26653"/>
    <x v="2"/>
    <n v="0.09"/>
    <n v="2398.77"/>
    <n v="0.87280617780330594"/>
    <n v="5223"/>
    <n v="1.6224981969926253"/>
  </r>
  <r>
    <s v="FAIRVIEW STATE BANKING COMPANY"/>
    <s v="Fairview"/>
    <x v="1"/>
    <n v="61432"/>
    <d v="2021-09-30T00:00:00"/>
    <x v="2"/>
    <n v="6"/>
    <n v="35845"/>
    <n v="5917"/>
    <n v="35845"/>
    <n v="31541"/>
    <n v="30770"/>
    <x v="2"/>
    <n v="0.09"/>
    <n v="2769.2999999999997"/>
    <n v="0.87992746547635659"/>
    <n v="5974.166666666667"/>
    <n v="2.136641028418734"/>
  </r>
  <r>
    <s v="FALL RIVER FIVE CENTS SAVINGS BANK"/>
    <s v="Fall River"/>
    <x v="3"/>
    <n v="2720"/>
    <d v="2019-09-30T00:00:00"/>
    <x v="0"/>
    <n v="203"/>
    <n v="1065470"/>
    <n v="23697"/>
    <n v="1065470"/>
    <n v="974217"/>
    <n v="919228"/>
    <x v="1"/>
    <n v="0.08"/>
    <n v="73538.240000000005"/>
    <n v="0.91435422865026705"/>
    <n v="5248.6206896551721"/>
    <n v="0.32224051051534547"/>
  </r>
  <r>
    <s v="FALL RIVER FIVE CENTS SAVINGS BANK"/>
    <s v="Fall River"/>
    <x v="3"/>
    <n v="2720"/>
    <d v="2020-09-30T00:00:00"/>
    <x v="1"/>
    <n v="204"/>
    <n v="1216888"/>
    <n v="61669"/>
    <n v="1216888"/>
    <n v="1117600"/>
    <n v="1063528"/>
    <x v="1"/>
    <n v="0.08"/>
    <n v="85082.240000000005"/>
    <n v="0.91840826764665273"/>
    <n v="5965.1372549019607"/>
    <n v="0.72481636590668042"/>
  </r>
  <r>
    <s v="FALL RIVER FIVE CENTS SAVINGS BANK"/>
    <s v="Fall River"/>
    <x v="3"/>
    <n v="2720"/>
    <d v="2021-09-30T00:00:00"/>
    <x v="2"/>
    <n v="220"/>
    <n v="1340639"/>
    <n v="26030"/>
    <n v="1340639"/>
    <n v="1215393"/>
    <n v="1169986"/>
    <x v="1"/>
    <n v="0.08"/>
    <n v="93598.88"/>
    <n v="0.90657738585853465"/>
    <n v="6093.8136363636368"/>
    <n v="0.27810161830996266"/>
  </r>
  <r>
    <s v="FAMILY FEDERAL SAVINGS, F.A."/>
    <s v="Fitchburg"/>
    <x v="3"/>
    <n v="1420"/>
    <d v="2019-09-30T00:00:00"/>
    <x v="0"/>
    <n v="18"/>
    <n v="95703"/>
    <n v="4564"/>
    <n v="95703"/>
    <n v="84463"/>
    <n v="82861"/>
    <x v="2"/>
    <n v="9.5000000000000001E-2"/>
    <n v="7871.7950000000001"/>
    <n v="0.88255331598800457"/>
    <n v="5316.833333333333"/>
    <n v="0.57979152150176672"/>
  </r>
  <r>
    <s v="FARMERS &amp; MECHANICS BANK"/>
    <s v="Galesburg"/>
    <x v="1"/>
    <n v="61401"/>
    <d v="2019-09-30T00:00:00"/>
    <x v="0"/>
    <n v="70"/>
    <n v="369674"/>
    <n v="5940"/>
    <n v="369674"/>
    <n v="318252"/>
    <n v="302495"/>
    <x v="0"/>
    <n v="0.08"/>
    <n v="24199.600000000002"/>
    <n v="0.86089906241715675"/>
    <n v="5281.0571428571429"/>
    <n v="0.24545860262153091"/>
  </r>
  <r>
    <s v="FARMERS &amp; MECHANICS BANK"/>
    <s v="Galesburg"/>
    <x v="1"/>
    <n v="61401"/>
    <d v="2020-09-30T00:00:00"/>
    <x v="1"/>
    <n v="66"/>
    <n v="402990"/>
    <n v="9029"/>
    <n v="402990"/>
    <n v="353069"/>
    <n v="332868"/>
    <x v="0"/>
    <n v="0.08"/>
    <n v="26629.440000000002"/>
    <n v="0.87612347700935511"/>
    <n v="6105.909090909091"/>
    <n v="0.33906082891716832"/>
  </r>
  <r>
    <s v="FARMERS &amp; MERCHANTS BANK OF CENTRAL CALIFORNIA"/>
    <s v="Lodi"/>
    <x v="0"/>
    <n v="95240"/>
    <d v="2019-09-30T00:00:00"/>
    <x v="0"/>
    <n v="368"/>
    <n v="3569064"/>
    <n v="224814"/>
    <n v="3569064"/>
    <n v="3204219"/>
    <n v="3141089"/>
    <x v="1"/>
    <n v="0.08"/>
    <n v="251287.12"/>
    <n v="0.89777571934826605"/>
    <n v="9698.54347826087"/>
    <n v="0.89464991281686068"/>
  </r>
  <r>
    <s v="FARMERS &amp; MERCHANTS BANK OF CENTRAL CALIFORNIA"/>
    <s v="Lodi"/>
    <x v="0"/>
    <n v="95240"/>
    <d v="2020-09-30T00:00:00"/>
    <x v="1"/>
    <n v="360"/>
    <n v="4301259"/>
    <n v="359185"/>
    <n v="4301259"/>
    <n v="3874823"/>
    <n v="3815755"/>
    <x v="1"/>
    <n v="0.08"/>
    <n v="305260.40000000002"/>
    <n v="0.90085786510414745"/>
    <n v="11947.941666666668"/>
    <n v="1.1766511476758859"/>
  </r>
  <r>
    <s v="FARMERS &amp; MERCHANTS BANK OF CENTRAL CALIFORNIA"/>
    <s v="Lodi"/>
    <x v="0"/>
    <n v="95240"/>
    <d v="2021-09-30T00:00:00"/>
    <x v="2"/>
    <n v="360"/>
    <n v="5103549"/>
    <n v="872211"/>
    <n v="5103549"/>
    <n v="4639366"/>
    <n v="4570375"/>
    <x v="1"/>
    <n v="0.08"/>
    <n v="365630"/>
    <n v="0.90904701806527188"/>
    <n v="14176.525"/>
    <n v="2.3855017367283868"/>
  </r>
  <r>
    <s v="FARMERS &amp; MERCHANTS BANK OF HUTSONVILLE"/>
    <s v="Hutsonville"/>
    <x v="1"/>
    <n v="62433"/>
    <d v="2019-09-30T00:00:00"/>
    <x v="0"/>
    <n v="6"/>
    <n v="45591"/>
    <n v="8557"/>
    <n v="45591"/>
    <n v="37196"/>
    <n v="37150"/>
    <x v="2"/>
    <n v="0.09"/>
    <n v="3343.5"/>
    <n v="0.81586277993463618"/>
    <n v="7598.5"/>
    <n v="2.5592941528338566"/>
  </r>
  <r>
    <s v="FARMERS &amp; MERCHANTS BANK OF HUTSONVILLE"/>
    <s v="Hutsonville"/>
    <x v="1"/>
    <n v="62433"/>
    <d v="2020-09-30T00:00:00"/>
    <x v="1"/>
    <n v="7"/>
    <n v="46350"/>
    <n v="10053"/>
    <n v="46350"/>
    <n v="37730"/>
    <n v="37692"/>
    <x v="2"/>
    <n v="0.09"/>
    <n v="3392.2799999999997"/>
    <n v="0.81402373247033444"/>
    <n v="6621.4285714285716"/>
    <n v="2.963493579539425"/>
  </r>
  <r>
    <s v="FARMERS &amp; MERCHANTS BANK OF HUTSONVILLE"/>
    <s v="Hutsonville"/>
    <x v="1"/>
    <n v="62433"/>
    <d v="2021-09-30T00:00:00"/>
    <x v="2"/>
    <n v="7"/>
    <n v="50542"/>
    <n v="4404"/>
    <n v="50542"/>
    <n v="41691"/>
    <n v="41655"/>
    <x v="2"/>
    <n v="0.09"/>
    <n v="3748.95"/>
    <n v="0.82487831902180364"/>
    <n v="7220.2857142857147"/>
    <n v="1.1747289240987477"/>
  </r>
  <r>
    <s v="FARMERS AND MERCHANTS BANK OF LONG BEACH"/>
    <s v="Long Beach"/>
    <x v="0"/>
    <n v="90802"/>
    <d v="2019-09-30T00:00:00"/>
    <x v="0"/>
    <n v="762"/>
    <n v="7597080"/>
    <n v="159351"/>
    <n v="7597080"/>
    <n v="6528854"/>
    <n v="5849283"/>
    <x v="1"/>
    <n v="0.08"/>
    <n v="467942.64"/>
    <n v="0.85938992349692245"/>
    <n v="9969.9212598425202"/>
    <n v="0.34053532715035328"/>
  </r>
  <r>
    <s v="FARMERS AND MERCHANTS BANK OF LONG BEACH"/>
    <s v="Long Beach"/>
    <x v="0"/>
    <n v="90802"/>
    <d v="2020-09-30T00:00:00"/>
    <x v="1"/>
    <n v="764"/>
    <n v="9682905"/>
    <n v="920062"/>
    <n v="9682905"/>
    <n v="8550037"/>
    <n v="7421329"/>
    <x v="1"/>
    <n v="0.08"/>
    <n v="593706.32000000007"/>
    <n v="0.88300329291674351"/>
    <n v="12673.959424083771"/>
    <n v="1.549692110402328"/>
  </r>
  <r>
    <s v="FARMERS AND MERCHANTS BANK OF LONG BEACH"/>
    <s v="Long Beach"/>
    <x v="0"/>
    <n v="90802"/>
    <d v="2021-09-30T00:00:00"/>
    <x v="2"/>
    <n v="749"/>
    <n v="11286280"/>
    <n v="1491538"/>
    <n v="11286280"/>
    <n v="10070270"/>
    <n v="8947240"/>
    <x v="1"/>
    <n v="0.08"/>
    <n v="715779.20000000007"/>
    <n v="0.89225767923531929"/>
    <n v="15068.464619492657"/>
    <n v="2.083796232134155"/>
  </r>
  <r>
    <s v="FARMERS AND MERCHANTS STATE BANK OF BUSHNELL"/>
    <s v="Bushnell"/>
    <x v="1"/>
    <n v="61422"/>
    <d v="2019-09-30T00:00:00"/>
    <x v="0"/>
    <n v="22"/>
    <n v="69490"/>
    <n v="17449"/>
    <n v="69490"/>
    <n v="62734"/>
    <n v="62641"/>
    <x v="2"/>
    <n v="0.09"/>
    <n v="5637.69"/>
    <n v="0.9027773780400058"/>
    <n v="3158.6363636363635"/>
    <n v="3.0950619846071707"/>
  </r>
  <r>
    <s v="FARMERS AND MERCHANTS STATE BANK OF BUSHNELL"/>
    <s v="Bushnell"/>
    <x v="1"/>
    <n v="61422"/>
    <d v="2020-09-30T00:00:00"/>
    <x v="1"/>
    <n v="21"/>
    <n v="78311"/>
    <n v="23663"/>
    <n v="78311"/>
    <n v="71185"/>
    <n v="70930"/>
    <x v="2"/>
    <n v="0.09"/>
    <n v="6383.7"/>
    <n v="0.90900384364904041"/>
    <n v="3729.0952380952381"/>
    <n v="3.7067844666885978"/>
  </r>
  <r>
    <s v="FARMERS AND MERCHANTS STATE BANK OF BUSHNELL"/>
    <s v="Bushnell"/>
    <x v="1"/>
    <n v="61422"/>
    <d v="2021-09-30T00:00:00"/>
    <x v="2"/>
    <n v="20"/>
    <n v="86513"/>
    <n v="22746"/>
    <n v="86513"/>
    <n v="79637"/>
    <n v="79593"/>
    <x v="2"/>
    <n v="0.09"/>
    <n v="7163.37"/>
    <n v="0.92052061539884178"/>
    <n v="4325.6499999999996"/>
    <n v="3.17532111282818"/>
  </r>
  <r>
    <s v="FARMERS NATIONAL BANK"/>
    <s v="Prophetstown"/>
    <x v="1"/>
    <n v="61277"/>
    <d v="2020-09-30T00:00:00"/>
    <x v="1"/>
    <n v="55"/>
    <n v="782493"/>
    <n v="29219"/>
    <n v="782492"/>
    <n v="669781"/>
    <n v="522962"/>
    <x v="0"/>
    <n v="0.08"/>
    <n v="41836.959999999999"/>
    <n v="0.85595781687503913"/>
    <n v="14227.145454545454"/>
    <n v="0.69840160470550439"/>
  </r>
  <r>
    <s v="FARMERS NATIONAL BANK"/>
    <s v="Prophetstown"/>
    <x v="1"/>
    <n v="61277"/>
    <d v="2021-09-30T00:00:00"/>
    <x v="2"/>
    <n v="56"/>
    <n v="857869"/>
    <n v="25190"/>
    <n v="857869"/>
    <n v="736380"/>
    <n v="596698"/>
    <x v="0"/>
    <n v="0.08"/>
    <n v="47735.840000000004"/>
    <n v="0.85838280669892486"/>
    <n v="15319.089285714286"/>
    <n v="0.52769575229010313"/>
  </r>
  <r>
    <s v="FARMERS NATIONAL BANK OF GRIGGSVILLE"/>
    <s v="Griggsville"/>
    <x v="1"/>
    <n v="62340"/>
    <d v="2019-09-30T00:00:00"/>
    <x v="0"/>
    <n v="23"/>
    <n v="91258"/>
    <n v="10669"/>
    <n v="91259"/>
    <n v="81102"/>
    <n v="79491"/>
    <x v="2"/>
    <n v="0.09"/>
    <n v="7154.19"/>
    <n v="0.8887111266957417"/>
    <n v="3967.7391304347825"/>
    <n v="1.4912939130775114"/>
  </r>
  <r>
    <s v="FARMERS NATIONAL BANK OF GRIGGSVILLE"/>
    <s v="Griggsville"/>
    <x v="1"/>
    <n v="62340"/>
    <d v="2020-09-30T00:00:00"/>
    <x v="1"/>
    <n v="22"/>
    <n v="106436"/>
    <n v="11898"/>
    <n v="106436"/>
    <n v="95239"/>
    <n v="89654"/>
    <x v="0"/>
    <n v="0.08"/>
    <n v="7172.32"/>
    <n v="0.8948006313653275"/>
    <n v="4838"/>
    <n v="1.658877462243737"/>
  </r>
  <r>
    <s v="FARMERS NATIONAL BANK OF GRIGGSVILLE"/>
    <s v="Griggsville"/>
    <x v="1"/>
    <n v="62340"/>
    <d v="2021-09-30T00:00:00"/>
    <x v="2"/>
    <n v="24"/>
    <n v="123971"/>
    <n v="19706"/>
    <n v="123971"/>
    <n v="111504"/>
    <n v="104871"/>
    <x v="0"/>
    <n v="0.08"/>
    <n v="8389.68"/>
    <n v="0.89943615845641323"/>
    <n v="5165.458333333333"/>
    <n v="2.3488380963278694"/>
  </r>
  <r>
    <s v="FARMERS STATE BANK"/>
    <s v="Pittsfield"/>
    <x v="1"/>
    <n v="62363"/>
    <d v="2019-09-30T00:00:00"/>
    <x v="0"/>
    <n v="51"/>
    <n v="252522"/>
    <n v="11258"/>
    <n v="252522"/>
    <n v="217540"/>
    <n v="215738"/>
    <x v="0"/>
    <n v="0.08"/>
    <n v="17259.04"/>
    <n v="0.86146949572710496"/>
    <n v="4951.411764705882"/>
    <n v="0.65229584032483845"/>
  </r>
  <r>
    <s v="FARMERS STATE BANK"/>
    <s v="Elmwood"/>
    <x v="1"/>
    <n v="61529"/>
    <d v="2019-09-30T00:00:00"/>
    <x v="0"/>
    <n v="14"/>
    <n v="55345"/>
    <n v="4616"/>
    <n v="55345"/>
    <n v="50449"/>
    <n v="48911"/>
    <x v="2"/>
    <n v="0.09"/>
    <n v="4401.99"/>
    <n v="0.91153672418465981"/>
    <n v="3953.2142857142858"/>
    <n v="1.048616648379483"/>
  </r>
  <r>
    <s v="FARMERS STATE BANK"/>
    <s v="Pittsfield"/>
    <x v="1"/>
    <n v="62363"/>
    <d v="2020-09-30T00:00:00"/>
    <x v="1"/>
    <n v="50"/>
    <n v="285665"/>
    <n v="5917"/>
    <n v="285665"/>
    <n v="247701"/>
    <n v="241937"/>
    <x v="0"/>
    <n v="0.08"/>
    <n v="19354.96"/>
    <n v="0.86710307528048591"/>
    <n v="5713.3"/>
    <n v="0.30570975088556113"/>
  </r>
  <r>
    <s v="FARMERS STATE BANK"/>
    <s v="Elmwood"/>
    <x v="1"/>
    <n v="61529"/>
    <d v="2020-09-30T00:00:00"/>
    <x v="1"/>
    <n v="13"/>
    <n v="59525"/>
    <n v="7343"/>
    <n v="59524"/>
    <n v="53918"/>
    <n v="52402"/>
    <x v="2"/>
    <n v="0.09"/>
    <n v="4716.1799999999994"/>
    <n v="0.90580428391432166"/>
    <n v="4578.8461538461543"/>
    <n v="1.5569804375575149"/>
  </r>
  <r>
    <s v="FARMERS STATE BANK"/>
    <s v="Pittsfield"/>
    <x v="1"/>
    <n v="62363"/>
    <d v="2021-09-30T00:00:00"/>
    <x v="2"/>
    <n v="46"/>
    <n v="309325"/>
    <n v="4603"/>
    <n v="309325"/>
    <n v="268952"/>
    <n v="267287"/>
    <x v="0"/>
    <n v="0.08"/>
    <n v="21382.959999999999"/>
    <n v="0.86948032005172549"/>
    <n v="6724.45652173913"/>
    <n v="0.21526486510754358"/>
  </r>
  <r>
    <s v="FARMERS STATE BANK"/>
    <s v="Elmwood"/>
    <x v="1"/>
    <n v="61529"/>
    <d v="2021-09-30T00:00:00"/>
    <x v="2"/>
    <n v="11"/>
    <n v="65923"/>
    <n v="5435"/>
    <n v="65923"/>
    <n v="60405"/>
    <n v="57434"/>
    <x v="2"/>
    <n v="0.09"/>
    <n v="5169.0599999999995"/>
    <n v="0.91629628505984251"/>
    <n v="5993"/>
    <n v="1.0514484258259724"/>
  </r>
  <r>
    <s v="FARMERS STATE BANK &amp; TRUST CO."/>
    <s v="Mount Sterling"/>
    <x v="1"/>
    <n v="62353"/>
    <d v="2019-09-30T00:00:00"/>
    <x v="0"/>
    <n v="16"/>
    <n v="97011"/>
    <n v="8912"/>
    <n v="97011"/>
    <n v="88270"/>
    <n v="86815"/>
    <x v="2"/>
    <n v="0.09"/>
    <n v="7813.3499999999995"/>
    <n v="0.90989681582500959"/>
    <n v="6063.1875"/>
    <n v="1.140611901425125"/>
  </r>
  <r>
    <s v="FARMERS STATE BANK &amp; TRUST CO."/>
    <s v="Mount Sterling"/>
    <x v="1"/>
    <n v="62353"/>
    <d v="2020-09-30T00:00:00"/>
    <x v="1"/>
    <n v="16"/>
    <n v="120051"/>
    <n v="10203"/>
    <n v="120051"/>
    <n v="110545"/>
    <n v="105178"/>
    <x v="0"/>
    <n v="0.08"/>
    <n v="8414.24"/>
    <n v="0.92081698611423479"/>
    <n v="7503.1875"/>
    <n v="1.212587233071555"/>
  </r>
  <r>
    <s v="FARMERS STATE BANK &amp; TRUST CO."/>
    <s v="Mount Sterling"/>
    <x v="1"/>
    <n v="62353"/>
    <d v="2021-09-30T00:00:00"/>
    <x v="2"/>
    <n v="15"/>
    <n v="119542"/>
    <n v="23917"/>
    <n v="119542"/>
    <n v="109613"/>
    <n v="108385"/>
    <x v="0"/>
    <n v="0.08"/>
    <n v="8670.7999999999993"/>
    <n v="0.91694132606113332"/>
    <n v="7969.4666666666662"/>
    <n v="2.7583383309498548"/>
  </r>
  <r>
    <s v="FARMERS STATE BANK OF ALTO PASS, ILL."/>
    <s v="Alto Pass"/>
    <x v="1"/>
    <n v="62905"/>
    <d v="2019-09-30T00:00:00"/>
    <x v="0"/>
    <n v="55"/>
    <n v="234753"/>
    <n v="5791"/>
    <n v="234753"/>
    <n v="214116"/>
    <n v="213454"/>
    <x v="0"/>
    <n v="0.08"/>
    <n v="17076.32"/>
    <n v="0.91209058031207269"/>
    <n v="4268.2363636363634"/>
    <n v="0.33912458890440095"/>
  </r>
  <r>
    <s v="FARMERS STATE BANK OF ALTO PASS, ILL."/>
    <s v="Alto Pass"/>
    <x v="1"/>
    <n v="62905"/>
    <d v="2020-09-30T00:00:00"/>
    <x v="1"/>
    <n v="56"/>
    <n v="318062"/>
    <n v="18958"/>
    <n v="318062"/>
    <n v="295369"/>
    <n v="238478"/>
    <x v="0"/>
    <n v="0.08"/>
    <n v="19078.240000000002"/>
    <n v="0.92865227534254324"/>
    <n v="5679.6785714285716"/>
    <n v="0.99369753184780141"/>
  </r>
  <r>
    <s v="FARMERS STATE BANK OF ALTO PASS, ILL."/>
    <s v="Alto Pass"/>
    <x v="1"/>
    <n v="62905"/>
    <d v="2021-09-30T00:00:00"/>
    <x v="2"/>
    <n v="61"/>
    <n v="293185"/>
    <n v="11310"/>
    <n v="293185"/>
    <n v="267262"/>
    <n v="265126"/>
    <x v="0"/>
    <n v="0.08"/>
    <n v="21210.080000000002"/>
    <n v="0.91158142469771641"/>
    <n v="4806.311475409836"/>
    <n v="0.53323702692304786"/>
  </r>
  <r>
    <s v="FARMERS STATE BANK OF DANFORTH"/>
    <s v="Danforth"/>
    <x v="1"/>
    <n v="60930"/>
    <d v="2019-09-30T00:00:00"/>
    <x v="0"/>
    <n v="17"/>
    <n v="59631"/>
    <n v="2348"/>
    <n v="59631"/>
    <n v="51835"/>
    <n v="51346"/>
    <x v="2"/>
    <n v="0.09"/>
    <n v="4621.1399999999994"/>
    <n v="0.86926263185255992"/>
    <n v="3507.705882352941"/>
    <n v="0.50809973296632438"/>
  </r>
  <r>
    <s v="FARMERS STATE BANK OF EMDEN"/>
    <s v="Emden"/>
    <x v="1"/>
    <n v="62635"/>
    <d v="2019-09-30T00:00:00"/>
    <x v="0"/>
    <n v="6"/>
    <n v="35019"/>
    <n v="1121"/>
    <n v="35019"/>
    <n v="25392"/>
    <n v="25215"/>
    <x v="2"/>
    <n v="0.09"/>
    <n v="2269.35"/>
    <n v="0.72509209286387388"/>
    <n v="5836.5"/>
    <n v="0.49397404543151124"/>
  </r>
  <r>
    <s v="FARMERS STATE BANK OF EMDEN"/>
    <s v="Emden"/>
    <x v="1"/>
    <n v="62635"/>
    <d v="2020-09-30T00:00:00"/>
    <x v="1"/>
    <n v="6"/>
    <n v="37622"/>
    <n v="835"/>
    <n v="37622"/>
    <n v="27846"/>
    <n v="27699"/>
    <x v="2"/>
    <n v="0.09"/>
    <n v="2492.91"/>
    <n v="0.74015203870076018"/>
    <n v="6270.333333333333"/>
    <n v="0.33494991796735546"/>
  </r>
  <r>
    <s v="FARMERS STATE BANK OF EMDEN"/>
    <s v="Emden"/>
    <x v="1"/>
    <n v="62635"/>
    <d v="2021-09-30T00:00:00"/>
    <x v="2"/>
    <n v="5"/>
    <n v="39891"/>
    <n v="847"/>
    <n v="39891"/>
    <n v="29992"/>
    <n v="29847"/>
    <x v="2"/>
    <n v="0.09"/>
    <n v="2686.23"/>
    <n v="0.75184878794715604"/>
    <n v="7978.2"/>
    <n v="0.3153117938523507"/>
  </r>
  <r>
    <s v="FARMERS STATE BANK OF HOFFMAN"/>
    <s v="Hoffman"/>
    <x v="1"/>
    <n v="62250"/>
    <d v="2019-09-30T00:00:00"/>
    <x v="0"/>
    <n v="34"/>
    <n v="152128"/>
    <n v="10369"/>
    <n v="152128"/>
    <n v="127990"/>
    <n v="125827"/>
    <x v="0"/>
    <n v="0.08"/>
    <n v="10066.16"/>
    <n v="0.84133098443416066"/>
    <n v="4474.3529411764703"/>
    <n v="1.0300849579184117"/>
  </r>
  <r>
    <s v="FARMERS STATE BANK OF HOFFMAN"/>
    <s v="Hoffman"/>
    <x v="1"/>
    <n v="62250"/>
    <d v="2020-09-30T00:00:00"/>
    <x v="1"/>
    <n v="32"/>
    <n v="163279"/>
    <n v="16533"/>
    <n v="163279"/>
    <n v="137750"/>
    <n v="131643"/>
    <x v="0"/>
    <n v="0.08"/>
    <n v="10531.44"/>
    <n v="0.84364798902492055"/>
    <n v="5102.46875"/>
    <n v="1.5698707869009365"/>
  </r>
  <r>
    <s v="FARMERS STATE BANK OF HOFFMAN"/>
    <s v="Hoffman"/>
    <x v="1"/>
    <n v="62250"/>
    <d v="2021-09-30T00:00:00"/>
    <x v="2"/>
    <n v="35"/>
    <n v="186945"/>
    <n v="12445"/>
    <n v="186945"/>
    <n v="162007"/>
    <n v="151009"/>
    <x v="0"/>
    <n v="0.08"/>
    <n v="12080.72"/>
    <n v="0.86660247666425949"/>
    <n v="5341.2857142857147"/>
    <n v="1.0301538318908146"/>
  </r>
  <r>
    <s v="FARMERS STATE BANK OF MEDORA"/>
    <s v="Medora"/>
    <x v="1"/>
    <n v="62063"/>
    <d v="2019-09-30T00:00:00"/>
    <x v="0"/>
    <n v="5"/>
    <n v="19581"/>
    <n v="3113"/>
    <n v="19581"/>
    <n v="16227"/>
    <n v="16164"/>
    <x v="2"/>
    <n v="0.09"/>
    <n v="1454.76"/>
    <n v="0.8287115060517849"/>
    <n v="3916.2"/>
    <n v="2.1398718688993372"/>
  </r>
  <r>
    <s v="FARMERS STATE BANK OF MEDORA"/>
    <s v="Medora"/>
    <x v="1"/>
    <n v="62063"/>
    <d v="2020-09-30T00:00:00"/>
    <x v="1"/>
    <n v="5"/>
    <n v="22810"/>
    <n v="2361"/>
    <n v="22810"/>
    <n v="19362"/>
    <n v="19253"/>
    <x v="2"/>
    <n v="0.09"/>
    <n v="1732.77"/>
    <n v="0.84883822884699689"/>
    <n v="4562"/>
    <n v="1.3625582160355962"/>
  </r>
  <r>
    <s v="FARMERS STATE BANK OF MEDORA"/>
    <s v="Medora"/>
    <x v="1"/>
    <n v="62063"/>
    <d v="2021-09-30T00:00:00"/>
    <x v="2"/>
    <n v="5"/>
    <n v="24830"/>
    <n v="2176"/>
    <n v="24830"/>
    <n v="21586"/>
    <n v="21497"/>
    <x v="2"/>
    <n v="0.09"/>
    <n v="1934.73"/>
    <n v="0.86935159081755942"/>
    <n v="4966"/>
    <n v="1.1247047391625704"/>
  </r>
  <r>
    <s v="FARMERS STATE BANK OF WESTERN ILLINOIS"/>
    <s v="Alpha"/>
    <x v="1"/>
    <n v="61413"/>
    <d v="2019-09-30T00:00:00"/>
    <x v="0"/>
    <n v="40"/>
    <n v="144443"/>
    <n v="28223"/>
    <n v="144443"/>
    <n v="126342"/>
    <n v="123717"/>
    <x v="0"/>
    <n v="0.08"/>
    <n v="9897.36"/>
    <n v="0.87468413145669921"/>
    <n v="3611.0749999999998"/>
    <n v="2.8515684990745007"/>
  </r>
  <r>
    <s v="FARMERS STATE BANK OF WESTERN ILLINOIS"/>
    <s v="Alpha"/>
    <x v="1"/>
    <n v="61413"/>
    <d v="2020-09-30T00:00:00"/>
    <x v="1"/>
    <n v="40"/>
    <n v="152495"/>
    <n v="36513"/>
    <n v="152495"/>
    <n v="132922"/>
    <n v="130144"/>
    <x v="0"/>
    <n v="0.08"/>
    <n v="10411.52"/>
    <n v="0.87164825076232011"/>
    <n v="3812.375"/>
    <n v="3.5069807290386033"/>
  </r>
  <r>
    <s v="FARMERS STATE BANK OF WESTERN ILLINOIS"/>
    <s v="Alpha"/>
    <x v="1"/>
    <n v="61413"/>
    <d v="2021-09-30T00:00:00"/>
    <x v="2"/>
    <n v="39"/>
    <n v="172674"/>
    <n v="38322"/>
    <n v="172674"/>
    <n v="153305"/>
    <n v="150280"/>
    <x v="0"/>
    <n v="0.08"/>
    <n v="12022.4"/>
    <n v="0.8878290883398775"/>
    <n v="4427.5384615384619"/>
    <n v="3.1875499068405642"/>
  </r>
  <r>
    <s v="FARMERS-MERCHANTS BANK OF ILLINOIS"/>
    <s v="Joy"/>
    <x v="1"/>
    <n v="61260"/>
    <d v="2019-09-30T00:00:00"/>
    <x v="0"/>
    <n v="34"/>
    <n v="191166"/>
    <n v="4487"/>
    <n v="191166"/>
    <n v="160909"/>
    <n v="146762"/>
    <x v="0"/>
    <n v="0.08"/>
    <n v="11740.960000000001"/>
    <n v="0.84172394672692841"/>
    <n v="5622.5294117647063"/>
    <n v="0.38216636459028902"/>
  </r>
  <r>
    <s v="FARMERS-MERCHANTS BANK OF ILLINOIS"/>
    <s v="Joy"/>
    <x v="1"/>
    <n v="61260"/>
    <d v="2020-09-30T00:00:00"/>
    <x v="1"/>
    <n v="34"/>
    <n v="250184"/>
    <n v="2630"/>
    <n v="250184"/>
    <n v="216689"/>
    <n v="179420"/>
    <x v="0"/>
    <n v="0.08"/>
    <n v="14353.6"/>
    <n v="0.86611853675694683"/>
    <n v="7358.3529411764703"/>
    <n v="0.18322929439304425"/>
  </r>
  <r>
    <s v="FARMERS-MERCHANTS BANK OF ILLINOIS"/>
    <s v="Joy"/>
    <x v="1"/>
    <n v="61260"/>
    <d v="2021-09-30T00:00:00"/>
    <x v="2"/>
    <n v="29"/>
    <n v="302204"/>
    <n v="2911"/>
    <n v="302204"/>
    <n v="265260"/>
    <n v="205228"/>
    <x v="0"/>
    <n v="0.08"/>
    <n v="16418.240000000002"/>
    <n v="0.87775145266111632"/>
    <n v="10420.827586206897"/>
    <n v="0.17730280468552048"/>
  </r>
  <r>
    <s v="FCB BANKS"/>
    <s v="Collinsville"/>
    <x v="1"/>
    <n v="62234"/>
    <d v="2019-09-30T00:00:00"/>
    <x v="0"/>
    <n v="210"/>
    <n v="1681608"/>
    <n v="147399"/>
    <n v="1681608"/>
    <n v="1533296"/>
    <n v="1384625"/>
    <x v="1"/>
    <n v="7.4999999999999997E-2"/>
    <n v="103846.875"/>
    <n v="0.91180346430321457"/>
    <n v="8007.6571428571433"/>
    <n v="1.4193879209172158"/>
  </r>
  <r>
    <s v="FCB BANKS"/>
    <s v="Collinsville"/>
    <x v="1"/>
    <n v="62234"/>
    <d v="2020-09-30T00:00:00"/>
    <x v="1"/>
    <n v="224"/>
    <n v="1935960"/>
    <n v="180870"/>
    <n v="1935960"/>
    <n v="1772002"/>
    <n v="1624236"/>
    <x v="1"/>
    <n v="7.4999999999999997E-2"/>
    <n v="121817.7"/>
    <n v="0.91530920060331822"/>
    <n v="8642.6785714285706"/>
    <n v="1.484759603899926"/>
  </r>
  <r>
    <s v="FCB BANKS"/>
    <s v="Collinsville"/>
    <x v="1"/>
    <n v="62234"/>
    <d v="2021-09-30T00:00:00"/>
    <x v="2"/>
    <n v="204"/>
    <n v="2034931"/>
    <n v="348831"/>
    <n v="2034931"/>
    <n v="1861123"/>
    <n v="1782505"/>
    <x v="1"/>
    <n v="7.4999999999999997E-2"/>
    <n v="133687.875"/>
    <n v="0.91458776734935976"/>
    <n v="9975.1519607843129"/>
    <n v="2.6092942235786154"/>
  </r>
  <r>
    <s v="FEDERATED BANK"/>
    <s v="Onarga"/>
    <x v="1"/>
    <n v="60955"/>
    <d v="2019-09-30T00:00:00"/>
    <x v="0"/>
    <n v="27"/>
    <n v="97078"/>
    <n v="24372"/>
    <n v="97078"/>
    <n v="85471"/>
    <n v="85336"/>
    <x v="2"/>
    <n v="0.09"/>
    <n v="7680.24"/>
    <n v="0.88043635015142463"/>
    <n v="3595.4814814814813"/>
    <n v="3.1733383331770884"/>
  </r>
  <r>
    <s v="FEDERATED BANK"/>
    <s v="Onarga"/>
    <x v="1"/>
    <n v="60955"/>
    <d v="2020-09-30T00:00:00"/>
    <x v="1"/>
    <n v="28"/>
    <n v="105187"/>
    <n v="13933"/>
    <n v="105187"/>
    <n v="92340"/>
    <n v="87982"/>
    <x v="0"/>
    <n v="0.08"/>
    <n v="7038.56"/>
    <n v="0.87786513542548028"/>
    <n v="3756.6785714285716"/>
    <n v="1.9795242208633583"/>
  </r>
  <r>
    <s v="FEDERATED BANK"/>
    <s v="Onarga"/>
    <x v="1"/>
    <n v="60955"/>
    <d v="2021-09-30T00:00:00"/>
    <x v="2"/>
    <n v="29"/>
    <n v="115181"/>
    <n v="26744"/>
    <n v="115181"/>
    <n v="101755"/>
    <n v="96125"/>
    <x v="0"/>
    <n v="0.08"/>
    <n v="7690"/>
    <n v="0.88343563608581277"/>
    <n v="3971.7586206896553"/>
    <n v="3.4777633289986998"/>
  </r>
  <r>
    <s v="FIDELITY CO-OPERATIVE BANK"/>
    <s v="Fitchburg"/>
    <x v="3"/>
    <n v="1420"/>
    <d v="2019-09-30T00:00:00"/>
    <x v="0"/>
    <n v="163"/>
    <n v="1001999"/>
    <n v="53786"/>
    <n v="1001998"/>
    <n v="917841"/>
    <n v="854670"/>
    <x v="1"/>
    <n v="0.08"/>
    <n v="68373.600000000006"/>
    <n v="0.91600989621746132"/>
    <n v="6147.2331288343557"/>
    <n v="0.78664864801619327"/>
  </r>
  <r>
    <s v="FIDELITY CO-OPERATIVE BANK"/>
    <s v="Leominster"/>
    <x v="3"/>
    <n v="1453"/>
    <d v="2020-09-30T00:00:00"/>
    <x v="1"/>
    <n v="152"/>
    <n v="1129451"/>
    <n v="30133"/>
    <n v="1129451"/>
    <n v="1028085"/>
    <n v="948680"/>
    <x v="1"/>
    <n v="0.08"/>
    <n v="75894.400000000009"/>
    <n v="0.91025197197576524"/>
    <n v="7430.5986842105267"/>
    <n v="0.39703851667580214"/>
  </r>
  <r>
    <s v="FIDELITY CO-OPERATIVE BANK"/>
    <s v="Leominster"/>
    <x v="3"/>
    <n v="1453"/>
    <d v="2021-09-30T00:00:00"/>
    <x v="2"/>
    <n v="158"/>
    <n v="1190288"/>
    <n v="29417"/>
    <n v="1190288"/>
    <n v="1069396"/>
    <n v="1049261"/>
    <x v="1"/>
    <n v="0.08"/>
    <n v="83940.88"/>
    <n v="0.89843466455177234"/>
    <n v="7533.4683544303798"/>
    <n v="0.35044903031752822"/>
  </r>
  <r>
    <s v="FIDELITY PERSONAL TRUST COMPANY, FSB"/>
    <s v="Boston"/>
    <x v="3"/>
    <n v="2210"/>
    <d v="2019-09-30T00:00:00"/>
    <x v="0"/>
    <n v="35"/>
    <n v="98221"/>
    <n v="64"/>
    <n v="98221"/>
    <n v="4984"/>
    <n v="500"/>
    <x v="2"/>
    <n v="9.5000000000000001E-2"/>
    <n v="47.5"/>
    <n v="5.0742712861811631E-2"/>
    <n v="2806.3142857142857"/>
    <n v="1.3473684210526315"/>
  </r>
  <r>
    <s v="FIDELITY PERSONAL TRUST COMPANY, FSB"/>
    <s v="Boston"/>
    <x v="3"/>
    <n v="2210"/>
    <d v="2020-09-30T00:00:00"/>
    <x v="1"/>
    <n v="35"/>
    <n v="103358"/>
    <n v="75"/>
    <n v="103358"/>
    <n v="1898"/>
    <n v="500"/>
    <x v="0"/>
    <n v="8.5000000000000006E-2"/>
    <n v="42.5"/>
    <n v="1.8363358424118115E-2"/>
    <n v="2953.0857142857144"/>
    <n v="1.7647058823529411"/>
  </r>
  <r>
    <s v="FIDELITY PERSONAL TRUST COMPANY, FSB"/>
    <s v="Boston"/>
    <x v="3"/>
    <n v="2210"/>
    <d v="2021-09-30T00:00:00"/>
    <x v="2"/>
    <n v="37"/>
    <n v="117024"/>
    <n v="78"/>
    <n v="117024"/>
    <n v="2627"/>
    <n v="500"/>
    <x v="0"/>
    <n v="8.5000000000000006E-2"/>
    <n v="42.5"/>
    <n v="2.2448386655728739E-2"/>
    <n v="3162.8108108108108"/>
    <n v="1.8352941176470587"/>
  </r>
  <r>
    <s v="FIRST AMERICAN BANK"/>
    <s v="Elk Grove Villag"/>
    <x v="1"/>
    <n v="60007"/>
    <d v="2019-09-30T00:00:00"/>
    <x v="0"/>
    <n v="735"/>
    <n v="4495916"/>
    <n v="150041"/>
    <n v="4495916"/>
    <n v="4081130"/>
    <n v="3421138"/>
    <x v="1"/>
    <n v="7.4999999999999997E-2"/>
    <n v="256585.34999999998"/>
    <n v="0.90774160371323664"/>
    <n v="6116.8925170068023"/>
    <n v="0.58476058746144322"/>
  </r>
  <r>
    <s v="FIRST AMERICAN BANK"/>
    <s v="Elk Grove Villag"/>
    <x v="1"/>
    <n v="60007"/>
    <d v="2020-09-30T00:00:00"/>
    <x v="1"/>
    <n v="835"/>
    <n v="5878877"/>
    <n v="214986"/>
    <n v="5878877"/>
    <n v="5455284"/>
    <n v="4362471"/>
    <x v="1"/>
    <n v="7.4999999999999997E-2"/>
    <n v="327185.32500000001"/>
    <n v="0.92794661293304825"/>
    <n v="7040.5712574850295"/>
    <n v="0.65707714733232603"/>
  </r>
  <r>
    <s v="FIRST AMERICAN BANK"/>
    <s v="Elk Grove Villag"/>
    <x v="1"/>
    <n v="60007"/>
    <d v="2021-09-30T00:00:00"/>
    <x v="2"/>
    <n v="851"/>
    <n v="6036315"/>
    <n v="254052"/>
    <n v="6036315"/>
    <n v="5562831"/>
    <n v="4759498"/>
    <x v="1"/>
    <n v="7.4999999999999997E-2"/>
    <n v="356962.35"/>
    <n v="0.92156075353920397"/>
    <n v="7093.2021151586368"/>
    <n v="0.71170531009782967"/>
  </r>
  <r>
    <s v="FIRST AMERICAN TRUST, FSB"/>
    <s v="Santa Ana"/>
    <x v="0"/>
    <n v="92707"/>
    <d v="2019-09-30T00:00:00"/>
    <x v="0"/>
    <n v="112"/>
    <n v="4248423"/>
    <n v="889891"/>
    <n v="4248423"/>
    <n v="3896210"/>
    <n v="3874310"/>
    <x v="1"/>
    <n v="0.08"/>
    <n v="309944.8"/>
    <n v="0.91709559052853262"/>
    <n v="37932.348214285717"/>
    <n v="2.8711273749390216"/>
  </r>
  <r>
    <s v="FIRST AMERICAN TRUST, FSB"/>
    <s v="Santa Ana"/>
    <x v="0"/>
    <n v="92707"/>
    <d v="2020-09-30T00:00:00"/>
    <x v="1"/>
    <n v="126"/>
    <n v="4481920"/>
    <n v="963531"/>
    <n v="4481920"/>
    <n v="4082554"/>
    <n v="4043509"/>
    <x v="1"/>
    <n v="0.08"/>
    <n v="323480.72000000003"/>
    <n v="0.91089399186063114"/>
    <n v="35570.793650793654"/>
    <n v="2.9786350172585245"/>
  </r>
  <r>
    <s v="FIRST AMERICAN TRUST, FSB"/>
    <s v="Santa Ana"/>
    <x v="0"/>
    <n v="92707"/>
    <d v="2021-09-30T00:00:00"/>
    <x v="2"/>
    <n v="142"/>
    <n v="7818152"/>
    <n v="1344329"/>
    <n v="7818152"/>
    <n v="7313163"/>
    <n v="7136810"/>
    <x v="1"/>
    <n v="0.08"/>
    <n v="570944.80000000005"/>
    <n v="0.93540813737057049"/>
    <n v="55057.408450704228"/>
    <n v="2.3545691282239543"/>
  </r>
  <r>
    <s v="FIRST BANK AND TRUST COMPANY OF ILLINOIS"/>
    <s v="Palatine"/>
    <x v="1"/>
    <n v="60067"/>
    <d v="2019-09-30T00:00:00"/>
    <x v="0"/>
    <n v="31"/>
    <n v="187042"/>
    <n v="35125"/>
    <n v="187042"/>
    <n v="169760"/>
    <n v="169259"/>
    <x v="0"/>
    <n v="0.08"/>
    <n v="13540.720000000001"/>
    <n v="0.90760363982421055"/>
    <n v="6033.6129032258068"/>
    <n v="2.5940274963222043"/>
  </r>
  <r>
    <s v="FIRST BANK AND TRUST COMPANY OF ILLINOIS"/>
    <s v="Palatine"/>
    <x v="1"/>
    <n v="60067"/>
    <d v="2020-09-30T00:00:00"/>
    <x v="1"/>
    <n v="26"/>
    <n v="189995"/>
    <n v="36732"/>
    <n v="189995"/>
    <n v="174160"/>
    <n v="173464"/>
    <x v="0"/>
    <n v="0.08"/>
    <n v="13877.12"/>
    <n v="0.91665570146582809"/>
    <n v="7307.5"/>
    <n v="2.6469469169395379"/>
  </r>
  <r>
    <s v="FIRST BANK AND TRUST COMPANY OF ILLINOIS"/>
    <s v="Palatine"/>
    <x v="1"/>
    <n v="60067"/>
    <d v="2021-09-30T00:00:00"/>
    <x v="2"/>
    <n v="28"/>
    <n v="213358"/>
    <n v="73632"/>
    <n v="213358"/>
    <n v="195016"/>
    <n v="194235"/>
    <x v="0"/>
    <n v="0.08"/>
    <n v="15538.800000000001"/>
    <n v="0.91403181507138243"/>
    <n v="7619.9285714285716"/>
    <n v="4.7385898524982624"/>
  </r>
  <r>
    <s v="FIRST BANK OF HIGHLAND PARK"/>
    <s v="Highland Park"/>
    <x v="1"/>
    <n v="60035"/>
    <d v="2019-09-30T00:00:00"/>
    <x v="0"/>
    <n v="133"/>
    <n v="1825747"/>
    <n v="119299"/>
    <n v="1825747"/>
    <n v="1645592"/>
    <n v="1500851"/>
    <x v="1"/>
    <n v="7.4999999999999997E-2"/>
    <n v="112563.825"/>
    <n v="0.90132532054003101"/>
    <n v="13727.421052631578"/>
    <n v="1.0598342762428339"/>
  </r>
  <r>
    <s v="FIRST BANK OF HIGHLAND PARK"/>
    <s v="Highland Park"/>
    <x v="1"/>
    <n v="60035"/>
    <d v="2020-09-30T00:00:00"/>
    <x v="1"/>
    <n v="137"/>
    <n v="1936299"/>
    <n v="151428"/>
    <n v="1936299"/>
    <n v="1750680"/>
    <n v="1568804"/>
    <x v="1"/>
    <n v="7.4999999999999997E-2"/>
    <n v="117660.3"/>
    <n v="0.90413722260869833"/>
    <n v="14133.569343065694"/>
    <n v="1.2869931489210888"/>
  </r>
  <r>
    <s v="FIRST BANK OF HIGHLAND PARK"/>
    <s v="Highland Park"/>
    <x v="1"/>
    <n v="60035"/>
    <d v="2021-09-30T00:00:00"/>
    <x v="2"/>
    <n v="140"/>
    <n v="1927836"/>
    <n v="246578"/>
    <n v="1927836"/>
    <n v="1741040"/>
    <n v="1419943"/>
    <x v="1"/>
    <n v="7.4999999999999997E-2"/>
    <n v="106495.72499999999"/>
    <n v="0.90310586585165953"/>
    <n v="13770.257142857143"/>
    <n v="2.3153793262593405"/>
  </r>
  <r>
    <s v="FIRST BANK OF MANHATTAN"/>
    <s v="Manhattan"/>
    <x v="1"/>
    <n v="60442"/>
    <d v="2019-09-30T00:00:00"/>
    <x v="0"/>
    <n v="45"/>
    <n v="176978"/>
    <n v="42757"/>
    <n v="176977"/>
    <n v="159543"/>
    <n v="159233"/>
    <x v="0"/>
    <n v="0.08"/>
    <n v="12738.64"/>
    <n v="0.90148493033032351"/>
    <n v="3932.8444444444444"/>
    <n v="3.3564807546174475"/>
  </r>
  <r>
    <s v="FIRST BANK OF MANHATTAN"/>
    <s v="Manhattan"/>
    <x v="1"/>
    <n v="60442"/>
    <d v="2020-09-30T00:00:00"/>
    <x v="1"/>
    <n v="43"/>
    <n v="212893"/>
    <n v="49520"/>
    <n v="212893"/>
    <n v="194633"/>
    <n v="189791"/>
    <x v="0"/>
    <n v="0.08"/>
    <n v="15183.28"/>
    <n v="0.91422921373647792"/>
    <n v="4951"/>
    <n v="3.261482367446296"/>
  </r>
  <r>
    <s v="FIRST BANK OF MANHATTAN"/>
    <s v="Manhattan"/>
    <x v="1"/>
    <n v="60442"/>
    <d v="2021-09-30T00:00:00"/>
    <x v="2"/>
    <n v="44"/>
    <n v="233046"/>
    <n v="44575"/>
    <n v="233046"/>
    <n v="214299"/>
    <n v="209098"/>
    <x v="0"/>
    <n v="0.08"/>
    <n v="16727.84"/>
    <n v="0.91955665405113152"/>
    <n v="5296.5"/>
    <n v="2.6647194138633559"/>
  </r>
  <r>
    <s v="FIRST BANKERS TRUST COMPANY, NATIONAL ASSOCIATION"/>
    <s v="Quincy"/>
    <x v="1"/>
    <n v="62301"/>
    <d v="2019-09-30T00:00:00"/>
    <x v="0"/>
    <n v="168"/>
    <n v="906599"/>
    <n v="33999"/>
    <n v="906599"/>
    <n v="809212"/>
    <n v="720349"/>
    <x v="0"/>
    <n v="0.08"/>
    <n v="57627.92"/>
    <n v="0.89257985062855794"/>
    <n v="5396.4226190476193"/>
    <n v="0.58997444294362877"/>
  </r>
  <r>
    <s v="FIRST BANKERS TRUST COMPANY, NATIONAL ASSOCIATION"/>
    <s v="Quincy"/>
    <x v="1"/>
    <n v="62301"/>
    <d v="2020-09-30T00:00:00"/>
    <x v="1"/>
    <n v="169"/>
    <n v="1079100"/>
    <n v="40580"/>
    <n v="1079100"/>
    <n v="972205"/>
    <n v="816725"/>
    <x v="1"/>
    <n v="7.4999999999999997E-2"/>
    <n v="61254.375"/>
    <n v="0.9009405986470207"/>
    <n v="6385.207100591716"/>
    <n v="0.66248329200975442"/>
  </r>
  <r>
    <s v="FIRST BANKERS TRUST COMPANY, NATIONAL ASSOCIATION"/>
    <s v="Quincy"/>
    <x v="1"/>
    <n v="62301"/>
    <d v="2021-09-30T00:00:00"/>
    <x v="2"/>
    <n v="166"/>
    <n v="1242942"/>
    <n v="48864"/>
    <n v="1242942"/>
    <n v="1135350"/>
    <n v="977466"/>
    <x v="1"/>
    <n v="7.4999999999999997E-2"/>
    <n v="73309.95"/>
    <n v="0.91343763425807478"/>
    <n v="7487.6024096385545"/>
    <n v="0.66653980803424362"/>
  </r>
  <r>
    <s v="FIRST CENTRAL SAVINGS BANK"/>
    <s v="Glen Cove"/>
    <x v="2"/>
    <n v="11542"/>
    <d v="2019-09-30T00:00:00"/>
    <x v="0"/>
    <n v="77"/>
    <n v="595175"/>
    <n v="35118"/>
    <n v="595175"/>
    <n v="537060"/>
    <n v="524588"/>
    <x v="0"/>
    <n v="8.5000000000000006E-2"/>
    <n v="44589.98"/>
    <n v="0.90235644978367702"/>
    <n v="7729.545454545455"/>
    <n v="0.78757604286882388"/>
  </r>
  <r>
    <s v="FIRST CENTRAL SAVINGS BANK"/>
    <s v="Glen Cove"/>
    <x v="2"/>
    <n v="11542"/>
    <d v="2020-09-30T00:00:00"/>
    <x v="1"/>
    <n v="84"/>
    <n v="681228"/>
    <n v="56364"/>
    <n v="681228"/>
    <n v="618381"/>
    <n v="606900"/>
    <x v="0"/>
    <n v="8.5000000000000006E-2"/>
    <n v="51586.500000000007"/>
    <n v="0.90774454367700685"/>
    <n v="8109.8571428571431"/>
    <n v="1.0926114390392834"/>
  </r>
  <r>
    <s v="FIRST CENTRAL SAVINGS BANK"/>
    <s v="Glen Cove"/>
    <x v="2"/>
    <n v="11542"/>
    <d v="2021-09-30T00:00:00"/>
    <x v="2"/>
    <n v="90"/>
    <n v="707436"/>
    <n v="67047"/>
    <n v="707436"/>
    <n v="637876"/>
    <n v="635695"/>
    <x v="0"/>
    <n v="8.5000000000000006E-2"/>
    <n v="54034.075000000004"/>
    <n v="0.90167308420832415"/>
    <n v="7860.4"/>
    <n v="1.240828125585568"/>
  </r>
  <r>
    <s v="FIRST CHOICE BANK"/>
    <s v="Cerritos"/>
    <x v="0"/>
    <n v="90703"/>
    <d v="2019-09-30T00:00:00"/>
    <x v="0"/>
    <n v="181"/>
    <n v="1655635"/>
    <n v="180615"/>
    <n v="1655635"/>
    <n v="1383961"/>
    <n v="1339767"/>
    <x v="1"/>
    <n v="0.08"/>
    <n v="107181.36"/>
    <n v="0.83590948488042349"/>
    <n v="9147.1546961325967"/>
    <n v="1.6851344300912023"/>
  </r>
  <r>
    <s v="FIRST CHOICE BANK"/>
    <s v="Cerritos"/>
    <x v="0"/>
    <n v="90703"/>
    <d v="2020-09-30T00:00:00"/>
    <x v="1"/>
    <n v="180"/>
    <n v="2256077"/>
    <n v="181536"/>
    <n v="2256077"/>
    <n v="1980223"/>
    <n v="1560534"/>
    <x v="1"/>
    <n v="0.08"/>
    <n v="124842.72"/>
    <n v="0.8777284640550832"/>
    <n v="12533.761111111111"/>
    <n v="1.4541176289654696"/>
  </r>
  <r>
    <s v="FIRST COMMERCIAL BANK (USA)"/>
    <s v="Alhambra"/>
    <x v="0"/>
    <n v="91801"/>
    <d v="2019-09-30T00:00:00"/>
    <x v="0"/>
    <n v="92"/>
    <n v="622172"/>
    <n v="17894"/>
    <n v="622172"/>
    <n v="490409"/>
    <n v="486470"/>
    <x v="0"/>
    <n v="0.09"/>
    <n v="43782.299999999996"/>
    <n v="0.78822094211889959"/>
    <n v="6762.739130434783"/>
    <n v="0.40870397398035285"/>
  </r>
  <r>
    <s v="FIRST COMMERCIAL BANK (USA)"/>
    <s v="Alhambra"/>
    <x v="0"/>
    <n v="91801"/>
    <d v="2020-09-30T00:00:00"/>
    <x v="1"/>
    <n v="91"/>
    <n v="746448"/>
    <n v="60816"/>
    <n v="746448"/>
    <n v="607865"/>
    <n v="521153"/>
    <x v="0"/>
    <n v="0.09"/>
    <n v="46903.77"/>
    <n v="0.81434339699483416"/>
    <n v="8202.7252747252751"/>
    <n v="1.296612191301467"/>
  </r>
  <r>
    <s v="FIRST COMMERCIAL BANK (USA)"/>
    <s v="Alhambra"/>
    <x v="0"/>
    <n v="91801"/>
    <d v="2021-09-30T00:00:00"/>
    <x v="2"/>
    <n v="86"/>
    <n v="802362"/>
    <n v="30968"/>
    <n v="802362"/>
    <n v="656667"/>
    <n v="592763"/>
    <x v="0"/>
    <n v="0.09"/>
    <n v="53348.67"/>
    <n v="0.81841737270708237"/>
    <n v="9329.790697674418"/>
    <n v="0.58048307483579253"/>
  </r>
  <r>
    <s v="FIRST COMMUNITY BANK AND TRUST"/>
    <s v="Beecher"/>
    <x v="1"/>
    <n v="60401"/>
    <d v="2019-09-30T00:00:00"/>
    <x v="0"/>
    <n v="31"/>
    <n v="156244"/>
    <n v="31036"/>
    <n v="156244"/>
    <n v="136774"/>
    <n v="130452"/>
    <x v="0"/>
    <n v="0.08"/>
    <n v="10436.16"/>
    <n v="0.87538721486905102"/>
    <n v="5040.1290322580644"/>
    <n v="2.9738907797504064"/>
  </r>
  <r>
    <s v="FIRST COMMUNITY BANK AND TRUST"/>
    <s v="Beecher"/>
    <x v="1"/>
    <n v="60401"/>
    <d v="2020-09-30T00:00:00"/>
    <x v="1"/>
    <n v="28"/>
    <n v="177024"/>
    <n v="45187"/>
    <n v="177024"/>
    <n v="155853"/>
    <n v="143540"/>
    <x v="0"/>
    <n v="0.08"/>
    <n v="11483.2"/>
    <n v="0.88040604663774402"/>
    <n v="6322.2857142857147"/>
    <n v="3.9350529469137521"/>
  </r>
  <r>
    <s v="FIRST COMMUNITY BANK AND TRUST"/>
    <s v="Beecher"/>
    <x v="1"/>
    <n v="60401"/>
    <d v="2021-09-30T00:00:00"/>
    <x v="2"/>
    <n v="28"/>
    <n v="199773"/>
    <n v="94928"/>
    <n v="199773"/>
    <n v="177571"/>
    <n v="162887"/>
    <x v="0"/>
    <n v="0.08"/>
    <n v="13030.960000000001"/>
    <n v="0.88886386048164667"/>
    <n v="7134.75"/>
    <n v="7.2848048033299149"/>
  </r>
  <r>
    <s v="FIRST COMMUNITY BANK OF HILLSBORO"/>
    <s v="Hillsboro"/>
    <x v="1"/>
    <n v="62049"/>
    <d v="2019-09-30T00:00:00"/>
    <x v="0"/>
    <n v="22"/>
    <n v="112485"/>
    <n v="11301"/>
    <n v="112484"/>
    <n v="102301"/>
    <n v="97923"/>
    <x v="0"/>
    <n v="0.08"/>
    <n v="7833.84"/>
    <n v="0.90946348402009158"/>
    <n v="5112.954545454545"/>
    <n v="1.4425875432737967"/>
  </r>
  <r>
    <s v="FIRST COMMUNITY BANK OF HILLSBORO"/>
    <s v="Hillsboro"/>
    <x v="1"/>
    <n v="62049"/>
    <d v="2020-09-30T00:00:00"/>
    <x v="1"/>
    <n v="22"/>
    <n v="134383"/>
    <n v="15465"/>
    <n v="134382"/>
    <n v="123223"/>
    <n v="107918"/>
    <x v="0"/>
    <n v="0.08"/>
    <n v="8633.44"/>
    <n v="0.9169537813562727"/>
    <n v="6108.318181818182"/>
    <n v="1.7912906095368706"/>
  </r>
  <r>
    <s v="FIRST COMMUNITY BANK OF HILLSBORO"/>
    <s v="Hillsboro"/>
    <x v="1"/>
    <n v="62049"/>
    <d v="2021-09-30T00:00:00"/>
    <x v="2"/>
    <n v="23"/>
    <n v="144024"/>
    <n v="7350"/>
    <n v="144024"/>
    <n v="132345"/>
    <n v="118636"/>
    <x v="0"/>
    <n v="0.08"/>
    <n v="9490.880000000001"/>
    <n v="0.9189093484419264"/>
    <n v="6261.913043478261"/>
    <n v="0.7744276610809534"/>
  </r>
  <r>
    <s v="FIRST COMMUNITY BANK OF MOULTRIE COUNTY"/>
    <s v="Sullivan"/>
    <x v="1"/>
    <n v="61951"/>
    <d v="2019-09-30T00:00:00"/>
    <x v="0"/>
    <n v="21"/>
    <n v="90132"/>
    <n v="25666"/>
    <n v="90132"/>
    <n v="80800"/>
    <n v="80183"/>
    <x v="2"/>
    <n v="0.09"/>
    <n v="7216.4699999999993"/>
    <n v="0.89646296542848269"/>
    <n v="4292"/>
    <n v="3.5565865305336271"/>
  </r>
  <r>
    <s v="FIRST COMMUNITY BANK OF MOULTRIE COUNTY"/>
    <s v="Sullivan"/>
    <x v="1"/>
    <n v="61951"/>
    <d v="2020-09-30T00:00:00"/>
    <x v="1"/>
    <n v="22"/>
    <n v="97811"/>
    <n v="24827"/>
    <n v="97810"/>
    <n v="88046"/>
    <n v="87438"/>
    <x v="2"/>
    <n v="0.09"/>
    <n v="7869.42"/>
    <n v="0.90016460316324343"/>
    <n v="4445.954545454545"/>
    <n v="3.1548703716411119"/>
  </r>
  <r>
    <s v="FIRST COMMUNITY BANK OF MOULTRIE COUNTY"/>
    <s v="Sullivan"/>
    <x v="1"/>
    <n v="61951"/>
    <d v="2021-09-30T00:00:00"/>
    <x v="2"/>
    <n v="22"/>
    <n v="111624"/>
    <n v="31047"/>
    <n v="111624"/>
    <n v="102344"/>
    <n v="101724"/>
    <x v="0"/>
    <n v="0.08"/>
    <n v="8137.92"/>
    <n v="0.91686375689815813"/>
    <n v="5073.818181818182"/>
    <n v="3.8151026306476346"/>
  </r>
  <r>
    <s v="FIRST COMMUNITY BANK, XENIA-FLORA"/>
    <s v="Xenia"/>
    <x v="1"/>
    <n v="62899"/>
    <d v="2019-09-30T00:00:00"/>
    <x v="0"/>
    <n v="11"/>
    <n v="41114"/>
    <n v="4333"/>
    <n v="41114"/>
    <n v="35956"/>
    <n v="31028"/>
    <x v="2"/>
    <n v="0.09"/>
    <n v="2792.52"/>
    <n v="0.87454395096560777"/>
    <n v="3737.6363636363635"/>
    <n v="1.551645109077106"/>
  </r>
  <r>
    <s v="FIRST COMMUNITY BANK, XENIA-FLORA"/>
    <s v="Xenia"/>
    <x v="1"/>
    <n v="62899"/>
    <d v="2020-09-30T00:00:00"/>
    <x v="1"/>
    <n v="11"/>
    <n v="48766"/>
    <n v="4131"/>
    <n v="48766"/>
    <n v="43378"/>
    <n v="38750"/>
    <x v="2"/>
    <n v="0.09"/>
    <n v="3487.5"/>
    <n v="0.88951318541606861"/>
    <n v="4433.272727272727"/>
    <n v="1.1845161290322581"/>
  </r>
  <r>
    <s v="FIRST COMMUNITY BANK, XENIA-FLORA"/>
    <s v="Xenia"/>
    <x v="1"/>
    <n v="62899"/>
    <d v="2021-09-30T00:00:00"/>
    <x v="2"/>
    <n v="12"/>
    <n v="51823"/>
    <n v="6993"/>
    <n v="51823"/>
    <n v="46561"/>
    <n v="42191"/>
    <x v="2"/>
    <n v="0.09"/>
    <n v="3797.19"/>
    <n v="0.8984620728248075"/>
    <n v="4318.583333333333"/>
    <n v="1.8416249911118485"/>
  </r>
  <r>
    <s v="FIRST CREDIT BANK"/>
    <s v="Los Angeles"/>
    <x v="0"/>
    <n v="90069"/>
    <d v="2019-09-30T00:00:00"/>
    <x v="0"/>
    <n v="25"/>
    <n v="454648"/>
    <n v="68164"/>
    <n v="454648"/>
    <n v="249364"/>
    <n v="240092"/>
    <x v="0"/>
    <n v="0.09"/>
    <n v="21608.28"/>
    <n v="0.54847706357445758"/>
    <n v="18185.919999999998"/>
    <n v="3.1545315036643364"/>
  </r>
  <r>
    <s v="FIRST CREDIT BANK"/>
    <s v="Los Angeles"/>
    <x v="0"/>
    <n v="90069"/>
    <d v="2020-09-30T00:00:00"/>
    <x v="1"/>
    <n v="25"/>
    <n v="412451"/>
    <n v="115709"/>
    <n v="412451"/>
    <n v="218438"/>
    <n v="209887"/>
    <x v="0"/>
    <n v="0.09"/>
    <n v="18889.829999999998"/>
    <n v="0.52960957786500695"/>
    <n v="16498.04"/>
    <n v="6.1254653959299796"/>
  </r>
  <r>
    <s v="FIRST CREDIT BANK"/>
    <s v="Los Angeles"/>
    <x v="0"/>
    <n v="90069"/>
    <d v="2021-09-30T00:00:00"/>
    <x v="2"/>
    <n v="25"/>
    <n v="444196"/>
    <n v="88043"/>
    <n v="444196"/>
    <n v="240644"/>
    <n v="233315"/>
    <x v="0"/>
    <n v="0.09"/>
    <n v="20998.35"/>
    <n v="0.54175183927815651"/>
    <n v="17767.84"/>
    <n v="4.1928532479932947"/>
  </r>
  <r>
    <s v="FIRST EAGLE BANK"/>
    <s v="Chicago"/>
    <x v="1"/>
    <n v="60607"/>
    <d v="2019-09-30T00:00:00"/>
    <x v="0"/>
    <n v="42"/>
    <n v="528748"/>
    <n v="5151"/>
    <n v="528748"/>
    <n v="435782"/>
    <n v="419300"/>
    <x v="0"/>
    <n v="0.08"/>
    <n v="33544"/>
    <n v="0.82417711272666749"/>
    <n v="12589.238095238095"/>
    <n v="0.15355950393512999"/>
  </r>
  <r>
    <s v="FIRST EAGLE BANK"/>
    <s v="Chicago"/>
    <x v="1"/>
    <n v="60607"/>
    <d v="2020-09-30T00:00:00"/>
    <x v="1"/>
    <n v="43"/>
    <n v="559825"/>
    <n v="5200"/>
    <n v="559825"/>
    <n v="454984"/>
    <n v="431093"/>
    <x v="0"/>
    <n v="0.08"/>
    <n v="34487.440000000002"/>
    <n v="0.81272540526057246"/>
    <n v="13019.186046511628"/>
    <n v="0.15077953017098397"/>
  </r>
  <r>
    <s v="FIRST EAGLE BANK"/>
    <s v="Chicago"/>
    <x v="1"/>
    <n v="60607"/>
    <d v="2021-09-30T00:00:00"/>
    <x v="2"/>
    <n v="45"/>
    <n v="623362"/>
    <n v="33162"/>
    <n v="623362"/>
    <n v="508989"/>
    <n v="466253"/>
    <x v="0"/>
    <n v="0.08"/>
    <n v="37300.239999999998"/>
    <n v="0.81652234175326699"/>
    <n v="13852.488888888889"/>
    <n v="0.88905594173120606"/>
  </r>
  <r>
    <s v="FIRST FARMERS STATE BANK"/>
    <s v="Minier"/>
    <x v="1"/>
    <n v="61759"/>
    <d v="2019-09-30T00:00:00"/>
    <x v="0"/>
    <n v="33"/>
    <n v="172135"/>
    <n v="3461"/>
    <n v="172135"/>
    <n v="150178"/>
    <n v="143416"/>
    <x v="0"/>
    <n v="0.08"/>
    <n v="11473.28"/>
    <n v="0.87244314055828276"/>
    <n v="5216.212121212121"/>
    <n v="0.30165741618787301"/>
  </r>
  <r>
    <s v="FIRST FARMERS STATE BANK"/>
    <s v="Minier"/>
    <x v="1"/>
    <n v="61759"/>
    <d v="2020-09-30T00:00:00"/>
    <x v="1"/>
    <n v="32"/>
    <n v="196820"/>
    <n v="13878"/>
    <n v="196820"/>
    <n v="172883"/>
    <n v="161934"/>
    <x v="0"/>
    <n v="0.08"/>
    <n v="12954.720000000001"/>
    <n v="0.87838126206686318"/>
    <n v="6150.625"/>
    <n v="1.0712697765756418"/>
  </r>
  <r>
    <s v="FIRST FEDERAL SAVINGS AND LOAN ASSOCIATION OF CENTRAL ILLINOIS, S.B."/>
    <s v="Shelbyville"/>
    <x v="1"/>
    <n v="62565"/>
    <d v="2019-09-30T00:00:00"/>
    <x v="0"/>
    <n v="31"/>
    <n v="128471"/>
    <n v="6375"/>
    <n v="128472"/>
    <n v="112953"/>
    <n v="111809"/>
    <x v="0"/>
    <n v="0.08"/>
    <n v="8944.7199999999993"/>
    <n v="0.87921009410684126"/>
    <n v="4144.2258064516127"/>
    <n v="0.71271096244488374"/>
  </r>
  <r>
    <s v="FIRST FEDERAL SAVINGS AND LOAN ASSOCIATION OF CENTRAL ILLINOIS, S.B."/>
    <s v="Shelbyville"/>
    <x v="1"/>
    <n v="62565"/>
    <d v="2020-09-30T00:00:00"/>
    <x v="1"/>
    <n v="34"/>
    <n v="148580"/>
    <n v="11014"/>
    <n v="148579"/>
    <n v="131008"/>
    <n v="125578"/>
    <x v="0"/>
    <n v="0.08"/>
    <n v="10046.24"/>
    <n v="0.88173374613003097"/>
    <n v="4370"/>
    <n v="1.096330567456083"/>
  </r>
  <r>
    <s v="FIRST FEDERAL SAVINGS AND LOAN ASSOCIATION OF CENTRAL ILLINOIS, S.B."/>
    <s v="Shelbyville"/>
    <x v="1"/>
    <n v="62565"/>
    <d v="2021-09-30T00:00:00"/>
    <x v="2"/>
    <n v="33"/>
    <n v="172378"/>
    <n v="18521"/>
    <n v="172378"/>
    <n v="153302"/>
    <n v="152143"/>
    <x v="0"/>
    <n v="0.08"/>
    <n v="12171.44"/>
    <n v="0.88933622620055919"/>
    <n v="5223.575757575758"/>
    <n v="1.5216769749511971"/>
  </r>
  <r>
    <s v="FIRST FEDERAL SAVINGS AND LOAN ASSOCIATION OF SAN RAFAEL"/>
    <s v="San Rafael"/>
    <x v="0"/>
    <n v="94901"/>
    <d v="2019-09-30T00:00:00"/>
    <x v="0"/>
    <n v="36"/>
    <n v="205936"/>
    <n v="6154"/>
    <n v="205936"/>
    <n v="165056"/>
    <n v="151343"/>
    <x v="0"/>
    <n v="0.09"/>
    <n v="13620.869999999999"/>
    <n v="0.80149172558464765"/>
    <n v="5720.4444444444443"/>
    <n v="0.45180667607869396"/>
  </r>
  <r>
    <s v="FIRST FEDERAL SAVINGS AND LOAN ASSOCIATION OF SAN RAFAEL"/>
    <s v="San Rafael"/>
    <x v="0"/>
    <n v="94901"/>
    <d v="2020-09-30T00:00:00"/>
    <x v="1"/>
    <n v="34"/>
    <n v="222382"/>
    <n v="30945"/>
    <n v="222382"/>
    <n v="180781"/>
    <n v="160981"/>
    <x v="0"/>
    <n v="0.09"/>
    <n v="14488.289999999999"/>
    <n v="0.81293000332760745"/>
    <n v="6540.6470588235297"/>
    <n v="2.1358628243912845"/>
  </r>
  <r>
    <s v="FIRST FEDERAL SAVINGS AND LOAN ASSOCIATION OF SAN RAFAEL"/>
    <s v="San Rafael"/>
    <x v="0"/>
    <n v="94901"/>
    <d v="2021-09-30T00:00:00"/>
    <x v="2"/>
    <n v="34"/>
    <n v="240910"/>
    <n v="41615"/>
    <n v="240910"/>
    <n v="198513"/>
    <n v="197471"/>
    <x v="0"/>
    <n v="0.09"/>
    <n v="17772.39"/>
    <n v="0.82401311693163426"/>
    <n v="7085.588235294118"/>
    <n v="2.3415533870233549"/>
  </r>
  <r>
    <s v="FIRST FEDERAL SAVINGS BANK"/>
    <s v="Ottawa"/>
    <x v="1"/>
    <n v="61350"/>
    <d v="2019-09-30T00:00:00"/>
    <x v="0"/>
    <n v="107"/>
    <n v="364070"/>
    <n v="72917"/>
    <n v="364070"/>
    <n v="320889"/>
    <n v="315943"/>
    <x v="0"/>
    <n v="0.08"/>
    <n v="25275.440000000002"/>
    <n v="0.88139368802702778"/>
    <n v="3402.5233644859813"/>
    <n v="2.884895376697695"/>
  </r>
  <r>
    <s v="FIRST FEDERAL SAVINGS BANK"/>
    <s v="Ottawa"/>
    <x v="1"/>
    <n v="61350"/>
    <d v="2020-09-30T00:00:00"/>
    <x v="1"/>
    <n v="104"/>
    <n v="375078"/>
    <n v="125099"/>
    <n v="375078"/>
    <n v="331406"/>
    <n v="322390"/>
    <x v="0"/>
    <n v="0.08"/>
    <n v="25791.200000000001"/>
    <n v="0.88356555169857998"/>
    <n v="3606.5192307692309"/>
    <n v="4.850452867644778"/>
  </r>
  <r>
    <s v="FIRST FEDERAL SAVINGS BANK"/>
    <s v="Ottawa"/>
    <x v="1"/>
    <n v="61350"/>
    <d v="2021-09-30T00:00:00"/>
    <x v="2"/>
    <n v="108"/>
    <n v="368644"/>
    <n v="100941"/>
    <n v="368644"/>
    <n v="323399"/>
    <n v="313837"/>
    <x v="0"/>
    <n v="0.08"/>
    <n v="25106.959999999999"/>
    <n v="0.87726641420991525"/>
    <n v="3413.3703703703704"/>
    <n v="4.0204389539792951"/>
  </r>
  <r>
    <s v="FIRST FEDERAL SAVINGS BANK OF CHAMPAIGN URBANA"/>
    <s v="Champaign"/>
    <x v="1"/>
    <n v="61820"/>
    <d v="2019-09-30T00:00:00"/>
    <x v="0"/>
    <n v="59"/>
    <n v="167658"/>
    <n v="63843"/>
    <n v="167658"/>
    <n v="149971"/>
    <n v="146910"/>
    <x v="0"/>
    <n v="0.08"/>
    <n v="11752.800000000001"/>
    <n v="0.89450548139665276"/>
    <n v="2841.6610169491523"/>
    <n v="5.4321523381662233"/>
  </r>
  <r>
    <s v="FIRST FEDERAL SAVINGS BANK OF CHAMPAIGN URBANA"/>
    <s v="Champaign"/>
    <x v="1"/>
    <n v="61820"/>
    <d v="2020-09-30T00:00:00"/>
    <x v="1"/>
    <n v="54"/>
    <n v="198994"/>
    <n v="96888"/>
    <n v="198994"/>
    <n v="180295"/>
    <n v="172992"/>
    <x v="0"/>
    <n v="0.08"/>
    <n v="13839.36"/>
    <n v="0.90603234268369903"/>
    <n v="3685.0740740740739"/>
    <n v="7.0009017758046612"/>
  </r>
  <r>
    <s v="FIRST FEDERAL SAVINGS BANK OF CHAMPAIGN URBANA"/>
    <s v="Champaign"/>
    <x v="1"/>
    <n v="61820"/>
    <d v="2021-09-30T00:00:00"/>
    <x v="2"/>
    <n v="53"/>
    <n v="210212"/>
    <n v="114814"/>
    <n v="210212"/>
    <n v="192164"/>
    <n v="188412"/>
    <x v="0"/>
    <n v="0.08"/>
    <n v="15072.960000000001"/>
    <n v="0.91414381671836054"/>
    <n v="3966.2641509433961"/>
    <n v="7.6172165254866986"/>
  </r>
  <r>
    <s v="FIRST FEDERAL SAVINGS OF MIDDLETOWN"/>
    <s v="Middletown"/>
    <x v="2"/>
    <n v="10940"/>
    <d v="2019-09-30T00:00:00"/>
    <x v="0"/>
    <n v="12"/>
    <n v="148169"/>
    <n v="51969"/>
    <n v="148169"/>
    <n v="93423"/>
    <n v="86006"/>
    <x v="0"/>
    <n v="8.5000000000000006E-2"/>
    <n v="7310.51"/>
    <n v="0.6305165048019491"/>
    <n v="12347.416666666666"/>
    <n v="7.1088063623468125"/>
  </r>
  <r>
    <s v="FIRST FEDERAL SAVINGS OF MIDDLETOWN"/>
    <s v="Middletown"/>
    <x v="2"/>
    <n v="10940"/>
    <d v="2020-09-30T00:00:00"/>
    <x v="1"/>
    <n v="12"/>
    <n v="162861"/>
    <n v="57409"/>
    <n v="162861"/>
    <n v="107364"/>
    <n v="97639"/>
    <x v="0"/>
    <n v="8.5000000000000006E-2"/>
    <n v="8299.3150000000005"/>
    <n v="0.65923701807062463"/>
    <n v="13571.75"/>
    <n v="6.9173178750294451"/>
  </r>
  <r>
    <s v="FIRST FEDERAL SAVINGS OF MIDDLETOWN"/>
    <s v="Middletown"/>
    <x v="2"/>
    <n v="10940"/>
    <d v="2021-09-30T00:00:00"/>
    <x v="2"/>
    <n v="12"/>
    <n v="170950"/>
    <n v="50690"/>
    <n v="170950"/>
    <n v="114878"/>
    <n v="105453"/>
    <x v="0"/>
    <n v="8.5000000000000006E-2"/>
    <n v="8963.505000000001"/>
    <n v="0.67199766013454232"/>
    <n v="14245.833333333334"/>
    <n v="5.6551538711698148"/>
  </r>
  <r>
    <s v="FIRST FOUNDATION BANK"/>
    <s v="Irvine"/>
    <x v="0"/>
    <n v="92612"/>
    <d v="2019-09-30T00:00:00"/>
    <x v="0"/>
    <n v="426"/>
    <n v="6342041"/>
    <n v="268107"/>
    <n v="6342041"/>
    <n v="5728288"/>
    <n v="5185376"/>
    <x v="1"/>
    <n v="0.08"/>
    <n v="414830.08000000002"/>
    <n v="0.90322468744683293"/>
    <n v="14887.420187793427"/>
    <n v="0.64630559095425288"/>
  </r>
  <r>
    <s v="FIRST FOUNDATION BANK"/>
    <s v="Irvine"/>
    <x v="0"/>
    <n v="92612"/>
    <d v="2020-09-30T00:00:00"/>
    <x v="1"/>
    <n v="437"/>
    <n v="6465382"/>
    <n v="282513"/>
    <n v="6465382"/>
    <n v="5788158"/>
    <n v="5474122"/>
    <x v="1"/>
    <n v="0.08"/>
    <n v="437929.76"/>
    <n v="0.89525383032278683"/>
    <n v="14794.924485125857"/>
    <n v="0.64511030262021929"/>
  </r>
  <r>
    <s v="FIRST FOUNDATION BANK"/>
    <s v="Irvine"/>
    <x v="0"/>
    <n v="92612"/>
    <d v="2021-09-30T00:00:00"/>
    <x v="2"/>
    <n v="491"/>
    <n v="7709843"/>
    <n v="782760"/>
    <n v="7709843"/>
    <n v="6953808"/>
    <n v="6865478"/>
    <x v="1"/>
    <n v="0.08"/>
    <n v="549238.24"/>
    <n v="0.90193898890029278"/>
    <n v="15702.327902240326"/>
    <n v="1.4251738917523296"/>
  </r>
  <r>
    <s v="FIRST FSB OF MASCOUTAH"/>
    <s v="Mascoutah"/>
    <x v="1"/>
    <n v="62258"/>
    <d v="2019-09-30T00:00:00"/>
    <x v="0"/>
    <n v="16"/>
    <n v="108960"/>
    <n v="5489"/>
    <n v="108960"/>
    <n v="95191"/>
    <n v="94971"/>
    <x v="0"/>
    <n v="0.08"/>
    <n v="7597.68"/>
    <n v="0.87363252569750371"/>
    <n v="6810"/>
    <n v="0.72245738172705354"/>
  </r>
  <r>
    <s v="FIRST FSB OF MASCOUTAH"/>
    <s v="Mascoutah"/>
    <x v="1"/>
    <n v="62258"/>
    <d v="2020-09-30T00:00:00"/>
    <x v="1"/>
    <n v="15"/>
    <n v="124966"/>
    <n v="6726"/>
    <n v="124966"/>
    <n v="110092"/>
    <n v="105688"/>
    <x v="0"/>
    <n v="0.08"/>
    <n v="8455.0400000000009"/>
    <n v="0.88097562537010066"/>
    <n v="8331.0666666666675"/>
    <n v="0.79550185451517663"/>
  </r>
  <r>
    <s v="FIRST FSB OF MASCOUTAH"/>
    <s v="Mascoutah"/>
    <x v="1"/>
    <n v="62258"/>
    <d v="2021-09-30T00:00:00"/>
    <x v="2"/>
    <n v="19"/>
    <n v="147329"/>
    <n v="4995"/>
    <n v="147329"/>
    <n v="131795"/>
    <n v="125306"/>
    <x v="0"/>
    <n v="0.08"/>
    <n v="10024.48"/>
    <n v="0.8945625097570743"/>
    <n v="7754.1578947368425"/>
    <n v="0.49828021004580786"/>
  </r>
  <r>
    <s v="FIRST GENERAL BANK"/>
    <s v="Rowland Heights"/>
    <x v="0"/>
    <n v="91748"/>
    <d v="2019-09-30T00:00:00"/>
    <x v="0"/>
    <n v="67"/>
    <n v="982769"/>
    <n v="23397"/>
    <n v="982769"/>
    <n v="844111"/>
    <n v="819276"/>
    <x v="0"/>
    <n v="0.09"/>
    <n v="73734.84"/>
    <n v="0.85891089360775519"/>
    <n v="14668.194029850747"/>
    <n v="0.31731268420735709"/>
  </r>
  <r>
    <s v="FIRST GENERAL BANK"/>
    <s v="Rowland Heights"/>
    <x v="0"/>
    <n v="91748"/>
    <d v="2020-09-30T00:00:00"/>
    <x v="1"/>
    <n v="70"/>
    <n v="1066779"/>
    <n v="24223"/>
    <n v="1066779"/>
    <n v="911886"/>
    <n v="817996"/>
    <x v="1"/>
    <n v="0.08"/>
    <n v="65439.68"/>
    <n v="0.85480310354815758"/>
    <n v="15239.7"/>
    <n v="0.37015767803265542"/>
  </r>
  <r>
    <s v="FIRST GENERAL BANK"/>
    <s v="Rowland Heights"/>
    <x v="0"/>
    <n v="91748"/>
    <d v="2021-09-30T00:00:00"/>
    <x v="2"/>
    <n v="68"/>
    <n v="1202225"/>
    <n v="89048"/>
    <n v="1202225"/>
    <n v="1026161"/>
    <n v="959874"/>
    <x v="1"/>
    <n v="0.08"/>
    <n v="76789.919999999998"/>
    <n v="0.85355153985318888"/>
    <n v="17679.779411764706"/>
    <n v="1.159631368283754"/>
  </r>
  <r>
    <s v="FIRST IPSWICH BANK"/>
    <s v="Ipswich"/>
    <x v="3"/>
    <n v="1938"/>
    <d v="2019-09-30T00:00:00"/>
    <x v="0"/>
    <n v="65"/>
    <n v="464951"/>
    <n v="31997"/>
    <n v="464951"/>
    <n v="420911"/>
    <n v="372488"/>
    <x v="0"/>
    <n v="8.5000000000000006E-2"/>
    <n v="31661.480000000003"/>
    <n v="0.90528034136930557"/>
    <n v="7153.0923076923073"/>
    <n v="1.010597104115158"/>
  </r>
  <r>
    <s v="FIRST MID BANK &amp; TRUST, NATIONAL ASSOCIATION"/>
    <s v="Mattoon"/>
    <x v="1"/>
    <n v="61938"/>
    <d v="2019-09-30T00:00:00"/>
    <x v="0"/>
    <n v="671"/>
    <n v="3809029"/>
    <n v="112665"/>
    <n v="3809029"/>
    <n v="3305556"/>
    <n v="3023473"/>
    <x v="1"/>
    <n v="7.4999999999999997E-2"/>
    <n v="226760.47500000001"/>
    <n v="0.86782116912210439"/>
    <n v="5676.6453055141583"/>
    <n v="0.49684584582035296"/>
  </r>
  <r>
    <s v="FIRST MID BANK &amp; TRUST, NATIONAL ASSOCIATION"/>
    <s v="Mattoon"/>
    <x v="1"/>
    <n v="61938"/>
    <d v="2020-09-30T00:00:00"/>
    <x v="1"/>
    <n v="656"/>
    <n v="4480001"/>
    <n v="232312"/>
    <n v="4480001"/>
    <n v="3963938"/>
    <n v="3668586"/>
    <x v="1"/>
    <n v="7.4999999999999997E-2"/>
    <n v="275143.95"/>
    <n v="0.88480739178406431"/>
    <n v="6829.269817073171"/>
    <n v="0.84432894126874314"/>
  </r>
  <r>
    <s v="FIRST MID BANK &amp; TRUST, NATIONAL ASSOCIATION"/>
    <s v="Mattoon"/>
    <x v="1"/>
    <n v="61938"/>
    <d v="2021-09-30T00:00:00"/>
    <x v="2"/>
    <n v="779"/>
    <n v="6011453"/>
    <n v="345092"/>
    <n v="6011453"/>
    <n v="5328392"/>
    <n v="5029608"/>
    <x v="1"/>
    <n v="7.4999999999999997E-2"/>
    <n v="377220.6"/>
    <n v="0.8863733942526042"/>
    <n v="7716.8844672657251"/>
    <n v="0.91482808733139187"/>
  </r>
  <r>
    <s v="FIRST MIDWEST BANK"/>
    <s v="Chicago"/>
    <x v="1"/>
    <n v="60631"/>
    <d v="2019-09-30T00:00:00"/>
    <x v="0"/>
    <n v="2112"/>
    <n v="17919012"/>
    <n v="475667"/>
    <n v="17919012"/>
    <n v="15584616"/>
    <n v="13640378"/>
    <x v="1"/>
    <n v="7.4999999999999997E-2"/>
    <n v="1023028.35"/>
    <n v="0.86972518350900152"/>
    <n v="8484.380681818182"/>
    <n v="0.46495974427297154"/>
  </r>
  <r>
    <s v="FIRST MIDWEST BANK"/>
    <s v="Chicago"/>
    <x v="1"/>
    <n v="60631"/>
    <d v="2020-09-30T00:00:00"/>
    <x v="1"/>
    <n v="2143"/>
    <n v="20986099"/>
    <n v="1190740"/>
    <n v="20986099"/>
    <n v="18571932"/>
    <n v="16202704"/>
    <x v="1"/>
    <n v="7.4999999999999997E-2"/>
    <n v="1215202.8"/>
    <n v="0.88496351799350603"/>
    <n v="9792.8600093327113"/>
    <n v="0.97986936830626126"/>
  </r>
  <r>
    <s v="FIRST MIDWEST BANK"/>
    <s v="Chicago"/>
    <x v="1"/>
    <n v="60631"/>
    <d v="2021-09-30T00:00:00"/>
    <x v="2"/>
    <n v="1943"/>
    <n v="21622180"/>
    <n v="1924937"/>
    <n v="21622180"/>
    <n v="19123791"/>
    <n v="17555874"/>
    <x v="1"/>
    <n v="7.4999999999999997E-2"/>
    <n v="1316690.55"/>
    <n v="0.88445249276437432"/>
    <n v="11128.244981986618"/>
    <n v="1.4619509496745458"/>
  </r>
  <r>
    <s v="FIRST NATIONAL BANK &amp; TRUST COMPANY"/>
    <s v="Clinton"/>
    <x v="1"/>
    <n v="61727"/>
    <d v="2019-09-30T00:00:00"/>
    <x v="0"/>
    <n v="26"/>
    <n v="192948"/>
    <n v="2979"/>
    <n v="192947"/>
    <n v="174695"/>
    <n v="163582"/>
    <x v="0"/>
    <n v="0.08"/>
    <n v="13086.56"/>
    <n v="0.90539938221697036"/>
    <n v="7421.0769230769229"/>
    <n v="0.22763812644422982"/>
  </r>
  <r>
    <s v="FIRST NATIONAL BANK &amp; TRUST COMPANY"/>
    <s v="Clinton"/>
    <x v="1"/>
    <n v="61727"/>
    <d v="2020-09-30T00:00:00"/>
    <x v="1"/>
    <n v="29"/>
    <n v="204335"/>
    <n v="2901"/>
    <n v="204334"/>
    <n v="185943"/>
    <n v="172159"/>
    <x v="0"/>
    <n v="0.08"/>
    <n v="13772.720000000001"/>
    <n v="0.90999094624024279"/>
    <n v="7046.0344827586205"/>
    <n v="0.21063377459209218"/>
  </r>
  <r>
    <s v="FIRST NATIONAL BANK &amp; TRUST COMPANY"/>
    <s v="Clinton"/>
    <x v="1"/>
    <n v="61727"/>
    <d v="2021-09-30T00:00:00"/>
    <x v="2"/>
    <n v="30"/>
    <n v="235906"/>
    <n v="3518"/>
    <n v="235906"/>
    <n v="200442"/>
    <n v="192441"/>
    <x v="0"/>
    <n v="0.08"/>
    <n v="15395.28"/>
    <n v="0.84966893593210857"/>
    <n v="7863.5333333333338"/>
    <n v="0.2285115957618179"/>
  </r>
  <r>
    <s v="FIRST NATIONAL BANK IN OLNEY"/>
    <s v="Olney"/>
    <x v="1"/>
    <n v="62450"/>
    <d v="2019-09-30T00:00:00"/>
    <x v="0"/>
    <n v="70"/>
    <n v="356680"/>
    <n v="39464"/>
    <n v="356680"/>
    <n v="312336"/>
    <n v="306036"/>
    <x v="0"/>
    <n v="0.08"/>
    <n v="24482.880000000001"/>
    <n v="0.87567567567567572"/>
    <n v="5095.4285714285716"/>
    <n v="1.6119018677541204"/>
  </r>
  <r>
    <s v="FIRST NATIONAL BANK IN OLNEY"/>
    <s v="Olney"/>
    <x v="1"/>
    <n v="62450"/>
    <d v="2020-09-30T00:00:00"/>
    <x v="1"/>
    <n v="67"/>
    <n v="387660"/>
    <n v="33219"/>
    <n v="387660"/>
    <n v="338949"/>
    <n v="327762"/>
    <x v="0"/>
    <n v="0.08"/>
    <n v="26220.959999999999"/>
    <n v="0.87434607645875251"/>
    <n v="5785.9701492537315"/>
    <n v="1.2668872535559339"/>
  </r>
  <r>
    <s v="FIRST NATIONAL BANK IN OLNEY"/>
    <s v="Olney"/>
    <x v="1"/>
    <n v="62450"/>
    <d v="2021-09-30T00:00:00"/>
    <x v="2"/>
    <n v="68"/>
    <n v="415103"/>
    <n v="34615"/>
    <n v="415103"/>
    <n v="365143"/>
    <n v="352505"/>
    <x v="0"/>
    <n v="0.08"/>
    <n v="28200.400000000001"/>
    <n v="0.87964432923876723"/>
    <n v="6104.4558823529414"/>
    <n v="1.2274648586544872"/>
  </r>
  <r>
    <s v="FIRST NATIONAL BANK IN PINCKNEYVILLE"/>
    <s v="Pinckneyville"/>
    <x v="1"/>
    <n v="62274"/>
    <d v="2019-09-30T00:00:00"/>
    <x v="0"/>
    <n v="24"/>
    <n v="104823"/>
    <n v="3626"/>
    <n v="104823"/>
    <n v="87915"/>
    <n v="80390"/>
    <x v="0"/>
    <n v="0.08"/>
    <n v="6431.2"/>
    <n v="0.83869952205145815"/>
    <n v="4367.625"/>
    <n v="0.56381390720238833"/>
  </r>
  <r>
    <s v="FIRST NATIONAL BANK IN PINCKNEYVILLE"/>
    <s v="Pinckneyville"/>
    <x v="1"/>
    <n v="62274"/>
    <d v="2020-09-30T00:00:00"/>
    <x v="1"/>
    <n v="22"/>
    <n v="122518"/>
    <n v="20807"/>
    <n v="122518"/>
    <n v="104231"/>
    <n v="96453"/>
    <x v="0"/>
    <n v="0.08"/>
    <n v="7716.24"/>
    <n v="0.85074029938458018"/>
    <n v="5569"/>
    <n v="2.6965205851554646"/>
  </r>
  <r>
    <s v="FIRST NATIONAL BANK IN PINCKNEYVILLE"/>
    <s v="Pinckneyville"/>
    <x v="1"/>
    <n v="62274"/>
    <d v="2021-09-30T00:00:00"/>
    <x v="2"/>
    <n v="21"/>
    <n v="143097"/>
    <n v="19722"/>
    <n v="143097"/>
    <n v="126344"/>
    <n v="113606"/>
    <x v="0"/>
    <n v="0.08"/>
    <n v="9088.48"/>
    <n v="0.88292556797137611"/>
    <n v="6814.1428571428569"/>
    <n v="2.1699998239529603"/>
  </r>
  <r>
    <s v="FIRST NATIONAL BANK IN TAYLORVILLE"/>
    <s v="Taylorville"/>
    <x v="1"/>
    <n v="62568"/>
    <d v="2019-09-30T00:00:00"/>
    <x v="0"/>
    <n v="29"/>
    <n v="195680"/>
    <n v="11274"/>
    <n v="195680"/>
    <n v="159443"/>
    <n v="158011"/>
    <x v="0"/>
    <n v="0.08"/>
    <n v="12640.880000000001"/>
    <n v="0.81481500408830743"/>
    <n v="6747.5862068965516"/>
    <n v="0.89186828765085968"/>
  </r>
  <r>
    <s v="FIRST NATIONAL BANK IN TAYLORVILLE"/>
    <s v="Taylorville"/>
    <x v="1"/>
    <n v="62568"/>
    <d v="2020-09-30T00:00:00"/>
    <x v="1"/>
    <n v="27"/>
    <n v="215257"/>
    <n v="14593"/>
    <n v="215257"/>
    <n v="176124"/>
    <n v="167600"/>
    <x v="0"/>
    <n v="0.08"/>
    <n v="13408"/>
    <n v="0.81820335691754509"/>
    <n v="7972.4814814814818"/>
    <n v="1.0883800715990453"/>
  </r>
  <r>
    <s v="FIRST NATIONAL BANK IN TAYLORVILLE"/>
    <s v="Taylorville"/>
    <x v="1"/>
    <n v="62568"/>
    <d v="2021-09-30T00:00:00"/>
    <x v="2"/>
    <n v="27"/>
    <n v="236494"/>
    <n v="14469"/>
    <n v="236494"/>
    <n v="203943"/>
    <n v="194373"/>
    <x v="0"/>
    <n v="0.08"/>
    <n v="15549.84"/>
    <n v="0.8623601444434108"/>
    <n v="8759.0370370370365"/>
    <n v="0.93049188930561344"/>
  </r>
  <r>
    <s v="FIRST NATIONAL BANK OF BROOKFIELD"/>
    <s v="Brookfield"/>
    <x v="1"/>
    <n v="60513"/>
    <d v="2019-09-30T00:00:00"/>
    <x v="0"/>
    <n v="31"/>
    <n v="205202"/>
    <n v="42575"/>
    <n v="205202"/>
    <n v="182927"/>
    <n v="154331"/>
    <x v="0"/>
    <n v="0.08"/>
    <n v="12346.48"/>
    <n v="0.89144842642859234"/>
    <n v="6619.4193548387093"/>
    <n v="3.4483512709695394"/>
  </r>
  <r>
    <s v="FIRST NATIONAL BANK OF BROOKFIELD"/>
    <s v="Brookfield"/>
    <x v="1"/>
    <n v="60513"/>
    <d v="2020-09-30T00:00:00"/>
    <x v="1"/>
    <n v="32"/>
    <n v="255882"/>
    <n v="58649"/>
    <n v="255882"/>
    <n v="230966"/>
    <n v="188542"/>
    <x v="0"/>
    <n v="0.08"/>
    <n v="15083.36"/>
    <n v="0.90262699212918451"/>
    <n v="7996.3125"/>
    <n v="3.888324617326643"/>
  </r>
  <r>
    <s v="FIRST NATIONAL BANK OF BROOKFIELD"/>
    <s v="Brookfield"/>
    <x v="1"/>
    <n v="60513"/>
    <d v="2021-09-30T00:00:00"/>
    <x v="2"/>
    <n v="35"/>
    <n v="310456"/>
    <n v="76525"/>
    <n v="310456"/>
    <n v="282160"/>
    <n v="242751"/>
    <x v="0"/>
    <n v="0.08"/>
    <n v="19420.080000000002"/>
    <n v="0.90885664957353052"/>
    <n v="8870.1714285714279"/>
    <n v="3.9405089989330628"/>
  </r>
  <r>
    <s v="FIRST NATIONAL BANK OF NOKOMIS"/>
    <s v="Nokomis"/>
    <x v="1"/>
    <n v="62075"/>
    <d v="2019-09-30T00:00:00"/>
    <x v="0"/>
    <n v="43"/>
    <n v="151940"/>
    <n v="12241"/>
    <n v="151940"/>
    <n v="133096"/>
    <n v="131991"/>
    <x v="0"/>
    <n v="0.08"/>
    <n v="10559.28"/>
    <n v="0.87597735948400679"/>
    <n v="3533.4883720930234"/>
    <n v="1.1592646468319809"/>
  </r>
  <r>
    <s v="FIRST NATIONAL BANK OF NOKOMIS"/>
    <s v="Nokomis"/>
    <x v="1"/>
    <n v="62075"/>
    <d v="2020-09-30T00:00:00"/>
    <x v="1"/>
    <n v="40"/>
    <n v="165503"/>
    <n v="13219"/>
    <n v="165503"/>
    <n v="145186"/>
    <n v="140091"/>
    <x v="0"/>
    <n v="0.08"/>
    <n v="11207.28"/>
    <n v="0.87724089593542109"/>
    <n v="4137.5749999999998"/>
    <n v="1.1795011813749634"/>
  </r>
  <r>
    <s v="FIRST NATIONAL BANK OF NOKOMIS"/>
    <s v="Nokomis"/>
    <x v="1"/>
    <n v="62075"/>
    <d v="2021-09-30T00:00:00"/>
    <x v="2"/>
    <n v="41"/>
    <n v="174216"/>
    <n v="10789"/>
    <n v="174216"/>
    <n v="154609"/>
    <n v="153535"/>
    <x v="0"/>
    <n v="0.08"/>
    <n v="12282.800000000001"/>
    <n v="0.88745580199292828"/>
    <n v="4249.1707317073169"/>
    <n v="0.87838277917087304"/>
  </r>
  <r>
    <s v="FIRST NATIONAL BANK OF PANA"/>
    <s v="Pana"/>
    <x v="1"/>
    <n v="62557"/>
    <d v="2019-09-30T00:00:00"/>
    <x v="0"/>
    <n v="39"/>
    <n v="187557"/>
    <n v="19716"/>
    <n v="187557"/>
    <n v="165670"/>
    <n v="164754"/>
    <x v="0"/>
    <n v="0.08"/>
    <n v="13180.32"/>
    <n v="0.88330480867149719"/>
    <n v="4809.1538461538457"/>
    <n v="1.4958665646964566"/>
  </r>
  <r>
    <s v="FIRST NATIONAL BANK OF PANA"/>
    <s v="Pana"/>
    <x v="1"/>
    <n v="62557"/>
    <d v="2020-09-30T00:00:00"/>
    <x v="1"/>
    <n v="38"/>
    <n v="225324"/>
    <n v="32707"/>
    <n v="225324"/>
    <n v="201317"/>
    <n v="195840"/>
    <x v="0"/>
    <n v="0.08"/>
    <n v="15667.2"/>
    <n v="0.89345564609184991"/>
    <n v="5929.5789473684208"/>
    <n v="2.087609783496732"/>
  </r>
  <r>
    <s v="FIRST NATIONAL BANK OF PANA"/>
    <s v="Pana"/>
    <x v="1"/>
    <n v="62557"/>
    <d v="2021-09-30T00:00:00"/>
    <x v="2"/>
    <n v="40"/>
    <n v="248684"/>
    <n v="35591"/>
    <n v="248684"/>
    <n v="222361"/>
    <n v="215872"/>
    <x v="0"/>
    <n v="0.08"/>
    <n v="17269.760000000002"/>
    <n v="0.89415080986311946"/>
    <n v="6217.1"/>
    <n v="2.0608856174029051"/>
  </r>
  <r>
    <s v="FIRST NATIONAL BANK OF SCOTIA"/>
    <s v="Scotia"/>
    <x v="2"/>
    <n v="12302"/>
    <d v="2019-09-30T00:00:00"/>
    <x v="0"/>
    <n v="144"/>
    <n v="508037"/>
    <n v="32780"/>
    <n v="508037"/>
    <n v="470014"/>
    <n v="461734"/>
    <x v="0"/>
    <n v="8.5000000000000006E-2"/>
    <n v="39247.39"/>
    <n v="0.92515702596464433"/>
    <n v="3528.0347222222222"/>
    <n v="0.83521477479139383"/>
  </r>
  <r>
    <s v="FIRST NATIONAL BANK OF SCOTIA"/>
    <s v="Scotia"/>
    <x v="2"/>
    <n v="12302"/>
    <d v="2020-09-30T00:00:00"/>
    <x v="1"/>
    <n v="136"/>
    <n v="603009"/>
    <n v="110574"/>
    <n v="603009"/>
    <n v="562399"/>
    <n v="553820"/>
    <x v="0"/>
    <n v="8.5000000000000006E-2"/>
    <n v="47074.700000000004"/>
    <n v="0.932654404826462"/>
    <n v="4433.8897058823532"/>
    <n v="2.3489050381627496"/>
  </r>
  <r>
    <s v="FIRST NATIONAL BANK OF SCOTIA"/>
    <s v="Scotia"/>
    <x v="2"/>
    <n v="12302"/>
    <d v="2021-09-30T00:00:00"/>
    <x v="2"/>
    <n v="135"/>
    <n v="682110"/>
    <n v="114199"/>
    <n v="682110"/>
    <n v="635069"/>
    <n v="625252"/>
    <x v="0"/>
    <n v="8.5000000000000006E-2"/>
    <n v="53146.420000000006"/>
    <n v="0.93103604990397448"/>
    <n v="5052.666666666667"/>
    <n v="2.1487618545143774"/>
  </r>
  <r>
    <s v="FIRST NATIONAL BANK OF STEELEVILLE"/>
    <s v="Steeleville"/>
    <x v="1"/>
    <n v="62288"/>
    <d v="2019-09-30T00:00:00"/>
    <x v="0"/>
    <n v="42"/>
    <n v="204451"/>
    <n v="5723"/>
    <n v="204451"/>
    <n v="172944"/>
    <n v="168242"/>
    <x v="0"/>
    <n v="0.08"/>
    <n v="13459.36"/>
    <n v="0.84589461533570387"/>
    <n v="4867.8809523809523"/>
    <n v="0.42520595332913302"/>
  </r>
  <r>
    <s v="FIRST NATIONAL BANK OF STEELEVILLE"/>
    <s v="Steeleville"/>
    <x v="1"/>
    <n v="62288"/>
    <d v="2020-09-30T00:00:00"/>
    <x v="1"/>
    <n v="40"/>
    <n v="234865"/>
    <n v="4800"/>
    <n v="234865"/>
    <n v="200751"/>
    <n v="190898"/>
    <x v="0"/>
    <n v="0.08"/>
    <n v="15271.84"/>
    <n v="0.85475060140932024"/>
    <n v="5871.625"/>
    <n v="0.31430397384990938"/>
  </r>
  <r>
    <s v="FIRST NATIONAL BANK OF STEELEVILLE"/>
    <s v="Steeleville"/>
    <x v="1"/>
    <n v="62288"/>
    <d v="2021-09-30T00:00:00"/>
    <x v="2"/>
    <n v="39"/>
    <n v="244689"/>
    <n v="5016"/>
    <n v="244689"/>
    <n v="211034"/>
    <n v="201296"/>
    <x v="0"/>
    <n v="0.08"/>
    <n v="16103.68"/>
    <n v="0.86245805900551309"/>
    <n v="6274.0769230769229"/>
    <n v="0.31148159923694457"/>
  </r>
  <r>
    <s v="FIRST NATIONAL BANK OF WATERLOO"/>
    <s v="Waterloo"/>
    <x v="1"/>
    <n v="62298"/>
    <d v="2019-09-30T00:00:00"/>
    <x v="0"/>
    <n v="106"/>
    <n v="485473"/>
    <n v="23431"/>
    <n v="485473"/>
    <n v="430514"/>
    <n v="401281"/>
    <x v="0"/>
    <n v="0.08"/>
    <n v="32102.48"/>
    <n v="0.88679288034555992"/>
    <n v="4579.933962264151"/>
    <n v="0.7298813051203521"/>
  </r>
  <r>
    <s v="FIRST NATIONAL BANK OF WATERLOO"/>
    <s v="Waterloo"/>
    <x v="1"/>
    <n v="62298"/>
    <d v="2020-09-30T00:00:00"/>
    <x v="1"/>
    <n v="132"/>
    <n v="731136"/>
    <n v="95056"/>
    <n v="731136"/>
    <n v="662654"/>
    <n v="615204"/>
    <x v="0"/>
    <n v="0.08"/>
    <n v="49216.32"/>
    <n v="0.90633479954481788"/>
    <n v="5538.909090909091"/>
    <n v="1.9313918635119407"/>
  </r>
  <r>
    <s v="FIRST NATIONAL BANK OF WATERLOO"/>
    <s v="Waterloo"/>
    <x v="1"/>
    <n v="62298"/>
    <d v="2021-09-30T00:00:00"/>
    <x v="2"/>
    <n v="141"/>
    <n v="820792"/>
    <n v="47604"/>
    <n v="820792"/>
    <n v="749927"/>
    <n v="710440"/>
    <x v="0"/>
    <n v="0.08"/>
    <n v="56835.200000000004"/>
    <n v="0.91366265753077514"/>
    <n v="5821.2198581560287"/>
    <n v="0.83757952817971959"/>
  </r>
  <r>
    <s v="FIRST NATIONS BANK"/>
    <s v="Chicago"/>
    <x v="1"/>
    <n v="60631"/>
    <d v="2019-09-30T00:00:00"/>
    <x v="0"/>
    <n v="39"/>
    <n v="358961"/>
    <n v="45826"/>
    <n v="358961"/>
    <n v="311668"/>
    <n v="288506"/>
    <x v="0"/>
    <n v="0.08"/>
    <n v="23080.48"/>
    <n v="0.86825031131515684"/>
    <n v="9204.1282051282051"/>
    <n v="1.9854873035569451"/>
  </r>
  <r>
    <s v="FIRST NATIONS BANK"/>
    <s v="Chicago"/>
    <x v="1"/>
    <n v="60631"/>
    <d v="2020-09-30T00:00:00"/>
    <x v="1"/>
    <n v="39"/>
    <n v="408552"/>
    <n v="82329"/>
    <n v="408552"/>
    <n v="358069"/>
    <n v="333578"/>
    <x v="0"/>
    <n v="0.08"/>
    <n v="26686.240000000002"/>
    <n v="0.87643433394035519"/>
    <n v="10475.692307692309"/>
    <n v="3.0850730563766193"/>
  </r>
  <r>
    <s v="FIRST NATIONS BANK"/>
    <s v="Chicago"/>
    <x v="1"/>
    <n v="60631"/>
    <d v="2021-09-30T00:00:00"/>
    <x v="2"/>
    <n v="40"/>
    <n v="484056"/>
    <n v="160588"/>
    <n v="484056"/>
    <n v="432240"/>
    <n v="413285"/>
    <x v="0"/>
    <n v="0.08"/>
    <n v="33062.800000000003"/>
    <n v="0.89295453418612725"/>
    <n v="12101.4"/>
    <n v="4.8570598981332491"/>
  </r>
  <r>
    <s v="FIRST NEIGHBOR BANK, NATIONAL ASSOCIATION"/>
    <s v="Toledo"/>
    <x v="1"/>
    <n v="62468"/>
    <d v="2019-09-30T00:00:00"/>
    <x v="0"/>
    <n v="109"/>
    <n v="437713"/>
    <n v="26568"/>
    <n v="437713"/>
    <n v="387260"/>
    <n v="345422"/>
    <x v="0"/>
    <n v="0.08"/>
    <n v="27633.760000000002"/>
    <n v="0.88473497474372476"/>
    <n v="4015.7155963302753"/>
    <n v="0.96143268234217849"/>
  </r>
  <r>
    <s v="FIRST NEIGHBOR BANK, NATIONAL ASSOCIATION"/>
    <s v="Toledo"/>
    <x v="1"/>
    <n v="62468"/>
    <d v="2020-09-30T00:00:00"/>
    <x v="1"/>
    <n v="120"/>
    <n v="508582"/>
    <n v="65950"/>
    <n v="508582"/>
    <n v="455341"/>
    <n v="397988"/>
    <x v="0"/>
    <n v="0.08"/>
    <n v="31839.040000000001"/>
    <n v="0.89531481648976963"/>
    <n v="4238.1833333333334"/>
    <n v="2.0713564228067178"/>
  </r>
  <r>
    <s v="FIRST NEIGHBOR BANK, NATIONAL ASSOCIATION"/>
    <s v="Toledo"/>
    <x v="1"/>
    <n v="62468"/>
    <d v="2021-09-30T00:00:00"/>
    <x v="2"/>
    <n v="123"/>
    <n v="544354"/>
    <n v="110345"/>
    <n v="544354"/>
    <n v="487899"/>
    <n v="437291"/>
    <x v="0"/>
    <n v="0.08"/>
    <n v="34983.279999999999"/>
    <n v="0.89628991428371974"/>
    <n v="4425.6422764227646"/>
    <n v="3.1542211021951059"/>
  </r>
  <r>
    <s v="FIRST NORTHERN BANK OF DIXON"/>
    <s v="Dixon"/>
    <x v="0"/>
    <n v="95620"/>
    <d v="2019-09-30T00:00:00"/>
    <x v="0"/>
    <n v="209"/>
    <n v="1287263"/>
    <n v="151038"/>
    <n v="1287263"/>
    <n v="1161110"/>
    <n v="1141403"/>
    <x v="1"/>
    <n v="0.08"/>
    <n v="91312.24"/>
    <n v="0.90199904759167315"/>
    <n v="6159.1531100478469"/>
    <n v="1.6540827385244299"/>
  </r>
  <r>
    <s v="FIRST NORTHERN BANK OF DIXON"/>
    <s v="Dixon"/>
    <x v="0"/>
    <n v="95620"/>
    <d v="2020-09-30T00:00:00"/>
    <x v="1"/>
    <n v="211"/>
    <n v="1677266"/>
    <n v="293785"/>
    <n v="1677266"/>
    <n v="1532736"/>
    <n v="1502841"/>
    <x v="1"/>
    <n v="0.08"/>
    <n v="120227.28"/>
    <n v="0.91383000668945769"/>
    <n v="7949.1279620853084"/>
    <n v="2.4435801924488354"/>
  </r>
  <r>
    <s v="FIRST NORTHERN BANK OF DIXON"/>
    <s v="Dixon"/>
    <x v="0"/>
    <n v="95620"/>
    <d v="2021-09-30T00:00:00"/>
    <x v="2"/>
    <n v="189"/>
    <n v="1924456"/>
    <n v="429139"/>
    <n v="1924456"/>
    <n v="1771876"/>
    <n v="1751620"/>
    <x v="1"/>
    <n v="0.08"/>
    <n v="140129.60000000001"/>
    <n v="0.9207152566751331"/>
    <n v="10182.306878306877"/>
    <n v="3.0624436236169945"/>
  </r>
  <r>
    <s v="FIRST REPUBLIC BANK"/>
    <s v="San Francisco"/>
    <x v="0"/>
    <n v="94111"/>
    <d v="2019-09-30T00:00:00"/>
    <x v="0"/>
    <n v="4880"/>
    <n v="111028735"/>
    <n v="2181600"/>
    <n v="111028735"/>
    <n v="101597529"/>
    <n v="85720519"/>
    <x v="1"/>
    <n v="0.08"/>
    <n v="6857641.5200000005"/>
    <n v="0.915056169918535"/>
    <n v="22751.789959016394"/>
    <n v="0.31812686528414508"/>
  </r>
  <r>
    <s v="FIRST REPUBLIC BANK"/>
    <s v="San Francisco"/>
    <x v="0"/>
    <n v="94111"/>
    <d v="2020-09-30T00:00:00"/>
    <x v="1"/>
    <n v="5294"/>
    <n v="133225771"/>
    <n v="3691149"/>
    <n v="133225771"/>
    <n v="121881162"/>
    <n v="104403376"/>
    <x v="1"/>
    <n v="0.08"/>
    <n v="8352270.0800000001"/>
    <n v="0.91484673787326032"/>
    <n v="25165.427087268607"/>
    <n v="0.4419336257862006"/>
  </r>
  <r>
    <s v="FIRST REPUBLIC BANK"/>
    <s v="San Francisco"/>
    <x v="0"/>
    <n v="94111"/>
    <d v="2021-09-30T00:00:00"/>
    <x v="2"/>
    <n v="6154"/>
    <n v="172570503"/>
    <n v="12279447"/>
    <n v="172570503"/>
    <n v="157768709"/>
    <n v="145326345"/>
    <x v="1"/>
    <n v="0.08"/>
    <n v="11626107.6"/>
    <n v="0.91422755486782115"/>
    <n v="28042.005687357818"/>
    <n v="1.0561958845108228"/>
  </r>
  <r>
    <s v="FIRST ROBINSON SAVINGS BANK, NATIONAL ASSOCIATION"/>
    <s v="Robinson"/>
    <x v="1"/>
    <n v="62454"/>
    <d v="2019-09-30T00:00:00"/>
    <x v="0"/>
    <n v="87"/>
    <n v="338010"/>
    <n v="48685"/>
    <n v="338010"/>
    <n v="305500"/>
    <n v="278664"/>
    <x v="0"/>
    <n v="0.08"/>
    <n v="22293.119999999999"/>
    <n v="0.90381941362681573"/>
    <n v="3885.1724137931033"/>
    <n v="2.1838576206470877"/>
  </r>
  <r>
    <s v="FIRST ROBINSON SAVINGS BANK, NATIONAL ASSOCIATION"/>
    <s v="Robinson"/>
    <x v="1"/>
    <n v="62454"/>
    <d v="2020-09-30T00:00:00"/>
    <x v="1"/>
    <n v="86"/>
    <n v="390480"/>
    <n v="30511"/>
    <n v="390480"/>
    <n v="355488"/>
    <n v="329582"/>
    <x v="0"/>
    <n v="0.08"/>
    <n v="26366.560000000001"/>
    <n v="0.91038721573448067"/>
    <n v="4540.4651162790697"/>
    <n v="1.1571854652256495"/>
  </r>
  <r>
    <s v="FIRST ROBINSON SAVINGS BANK, NATIONAL ASSOCIATION"/>
    <s v="Robinson"/>
    <x v="1"/>
    <n v="62454"/>
    <d v="2021-09-30T00:00:00"/>
    <x v="2"/>
    <n v="89"/>
    <n v="437078"/>
    <n v="32491"/>
    <n v="437078"/>
    <n v="401674"/>
    <n v="366836"/>
    <x v="0"/>
    <n v="0.08"/>
    <n v="29346.880000000001"/>
    <n v="0.91899843963777628"/>
    <n v="4910.9887640449442"/>
    <n v="1.1071364315388892"/>
  </r>
  <r>
    <s v="FIRST SAVANNA SAVINGS BANK"/>
    <s v="Savanna"/>
    <x v="1"/>
    <n v="61074"/>
    <d v="2019-09-30T00:00:00"/>
    <x v="0"/>
    <n v="6"/>
    <n v="11819"/>
    <n v="1167"/>
    <n v="11819"/>
    <n v="10629"/>
    <n v="10522"/>
    <x v="2"/>
    <n v="0.09"/>
    <n v="946.98"/>
    <n v="0.89931466283103478"/>
    <n v="1969.8333333333333"/>
    <n v="1.2323385921561174"/>
  </r>
  <r>
    <s v="FIRST SAVANNA SAVINGS BANK"/>
    <s v="Savanna"/>
    <x v="1"/>
    <n v="61074"/>
    <d v="2020-09-30T00:00:00"/>
    <x v="1"/>
    <n v="6"/>
    <n v="11624"/>
    <n v="2268"/>
    <n v="11624"/>
    <n v="10775"/>
    <n v="10686"/>
    <x v="2"/>
    <n v="0.09"/>
    <n v="961.74"/>
    <n v="0.92696145905024085"/>
    <n v="1937.3333333333333"/>
    <n v="2.3582257158899496"/>
  </r>
  <r>
    <s v="FIRST SAVANNA SAVINGS BANK"/>
    <s v="Savanna"/>
    <x v="1"/>
    <n v="61074"/>
    <d v="2021-09-30T00:00:00"/>
    <x v="2"/>
    <n v="6"/>
    <n v="10484"/>
    <n v="1571"/>
    <n v="10484"/>
    <n v="9919"/>
    <n v="9850"/>
    <x v="2"/>
    <n v="0.09"/>
    <n v="886.5"/>
    <n v="0.94610835558946971"/>
    <n v="1747.3333333333333"/>
    <n v="1.7721376198533558"/>
  </r>
  <r>
    <s v="FIRST SAVINGS BANK"/>
    <s v="Danville"/>
    <x v="1"/>
    <n v="61832"/>
    <d v="2019-09-30T00:00:00"/>
    <x v="0"/>
    <n v="7"/>
    <n v="36121"/>
    <n v="4086"/>
    <n v="36121"/>
    <n v="26846"/>
    <n v="25773"/>
    <x v="2"/>
    <n v="0.09"/>
    <n v="2319.5699999999997"/>
    <n v="0.74322416322914653"/>
    <n v="5160.1428571428569"/>
    <n v="1.7615333876537465"/>
  </r>
  <r>
    <s v="FIRST SAVINGS BANK"/>
    <s v="Danville"/>
    <x v="1"/>
    <n v="61832"/>
    <d v="2020-09-30T00:00:00"/>
    <x v="1"/>
    <n v="6"/>
    <n v="43404"/>
    <n v="6569"/>
    <n v="43404"/>
    <n v="33363"/>
    <n v="26379"/>
    <x v="2"/>
    <n v="0.09"/>
    <n v="2374.11"/>
    <n v="0.7686618744816146"/>
    <n v="7234"/>
    <n v="2.7669316080552289"/>
  </r>
  <r>
    <s v="FIRST SAVINGS BANK"/>
    <s v="Danville"/>
    <x v="1"/>
    <n v="61832"/>
    <d v="2021-09-30T00:00:00"/>
    <x v="2"/>
    <n v="6"/>
    <n v="40992"/>
    <n v="6543"/>
    <n v="40992"/>
    <n v="30950"/>
    <n v="26182"/>
    <x v="2"/>
    <n v="0.09"/>
    <n v="2356.38"/>
    <n v="0.75502537080405929"/>
    <n v="6832"/>
    <n v="2.7767168283553585"/>
  </r>
  <r>
    <s v="FIRST SAVINGS BANK OF HEGEWISCH"/>
    <s v="Chicago"/>
    <x v="1"/>
    <n v="60633"/>
    <d v="2019-09-30T00:00:00"/>
    <x v="0"/>
    <n v="117"/>
    <n v="673155"/>
    <n v="112393"/>
    <n v="673155"/>
    <n v="564620"/>
    <n v="562308"/>
    <x v="0"/>
    <n v="0.08"/>
    <n v="44984.639999999999"/>
    <n v="0.83876670306244472"/>
    <n v="5753.4615384615381"/>
    <n v="2.4984750350341804"/>
  </r>
  <r>
    <s v="FIRST SAVINGS BANK OF HEGEWISCH"/>
    <s v="Chicago"/>
    <x v="1"/>
    <n v="60633"/>
    <d v="2020-09-30T00:00:00"/>
    <x v="1"/>
    <n v="111"/>
    <n v="722960"/>
    <n v="200586"/>
    <n v="722960"/>
    <n v="612741"/>
    <n v="610712"/>
    <x v="0"/>
    <n v="0.08"/>
    <n v="48856.959999999999"/>
    <n v="0.84754481575744167"/>
    <n v="6513.1531531531527"/>
    <n v="4.1055767694101313"/>
  </r>
  <r>
    <s v="FIRST SAVINGS BANK OF HEGEWISCH"/>
    <s v="Chicago"/>
    <x v="1"/>
    <n v="60633"/>
    <d v="2021-09-30T00:00:00"/>
    <x v="2"/>
    <n v="102"/>
    <n v="781644"/>
    <n v="140926"/>
    <n v="781644"/>
    <n v="669834"/>
    <n v="667784"/>
    <x v="0"/>
    <n v="0.08"/>
    <n v="53422.720000000001"/>
    <n v="0.85695534028278864"/>
    <n v="7663.1764705882351"/>
    <n v="2.6379413103638303"/>
  </r>
  <r>
    <s v="FIRST SECURE BANK AND TRUST CO."/>
    <s v="Palos Hills"/>
    <x v="1"/>
    <n v="60465"/>
    <d v="2019-09-30T00:00:00"/>
    <x v="0"/>
    <n v="31"/>
    <n v="169404"/>
    <n v="17143"/>
    <n v="169404"/>
    <n v="149989"/>
    <n v="146049"/>
    <x v="0"/>
    <n v="0.08"/>
    <n v="11683.92"/>
    <n v="0.88539231659228823"/>
    <n v="5464.6451612903229"/>
    <n v="1.4672301761737498"/>
  </r>
  <r>
    <s v="FIRST SECURE BANK AND TRUST CO."/>
    <s v="Palos Hills"/>
    <x v="1"/>
    <n v="60465"/>
    <d v="2020-09-30T00:00:00"/>
    <x v="1"/>
    <n v="39"/>
    <n v="360903"/>
    <n v="37252"/>
    <n v="360903"/>
    <n v="339322"/>
    <n v="230091"/>
    <x v="0"/>
    <n v="0.08"/>
    <n v="18407.28"/>
    <n v="0.94020276916512191"/>
    <n v="9253.9230769230762"/>
    <n v="2.023764510563212"/>
  </r>
  <r>
    <s v="FIRST SECURE BANK AND TRUST CO."/>
    <s v="Palos Hills"/>
    <x v="1"/>
    <n v="60465"/>
    <d v="2021-09-30T00:00:00"/>
    <x v="2"/>
    <n v="41"/>
    <n v="355668"/>
    <n v="48772"/>
    <n v="355668"/>
    <n v="327479"/>
    <n v="273332"/>
    <x v="0"/>
    <n v="0.08"/>
    <n v="21866.560000000001"/>
    <n v="0.92074350236737634"/>
    <n v="8674.8292682926822"/>
    <n v="2.2304377094522412"/>
  </r>
  <r>
    <s v="FIRST SECURE COMMUNITY BANK"/>
    <s v="Sugar Grove"/>
    <x v="1"/>
    <n v="60554"/>
    <d v="2019-09-30T00:00:00"/>
    <x v="0"/>
    <n v="40"/>
    <n v="361050"/>
    <n v="34180"/>
    <n v="361050"/>
    <n v="326358"/>
    <n v="295341"/>
    <x v="0"/>
    <n v="0.08"/>
    <n v="23627.279999999999"/>
    <n v="0.90391358537598665"/>
    <n v="9026.25"/>
    <n v="1.4466328752188149"/>
  </r>
  <r>
    <s v="FIRST SECURE COMMUNITY BANK"/>
    <s v="Sugar Grove"/>
    <x v="1"/>
    <n v="60554"/>
    <d v="2020-09-30T00:00:00"/>
    <x v="1"/>
    <n v="59"/>
    <n v="436232"/>
    <n v="24114"/>
    <n v="436232"/>
    <n v="398247"/>
    <n v="366593"/>
    <x v="0"/>
    <n v="0.08"/>
    <n v="29327.440000000002"/>
    <n v="0.91292477397348204"/>
    <n v="7393.7627118644068"/>
    <n v="0.82223337597826462"/>
  </r>
  <r>
    <s v="FIRST SECURE COMMUNITY BANK"/>
    <s v="Sugar Grove"/>
    <x v="1"/>
    <n v="60554"/>
    <d v="2021-09-30T00:00:00"/>
    <x v="2"/>
    <n v="48"/>
    <n v="490089"/>
    <n v="105474"/>
    <n v="490089"/>
    <n v="449776"/>
    <n v="422553"/>
    <x v="0"/>
    <n v="0.08"/>
    <n v="33804.239999999998"/>
    <n v="0.91774351189273784"/>
    <n v="10210.1875"/>
    <n v="3.1201411420579195"/>
  </r>
  <r>
    <s v="FIRST SECURITY BANK"/>
    <s v="Mackinaw"/>
    <x v="1"/>
    <n v="61755"/>
    <d v="2019-09-30T00:00:00"/>
    <x v="0"/>
    <n v="20"/>
    <n v="84281"/>
    <n v="9446"/>
    <n v="84281"/>
    <n v="75766"/>
    <n v="74234"/>
    <x v="2"/>
    <n v="0.09"/>
    <n v="6681.0599999999995"/>
    <n v="0.89896892538057216"/>
    <n v="4214.05"/>
    <n v="1.4138475032405038"/>
  </r>
  <r>
    <s v="FIRST SECURITY BANK"/>
    <s v="Mackinaw"/>
    <x v="1"/>
    <n v="61755"/>
    <d v="2020-09-30T00:00:00"/>
    <x v="1"/>
    <n v="20"/>
    <n v="91652"/>
    <n v="14542"/>
    <n v="91652"/>
    <n v="82917"/>
    <n v="77881"/>
    <x v="2"/>
    <n v="0.09"/>
    <n v="7009.29"/>
    <n v="0.90469384192379876"/>
    <n v="4582.6000000000004"/>
    <n v="2.0746751810811079"/>
  </r>
  <r>
    <s v="FIRST SECURITY BANK"/>
    <s v="Mackinaw"/>
    <x v="1"/>
    <n v="61755"/>
    <d v="2021-09-30T00:00:00"/>
    <x v="2"/>
    <n v="20"/>
    <n v="101185"/>
    <n v="25591"/>
    <n v="101185"/>
    <n v="92470"/>
    <n v="87058"/>
    <x v="0"/>
    <n v="0.08"/>
    <n v="6964.64"/>
    <n v="0.91387063299896232"/>
    <n v="5059.25"/>
    <n v="3.6744182039559834"/>
  </r>
  <r>
    <s v="FIRST SECURITY TRUST AND SAVINGS BANK"/>
    <s v="Elmwood Park"/>
    <x v="1"/>
    <n v="60707"/>
    <d v="2019-09-30T00:00:00"/>
    <x v="0"/>
    <n v="40"/>
    <n v="332791"/>
    <n v="138809"/>
    <n v="332791"/>
    <n v="303663"/>
    <n v="302096"/>
    <x v="0"/>
    <n v="0.08"/>
    <n v="24167.68"/>
    <n v="0.91247359453831378"/>
    <n v="8319.7749999999996"/>
    <n v="5.7435798554102009"/>
  </r>
  <r>
    <s v="FIRST SECURITY TRUST AND SAVINGS BANK"/>
    <s v="Elmwood Park"/>
    <x v="1"/>
    <n v="60707"/>
    <d v="2020-09-30T00:00:00"/>
    <x v="1"/>
    <n v="37"/>
    <n v="308805"/>
    <n v="124991"/>
    <n v="308805"/>
    <n v="278207"/>
    <n v="276976"/>
    <x v="0"/>
    <n v="0.08"/>
    <n v="22158.080000000002"/>
    <n v="0.9009148167937695"/>
    <n v="8346.0810810810817"/>
    <n v="5.640876826873086"/>
  </r>
  <r>
    <s v="FIRST SECURITY TRUST AND SAVINGS BANK"/>
    <s v="Elmwood Park"/>
    <x v="1"/>
    <n v="60707"/>
    <d v="2021-09-30T00:00:00"/>
    <x v="2"/>
    <n v="36"/>
    <n v="371550"/>
    <n v="101710"/>
    <n v="371550"/>
    <n v="342055"/>
    <n v="340604"/>
    <x v="0"/>
    <n v="0.08"/>
    <n v="27248.32"/>
    <n v="0.92061633696676082"/>
    <n v="10320.833333333334"/>
    <n v="3.7327071907552467"/>
  </r>
  <r>
    <s v="FIRST SOUTHERN BANK"/>
    <s v="Marion"/>
    <x v="1"/>
    <n v="62959"/>
    <d v="2019-09-30T00:00:00"/>
    <x v="0"/>
    <n v="148"/>
    <n v="702909"/>
    <n v="33793"/>
    <n v="702909"/>
    <n v="603716"/>
    <n v="559230"/>
    <x v="0"/>
    <n v="0.08"/>
    <n v="44738.400000000001"/>
    <n v="0.85888215971057424"/>
    <n v="4749.385135135135"/>
    <n v="0.75534663734062901"/>
  </r>
  <r>
    <s v="FIRST SOUTHERN BANK"/>
    <s v="Marion"/>
    <x v="1"/>
    <n v="62959"/>
    <d v="2020-09-30T00:00:00"/>
    <x v="1"/>
    <n v="142"/>
    <n v="758721"/>
    <n v="30976"/>
    <n v="758721"/>
    <n v="656077"/>
    <n v="624655"/>
    <x v="0"/>
    <n v="0.08"/>
    <n v="49972.4"/>
    <n v="0.86471443389599079"/>
    <n v="5343.1056338028166"/>
    <n v="0.61986216391448079"/>
  </r>
  <r>
    <s v="FIRST SOUTHERN BANK"/>
    <s v="Marion"/>
    <x v="1"/>
    <n v="62959"/>
    <d v="2021-09-30T00:00:00"/>
    <x v="2"/>
    <n v="132"/>
    <n v="781000"/>
    <n v="17482"/>
    <n v="781000"/>
    <n v="674055"/>
    <n v="641702"/>
    <x v="0"/>
    <n v="0.08"/>
    <n v="51336.160000000003"/>
    <n v="0.86306658130601788"/>
    <n v="5916.666666666667"/>
    <n v="0.34053968976253773"/>
  </r>
  <r>
    <s v="FIRST STATE BANK"/>
    <s v="Mendota"/>
    <x v="1"/>
    <n v="61342"/>
    <d v="2019-09-30T00:00:00"/>
    <x v="0"/>
    <n v="307"/>
    <n v="1136645"/>
    <n v="31844"/>
    <n v="1136645"/>
    <n v="1017828"/>
    <n v="961285"/>
    <x v="1"/>
    <n v="7.4999999999999997E-2"/>
    <n v="72096.375"/>
    <n v="0.89546692239001624"/>
    <n v="3702.4267100977199"/>
    <n v="0.4416865619110531"/>
  </r>
  <r>
    <s v="FIRST STATE BANK"/>
    <s v="Monticello"/>
    <x v="1"/>
    <n v="61856"/>
    <d v="2019-09-30T00:00:00"/>
    <x v="0"/>
    <n v="66"/>
    <n v="271849"/>
    <n v="41376"/>
    <n v="271849"/>
    <n v="247615"/>
    <n v="244218"/>
    <x v="0"/>
    <n v="0.08"/>
    <n v="19537.439999999999"/>
    <n v="0.91085492313747707"/>
    <n v="4118.924242424242"/>
    <n v="2.1177800162150211"/>
  </r>
  <r>
    <s v="FIRST STATE BANK"/>
    <s v="Mendota"/>
    <x v="1"/>
    <n v="61342"/>
    <d v="2020-09-30T00:00:00"/>
    <x v="1"/>
    <n v="329"/>
    <n v="1319671"/>
    <n v="78551"/>
    <n v="1319671"/>
    <n v="1183200"/>
    <n v="1127993"/>
    <x v="1"/>
    <n v="7.4999999999999997E-2"/>
    <n v="84599.474999999991"/>
    <n v="0.89658710390695862"/>
    <n v="4011.1580547112462"/>
    <n v="0.92850457996341007"/>
  </r>
  <r>
    <s v="FIRST STATE BANK"/>
    <s v="Monticello"/>
    <x v="1"/>
    <n v="61856"/>
    <d v="2020-09-30T00:00:00"/>
    <x v="1"/>
    <n v="66"/>
    <n v="288474"/>
    <n v="50006"/>
    <n v="288474"/>
    <n v="261562"/>
    <n v="255356"/>
    <x v="0"/>
    <n v="0.08"/>
    <n v="20428.48"/>
    <n v="0.9067090968336835"/>
    <n v="4370.818181818182"/>
    <n v="2.4478571092905592"/>
  </r>
  <r>
    <s v="FIRST STATE BANK"/>
    <s v="Mendota"/>
    <x v="1"/>
    <n v="61342"/>
    <d v="2021-09-30T00:00:00"/>
    <x v="2"/>
    <n v="331"/>
    <n v="1374935"/>
    <n v="159009"/>
    <n v="1374935"/>
    <n v="1226186"/>
    <n v="1179731"/>
    <x v="1"/>
    <n v="7.4999999999999997E-2"/>
    <n v="88479.824999999997"/>
    <n v="0.89181379483393763"/>
    <n v="4153.8821752265858"/>
    <n v="1.7971215472001669"/>
  </r>
  <r>
    <s v="FIRST STATE BANK"/>
    <s v="Monticello"/>
    <x v="1"/>
    <n v="61856"/>
    <d v="2021-09-30T00:00:00"/>
    <x v="2"/>
    <n v="63"/>
    <n v="327718"/>
    <n v="85478"/>
    <n v="327718"/>
    <n v="301296"/>
    <n v="295795"/>
    <x v="0"/>
    <n v="0.08"/>
    <n v="23663.600000000002"/>
    <n v="0.91937580480779202"/>
    <n v="5201.8730158730159"/>
    <n v="3.6122145404756671"/>
  </r>
  <r>
    <s v="FIRST STATE BANK OF BEECHER CITY"/>
    <s v="Beecher City"/>
    <x v="1"/>
    <n v="62414"/>
    <d v="2019-09-30T00:00:00"/>
    <x v="0"/>
    <n v="14"/>
    <n v="72663"/>
    <n v="10276"/>
    <n v="72663"/>
    <n v="59158"/>
    <n v="58968"/>
    <x v="2"/>
    <n v="0.09"/>
    <n v="5307.12"/>
    <n v="0.81414199799072429"/>
    <n v="5190.2142857142853"/>
    <n v="1.9362667510815659"/>
  </r>
  <r>
    <s v="FIRST STATE BANK OF BEECHER CITY"/>
    <s v="Beecher City"/>
    <x v="1"/>
    <n v="62414"/>
    <d v="2020-09-30T00:00:00"/>
    <x v="1"/>
    <n v="13"/>
    <n v="81707"/>
    <n v="14663"/>
    <n v="81707"/>
    <n v="70331"/>
    <n v="70110"/>
    <x v="2"/>
    <n v="0.09"/>
    <n v="6309.9"/>
    <n v="0.86077080299117581"/>
    <n v="6285.1538461538457"/>
    <n v="2.3238086182031412"/>
  </r>
  <r>
    <s v="FIRST STATE BANK OF BEECHER CITY"/>
    <s v="Beecher City"/>
    <x v="1"/>
    <n v="62414"/>
    <d v="2021-09-30T00:00:00"/>
    <x v="2"/>
    <n v="13"/>
    <n v="92049"/>
    <n v="4254"/>
    <n v="92049"/>
    <n v="79958"/>
    <n v="79775"/>
    <x v="2"/>
    <n v="0.09"/>
    <n v="7179.75"/>
    <n v="0.86864604721398386"/>
    <n v="7080.6923076923076"/>
    <n v="0.59249973884884566"/>
  </r>
  <r>
    <s v="FIRST STATE BANK OF BLOOMINGTON"/>
    <s v="Bloomington"/>
    <x v="1"/>
    <n v="61704"/>
    <d v="2019-09-30T00:00:00"/>
    <x v="0"/>
    <n v="38"/>
    <n v="121525"/>
    <n v="20059"/>
    <n v="121525"/>
    <n v="110120"/>
    <n v="109878"/>
    <x v="0"/>
    <n v="0.08"/>
    <n v="8790.24"/>
    <n v="0.90615099773709118"/>
    <n v="3198.0263157894738"/>
    <n v="2.2819627222919965"/>
  </r>
  <r>
    <s v="FIRST STATE BANK OF BLOOMINGTON"/>
    <s v="Bloomington"/>
    <x v="1"/>
    <n v="61704"/>
    <d v="2020-09-30T00:00:00"/>
    <x v="1"/>
    <n v="36"/>
    <n v="142501"/>
    <n v="26630"/>
    <n v="142501"/>
    <n v="129709"/>
    <n v="125182"/>
    <x v="0"/>
    <n v="0.08"/>
    <n v="10014.56"/>
    <n v="0.91023220889677969"/>
    <n v="3958.3611111111113"/>
    <n v="2.6591283091818312"/>
  </r>
  <r>
    <s v="FIRST STATE BANK OF BLOOMINGTON"/>
    <s v="Bloomington"/>
    <x v="1"/>
    <n v="61704"/>
    <d v="2021-09-30T00:00:00"/>
    <x v="2"/>
    <n v="36"/>
    <n v="161323"/>
    <n v="43590"/>
    <n v="161323"/>
    <n v="148377"/>
    <n v="148002"/>
    <x v="0"/>
    <n v="0.08"/>
    <n v="11840.16"/>
    <n v="0.91975105843556093"/>
    <n v="4481.1944444444443"/>
    <n v="3.6815380873231445"/>
  </r>
  <r>
    <s v="FIRST STATE BANK OF CAMPBELL HILL"/>
    <s v="Campbell Hill"/>
    <x v="1"/>
    <n v="62916"/>
    <d v="2019-09-30T00:00:00"/>
    <x v="0"/>
    <n v="31"/>
    <n v="115752"/>
    <n v="11388"/>
    <n v="115752"/>
    <n v="102583"/>
    <n v="101118"/>
    <x v="0"/>
    <n v="0.08"/>
    <n v="8089.4400000000005"/>
    <n v="0.88623090745732258"/>
    <n v="3733.9354838709678"/>
    <n v="1.4077612294546964"/>
  </r>
  <r>
    <s v="FIRST STATE BANK OF CAMPBELL HILL"/>
    <s v="Campbell Hill"/>
    <x v="1"/>
    <n v="62916"/>
    <d v="2020-09-30T00:00:00"/>
    <x v="1"/>
    <n v="30"/>
    <n v="130365"/>
    <n v="14677"/>
    <n v="130365"/>
    <n v="115663"/>
    <n v="110034"/>
    <x v="0"/>
    <n v="0.08"/>
    <n v="8802.7199999999993"/>
    <n v="0.88722433168411763"/>
    <n v="4345.5"/>
    <n v="1.6673255539196976"/>
  </r>
  <r>
    <s v="FIRST STATE BANK OF CAMPBELL HILL"/>
    <s v="Campbell Hill"/>
    <x v="1"/>
    <n v="62916"/>
    <d v="2021-09-30T00:00:00"/>
    <x v="2"/>
    <n v="30"/>
    <n v="138821"/>
    <n v="15622"/>
    <n v="138821"/>
    <n v="122899"/>
    <n v="121320"/>
    <x v="0"/>
    <n v="0.08"/>
    <n v="9705.6"/>
    <n v="0.88530553734665507"/>
    <n v="4627.3666666666668"/>
    <n v="1.6095862182657434"/>
  </r>
  <r>
    <s v="FIRST STATE BANK OF FORREST"/>
    <s v="Forrest"/>
    <x v="1"/>
    <n v="61741"/>
    <d v="2019-09-30T00:00:00"/>
    <x v="0"/>
    <n v="53"/>
    <n v="229272"/>
    <n v="20315"/>
    <n v="229272"/>
    <n v="210604"/>
    <n v="198326"/>
    <x v="0"/>
    <n v="0.08"/>
    <n v="15866.08"/>
    <n v="0.91857706130709371"/>
    <n v="4325.8867924528304"/>
    <n v="1.2804044855440033"/>
  </r>
  <r>
    <s v="FIRST STATE BANK OF FORREST"/>
    <s v="Forrest"/>
    <x v="1"/>
    <n v="61741"/>
    <d v="2020-09-30T00:00:00"/>
    <x v="1"/>
    <n v="51"/>
    <n v="236737"/>
    <n v="27879"/>
    <n v="236737"/>
    <n v="216997"/>
    <n v="210495"/>
    <x v="0"/>
    <n v="0.08"/>
    <n v="16839.599999999999"/>
    <n v="0.91661632951334182"/>
    <n v="4641.9019607843138"/>
    <n v="1.6555618898311126"/>
  </r>
  <r>
    <s v="FIRST STATE BANK OF FORREST"/>
    <s v="Forrest"/>
    <x v="1"/>
    <n v="61741"/>
    <d v="2021-09-30T00:00:00"/>
    <x v="2"/>
    <n v="54"/>
    <n v="243659"/>
    <n v="18951"/>
    <n v="243659"/>
    <n v="221916"/>
    <n v="217497"/>
    <x v="0"/>
    <n v="0.08"/>
    <n v="17399.760000000002"/>
    <n v="0.91076463418137643"/>
    <n v="4512.2037037037035"/>
    <n v="1.0891529538338458"/>
  </r>
  <r>
    <s v="FIRST STATE BANK OF OLMSTED"/>
    <s v="Olmsted"/>
    <x v="1"/>
    <n v="62970"/>
    <d v="2019-09-30T00:00:00"/>
    <x v="0"/>
    <n v="17"/>
    <n v="50895"/>
    <n v="2428"/>
    <n v="50895"/>
    <n v="44150"/>
    <n v="43869"/>
    <x v="2"/>
    <n v="0.09"/>
    <n v="3948.21"/>
    <n v="0.86747224678259161"/>
    <n v="2993.8235294117649"/>
    <n v="0.61496222338730711"/>
  </r>
  <r>
    <s v="FIRST STATE BANK OF OLMSTED"/>
    <s v="Olmsted"/>
    <x v="1"/>
    <n v="62970"/>
    <d v="2020-09-30T00:00:00"/>
    <x v="1"/>
    <n v="18"/>
    <n v="61143"/>
    <n v="6476"/>
    <n v="61143"/>
    <n v="53900"/>
    <n v="49596"/>
    <x v="2"/>
    <n v="0.09"/>
    <n v="4463.6399999999994"/>
    <n v="0.88153999640187752"/>
    <n v="3396.8333333333335"/>
    <n v="1.4508338486078629"/>
  </r>
  <r>
    <s v="FIRST STATE BANK OF OLMSTED"/>
    <s v="Olmsted"/>
    <x v="1"/>
    <n v="62970"/>
    <d v="2021-09-30T00:00:00"/>
    <x v="2"/>
    <n v="17"/>
    <n v="65238"/>
    <n v="5824"/>
    <n v="65238"/>
    <n v="57540"/>
    <n v="56309"/>
    <x v="2"/>
    <n v="0.09"/>
    <n v="5067.8099999999995"/>
    <n v="0.88200128759312058"/>
    <n v="3837.5294117647059"/>
    <n v="1.1492143549185942"/>
  </r>
  <r>
    <s v="FIRST STATE BANK OF ST. PETER"/>
    <s v="Saint Peter"/>
    <x v="1"/>
    <n v="62880"/>
    <d v="2019-09-30T00:00:00"/>
    <x v="0"/>
    <n v="5"/>
    <n v="28640"/>
    <n v="2668"/>
    <n v="28640"/>
    <n v="23650"/>
    <n v="23516"/>
    <x v="2"/>
    <n v="0.09"/>
    <n v="2116.44"/>
    <n v="0.82576815642458101"/>
    <n v="5728"/>
    <n v="1.2606074351269112"/>
  </r>
  <r>
    <s v="FIRST STATE BANK OF ST. PETER"/>
    <s v="Saint Peter"/>
    <x v="1"/>
    <n v="62880"/>
    <d v="2020-09-30T00:00:00"/>
    <x v="1"/>
    <n v="5"/>
    <n v="29980"/>
    <n v="9188"/>
    <n v="29980"/>
    <n v="24905"/>
    <n v="24738"/>
    <x v="2"/>
    <n v="0.09"/>
    <n v="2226.42"/>
    <n v="0.83072048032021351"/>
    <n v="5996"/>
    <n v="4.1268044663630397"/>
  </r>
  <r>
    <s v="FIRST STATE BANK OF ST. PETER"/>
    <s v="Saint Peter"/>
    <x v="1"/>
    <n v="62880"/>
    <d v="2021-09-30T00:00:00"/>
    <x v="2"/>
    <n v="5"/>
    <n v="33530"/>
    <n v="13956"/>
    <n v="33530"/>
    <n v="28389"/>
    <n v="28265"/>
    <x v="2"/>
    <n v="0.09"/>
    <n v="2543.85"/>
    <n v="0.84667461974351332"/>
    <n v="6706"/>
    <n v="5.4861725337578866"/>
  </r>
  <r>
    <s v="FIRST STATE BANK OF VAN ORIN"/>
    <s v="Van Orin"/>
    <x v="1"/>
    <n v="61374"/>
    <d v="2019-09-30T00:00:00"/>
    <x v="0"/>
    <n v="7"/>
    <n v="40461"/>
    <n v="12386"/>
    <n v="40461"/>
    <n v="36116"/>
    <n v="35678"/>
    <x v="2"/>
    <n v="0.09"/>
    <n v="3211.02"/>
    <n v="0.8926126393317021"/>
    <n v="5780.1428571428569"/>
    <n v="3.8573412809636816"/>
  </r>
  <r>
    <s v="FIRST STATE BANK OF VAN ORIN"/>
    <s v="Van Orin"/>
    <x v="1"/>
    <n v="61374"/>
    <d v="2020-09-30T00:00:00"/>
    <x v="1"/>
    <n v="8"/>
    <n v="42582"/>
    <n v="15915"/>
    <n v="42582"/>
    <n v="37813"/>
    <n v="37379"/>
    <x v="2"/>
    <n v="0.09"/>
    <n v="3364.1099999999997"/>
    <n v="0.88800432107463245"/>
    <n v="5322.75"/>
    <n v="4.7308203358391969"/>
  </r>
  <r>
    <s v="FIRST STATE BANK OF VAN ORIN"/>
    <s v="Van Orin"/>
    <x v="1"/>
    <n v="61374"/>
    <d v="2021-09-30T00:00:00"/>
    <x v="2"/>
    <n v="7"/>
    <n v="46170"/>
    <n v="16477"/>
    <n v="46170"/>
    <n v="41511"/>
    <n v="41101"/>
    <x v="2"/>
    <n v="0.09"/>
    <n v="3699.0899999999997"/>
    <n v="0.89909031838856401"/>
    <n v="6595.7142857142853"/>
    <n v="4.4543387698055472"/>
  </r>
  <r>
    <s v="FIRST STATE BANK SHANNON-POLO"/>
    <s v="Shannon"/>
    <x v="1"/>
    <n v="61078"/>
    <d v="2019-09-30T00:00:00"/>
    <x v="0"/>
    <n v="41"/>
    <n v="165158"/>
    <n v="4828"/>
    <n v="165158"/>
    <n v="147739"/>
    <n v="142465"/>
    <x v="0"/>
    <n v="0.08"/>
    <n v="11397.2"/>
    <n v="0.89453129730318848"/>
    <n v="4028.2439024390242"/>
    <n v="0.42361281718316779"/>
  </r>
  <r>
    <s v="FIRST STATE BANK SHANNON-POLO"/>
    <s v="Shannon"/>
    <x v="1"/>
    <n v="61078"/>
    <d v="2020-09-30T00:00:00"/>
    <x v="1"/>
    <n v="42"/>
    <n v="186653"/>
    <n v="17885"/>
    <n v="186653"/>
    <n v="167076"/>
    <n v="162697"/>
    <x v="0"/>
    <n v="0.08"/>
    <n v="13015.76"/>
    <n v="0.89511553524454468"/>
    <n v="4444.1190476190477"/>
    <n v="1.3741033946538657"/>
  </r>
  <r>
    <s v="FIRST STATE BANK SHANNON-POLO"/>
    <s v="Shannon"/>
    <x v="1"/>
    <n v="61078"/>
    <d v="2021-09-30T00:00:00"/>
    <x v="2"/>
    <n v="42"/>
    <n v="209574"/>
    <n v="9151"/>
    <n v="209574"/>
    <n v="190190"/>
    <n v="184439"/>
    <x v="0"/>
    <n v="0.08"/>
    <n v="14755.12"/>
    <n v="0.90750761067689689"/>
    <n v="4989.8571428571431"/>
    <n v="0.62019149962860343"/>
  </r>
  <r>
    <s v="FIRST TRUST &amp; SAVINGS BANK OF ALBANY, ILLINOIS"/>
    <s v="Albany"/>
    <x v="1"/>
    <n v="61230"/>
    <d v="2019-09-30T00:00:00"/>
    <x v="0"/>
    <n v="29"/>
    <n v="172553"/>
    <n v="6732"/>
    <n v="172553"/>
    <n v="146501"/>
    <n v="146035"/>
    <x v="0"/>
    <n v="0.08"/>
    <n v="11682.800000000001"/>
    <n v="0.84902030100896542"/>
    <n v="5950.1034482758623"/>
    <n v="0.57623172527133903"/>
  </r>
  <r>
    <s v="FIRST TRUST BANK OF ILLINOIS"/>
    <s v="Kankakee"/>
    <x v="1"/>
    <n v="60901"/>
    <d v="2019-09-30T00:00:00"/>
    <x v="0"/>
    <n v="31"/>
    <n v="233546"/>
    <n v="8648"/>
    <n v="233546"/>
    <n v="206079"/>
    <n v="181803"/>
    <x v="0"/>
    <n v="0.08"/>
    <n v="14544.24"/>
    <n v="0.88239147748195212"/>
    <n v="7533.7419354838712"/>
    <n v="0.5945996490706974"/>
  </r>
  <r>
    <s v="FIRST TRUST BANK OF ILLINOIS"/>
    <s v="Kankakee"/>
    <x v="1"/>
    <n v="60901"/>
    <d v="2020-09-30T00:00:00"/>
    <x v="1"/>
    <n v="47"/>
    <n v="342385"/>
    <n v="28309"/>
    <n v="342385"/>
    <n v="306150"/>
    <n v="260825"/>
    <x v="0"/>
    <n v="0.08"/>
    <n v="20866"/>
    <n v="0.89416884501365423"/>
    <n v="7284.7872340425529"/>
    <n v="1.3567046870507045"/>
  </r>
  <r>
    <s v="FIRST TRUST BANK OF ILLINOIS"/>
    <s v="Kankakee"/>
    <x v="1"/>
    <n v="60901"/>
    <d v="2021-09-30T00:00:00"/>
    <x v="2"/>
    <n v="47"/>
    <n v="381686"/>
    <n v="37968"/>
    <n v="381686"/>
    <n v="343825"/>
    <n v="295720"/>
    <x v="0"/>
    <n v="0.08"/>
    <n v="23657.600000000002"/>
    <n v="0.90080589804184596"/>
    <n v="8120.9787234042551"/>
    <n v="1.6048965237386716"/>
  </r>
  <r>
    <s v="FIVE STAR BANK"/>
    <s v="Warsaw"/>
    <x v="2"/>
    <n v="14569"/>
    <d v="2019-09-30T00:00:00"/>
    <x v="0"/>
    <n v="639"/>
    <n v="4299352"/>
    <n v="136815"/>
    <n v="4299352"/>
    <n v="3863810"/>
    <n v="3600633"/>
    <x v="1"/>
    <n v="0.08"/>
    <n v="288050.64"/>
    <n v="0.89869589649789083"/>
    <n v="6728.2503912363063"/>
    <n v="0.47496856802678861"/>
  </r>
  <r>
    <s v="FIVE STAR BANK"/>
    <s v="Roseville"/>
    <x v="0"/>
    <n v="95661"/>
    <d v="2019-09-30T00:00:00"/>
    <x v="0"/>
    <n v="108"/>
    <n v="1423428"/>
    <n v="183226"/>
    <n v="1423428"/>
    <n v="1293493"/>
    <n v="1235877"/>
    <x v="1"/>
    <n v="0.08"/>
    <n v="98870.16"/>
    <n v="0.90871684412558973"/>
    <n v="13179.888888888889"/>
    <n v="1.8531981742519683"/>
  </r>
  <r>
    <s v="FIVE STAR BANK"/>
    <s v="Warsaw"/>
    <x v="2"/>
    <n v="14569"/>
    <d v="2020-09-30T00:00:00"/>
    <x v="1"/>
    <n v="572"/>
    <n v="4922251"/>
    <n v="277537"/>
    <n v="4922251"/>
    <n v="4464057"/>
    <n v="4375465"/>
    <x v="1"/>
    <n v="0.08"/>
    <n v="350037.2"/>
    <n v="0.90691372707324347"/>
    <n v="8605.3339160839168"/>
    <n v="0.79287858547605794"/>
  </r>
  <r>
    <s v="FIVE STAR BANK"/>
    <s v="Roseville"/>
    <x v="0"/>
    <n v="95661"/>
    <d v="2020-09-30T00:00:00"/>
    <x v="1"/>
    <n v="130"/>
    <n v="2057242"/>
    <n v="363592"/>
    <n v="2057242"/>
    <n v="1900989"/>
    <n v="1894769"/>
    <x v="1"/>
    <n v="0.08"/>
    <n v="151581.51999999999"/>
    <n v="0.92404734105175768"/>
    <n v="15824.938461538462"/>
    <n v="2.3986565116908714"/>
  </r>
  <r>
    <s v="FIVE STAR BANK"/>
    <s v="Warsaw"/>
    <x v="2"/>
    <n v="14569"/>
    <d v="2021-09-30T00:00:00"/>
    <x v="2"/>
    <n v="561"/>
    <n v="5583776"/>
    <n v="283785"/>
    <n v="5583776"/>
    <n v="5075950"/>
    <n v="5006219"/>
    <x v="1"/>
    <n v="0.08"/>
    <n v="400497.52"/>
    <n v="0.9090533001323835"/>
    <n v="9953.254901960785"/>
    <n v="0.70858116674480276"/>
  </r>
  <r>
    <s v="FIVE STAR BANK"/>
    <s v="Roseville"/>
    <x v="0"/>
    <n v="95661"/>
    <d v="2021-09-30T00:00:00"/>
    <x v="2"/>
    <n v="145"/>
    <n v="2433819"/>
    <n v="548036"/>
    <n v="2433819"/>
    <n v="2184592"/>
    <n v="2173697"/>
    <x v="1"/>
    <n v="0.08"/>
    <n v="173895.76"/>
    <n v="0.89759838344593412"/>
    <n v="16784.958620689657"/>
    <n v="3.1515201980772849"/>
  </r>
  <r>
    <s v="FLANAGAN STATE BANK"/>
    <s v="Flanagan"/>
    <x v="1"/>
    <n v="61740"/>
    <d v="2019-09-30T00:00:00"/>
    <x v="0"/>
    <n v="166"/>
    <n v="187732"/>
    <n v="3469"/>
    <n v="187732"/>
    <n v="167420"/>
    <n v="165384"/>
    <x v="0"/>
    <n v="0.08"/>
    <n v="13230.720000000001"/>
    <n v="0.89180320882960817"/>
    <n v="1130.9156626506024"/>
    <n v="0.26219283606636673"/>
  </r>
  <r>
    <s v="FLANAGAN STATE BANK"/>
    <s v="Flanagan"/>
    <x v="1"/>
    <n v="61740"/>
    <d v="2020-09-30T00:00:00"/>
    <x v="1"/>
    <n v="170"/>
    <n v="215258"/>
    <n v="3865"/>
    <n v="215257"/>
    <n v="188659"/>
    <n v="186013"/>
    <x v="0"/>
    <n v="0.08"/>
    <n v="14881.04"/>
    <n v="0.87643200252719988"/>
    <n v="1266.2235294117647"/>
    <n v="0.25972647073054034"/>
  </r>
  <r>
    <s v="FLANAGAN STATE BANK"/>
    <s v="Flanagan"/>
    <x v="1"/>
    <n v="61740"/>
    <d v="2021-09-30T00:00:00"/>
    <x v="2"/>
    <n v="181"/>
    <n v="247329"/>
    <n v="7816"/>
    <n v="247329"/>
    <n v="218932"/>
    <n v="217038"/>
    <x v="0"/>
    <n v="0.08"/>
    <n v="17363.04"/>
    <n v="0.88518531995843597"/>
    <n v="1366.4585635359117"/>
    <n v="0.45015158635814922"/>
  </r>
  <r>
    <s v="FLORA BANK &amp; TRUST"/>
    <s v="Flora"/>
    <x v="1"/>
    <n v="62839"/>
    <d v="2019-09-30T00:00:00"/>
    <x v="0"/>
    <n v="20"/>
    <n v="69314"/>
    <n v="14930"/>
    <n v="69314"/>
    <n v="60698"/>
    <n v="60379"/>
    <x v="2"/>
    <n v="0.09"/>
    <n v="5434.11"/>
    <n v="0.87569610756845662"/>
    <n v="3465.7"/>
    <n v="2.7474600256527748"/>
  </r>
  <r>
    <s v="FLORA BANK &amp; TRUST"/>
    <s v="Flora"/>
    <x v="1"/>
    <n v="62839"/>
    <d v="2020-09-30T00:00:00"/>
    <x v="1"/>
    <n v="18"/>
    <n v="95387"/>
    <n v="20884"/>
    <n v="95387"/>
    <n v="86216"/>
    <n v="81752"/>
    <x v="2"/>
    <n v="0.09"/>
    <n v="7357.6799999999994"/>
    <n v="0.90385482298426412"/>
    <n v="5299.2777777777774"/>
    <n v="2.8383947113764125"/>
  </r>
  <r>
    <s v="FLORA BANK &amp; TRUST"/>
    <s v="Flora"/>
    <x v="1"/>
    <n v="62839"/>
    <d v="2021-09-30T00:00:00"/>
    <x v="2"/>
    <n v="16"/>
    <n v="101863"/>
    <n v="13941"/>
    <n v="101863"/>
    <n v="92208"/>
    <n v="91799"/>
    <x v="0"/>
    <n v="0.08"/>
    <n v="7343.92"/>
    <n v="0.90521582910379628"/>
    <n v="6366.4375"/>
    <n v="1.8983049924291113"/>
  </r>
  <r>
    <s v="FLORENCE BANK"/>
    <s v="Florence"/>
    <x v="3"/>
    <n v="1062"/>
    <d v="2019-09-30T00:00:00"/>
    <x v="0"/>
    <n v="207"/>
    <n v="1415613"/>
    <n v="41784"/>
    <n v="1415613"/>
    <n v="1259821"/>
    <n v="1219573"/>
    <x v="1"/>
    <n v="0.08"/>
    <n v="97565.84"/>
    <n v="0.88994732317377701"/>
    <n v="6838.710144927536"/>
    <n v="0.42826464672471432"/>
  </r>
  <r>
    <s v="FLORENCE BANK"/>
    <s v="Florence"/>
    <x v="3"/>
    <n v="1062"/>
    <d v="2020-09-30T00:00:00"/>
    <x v="1"/>
    <n v="197"/>
    <n v="1680243"/>
    <n v="195168"/>
    <n v="1680243"/>
    <n v="1512635"/>
    <n v="1484401"/>
    <x v="1"/>
    <n v="0.08"/>
    <n v="118752.08"/>
    <n v="0.90024776178207555"/>
    <n v="8529.1522842639588"/>
    <n v="1.6434912129539121"/>
  </r>
  <r>
    <s v="FLORENCE BANK"/>
    <s v="Florence"/>
    <x v="3"/>
    <n v="1062"/>
    <d v="2021-09-30T00:00:00"/>
    <x v="2"/>
    <n v="202"/>
    <n v="1870255"/>
    <n v="265135"/>
    <n v="1870255"/>
    <n v="1695105"/>
    <n v="1669105"/>
    <x v="1"/>
    <n v="0.08"/>
    <n v="133528.4"/>
    <n v="0.90634966889541801"/>
    <n v="9258.6881188118805"/>
    <n v="1.9856075561453594"/>
  </r>
  <r>
    <s v="FLUSHING BANK"/>
    <s v="Uniondale"/>
    <x v="2"/>
    <n v="11556"/>
    <d v="2019-09-30T00:00:00"/>
    <x v="0"/>
    <n v="460"/>
    <n v="7110871"/>
    <n v="86481"/>
    <n v="7110871"/>
    <n v="6437021"/>
    <n v="4986969"/>
    <x v="1"/>
    <n v="0.08"/>
    <n v="398957.52"/>
    <n v="0.90523664400605774"/>
    <n v="15458.415217391304"/>
    <n v="0.21676743930030445"/>
  </r>
  <r>
    <s v="FLUSHING BANK"/>
    <s v="Uniondale"/>
    <x v="2"/>
    <n v="11556"/>
    <d v="2020-09-30T00:00:00"/>
    <x v="1"/>
    <n v="475"/>
    <n v="7065502"/>
    <n v="74994"/>
    <n v="7065502"/>
    <n v="6382153"/>
    <n v="4983114"/>
    <x v="1"/>
    <n v="0.08"/>
    <n v="398649.12"/>
    <n v="0.90328372987510297"/>
    <n v="14874.74105263158"/>
    <n v="0.18812031994451661"/>
  </r>
  <r>
    <s v="FLUSHING BANK"/>
    <s v="Uniondale"/>
    <x v="2"/>
    <n v="11556"/>
    <d v="2021-09-30T00:00:00"/>
    <x v="2"/>
    <n v="531"/>
    <n v="8078144"/>
    <n v="178001"/>
    <n v="8078144"/>
    <n v="7275243"/>
    <n v="6497088"/>
    <x v="1"/>
    <n v="0.08"/>
    <n v="519767.04000000004"/>
    <n v="0.90060823377251009"/>
    <n v="15213.077212806027"/>
    <n v="0.34246303882600942"/>
  </r>
  <r>
    <s v="FNBC BANK &amp; TRUST"/>
    <s v="La Grange"/>
    <x v="1"/>
    <n v="60525"/>
    <d v="2019-09-30T00:00:00"/>
    <x v="0"/>
    <n v="99"/>
    <n v="520178"/>
    <n v="42034"/>
    <n v="520178"/>
    <n v="463522"/>
    <n v="461352"/>
    <x v="0"/>
    <n v="0.08"/>
    <n v="36908.160000000003"/>
    <n v="0.89108343682354885"/>
    <n v="5254.3232323232323"/>
    <n v="1.1388809412335916"/>
  </r>
  <r>
    <s v="FNBC BANK &amp; TRUST"/>
    <s v="La Grange"/>
    <x v="1"/>
    <n v="60525"/>
    <d v="2020-09-30T00:00:00"/>
    <x v="1"/>
    <n v="96"/>
    <n v="584768"/>
    <n v="81867"/>
    <n v="584768"/>
    <n v="523579"/>
    <n v="520323"/>
    <x v="0"/>
    <n v="0.08"/>
    <n v="41625.840000000004"/>
    <n v="0.89536192130896353"/>
    <n v="6091.333333333333"/>
    <n v="1.9667350857063783"/>
  </r>
  <r>
    <s v="FNBC BANK &amp; TRUST"/>
    <s v="La Grange"/>
    <x v="1"/>
    <n v="60525"/>
    <d v="2021-09-30T00:00:00"/>
    <x v="2"/>
    <n v="94"/>
    <n v="656849"/>
    <n v="73362"/>
    <n v="656849"/>
    <n v="597217"/>
    <n v="594530"/>
    <x v="0"/>
    <n v="0.08"/>
    <n v="47562.400000000001"/>
    <n v="0.90921505551504223"/>
    <n v="6987.755319148936"/>
    <n v="1.5424368829159167"/>
  </r>
  <r>
    <s v="FOREST PARK NATIONAL BANK AND TRUST COMPANY"/>
    <s v="Forest Park"/>
    <x v="1"/>
    <n v="60130"/>
    <d v="2019-09-30T00:00:00"/>
    <x v="0"/>
    <n v="50"/>
    <n v="237535"/>
    <n v="21559"/>
    <n v="237535"/>
    <n v="216549"/>
    <n v="213968"/>
    <x v="0"/>
    <n v="0.08"/>
    <n v="17117.439999999999"/>
    <n v="0.9116509146020586"/>
    <n v="4750.7"/>
    <n v="1.2594757159949153"/>
  </r>
  <r>
    <s v="FOREST PARK NATIONAL BANK AND TRUST COMPANY"/>
    <s v="Forest Park"/>
    <x v="1"/>
    <n v="60130"/>
    <d v="2020-09-30T00:00:00"/>
    <x v="1"/>
    <n v="53"/>
    <n v="290345"/>
    <n v="40218"/>
    <n v="290345"/>
    <n v="268115"/>
    <n v="261091"/>
    <x v="0"/>
    <n v="0.08"/>
    <n v="20887.28"/>
    <n v="0.92343591244898315"/>
    <n v="5478.2075471698117"/>
    <n v="1.9254780900145927"/>
  </r>
  <r>
    <s v="FOREST PARK NATIONAL BANK AND TRUST COMPANY"/>
    <s v="Forest Park"/>
    <x v="1"/>
    <n v="60130"/>
    <d v="2021-09-30T00:00:00"/>
    <x v="2"/>
    <n v="50"/>
    <n v="316053"/>
    <n v="41686"/>
    <n v="316053"/>
    <n v="292630"/>
    <n v="289383"/>
    <x v="0"/>
    <n v="0.08"/>
    <n v="23150.639999999999"/>
    <n v="0.92588901228591403"/>
    <n v="6321.06"/>
    <n v="1.8006413645583881"/>
  </r>
  <r>
    <s v="FORRESTON STATE BANK"/>
    <s v="Forreston"/>
    <x v="1"/>
    <n v="61030"/>
    <d v="2019-09-30T00:00:00"/>
    <x v="0"/>
    <n v="32"/>
    <n v="221395"/>
    <n v="2459"/>
    <n v="221395"/>
    <n v="195410"/>
    <n v="168783"/>
    <x v="0"/>
    <n v="0.08"/>
    <n v="13502.64"/>
    <n v="0.88263059238013508"/>
    <n v="6918.59375"/>
    <n v="0.18211253503018671"/>
  </r>
  <r>
    <s v="FORTRESS BANK"/>
    <s v="Peoria"/>
    <x v="1"/>
    <n v="61615"/>
    <d v="2019-09-30T00:00:00"/>
    <x v="0"/>
    <n v="90"/>
    <n v="446633"/>
    <n v="14836"/>
    <n v="446633"/>
    <n v="399890"/>
    <n v="379636"/>
    <x v="0"/>
    <n v="0.08"/>
    <n v="30370.880000000001"/>
    <n v="0.89534360425673876"/>
    <n v="4962.5888888888885"/>
    <n v="0.48849424185272206"/>
  </r>
  <r>
    <s v="FORTRESS BANK"/>
    <s v="Peoria"/>
    <x v="1"/>
    <n v="61615"/>
    <d v="2020-09-30T00:00:00"/>
    <x v="1"/>
    <n v="100"/>
    <n v="552516"/>
    <n v="17715"/>
    <n v="552516"/>
    <n v="500807"/>
    <n v="422640"/>
    <x v="0"/>
    <n v="0.08"/>
    <n v="33811.199999999997"/>
    <n v="0.9064117600214292"/>
    <n v="5525.16"/>
    <n v="0.52393881317433277"/>
  </r>
  <r>
    <s v="FORTRESS BANK"/>
    <s v="Peoria"/>
    <x v="1"/>
    <n v="61615"/>
    <d v="2021-09-30T00:00:00"/>
    <x v="2"/>
    <n v="111"/>
    <n v="538229"/>
    <n v="28920"/>
    <n v="538229"/>
    <n v="482627"/>
    <n v="433003"/>
    <x v="0"/>
    <n v="0.08"/>
    <n v="34640.239999999998"/>
    <n v="0.89669452965187679"/>
    <n v="4848.9099099099103"/>
    <n v="0.83486719491550876"/>
  </r>
  <r>
    <s v="FOXBORO FEDERAL SAVINGS"/>
    <s v="Foxboro"/>
    <x v="3"/>
    <n v="2035"/>
    <d v="2019-09-30T00:00:00"/>
    <x v="0"/>
    <n v="23"/>
    <n v="165732"/>
    <n v="22394"/>
    <n v="165732"/>
    <n v="137337"/>
    <n v="136018"/>
    <x v="0"/>
    <n v="8.5000000000000006E-2"/>
    <n v="11561.53"/>
    <n v="0.82866917674317575"/>
    <n v="7205.739130434783"/>
    <n v="1.9369408720126142"/>
  </r>
  <r>
    <s v="FOXBORO FEDERAL SAVINGS"/>
    <s v="Foxboro"/>
    <x v="3"/>
    <n v="2035"/>
    <d v="2020-09-30T00:00:00"/>
    <x v="1"/>
    <n v="23"/>
    <n v="183450"/>
    <n v="19783"/>
    <n v="183450"/>
    <n v="153697"/>
    <n v="152283"/>
    <x v="0"/>
    <n v="8.5000000000000006E-2"/>
    <n v="12944.055"/>
    <n v="0.83781411828836194"/>
    <n v="7976.086956521739"/>
    <n v="1.5283464107654054"/>
  </r>
  <r>
    <s v="FOXBORO FEDERAL SAVINGS"/>
    <s v="Foxboro"/>
    <x v="3"/>
    <n v="2035"/>
    <d v="2021-09-30T00:00:00"/>
    <x v="2"/>
    <n v="22"/>
    <n v="202007"/>
    <n v="23635"/>
    <n v="202007"/>
    <n v="171659"/>
    <n v="170135"/>
    <x v="0"/>
    <n v="8.5000000000000006E-2"/>
    <n v="14461.475"/>
    <n v="0.84976758231150407"/>
    <n v="9182.136363636364"/>
    <n v="1.6343422783637216"/>
  </r>
  <r>
    <s v="FREDERICK COMMUNITY BANK, THE"/>
    <s v="Paxton"/>
    <x v="1"/>
    <n v="60957"/>
    <d v="2019-09-30T00:00:00"/>
    <x v="0"/>
    <n v="28"/>
    <n v="140458"/>
    <n v="15328"/>
    <n v="140458"/>
    <n v="125201"/>
    <n v="124853"/>
    <x v="0"/>
    <n v="0.08"/>
    <n v="9988.24"/>
    <n v="0.89137678167138934"/>
    <n v="5016.3571428571431"/>
    <n v="1.5346046951214629"/>
  </r>
  <r>
    <s v="FREDERICK COMMUNITY BANK, THE"/>
    <s v="Paxton"/>
    <x v="1"/>
    <n v="60957"/>
    <d v="2020-09-30T00:00:00"/>
    <x v="1"/>
    <n v="25"/>
    <n v="157545"/>
    <n v="33816"/>
    <n v="157545"/>
    <n v="140984"/>
    <n v="140547"/>
    <x v="0"/>
    <n v="0.08"/>
    <n v="11243.76"/>
    <n v="0.8948808277000222"/>
    <n v="6301.8"/>
    <n v="3.0075348459945781"/>
  </r>
  <r>
    <s v="FREDERICK COMMUNITY BANK, THE"/>
    <s v="Paxton"/>
    <x v="1"/>
    <n v="60957"/>
    <d v="2021-09-30T00:00:00"/>
    <x v="2"/>
    <n v="27"/>
    <n v="171134"/>
    <n v="63809"/>
    <n v="171134"/>
    <n v="154742"/>
    <n v="154278"/>
    <x v="0"/>
    <n v="0.08"/>
    <n v="12342.24"/>
    <n v="0.90421541014643492"/>
    <n v="6338.2962962962965"/>
    <n v="5.1699691466054789"/>
  </r>
  <r>
    <s v="FREMONT BANK"/>
    <s v="Fremont"/>
    <x v="0"/>
    <n v="94538"/>
    <d v="2019-09-30T00:00:00"/>
    <x v="0"/>
    <n v="852"/>
    <n v="4507206"/>
    <n v="592237"/>
    <n v="4507206"/>
    <n v="4171445"/>
    <n v="4125713"/>
    <x v="1"/>
    <n v="0.08"/>
    <n v="330057.03999999998"/>
    <n v="0.92550573459478003"/>
    <n v="5290.1478873239439"/>
    <n v="1.7943474255237823"/>
  </r>
  <r>
    <s v="FREMONT BANK"/>
    <s v="Fremont"/>
    <x v="0"/>
    <n v="94538"/>
    <d v="2020-09-30T00:00:00"/>
    <x v="1"/>
    <n v="997"/>
    <n v="5119606"/>
    <n v="709487"/>
    <n v="5119606"/>
    <n v="4763966"/>
    <n v="4693271"/>
    <x v="1"/>
    <n v="0.08"/>
    <n v="375461.68"/>
    <n v="0.93053371685242969"/>
    <n v="5135.0110330992975"/>
    <n v="1.8896389106872371"/>
  </r>
  <r>
    <s v="FREMONT BANK"/>
    <s v="Fremont"/>
    <x v="0"/>
    <n v="94538"/>
    <d v="2021-09-30T00:00:00"/>
    <x v="2"/>
    <n v="972"/>
    <n v="5658450"/>
    <n v="1101130"/>
    <n v="5658450"/>
    <n v="5263985"/>
    <n v="5201798"/>
    <x v="1"/>
    <n v="0.08"/>
    <n v="416143.84"/>
    <n v="0.93028744620876747"/>
    <n v="5821.450617283951"/>
    <n v="2.6460321988666227"/>
  </r>
  <r>
    <s v="FRESNO FIRST BANK"/>
    <s v="Fresno"/>
    <x v="0"/>
    <n v="93711"/>
    <d v="2019-09-30T00:00:00"/>
    <x v="0"/>
    <n v="52"/>
    <n v="538656"/>
    <n v="65203"/>
    <n v="538656"/>
    <n v="490127"/>
    <n v="487215"/>
    <x v="0"/>
    <n v="0.09"/>
    <n v="43849.35"/>
    <n v="0.90990725063862654"/>
    <n v="10358.76923076923"/>
    <n v="1.4869775720734744"/>
  </r>
  <r>
    <s v="FRESNO FIRST BANK"/>
    <s v="Fresno"/>
    <x v="0"/>
    <n v="93711"/>
    <d v="2020-09-30T00:00:00"/>
    <x v="1"/>
    <n v="61"/>
    <n v="830913"/>
    <n v="25982"/>
    <n v="830913"/>
    <n v="767839"/>
    <n v="754557"/>
    <x v="0"/>
    <n v="0.09"/>
    <n v="67910.13"/>
    <n v="0.92409072911363765"/>
    <n v="13621.524590163934"/>
    <n v="0.38259387811509121"/>
  </r>
  <r>
    <s v="FRESNO FIRST BANK"/>
    <s v="Fresno"/>
    <x v="0"/>
    <n v="93711"/>
    <d v="2021-09-30T00:00:00"/>
    <x v="2"/>
    <n v="76"/>
    <n v="1022685"/>
    <n v="41013"/>
    <n v="1022685"/>
    <n v="902260"/>
    <n v="896335"/>
    <x v="1"/>
    <n v="0.08"/>
    <n v="71706.8"/>
    <n v="0.88224624395586126"/>
    <n v="13456.381578947368"/>
    <n v="0.57195412429504588"/>
  </r>
  <r>
    <s v="FRIENDLY HILLS BANK"/>
    <s v="Whittier"/>
    <x v="0"/>
    <n v="90603"/>
    <d v="2019-09-30T00:00:00"/>
    <x v="0"/>
    <n v="24"/>
    <n v="160246"/>
    <n v="15130"/>
    <n v="160245"/>
    <n v="141385"/>
    <n v="119842"/>
    <x v="0"/>
    <n v="0.09"/>
    <n v="10785.779999999999"/>
    <n v="0.88229971418943376"/>
    <n v="6676.916666666667"/>
    <n v="1.4027729102577655"/>
  </r>
  <r>
    <s v="FRIENDLY HILLS BANK"/>
    <s v="Whittier"/>
    <x v="0"/>
    <n v="90603"/>
    <d v="2020-09-30T00:00:00"/>
    <x v="1"/>
    <n v="24"/>
    <n v="236335"/>
    <n v="63581"/>
    <n v="236335"/>
    <n v="216273"/>
    <n v="159589"/>
    <x v="0"/>
    <n v="0.09"/>
    <n v="14363.01"/>
    <n v="0.91511202318742468"/>
    <n v="9847.2916666666661"/>
    <n v="4.4267183549966198"/>
  </r>
  <r>
    <s v="FRIENDLY HILLS BANK"/>
    <s v="Whittier"/>
    <x v="0"/>
    <n v="90603"/>
    <d v="2021-09-30T00:00:00"/>
    <x v="2"/>
    <n v="32"/>
    <n v="315118"/>
    <n v="166375"/>
    <n v="315118"/>
    <n v="294092"/>
    <n v="269894"/>
    <x v="0"/>
    <n v="0.09"/>
    <n v="24290.46"/>
    <n v="0.93327578875215"/>
    <n v="9847.4375"/>
    <n v="6.8493968413937001"/>
  </r>
  <r>
    <s v="FULTON SAVINGS BANK"/>
    <s v="Fulton"/>
    <x v="2"/>
    <n v="13069"/>
    <d v="2019-09-30T00:00:00"/>
    <x v="0"/>
    <n v="77"/>
    <n v="378498"/>
    <n v="76111"/>
    <n v="378498"/>
    <n v="269705"/>
    <n v="247902"/>
    <x v="0"/>
    <n v="8.5000000000000006E-2"/>
    <n v="21071.670000000002"/>
    <n v="0.71256651290099282"/>
    <n v="4915.5584415584417"/>
    <n v="3.6120060726083882"/>
  </r>
  <r>
    <s v="FULTON SAVINGS BANK"/>
    <s v="Fulton"/>
    <x v="2"/>
    <n v="13069"/>
    <d v="2020-09-30T00:00:00"/>
    <x v="1"/>
    <n v="75"/>
    <n v="413247"/>
    <n v="57661"/>
    <n v="413247"/>
    <n v="298017"/>
    <n v="281728"/>
    <x v="0"/>
    <n v="8.5000000000000006E-2"/>
    <n v="23946.880000000001"/>
    <n v="0.7211595002504555"/>
    <n v="5509.96"/>
    <n v="2.4078710880081244"/>
  </r>
  <r>
    <s v="FULTON SAVINGS BANK"/>
    <s v="Fulton"/>
    <x v="2"/>
    <n v="13069"/>
    <d v="2021-09-30T00:00:00"/>
    <x v="2"/>
    <n v="73"/>
    <n v="448366"/>
    <n v="44835"/>
    <n v="448366"/>
    <n v="327934"/>
    <n v="312712"/>
    <x v="0"/>
    <n v="8.5000000000000006E-2"/>
    <n v="26580.52"/>
    <n v="0.7313980096617495"/>
    <n v="6142"/>
    <n v="1.6867615832948339"/>
  </r>
  <r>
    <s v="FWBANK"/>
    <s v="Chicago"/>
    <x v="1"/>
    <n v="60642"/>
    <d v="2021-09-30T00:00:00"/>
    <x v="2"/>
    <n v="13"/>
    <n v="55199"/>
    <n v="54807"/>
    <n v="55199"/>
    <n v="32563"/>
    <n v="32309"/>
    <x v="2"/>
    <n v="0.09"/>
    <n v="2907.81"/>
    <n v="0.58992010724831967"/>
    <n v="4246.0769230769229"/>
    <n v="18.848205350418358"/>
  </r>
  <r>
    <s v="GATEWAY BANK, F.S.B."/>
    <s v="Oakland"/>
    <x v="0"/>
    <n v="94607"/>
    <d v="2019-09-30T00:00:00"/>
    <x v="0"/>
    <n v="18"/>
    <n v="118452"/>
    <n v="5017"/>
    <n v="118452"/>
    <n v="102705"/>
    <n v="85816"/>
    <x v="0"/>
    <n v="0.09"/>
    <n v="7723.44"/>
    <n v="0.86706007496707527"/>
    <n v="6580.666666666667"/>
    <n v="0.64958101571320559"/>
  </r>
  <r>
    <s v="GATEWAY BANK, F.S.B."/>
    <s v="Oakland"/>
    <x v="0"/>
    <n v="94607"/>
    <d v="2020-09-30T00:00:00"/>
    <x v="1"/>
    <n v="25"/>
    <n v="173523"/>
    <n v="13421"/>
    <n v="173523"/>
    <n v="157468"/>
    <n v="124557"/>
    <x v="0"/>
    <n v="0.09"/>
    <n v="11210.13"/>
    <n v="0.90747624234251367"/>
    <n v="6940.92"/>
    <n v="1.1972207280379443"/>
  </r>
  <r>
    <s v="GATEWAY BANK, F.S.B."/>
    <s v="Oakland"/>
    <x v="0"/>
    <n v="94607"/>
    <d v="2021-09-30T00:00:00"/>
    <x v="2"/>
    <n v="22"/>
    <n v="172397"/>
    <n v="18226"/>
    <n v="172397"/>
    <n v="156478"/>
    <n v="147464"/>
    <x v="0"/>
    <n v="0.09"/>
    <n v="13271.76"/>
    <n v="0.90766080616252021"/>
    <n v="7836.227272727273"/>
    <n v="1.3732918618178749"/>
  </r>
  <r>
    <s v="GBC INTERNATIONAL BANK"/>
    <s v="Los Angeles"/>
    <x v="0"/>
    <n v="90036"/>
    <d v="2019-09-30T00:00:00"/>
    <x v="0"/>
    <n v="98"/>
    <n v="582551"/>
    <n v="33392"/>
    <n v="582551"/>
    <n v="518190"/>
    <n v="472744"/>
    <x v="0"/>
    <n v="0.09"/>
    <n v="42546.96"/>
    <n v="0.88951868591762784"/>
    <n v="5944.3979591836733"/>
    <n v="0.78482693005563742"/>
  </r>
  <r>
    <s v="GBC INTERNATIONAL BANK"/>
    <s v="Los Angeles"/>
    <x v="0"/>
    <n v="90036"/>
    <d v="2020-09-30T00:00:00"/>
    <x v="1"/>
    <n v="101"/>
    <n v="705121"/>
    <n v="97658"/>
    <n v="705121"/>
    <n v="635044"/>
    <n v="578709"/>
    <x v="0"/>
    <n v="0.09"/>
    <n v="52083.81"/>
    <n v="0.90061705721429375"/>
    <n v="6981.3960396039602"/>
    <n v="1.8750164398495426"/>
  </r>
  <r>
    <s v="GBC INTERNATIONAL BANK"/>
    <s v="Los Angeles"/>
    <x v="0"/>
    <n v="90071"/>
    <d v="2021-09-30T00:00:00"/>
    <x v="2"/>
    <n v="90"/>
    <n v="695801"/>
    <n v="140097"/>
    <n v="695801"/>
    <n v="617596"/>
    <n v="586204"/>
    <x v="0"/>
    <n v="0.09"/>
    <n v="52758.36"/>
    <n v="0.88760435814262983"/>
    <n v="7731.1222222222223"/>
    <n v="2.6554464543628726"/>
  </r>
  <r>
    <s v="GEDDES FEDERAL SAVINGS AND LOAN ASSOCIATION"/>
    <s v="Syracuse"/>
    <x v="2"/>
    <n v="13219"/>
    <d v="2019-09-30T00:00:00"/>
    <x v="0"/>
    <n v="37"/>
    <n v="558412"/>
    <n v="16874"/>
    <n v="558412"/>
    <n v="468542"/>
    <n v="410745"/>
    <x v="0"/>
    <n v="8.5000000000000006E-2"/>
    <n v="34913.325000000004"/>
    <n v="0.8390614814867875"/>
    <n v="15092.216216216217"/>
    <n v="0.48331117130780288"/>
  </r>
  <r>
    <s v="GEDDES FEDERAL SAVINGS AND LOAN ASSOCIATION"/>
    <s v="Syracuse"/>
    <x v="2"/>
    <n v="13219"/>
    <d v="2020-09-30T00:00:00"/>
    <x v="1"/>
    <n v="41"/>
    <n v="581779"/>
    <n v="28822"/>
    <n v="581779"/>
    <n v="489311"/>
    <n v="421408"/>
    <x v="0"/>
    <n v="8.5000000000000006E-2"/>
    <n v="35819.68"/>
    <n v="0.84105992137908037"/>
    <n v="14189.731707317073"/>
    <n v="0.80464147083391024"/>
  </r>
  <r>
    <s v="GEDDES FEDERAL SAVINGS AND LOAN ASSOCIATION"/>
    <s v="Syracuse"/>
    <x v="2"/>
    <n v="13219"/>
    <d v="2021-09-30T00:00:00"/>
    <x v="2"/>
    <n v="41"/>
    <n v="590348"/>
    <n v="27211"/>
    <n v="590348"/>
    <n v="496041"/>
    <n v="427959"/>
    <x v="0"/>
    <n v="8.5000000000000006E-2"/>
    <n v="36376.514999999999"/>
    <n v="0.84025185145033099"/>
    <n v="14398.731707317073"/>
    <n v="0.74803757314300179"/>
  </r>
  <r>
    <s v="GENERATIONS BANK"/>
    <s v="Seneca Falls"/>
    <x v="2"/>
    <n v="13148"/>
    <d v="2019-09-30T00:00:00"/>
    <x v="0"/>
    <n v="100"/>
    <n v="323229"/>
    <n v="8073"/>
    <n v="323229"/>
    <n v="294209"/>
    <n v="257893"/>
    <x v="0"/>
    <n v="8.5000000000000006E-2"/>
    <n v="21920.905000000002"/>
    <n v="0.91021845193345896"/>
    <n v="3232.29"/>
    <n v="0.36827859068774754"/>
  </r>
  <r>
    <s v="GENERATIONS BANK"/>
    <s v="Seneca Falls"/>
    <x v="2"/>
    <n v="13148"/>
    <d v="2020-09-30T00:00:00"/>
    <x v="1"/>
    <n v="99"/>
    <n v="368775"/>
    <n v="12248"/>
    <n v="368775"/>
    <n v="336692"/>
    <n v="304710"/>
    <x v="0"/>
    <n v="8.5000000000000006E-2"/>
    <n v="25900.350000000002"/>
    <n v="0.91300115246423974"/>
    <n v="3725"/>
    <n v="0.47288936249896235"/>
  </r>
  <r>
    <s v="GENERATIONS BANK"/>
    <s v="Seneca Falls"/>
    <x v="2"/>
    <n v="13148"/>
    <d v="2021-09-30T00:00:00"/>
    <x v="2"/>
    <n v="91"/>
    <n v="377738"/>
    <n v="12185"/>
    <n v="377738"/>
    <n v="336868"/>
    <n v="314740"/>
    <x v="0"/>
    <n v="8.5000000000000006E-2"/>
    <n v="26752.9"/>
    <n v="0.89180331340770591"/>
    <n v="4150.9670329670325"/>
    <n v="0.45546464121646624"/>
  </r>
  <r>
    <s v="GENERATIONS COMMERCIAL BANK"/>
    <s v="Seneca Falls"/>
    <x v="2"/>
    <n v="13148"/>
    <d v="2019-09-30T00:00:00"/>
    <x v="0"/>
    <n v="33"/>
    <n v="12400"/>
    <n v="8157"/>
    <n v="12400"/>
    <n v="9763"/>
    <n v="9046"/>
    <x v="2"/>
    <n v="0.09"/>
    <n v="814.14"/>
    <n v="0.78733870967741937"/>
    <n v="375.75757575757575"/>
    <n v="10.019161323605276"/>
  </r>
  <r>
    <s v="GENERATIONS COMMERCIAL BANK"/>
    <s v="Seneca Falls"/>
    <x v="2"/>
    <n v="13148"/>
    <d v="2020-09-30T00:00:00"/>
    <x v="1"/>
    <n v="34"/>
    <n v="50219"/>
    <n v="44057"/>
    <n v="50219"/>
    <n v="43759"/>
    <n v="43525"/>
    <x v="2"/>
    <n v="0.09"/>
    <n v="3917.25"/>
    <n v="0.8713634281845517"/>
    <n v="1477.0294117647059"/>
    <n v="11.246920671389368"/>
  </r>
  <r>
    <s v="GENERATIONS COMMERCIAL BANK"/>
    <s v="Seneca Falls"/>
    <x v="2"/>
    <n v="13148"/>
    <d v="2021-09-30T00:00:00"/>
    <x v="2"/>
    <n v="35"/>
    <n v="14852"/>
    <n v="3827"/>
    <n v="14852"/>
    <n v="5102"/>
    <n v="4969"/>
    <x v="2"/>
    <n v="0.09"/>
    <n v="447.21"/>
    <n v="0.3435227578777269"/>
    <n v="424.34285714285716"/>
    <n v="8.5575009503365305"/>
  </r>
  <r>
    <s v="GENESEE REGIONAL BANK"/>
    <s v="Rochester"/>
    <x v="2"/>
    <n v="14618"/>
    <d v="2019-09-30T00:00:00"/>
    <x v="0"/>
    <n v="128"/>
    <n v="596514"/>
    <n v="37485"/>
    <n v="596514"/>
    <n v="530295"/>
    <n v="497898"/>
    <x v="0"/>
    <n v="8.5000000000000006E-2"/>
    <n v="42321.33"/>
    <n v="0.88899003208642213"/>
    <n v="4660.265625"/>
    <n v="0.88572358193846934"/>
  </r>
  <r>
    <s v="GENESEE REGIONAL BANK"/>
    <s v="Rochester"/>
    <x v="2"/>
    <n v="14618"/>
    <d v="2020-09-30T00:00:00"/>
    <x v="1"/>
    <n v="138"/>
    <n v="746410"/>
    <n v="45354"/>
    <n v="746410"/>
    <n v="668677"/>
    <n v="665482"/>
    <x v="0"/>
    <n v="8.5000000000000006E-2"/>
    <n v="56565.97"/>
    <n v="0.89585750458863089"/>
    <n v="5408.768115942029"/>
    <n v="0.80178948579861709"/>
  </r>
  <r>
    <s v="GENESEE REGIONAL BANK"/>
    <s v="Rochester"/>
    <x v="2"/>
    <n v="14618"/>
    <d v="2021-09-30T00:00:00"/>
    <x v="2"/>
    <n v="157"/>
    <n v="975069"/>
    <n v="49653"/>
    <n v="975069"/>
    <n v="881340"/>
    <n v="809792"/>
    <x v="0"/>
    <n v="8.5000000000000006E-2"/>
    <n v="68832.320000000007"/>
    <n v="0.90387449503573591"/>
    <n v="6210.6305732484079"/>
    <n v="0.72136170915058495"/>
  </r>
  <r>
    <s v="GENESIS BANK"/>
    <s v="Newport Beach"/>
    <x v="0"/>
    <n v="92660"/>
    <d v="2021-09-30T00:00:00"/>
    <x v="2"/>
    <n v="35"/>
    <n v="57217"/>
    <n v="48828"/>
    <n v="57217"/>
    <n v="7801"/>
    <n v="869"/>
    <x v="2"/>
    <n v="0.1"/>
    <n v="86.9"/>
    <n v="0.13634059807399898"/>
    <n v="1634.7714285714285"/>
    <n v="561.8872266973533"/>
  </r>
  <r>
    <s v="GERMAN-AMERICAN STATE BANK"/>
    <s v="German Valley"/>
    <x v="1"/>
    <n v="61039"/>
    <d v="2019-09-30T00:00:00"/>
    <x v="0"/>
    <n v="41"/>
    <n v="246554"/>
    <n v="8075"/>
    <n v="246554"/>
    <n v="220541"/>
    <n v="217235"/>
    <x v="0"/>
    <n v="0.08"/>
    <n v="17378.8"/>
    <n v="0.89449370117702409"/>
    <n v="6013.5121951219517"/>
    <n v="0.46464658089166111"/>
  </r>
  <r>
    <s v="GERMAN-AMERICAN STATE BANK"/>
    <s v="German Valley"/>
    <x v="1"/>
    <n v="61039"/>
    <d v="2020-09-30T00:00:00"/>
    <x v="1"/>
    <n v="45"/>
    <n v="274349"/>
    <n v="21749"/>
    <n v="274349"/>
    <n v="247199"/>
    <n v="240788"/>
    <x v="0"/>
    <n v="0.08"/>
    <n v="19263.04"/>
    <n v="0.90103845831404528"/>
    <n v="6096.6444444444442"/>
    <n v="1.1290533581407711"/>
  </r>
  <r>
    <s v="GERMAN-AMERICAN STATE BANK"/>
    <s v="German Valley"/>
    <x v="1"/>
    <n v="61039"/>
    <d v="2021-09-30T00:00:00"/>
    <x v="2"/>
    <n v="46"/>
    <n v="305777"/>
    <n v="29750"/>
    <n v="305777"/>
    <n v="276828"/>
    <n v="269297"/>
    <x v="0"/>
    <n v="0.08"/>
    <n v="21543.760000000002"/>
    <n v="0.9053264306994967"/>
    <n v="6647.326086956522"/>
    <n v="1.3809102960671673"/>
  </r>
  <r>
    <s v="GERMANTOWN TRUST &amp; SAVINGS BANK"/>
    <s v="Breese"/>
    <x v="1"/>
    <n v="62230"/>
    <d v="2019-09-30T00:00:00"/>
    <x v="0"/>
    <n v="42"/>
    <n v="394113"/>
    <n v="7881"/>
    <n v="394113"/>
    <n v="340801"/>
    <n v="309344"/>
    <x v="0"/>
    <n v="0.08"/>
    <n v="24747.52"/>
    <n v="0.86472915128402261"/>
    <n v="9383.6428571428569"/>
    <n v="0.31845615237405606"/>
  </r>
  <r>
    <s v="GERMANTOWN TRUST &amp; SAVINGS BANK"/>
    <s v="Breese"/>
    <x v="1"/>
    <n v="62230"/>
    <d v="2020-09-30T00:00:00"/>
    <x v="1"/>
    <n v="41"/>
    <n v="435847"/>
    <n v="7693"/>
    <n v="435847"/>
    <n v="376350"/>
    <n v="345560"/>
    <x v="0"/>
    <n v="0.08"/>
    <n v="27644.799999999999"/>
    <n v="0.86349108746876768"/>
    <n v="10630.414634146342"/>
    <n v="0.27828018289153839"/>
  </r>
  <r>
    <s v="GERMANTOWN TRUST &amp; SAVINGS BANK"/>
    <s v="Breese"/>
    <x v="1"/>
    <n v="62230"/>
    <d v="2021-09-30T00:00:00"/>
    <x v="2"/>
    <n v="45"/>
    <n v="454585"/>
    <n v="5873"/>
    <n v="454585"/>
    <n v="396319"/>
    <n v="364650"/>
    <x v="0"/>
    <n v="0.08"/>
    <n v="29172"/>
    <n v="0.87182595114225059"/>
    <n v="10101.888888888889"/>
    <n v="0.20132318661730425"/>
  </r>
  <r>
    <s v="GLASFORD STATE BANK"/>
    <s v="Glasford"/>
    <x v="1"/>
    <n v="61533"/>
    <d v="2019-09-30T00:00:00"/>
    <x v="0"/>
    <n v="10"/>
    <n v="41669"/>
    <n v="9830"/>
    <n v="41669"/>
    <n v="37992"/>
    <n v="37881"/>
    <x v="2"/>
    <n v="0.09"/>
    <n v="3409.29"/>
    <n v="0.91175694161126974"/>
    <n v="4166.8999999999996"/>
    <n v="2.883298282046995"/>
  </r>
  <r>
    <s v="GLASFORD STATE BANK"/>
    <s v="Glasford"/>
    <x v="1"/>
    <n v="61533"/>
    <d v="2020-09-30T00:00:00"/>
    <x v="1"/>
    <n v="10"/>
    <n v="53920"/>
    <n v="14378"/>
    <n v="53919"/>
    <n v="49628"/>
    <n v="45502"/>
    <x v="2"/>
    <n v="0.09"/>
    <n v="4095.18"/>
    <n v="0.92040059347181014"/>
    <n v="5392"/>
    <n v="3.5109567833404149"/>
  </r>
  <r>
    <s v="GLASFORD STATE BANK"/>
    <s v="Glasford"/>
    <x v="1"/>
    <n v="61533"/>
    <d v="2021-09-30T00:00:00"/>
    <x v="2"/>
    <n v="10"/>
    <n v="60720"/>
    <n v="13486"/>
    <n v="60720"/>
    <n v="56371"/>
    <n v="56215"/>
    <x v="2"/>
    <n v="0.09"/>
    <n v="5059.3499999999995"/>
    <n v="0.92837615283267461"/>
    <n v="6072"/>
    <n v="2.6655598051133054"/>
  </r>
  <r>
    <s v="GLENS FALLS NATIONAL BANK AND TRUST COMPANY"/>
    <s v="Glens Falls"/>
    <x v="2"/>
    <n v="12801"/>
    <d v="2019-09-30T00:00:00"/>
    <x v="0"/>
    <n v="466"/>
    <n v="2526366"/>
    <n v="73918"/>
    <n v="2526366"/>
    <n v="2283307"/>
    <n v="2103312"/>
    <x v="1"/>
    <n v="0.08"/>
    <n v="168264.95999999999"/>
    <n v="0.90379105798605586"/>
    <n v="5421.3862660944205"/>
    <n v="0.43929526385053669"/>
  </r>
  <r>
    <s v="GLENS FALLS NATIONAL BANK AND TRUST COMPANY"/>
    <s v="Glens Falls"/>
    <x v="2"/>
    <n v="12801"/>
    <d v="2020-09-30T00:00:00"/>
    <x v="1"/>
    <n v="464"/>
    <n v="2979182"/>
    <n v="384981"/>
    <n v="2979182"/>
    <n v="2713050"/>
    <n v="2566084"/>
    <x v="1"/>
    <n v="0.08"/>
    <n v="205286.72"/>
    <n v="0.91066943879225903"/>
    <n v="6420.6508620689656"/>
    <n v="1.8753331925221466"/>
  </r>
  <r>
    <s v="GLENS FALLS NATIONAL BANK AND TRUST COMPANY"/>
    <s v="Glens Falls"/>
    <x v="2"/>
    <n v="12801"/>
    <d v="2021-09-30T00:00:00"/>
    <x v="2"/>
    <n v="459"/>
    <n v="3223349"/>
    <n v="543175"/>
    <n v="3223349"/>
    <n v="2937732"/>
    <n v="2865117"/>
    <x v="1"/>
    <n v="0.08"/>
    <n v="229209.36000000002"/>
    <n v="0.91139122695060326"/>
    <n v="7022.5468409586056"/>
    <n v="2.3697766967282661"/>
  </r>
  <r>
    <s v="GLENVIEW STATE BANK"/>
    <s v="Glenview"/>
    <x v="1"/>
    <n v="60025"/>
    <d v="2019-09-30T00:00:00"/>
    <x v="0"/>
    <n v="151"/>
    <n v="1269258"/>
    <n v="42102"/>
    <n v="1269258"/>
    <n v="1114197"/>
    <n v="1072261"/>
    <x v="1"/>
    <n v="7.4999999999999997E-2"/>
    <n v="80419.574999999997"/>
    <n v="0.87783334830270909"/>
    <n v="8405.6821192052976"/>
    <n v="0.52352925267262362"/>
  </r>
  <r>
    <s v="GLENVIEW STATE BANK"/>
    <s v="Glenview"/>
    <x v="1"/>
    <n v="60025"/>
    <d v="2020-09-30T00:00:00"/>
    <x v="1"/>
    <n v="145"/>
    <n v="1395429"/>
    <n v="70230"/>
    <n v="1395429"/>
    <n v="1220330"/>
    <n v="1198692"/>
    <x v="1"/>
    <n v="7.4999999999999997E-2"/>
    <n v="89901.9"/>
    <n v="0.87451959218276243"/>
    <n v="9623.6482758620696"/>
    <n v="0.78118482479235707"/>
  </r>
  <r>
    <s v="GLOBAL BANK"/>
    <s v="New York"/>
    <x v="2"/>
    <n v="10038"/>
    <d v="2019-09-30T00:00:00"/>
    <x v="0"/>
    <n v="33"/>
    <n v="179114"/>
    <n v="10954"/>
    <n v="179114"/>
    <n v="154947"/>
    <n v="130772"/>
    <x v="0"/>
    <n v="8.5000000000000006E-2"/>
    <n v="11115.62"/>
    <n v="0.86507475685876034"/>
    <n v="5427.69696969697"/>
    <n v="0.98546010029130171"/>
  </r>
  <r>
    <s v="GLOBAL BANK"/>
    <s v="New York"/>
    <x v="2"/>
    <n v="10038"/>
    <d v="2020-09-30T00:00:00"/>
    <x v="1"/>
    <n v="32"/>
    <n v="199623"/>
    <n v="10346"/>
    <n v="199623"/>
    <n v="174252"/>
    <n v="152648"/>
    <x v="0"/>
    <n v="8.5000000000000006E-2"/>
    <n v="12975.080000000002"/>
    <n v="0.87290542672938487"/>
    <n v="6238.21875"/>
    <n v="0.79737465973234833"/>
  </r>
  <r>
    <s v="GLOBAL BANK"/>
    <s v="New York"/>
    <x v="2"/>
    <n v="10038"/>
    <d v="2021-09-30T00:00:00"/>
    <x v="2"/>
    <n v="36"/>
    <n v="230883"/>
    <n v="13612"/>
    <n v="230883"/>
    <n v="202508"/>
    <n v="192623"/>
    <x v="0"/>
    <n v="8.5000000000000006E-2"/>
    <n v="16372.955000000002"/>
    <n v="0.87710225525482599"/>
    <n v="6413.416666666667"/>
    <n v="0.83137100175258516"/>
  </r>
  <r>
    <s v="GN BANK"/>
    <s v="Chicago"/>
    <x v="1"/>
    <n v="60653"/>
    <d v="2019-09-30T00:00:00"/>
    <x v="0"/>
    <n v="29"/>
    <n v="135832"/>
    <n v="39721"/>
    <n v="135833"/>
    <n v="123901"/>
    <n v="123684"/>
    <x v="0"/>
    <n v="0.08"/>
    <n v="9894.7199999999993"/>
    <n v="0.91216355497968082"/>
    <n v="4683.8620689655172"/>
    <n v="4.0143632159373892"/>
  </r>
  <r>
    <s v="GN BANK"/>
    <s v="Chicago"/>
    <x v="1"/>
    <n v="60653"/>
    <d v="2020-09-30T00:00:00"/>
    <x v="1"/>
    <n v="14"/>
    <n v="104916"/>
    <n v="24567"/>
    <n v="104917"/>
    <n v="94296"/>
    <n v="87933"/>
    <x v="0"/>
    <n v="0.08"/>
    <n v="7034.64"/>
    <n v="0.89877616378817338"/>
    <n v="7494"/>
    <n v="3.4922895841151784"/>
  </r>
  <r>
    <s v="GN BANK"/>
    <s v="Chicago"/>
    <x v="1"/>
    <n v="60653"/>
    <d v="2021-09-30T00:00:00"/>
    <x v="2"/>
    <n v="9"/>
    <n v="88240"/>
    <n v="13765"/>
    <n v="88240"/>
    <n v="78251"/>
    <n v="77862"/>
    <x v="2"/>
    <n v="0.09"/>
    <n v="7007.58"/>
    <n v="0.88679737080689025"/>
    <n v="9804.4444444444453"/>
    <n v="1.9643015135039485"/>
  </r>
  <r>
    <s v="GOLD COAST BANK"/>
    <s v="Chicago"/>
    <x v="1"/>
    <n v="60610"/>
    <d v="2019-09-30T00:00:00"/>
    <x v="0"/>
    <n v="35"/>
    <n v="378983"/>
    <n v="101230"/>
    <n v="378983"/>
    <n v="329375"/>
    <n v="319446"/>
    <x v="0"/>
    <n v="0.08"/>
    <n v="25555.68"/>
    <n v="0.86910230801909316"/>
    <n v="10828.085714285715"/>
    <n v="3.9611546239427007"/>
  </r>
  <r>
    <s v="GOLD COAST BANK"/>
    <s v="Islandia"/>
    <x v="2"/>
    <n v="11749"/>
    <d v="2019-09-30T00:00:00"/>
    <x v="0"/>
    <n v="51"/>
    <n v="561722"/>
    <n v="26405"/>
    <n v="561722"/>
    <n v="501627"/>
    <n v="467277"/>
    <x v="0"/>
    <n v="8.5000000000000006E-2"/>
    <n v="39718.545000000006"/>
    <n v="0.89301647434140019"/>
    <n v="11014.156862745098"/>
    <n v="0.66480280181461826"/>
  </r>
  <r>
    <s v="GOLD COAST BANK"/>
    <s v="Chicago"/>
    <x v="1"/>
    <n v="60610"/>
    <d v="2020-09-30T00:00:00"/>
    <x v="1"/>
    <n v="43"/>
    <n v="397487"/>
    <n v="106388"/>
    <n v="397487"/>
    <n v="349940"/>
    <n v="334776"/>
    <x v="0"/>
    <n v="0.08"/>
    <n v="26782.080000000002"/>
    <n v="0.88038099359224331"/>
    <n v="9243.8837209302328"/>
    <n v="3.9723576361507393"/>
  </r>
  <r>
    <s v="GOLD COAST BANK"/>
    <s v="Chicago"/>
    <x v="1"/>
    <n v="60610"/>
    <d v="2021-09-30T00:00:00"/>
    <x v="2"/>
    <n v="39"/>
    <n v="461687"/>
    <n v="90194"/>
    <n v="461687"/>
    <n v="409949"/>
    <n v="392058"/>
    <x v="0"/>
    <n v="0.08"/>
    <n v="31364.639999999999"/>
    <n v="0.88793706558772501"/>
    <n v="11838.128205128205"/>
    <n v="2.8756587035591674"/>
  </r>
  <r>
    <s v="GOLDEN PACIFIC BANK, NATIONAL ASSOCIATION"/>
    <s v="Sacramento"/>
    <x v="0"/>
    <n v="95814"/>
    <d v="2019-09-30T00:00:00"/>
    <x v="0"/>
    <n v="33"/>
    <n v="131926"/>
    <n v="18736"/>
    <n v="131926"/>
    <n v="115786"/>
    <n v="115295"/>
    <x v="0"/>
    <n v="0.09"/>
    <n v="10376.549999999999"/>
    <n v="0.8776586874459924"/>
    <n v="3997.757575757576"/>
    <n v="1.805609764324366"/>
  </r>
  <r>
    <s v="GOLDEN PACIFIC BANK, NATIONAL ASSOCIATION"/>
    <s v="Sacramento"/>
    <x v="0"/>
    <n v="95814"/>
    <d v="2020-09-30T00:00:00"/>
    <x v="1"/>
    <n v="31"/>
    <n v="168926"/>
    <n v="32100"/>
    <n v="168926"/>
    <n v="152729"/>
    <n v="152396"/>
    <x v="0"/>
    <n v="0.09"/>
    <n v="13715.64"/>
    <n v="0.90411777938268822"/>
    <n v="5449.2258064516127"/>
    <n v="2.3403938861037474"/>
  </r>
  <r>
    <s v="GOLDEN PACIFIC BANK, NATIONAL ASSOCIATION"/>
    <s v="Sacramento"/>
    <x v="0"/>
    <n v="95814"/>
    <d v="2021-09-30T00:00:00"/>
    <x v="2"/>
    <n v="30"/>
    <n v="169887"/>
    <n v="57903"/>
    <n v="169887"/>
    <n v="151717"/>
    <n v="150955"/>
    <x v="0"/>
    <n v="0.09"/>
    <n v="13585.949999999999"/>
    <n v="0.89304655447444481"/>
    <n v="5662.9"/>
    <n v="4.2619765272211367"/>
  </r>
  <r>
    <s v="GOLDEN STATE BANK"/>
    <s v="Glendale"/>
    <x v="0"/>
    <n v="91203"/>
    <d v="2019-09-30T00:00:00"/>
    <x v="0"/>
    <n v="42"/>
    <n v="352523"/>
    <n v="42973"/>
    <n v="352523"/>
    <n v="316654"/>
    <n v="294168"/>
    <x v="0"/>
    <n v="0.09"/>
    <n v="26475.119999999999"/>
    <n v="0.89825061059845746"/>
    <n v="8393.4047619047615"/>
    <n v="1.6231465617530725"/>
  </r>
  <r>
    <s v="GOLDEN STATE BANK"/>
    <s v="Glendale"/>
    <x v="0"/>
    <n v="91203"/>
    <d v="2020-09-30T00:00:00"/>
    <x v="1"/>
    <n v="52"/>
    <n v="444566"/>
    <n v="144387"/>
    <n v="444566"/>
    <n v="408971"/>
    <n v="375757"/>
    <x v="0"/>
    <n v="0.09"/>
    <n v="33818.129999999997"/>
    <n v="0.91993314828394435"/>
    <n v="8549.3461538461543"/>
    <n v="4.269514606514317"/>
  </r>
  <r>
    <s v="GOLDEN STATE BANK"/>
    <s v="Glendale"/>
    <x v="0"/>
    <n v="91203"/>
    <d v="2021-09-30T00:00:00"/>
    <x v="2"/>
    <n v="50"/>
    <n v="539473"/>
    <n v="133279"/>
    <n v="539473"/>
    <n v="497198"/>
    <n v="466195"/>
    <x v="0"/>
    <n v="0.09"/>
    <n v="41957.549999999996"/>
    <n v="0.9216364859779822"/>
    <n v="10789.46"/>
    <n v="3.1765200780312486"/>
  </r>
  <r>
    <s v="GOLDEN VALLEY BANK"/>
    <s v="Chico"/>
    <x v="0"/>
    <n v="95926"/>
    <d v="2019-09-30T00:00:00"/>
    <x v="0"/>
    <n v="50"/>
    <n v="343837"/>
    <n v="59840"/>
    <n v="343837"/>
    <n v="315097"/>
    <n v="304419"/>
    <x v="0"/>
    <n v="0.09"/>
    <n v="27397.71"/>
    <n v="0.91641388215927899"/>
    <n v="6876.74"/>
    <n v="2.1841241476021174"/>
  </r>
  <r>
    <s v="GOLDEN VALLEY BANK"/>
    <s v="Chico"/>
    <x v="0"/>
    <n v="95926"/>
    <d v="2020-09-30T00:00:00"/>
    <x v="1"/>
    <n v="50"/>
    <n v="413983"/>
    <n v="28065"/>
    <n v="413983"/>
    <n v="379800"/>
    <n v="364995"/>
    <x v="0"/>
    <n v="0.09"/>
    <n v="32849.549999999996"/>
    <n v="0.91742897655217726"/>
    <n v="8279.66"/>
    <n v="0.85434960296259777"/>
  </r>
  <r>
    <s v="GOLDEN VALLEY BANK"/>
    <s v="Chico"/>
    <x v="0"/>
    <n v="95926"/>
    <d v="2021-09-30T00:00:00"/>
    <x v="2"/>
    <n v="53"/>
    <n v="465313"/>
    <n v="75071"/>
    <n v="465313"/>
    <n v="427235"/>
    <n v="425159"/>
    <x v="0"/>
    <n v="0.09"/>
    <n v="38264.31"/>
    <n v="0.91816691130486361"/>
    <n v="8779.4905660377353"/>
    <n v="1.9619065390176904"/>
  </r>
  <r>
    <s v="GOLDMAN SACHS BANK USA"/>
    <s v="New York"/>
    <x v="2"/>
    <n v="10282"/>
    <d v="2019-09-30T00:00:00"/>
    <x v="0"/>
    <n v="2127"/>
    <n v="211831000"/>
    <n v="28587000"/>
    <n v="211831000"/>
    <n v="182913000"/>
    <n v="149776000"/>
    <x v="1"/>
    <n v="0.08"/>
    <n v="11982080"/>
    <n v="0.86348551439590993"/>
    <n v="99591.4433474377"/>
    <n v="2.3858128138019441"/>
  </r>
  <r>
    <s v="GOLDMAN SACHS BANK USA"/>
    <s v="New York"/>
    <x v="2"/>
    <n v="10282"/>
    <d v="2020-09-30T00:00:00"/>
    <x v="1"/>
    <n v="2392"/>
    <n v="277943000"/>
    <n v="66666000"/>
    <n v="277943000"/>
    <n v="248063000"/>
    <n v="218776000"/>
    <x v="1"/>
    <n v="0.08"/>
    <n v="17502080"/>
    <n v="0.89249594341285798"/>
    <n v="116196.90635451506"/>
    <n v="3.8090329835082457"/>
  </r>
  <r>
    <s v="GOLDMAN SACHS BANK USA"/>
    <s v="New York"/>
    <x v="2"/>
    <n v="10282"/>
    <d v="2021-09-30T00:00:00"/>
    <x v="2"/>
    <n v="3580"/>
    <n v="387383000"/>
    <n v="119465000"/>
    <n v="387383000"/>
    <n v="347142000"/>
    <n v="272182000"/>
    <x v="1"/>
    <n v="0.08"/>
    <n v="21774560"/>
    <n v="0.8961208932761634"/>
    <n v="108207.54189944133"/>
    <n v="5.4864484058460885"/>
  </r>
  <r>
    <s v="GOODFIELD STATE BANK"/>
    <s v="Goodfield"/>
    <x v="1"/>
    <n v="61742"/>
    <d v="2019-09-30T00:00:00"/>
    <x v="0"/>
    <n v="28"/>
    <n v="129173"/>
    <n v="8197"/>
    <n v="129173"/>
    <n v="112380"/>
    <n v="111138"/>
    <x v="0"/>
    <n v="0.08"/>
    <n v="8891.0400000000009"/>
    <n v="0.86999605180649209"/>
    <n v="4613.3214285714284"/>
    <n v="0.92193939066745834"/>
  </r>
  <r>
    <s v="GOODFIELD STATE BANK"/>
    <s v="Goodfield"/>
    <x v="1"/>
    <n v="61742"/>
    <d v="2020-09-30T00:00:00"/>
    <x v="1"/>
    <n v="29"/>
    <n v="153177"/>
    <n v="24760"/>
    <n v="153177"/>
    <n v="134260"/>
    <n v="133991"/>
    <x v="0"/>
    <n v="0.08"/>
    <n v="10719.28"/>
    <n v="0.87650234695809426"/>
    <n v="5281.9655172413795"/>
    <n v="2.3098566321618614"/>
  </r>
  <r>
    <s v="GOODFIELD STATE BANK"/>
    <s v="Goodfield"/>
    <x v="1"/>
    <n v="61742"/>
    <d v="2021-09-30T00:00:00"/>
    <x v="2"/>
    <n v="28"/>
    <n v="182244"/>
    <n v="34676"/>
    <n v="182244"/>
    <n v="161654"/>
    <n v="161435"/>
    <x v="0"/>
    <n v="0.08"/>
    <n v="12914.800000000001"/>
    <n v="0.88701960009657388"/>
    <n v="6508.7142857142853"/>
    <n v="2.6849815715303369"/>
  </r>
  <r>
    <s v="GOUVERNEUR SAVINGS AND LOAN ASSOCIATION"/>
    <s v="Gouverneur"/>
    <x v="2"/>
    <n v="13642"/>
    <d v="2019-09-30T00:00:00"/>
    <x v="0"/>
    <n v="34"/>
    <n v="125268"/>
    <n v="3701"/>
    <n v="125268"/>
    <n v="95886"/>
    <n v="80147"/>
    <x v="0"/>
    <n v="8.5000000000000006E-2"/>
    <n v="6812.4950000000008"/>
    <n v="0.76544688188523802"/>
    <n v="3684.3529411764707"/>
    <n v="0.54326645377354399"/>
  </r>
  <r>
    <s v="GOUVERNEUR SAVINGS AND LOAN ASSOCIATION"/>
    <s v="Gouverneur"/>
    <x v="2"/>
    <n v="13642"/>
    <d v="2020-09-30T00:00:00"/>
    <x v="1"/>
    <n v="31"/>
    <n v="129261"/>
    <n v="7702"/>
    <n v="129261"/>
    <n v="102669"/>
    <n v="91818"/>
    <x v="0"/>
    <n v="8.5000000000000006E-2"/>
    <n v="7804.5300000000007"/>
    <n v="0.79427669598718875"/>
    <n v="4169.7096774193551"/>
    <n v="0.98686275791111056"/>
  </r>
  <r>
    <s v="GOUVERNEUR SAVINGS AND LOAN ASSOCIATION"/>
    <s v="Gouverneur"/>
    <x v="2"/>
    <n v="13642"/>
    <d v="2021-09-30T00:00:00"/>
    <x v="2"/>
    <n v="30"/>
    <n v="134729"/>
    <n v="10914"/>
    <n v="134729"/>
    <n v="107588"/>
    <n v="101378"/>
    <x v="0"/>
    <n v="8.5000000000000006E-2"/>
    <n v="8617.130000000001"/>
    <n v="0.79855116567331463"/>
    <n v="4490.9666666666662"/>
    <n v="1.2665469825800468"/>
  </r>
  <r>
    <s v="GRAND RIDGE NATIONAL BANK"/>
    <s v="Grand Ridge"/>
    <x v="1"/>
    <n v="61325"/>
    <d v="2019-09-30T00:00:00"/>
    <x v="0"/>
    <n v="26"/>
    <n v="223707"/>
    <n v="30942"/>
    <n v="223708"/>
    <n v="196745"/>
    <n v="195645"/>
    <x v="0"/>
    <n v="0.08"/>
    <n v="15651.6"/>
    <n v="0.87947627924025618"/>
    <n v="8604.1153846153848"/>
    <n v="1.9769224871578623"/>
  </r>
  <r>
    <s v="GRAND RIDGE NATIONAL BANK"/>
    <s v="Grand Ridge"/>
    <x v="1"/>
    <n v="61325"/>
    <d v="2020-09-30T00:00:00"/>
    <x v="1"/>
    <n v="28"/>
    <n v="265381"/>
    <n v="38486"/>
    <n v="265381"/>
    <n v="234546"/>
    <n v="228502"/>
    <x v="0"/>
    <n v="0.08"/>
    <n v="18280.16"/>
    <n v="0.88380856202968561"/>
    <n v="9477.8928571428569"/>
    <n v="2.1053426228216821"/>
  </r>
  <r>
    <s v="GRAND RIDGE NATIONAL BANK"/>
    <s v="Grand Ridge"/>
    <x v="1"/>
    <n v="61325"/>
    <d v="2021-09-30T00:00:00"/>
    <x v="2"/>
    <n v="33"/>
    <n v="304205"/>
    <n v="57292"/>
    <n v="304205"/>
    <n v="269606"/>
    <n v="260101"/>
    <x v="0"/>
    <n v="0.08"/>
    <n v="20808.080000000002"/>
    <n v="0.88626419684094604"/>
    <n v="9218.3333333333339"/>
    <n v="2.7533535049846019"/>
  </r>
  <r>
    <s v="GRAND RIVERS COMMUNITY BANK"/>
    <s v="Grand Chain"/>
    <x v="1"/>
    <n v="62941"/>
    <d v="2019-09-30T00:00:00"/>
    <x v="0"/>
    <n v="11"/>
    <n v="31814"/>
    <n v="7946"/>
    <n v="31814"/>
    <n v="29736"/>
    <n v="28446"/>
    <x v="2"/>
    <n v="0.09"/>
    <n v="2560.14"/>
    <n v="0.93468284403092983"/>
    <n v="2892.181818181818"/>
    <n v="3.1037365144093685"/>
  </r>
  <r>
    <s v="GRAND RIVERS COMMUNITY BANK"/>
    <s v="Grand Chain"/>
    <x v="1"/>
    <n v="62941"/>
    <d v="2020-09-30T00:00:00"/>
    <x v="1"/>
    <n v="10"/>
    <n v="25591"/>
    <n v="6801"/>
    <n v="25591"/>
    <n v="24774"/>
    <n v="23640"/>
    <x v="2"/>
    <n v="0.09"/>
    <n v="2127.6"/>
    <n v="0.96807471376655851"/>
    <n v="2559.1"/>
    <n v="3.1965595036661028"/>
  </r>
  <r>
    <s v="GRAND RIVERS COMMUNITY BANK"/>
    <s v="Grand Chain"/>
    <x v="1"/>
    <n v="62941"/>
    <d v="2021-09-30T00:00:00"/>
    <x v="2"/>
    <n v="9"/>
    <n v="19367"/>
    <n v="3433"/>
    <n v="19367"/>
    <n v="18689"/>
    <n v="17678"/>
    <x v="2"/>
    <n v="0.09"/>
    <n v="1591.02"/>
    <n v="0.96499199669540969"/>
    <n v="2151.8888888888887"/>
    <n v="2.1577352893112596"/>
  </r>
  <r>
    <s v="GRASSHOPPER BANK, N.A."/>
    <s v="New York"/>
    <x v="2"/>
    <n v="10010"/>
    <d v="2019-09-30T00:00:00"/>
    <x v="0"/>
    <n v="41"/>
    <n v="99157"/>
    <n v="3244"/>
    <n v="99157"/>
    <n v="8662"/>
    <n v="7715"/>
    <x v="2"/>
    <n v="0.09"/>
    <n v="694.35"/>
    <n v="8.735641457486612E-2"/>
    <n v="2418.4634146341464"/>
    <n v="4.6719953913732262"/>
  </r>
  <r>
    <s v="GRASSHOPPER BANK, N.A."/>
    <s v="New York"/>
    <x v="2"/>
    <n v="10010"/>
    <d v="2020-09-30T00:00:00"/>
    <x v="1"/>
    <n v="53"/>
    <n v="175331"/>
    <n v="7705"/>
    <n v="175331"/>
    <n v="99082"/>
    <n v="95671"/>
    <x v="0"/>
    <n v="8.5000000000000006E-2"/>
    <n v="8132.0350000000008"/>
    <n v="0.56511398440663663"/>
    <n v="3308.132075471698"/>
    <n v="0.94748731406099451"/>
  </r>
  <r>
    <s v="GRASSHOPPER BANK, N.A."/>
    <s v="New York"/>
    <x v="2"/>
    <n v="10010"/>
    <d v="2021-09-30T00:00:00"/>
    <x v="2"/>
    <n v="60"/>
    <n v="257618"/>
    <n v="31129"/>
    <n v="257618"/>
    <n v="202492"/>
    <n v="199604"/>
    <x v="0"/>
    <n v="8.5000000000000006E-2"/>
    <n v="16966.34"/>
    <n v="0.78601650505787635"/>
    <n v="4293.6333333333332"/>
    <n v="1.8347504529556757"/>
  </r>
  <r>
    <s v="GREAT RIVERS BANK"/>
    <s v="Barry"/>
    <x v="1"/>
    <n v="62312"/>
    <d v="2019-09-30T00:00:00"/>
    <x v="0"/>
    <n v="30"/>
    <n v="132233"/>
    <n v="20098"/>
    <n v="132233"/>
    <n v="116536"/>
    <n v="116244"/>
    <x v="0"/>
    <n v="0.08"/>
    <n v="9299.52"/>
    <n v="0.88129286940476281"/>
    <n v="4407.7666666666664"/>
    <n v="2.1611868139430852"/>
  </r>
  <r>
    <s v="GREAT RIVERS BANK"/>
    <s v="Barry"/>
    <x v="1"/>
    <n v="62312"/>
    <d v="2020-09-30T00:00:00"/>
    <x v="1"/>
    <n v="31"/>
    <n v="140753"/>
    <n v="16098"/>
    <n v="140753"/>
    <n v="123804"/>
    <n v="119638"/>
    <x v="0"/>
    <n v="0.08"/>
    <n v="9571.0400000000009"/>
    <n v="0.87958338365789712"/>
    <n v="4540.4193548387093"/>
    <n v="1.6819488791186745"/>
  </r>
  <r>
    <s v="GREAT RIVERS BANK"/>
    <s v="Barry"/>
    <x v="1"/>
    <n v="62312"/>
    <d v="2021-09-30T00:00:00"/>
    <x v="2"/>
    <n v="32"/>
    <n v="158125"/>
    <n v="18744"/>
    <n v="158125"/>
    <n v="140215"/>
    <n v="134740"/>
    <x v="0"/>
    <n v="0.08"/>
    <n v="10779.2"/>
    <n v="0.88673517786561262"/>
    <n v="4941.40625"/>
    <n v="1.738904556924447"/>
  </r>
  <r>
    <s v="GREENE COUNTY COMMERCIAL BANK"/>
    <s v="Catskill"/>
    <x v="2"/>
    <n v="12414"/>
    <d v="2019-09-30T00:00:00"/>
    <x v="0"/>
    <n v="58"/>
    <n v="595440"/>
    <n v="141312"/>
    <n v="595440"/>
    <n v="545746"/>
    <n v="545523"/>
    <x v="0"/>
    <n v="8.5000000000000006E-2"/>
    <n v="46369.455000000002"/>
    <n v="0.91654238882171168"/>
    <n v="10266.206896551725"/>
    <n v="3.0475234181639617"/>
  </r>
  <r>
    <s v="GREENE COUNTY COMMERCIAL BANK"/>
    <s v="Catskill"/>
    <x v="2"/>
    <n v="12414"/>
    <d v="2020-09-30T00:00:00"/>
    <x v="1"/>
    <n v="65"/>
    <n v="684187"/>
    <n v="34820"/>
    <n v="684187"/>
    <n v="620239"/>
    <n v="619671"/>
    <x v="0"/>
    <n v="8.5000000000000006E-2"/>
    <n v="52672.035000000003"/>
    <n v="0.90653432468024098"/>
    <n v="10525.953846153847"/>
    <n v="0.66107185720088468"/>
  </r>
  <r>
    <s v="GREENE COUNTY COMMERCIAL BANK"/>
    <s v="Catskill"/>
    <x v="2"/>
    <n v="12414"/>
    <d v="2021-09-30T00:00:00"/>
    <x v="2"/>
    <n v="134"/>
    <n v="974012"/>
    <n v="367"/>
    <n v="974012"/>
    <n v="904972"/>
    <n v="832387"/>
    <x v="0"/>
    <n v="8.5000000000000006E-2"/>
    <n v="70752.895000000004"/>
    <n v="0.92911791641170749"/>
    <n v="7268.746268656716"/>
    <n v="5.1870669037641492E-3"/>
  </r>
  <r>
    <s v="GREENFIELD CO-OPERATIVE BANK"/>
    <s v="Greenfield"/>
    <x v="3"/>
    <n v="1301"/>
    <d v="2019-09-30T00:00:00"/>
    <x v="0"/>
    <n v="96"/>
    <n v="656888"/>
    <n v="57516"/>
    <n v="656888"/>
    <n v="579570"/>
    <n v="555919"/>
    <x v="0"/>
    <n v="8.5000000000000006E-2"/>
    <n v="47253.115000000005"/>
    <n v="0.88229652543508175"/>
    <n v="6842.583333333333"/>
    <n v="1.2171895969186368"/>
  </r>
  <r>
    <s v="GREENFIELD CO-OPERATIVE BANK"/>
    <s v="Greenfield"/>
    <x v="3"/>
    <n v="1301"/>
    <d v="2020-09-30T00:00:00"/>
    <x v="1"/>
    <n v="99"/>
    <n v="732349"/>
    <n v="105323"/>
    <n v="732349"/>
    <n v="650696"/>
    <n v="631357"/>
    <x v="0"/>
    <n v="8.5000000000000006E-2"/>
    <n v="53665.345000000001"/>
    <n v="0.88850534376369739"/>
    <n v="7397.4646464646466"/>
    <n v="1.9625887059889393"/>
  </r>
  <r>
    <s v="GREENFIELD CO-OPERATIVE BANK"/>
    <s v="Greenfield"/>
    <x v="3"/>
    <n v="1301"/>
    <d v="2021-09-30T00:00:00"/>
    <x v="2"/>
    <n v="104"/>
    <n v="808523"/>
    <n v="174845"/>
    <n v="808523"/>
    <n v="724368"/>
    <n v="711081"/>
    <x v="0"/>
    <n v="8.5000000000000006E-2"/>
    <n v="60441.885000000002"/>
    <n v="0.89591514403424521"/>
    <n v="7774.2596153846152"/>
    <n v="2.8927787410998183"/>
  </r>
  <r>
    <s v="GREENFIELD SAVINGS BANK"/>
    <s v="Greenfield"/>
    <x v="3"/>
    <n v="1301"/>
    <d v="2019-09-30T00:00:00"/>
    <x v="0"/>
    <n v="166"/>
    <n v="874454"/>
    <n v="17750"/>
    <n v="874455"/>
    <n v="769014"/>
    <n v="725500"/>
    <x v="0"/>
    <n v="8.5000000000000006E-2"/>
    <n v="61667.500000000007"/>
    <n v="0.87942190212406823"/>
    <n v="5267.7951807228919"/>
    <n v="0.28783394818988928"/>
  </r>
  <r>
    <s v="GREENFIELD SAVINGS BANK"/>
    <s v="Greenfield"/>
    <x v="3"/>
    <n v="1301"/>
    <d v="2020-09-30T00:00:00"/>
    <x v="1"/>
    <n v="155"/>
    <n v="994372"/>
    <n v="73590"/>
    <n v="994373"/>
    <n v="881038"/>
    <n v="840929"/>
    <x v="0"/>
    <n v="8.5000000000000006E-2"/>
    <n v="71478.965000000011"/>
    <n v="0.88602454614570803"/>
    <n v="6415.3032258064513"/>
    <n v="1.0295336537119695"/>
  </r>
  <r>
    <s v="GREENFIELD SAVINGS BANK"/>
    <s v="Greenfield"/>
    <x v="3"/>
    <n v="1301"/>
    <d v="2021-09-30T00:00:00"/>
    <x v="2"/>
    <n v="157"/>
    <n v="1123194"/>
    <n v="206891"/>
    <n v="1123194"/>
    <n v="1003558"/>
    <n v="982377"/>
    <x v="1"/>
    <n v="0.08"/>
    <n v="78590.16"/>
    <n v="0.89348589825088098"/>
    <n v="7154.1019108280252"/>
    <n v="2.6325305865263537"/>
  </r>
  <r>
    <s v="GRUNDY BANK"/>
    <s v="Morris"/>
    <x v="1"/>
    <n v="60450"/>
    <d v="2019-09-30T00:00:00"/>
    <x v="0"/>
    <n v="57"/>
    <n v="277932"/>
    <n v="57642"/>
    <n v="277932"/>
    <n v="247201"/>
    <n v="245901"/>
    <x v="0"/>
    <n v="0.08"/>
    <n v="19672.080000000002"/>
    <n v="0.88942978858137967"/>
    <n v="4876"/>
    <n v="2.9301426183708075"/>
  </r>
  <r>
    <s v="GRUNDY BANK"/>
    <s v="Morris"/>
    <x v="1"/>
    <n v="60450"/>
    <d v="2020-09-30T00:00:00"/>
    <x v="1"/>
    <n v="50"/>
    <n v="319907"/>
    <n v="85206"/>
    <n v="319907"/>
    <n v="286442"/>
    <n v="281131"/>
    <x v="0"/>
    <n v="0.08"/>
    <n v="22490.48"/>
    <n v="0.89539147314688328"/>
    <n v="6398.14"/>
    <n v="3.7885363051388854"/>
  </r>
  <r>
    <s v="GRUNDY BANK"/>
    <s v="Morris"/>
    <x v="1"/>
    <n v="60450"/>
    <d v="2021-09-30T00:00:00"/>
    <x v="2"/>
    <n v="50"/>
    <n v="408232"/>
    <n v="182359"/>
    <n v="408232"/>
    <n v="372935"/>
    <n v="366497"/>
    <x v="0"/>
    <n v="0.08"/>
    <n v="29319.760000000002"/>
    <n v="0.9135369103842913"/>
    <n v="8164.64"/>
    <n v="6.2196620981890707"/>
  </r>
  <r>
    <s v="GUARDIAN SAVINGS BANK"/>
    <s v="Granite City"/>
    <x v="1"/>
    <n v="62040"/>
    <d v="2019-09-30T00:00:00"/>
    <x v="0"/>
    <n v="8"/>
    <n v="37365"/>
    <n v="6527"/>
    <n v="37365"/>
    <n v="30016"/>
    <n v="27502"/>
    <x v="2"/>
    <n v="0.09"/>
    <n v="2475.1799999999998"/>
    <n v="0.80331861367589996"/>
    <n v="4670.625"/>
    <n v="2.6369799368126765"/>
  </r>
  <r>
    <s v="GUARDIAN SAVINGS BANK"/>
    <s v="Granite City"/>
    <x v="1"/>
    <n v="62040"/>
    <d v="2020-09-30T00:00:00"/>
    <x v="1"/>
    <n v="7"/>
    <n v="37168"/>
    <n v="7832"/>
    <n v="37168"/>
    <n v="30285"/>
    <n v="27046"/>
    <x v="2"/>
    <n v="0.09"/>
    <n v="2434.14"/>
    <n v="0.81481381833835553"/>
    <n v="5309.7142857142853"/>
    <n v="3.217563492650382"/>
  </r>
  <r>
    <s v="GUARDIAN SAVINGS BANK"/>
    <s v="Granite City"/>
    <x v="1"/>
    <n v="62040"/>
    <d v="2021-09-30T00:00:00"/>
    <x v="2"/>
    <n v="9"/>
    <n v="36549"/>
    <n v="9587"/>
    <n v="36549"/>
    <n v="29816"/>
    <n v="29222"/>
    <x v="2"/>
    <n v="0.09"/>
    <n v="2629.98"/>
    <n v="0.81578155353087634"/>
    <n v="4061"/>
    <n v="3.6452748690104109"/>
  </r>
  <r>
    <s v="H. F. GEHANT BANKING CO."/>
    <s v="West Brooklyn"/>
    <x v="1"/>
    <n v="61378"/>
    <d v="2019-09-30T00:00:00"/>
    <x v="0"/>
    <n v="12"/>
    <n v="58448"/>
    <n v="8927"/>
    <n v="58448"/>
    <n v="49149"/>
    <n v="49005"/>
    <x v="2"/>
    <n v="0.09"/>
    <n v="4410.45"/>
    <n v="0.84090131398850265"/>
    <n v="4870.666666666667"/>
    <n v="2.0240565021709802"/>
  </r>
  <r>
    <s v="HABIB AMERICAN BANK"/>
    <s v="New York"/>
    <x v="2"/>
    <n v="10016"/>
    <d v="2019-09-30T00:00:00"/>
    <x v="0"/>
    <n v="140"/>
    <n v="1834740"/>
    <n v="769153"/>
    <n v="1834740"/>
    <n v="1677545"/>
    <n v="1648895"/>
    <x v="1"/>
    <n v="0.08"/>
    <n v="131911.6"/>
    <n v="0.91432301034479002"/>
    <n v="13105.285714285714"/>
    <n v="5.8308215501896719"/>
  </r>
  <r>
    <s v="HABIB AMERICAN BANK"/>
    <s v="New York"/>
    <x v="2"/>
    <n v="10016"/>
    <d v="2020-09-30T00:00:00"/>
    <x v="1"/>
    <n v="140"/>
    <n v="1789285"/>
    <n v="377139"/>
    <n v="1789285"/>
    <n v="1614358"/>
    <n v="1485995"/>
    <x v="1"/>
    <n v="0.08"/>
    <n v="118879.6"/>
    <n v="0.90223636815823083"/>
    <n v="12780.607142857143"/>
    <n v="3.1724450620627929"/>
  </r>
  <r>
    <s v="HABIB AMERICAN BANK"/>
    <s v="New York"/>
    <x v="2"/>
    <n v="10016"/>
    <d v="2021-09-30T00:00:00"/>
    <x v="2"/>
    <n v="151"/>
    <n v="1942084"/>
    <n v="438437"/>
    <n v="1942084"/>
    <n v="1750318"/>
    <n v="1615836"/>
    <x v="1"/>
    <n v="0.08"/>
    <n v="129266.88"/>
    <n v="0.90125761810508709"/>
    <n v="12861.48344370861"/>
    <n v="3.3917195185650026"/>
  </r>
  <r>
    <s v="HANMI BANK"/>
    <s v="Los Angeles"/>
    <x v="0"/>
    <n v="90010"/>
    <d v="2019-09-30T00:00:00"/>
    <x v="0"/>
    <n v="635"/>
    <n v="5512619"/>
    <n v="150679"/>
    <n v="5512619"/>
    <n v="4841975"/>
    <n v="4697001"/>
    <x v="1"/>
    <n v="0.08"/>
    <n v="375760.08"/>
    <n v="0.87834385071778043"/>
    <n v="8681.2897637795268"/>
    <n v="0.40099789205920966"/>
  </r>
  <r>
    <s v="HANMI BANK"/>
    <s v="Los Angeles"/>
    <x v="0"/>
    <n v="90010"/>
    <d v="2020-09-30T00:00:00"/>
    <x v="1"/>
    <n v="600"/>
    <n v="6103789"/>
    <n v="359755"/>
    <n v="6103789"/>
    <n v="5440560"/>
    <n v="5210428"/>
    <x v="1"/>
    <n v="0.08"/>
    <n v="416834.24"/>
    <n v="0.89134142743138733"/>
    <n v="10172.981666666667"/>
    <n v="0.86306489601238134"/>
  </r>
  <r>
    <s v="HANMI BANK"/>
    <s v="Los Angeles"/>
    <x v="0"/>
    <n v="90010"/>
    <d v="2021-09-30T00:00:00"/>
    <x v="2"/>
    <n v="606"/>
    <n v="6775618"/>
    <n v="824347"/>
    <n v="6775618"/>
    <n v="6045980"/>
    <n v="5824018"/>
    <x v="1"/>
    <n v="0.08"/>
    <n v="465921.44"/>
    <n v="0.89231417709794147"/>
    <n v="11180.887788778879"/>
    <n v="1.7692832508416012"/>
  </r>
  <r>
    <s v="HANOVER COMMUNITY BANK"/>
    <s v="Garden City Park"/>
    <x v="2"/>
    <n v="11040"/>
    <d v="2019-09-30T00:00:00"/>
    <x v="0"/>
    <n v="102"/>
    <n v="848837"/>
    <n v="66275"/>
    <n v="848837"/>
    <n v="763623"/>
    <n v="651454"/>
    <x v="0"/>
    <n v="8.5000000000000006E-2"/>
    <n v="55373.590000000004"/>
    <n v="0.89961087935610728"/>
    <n v="8321.9313725490192"/>
    <n v="1.1968702047311723"/>
  </r>
  <r>
    <s v="HANOVER COMMUNITY BANK"/>
    <s v="Garden City Park"/>
    <x v="2"/>
    <n v="11040"/>
    <d v="2020-09-30T00:00:00"/>
    <x v="1"/>
    <n v="94"/>
    <n v="851606"/>
    <n v="80209"/>
    <n v="851606"/>
    <n v="759814"/>
    <n v="665274"/>
    <x v="0"/>
    <n v="8.5000000000000006E-2"/>
    <n v="56548.29"/>
    <n v="0.89221306566651715"/>
    <n v="9059.6382978723395"/>
    <n v="1.4184160122260108"/>
  </r>
  <r>
    <s v="HANOVER COMMUNITY BANK"/>
    <s v="Garden City Park"/>
    <x v="2"/>
    <n v="11040"/>
    <d v="2021-09-30T00:00:00"/>
    <x v="2"/>
    <n v="136"/>
    <n v="1484641"/>
    <n v="151684"/>
    <n v="1484641"/>
    <n v="1338409"/>
    <n v="1165232"/>
    <x v="1"/>
    <n v="0.08"/>
    <n v="93218.559999999998"/>
    <n v="0.90150346110608559"/>
    <n v="10916.47794117647"/>
    <n v="1.6271866890027051"/>
  </r>
  <r>
    <s v="HARBORONE BANK"/>
    <s v="Brockton"/>
    <x v="3"/>
    <n v="2301"/>
    <d v="2019-09-30T00:00:00"/>
    <x v="0"/>
    <n v="657"/>
    <n v="3818755"/>
    <n v="113619"/>
    <n v="3818755"/>
    <n v="3295806"/>
    <n v="2932304"/>
    <x v="1"/>
    <n v="0.08"/>
    <n v="234584.32000000001"/>
    <n v="0.86305772431067196"/>
    <n v="5812.4124809741252"/>
    <n v="0.4843418349529926"/>
  </r>
  <r>
    <s v="HARBORONE BANK"/>
    <s v="Brockton"/>
    <x v="3"/>
    <n v="2301"/>
    <d v="2020-09-30T00:00:00"/>
    <x v="1"/>
    <n v="630"/>
    <n v="4432932"/>
    <n v="140402"/>
    <n v="4432932"/>
    <n v="3871362"/>
    <n v="3506440"/>
    <x v="1"/>
    <n v="0.08"/>
    <n v="280515.20000000001"/>
    <n v="0.87331860718819965"/>
    <n v="7036.4"/>
    <n v="0.50051476711422405"/>
  </r>
  <r>
    <s v="HARBORONE BANK"/>
    <s v="Brockton"/>
    <x v="3"/>
    <n v="2301"/>
    <d v="2021-09-30T00:00:00"/>
    <x v="2"/>
    <n v="634"/>
    <n v="4570043"/>
    <n v="323728"/>
    <n v="4570043"/>
    <n v="3939074"/>
    <n v="3755688"/>
    <x v="1"/>
    <n v="0.08"/>
    <n v="300455.03999999998"/>
    <n v="0.8619336842125993"/>
    <n v="7208.2697160883281"/>
    <n v="1.077459043456219"/>
  </r>
  <r>
    <s v="HARTSBURG STATE BANK"/>
    <s v="Hartsburg"/>
    <x v="1"/>
    <n v="62643"/>
    <d v="2019-09-30T00:00:00"/>
    <x v="0"/>
    <n v="3"/>
    <n v="16160"/>
    <n v="877"/>
    <n v="16160"/>
    <n v="14090"/>
    <n v="14017"/>
    <x v="2"/>
    <n v="0.09"/>
    <n v="1261.53"/>
    <n v="0.87190594059405946"/>
    <n v="5386.666666666667"/>
    <n v="0.69518758967285754"/>
  </r>
  <r>
    <s v="HARTSBURG STATE BANK"/>
    <s v="Hartsburg"/>
    <x v="1"/>
    <n v="62643"/>
    <d v="2020-09-30T00:00:00"/>
    <x v="1"/>
    <n v="3"/>
    <n v="17240"/>
    <n v="685"/>
    <n v="17240"/>
    <n v="15128"/>
    <n v="15036"/>
    <x v="2"/>
    <n v="0.09"/>
    <n v="1353.24"/>
    <n v="0.87749419953596286"/>
    <n v="5746.666666666667"/>
    <n v="0.50619254529869051"/>
  </r>
  <r>
    <s v="HARTSBURG STATE BANK"/>
    <s v="Hartsburg"/>
    <x v="1"/>
    <n v="62643"/>
    <d v="2021-09-30T00:00:00"/>
    <x v="2"/>
    <n v="3"/>
    <n v="19114"/>
    <n v="1529"/>
    <n v="19114"/>
    <n v="17129"/>
    <n v="17061"/>
    <x v="2"/>
    <n v="0.09"/>
    <n v="1535.49"/>
    <n v="0.89614941927383074"/>
    <n v="6371.333333333333"/>
    <n v="0.9957733361988681"/>
  </r>
  <r>
    <s v="HATCH BANK"/>
    <s v="San Marcos"/>
    <x v="0"/>
    <n v="92078"/>
    <d v="2019-09-30T00:00:00"/>
    <x v="0"/>
    <n v="4"/>
    <n v="68473"/>
    <n v="5018"/>
    <n v="68473"/>
    <n v="41551"/>
    <n v="37790"/>
    <x v="2"/>
    <n v="0.1"/>
    <n v="3779"/>
    <n v="0.60682312736407051"/>
    <n v="17118.25"/>
    <n v="1.3278645144218046"/>
  </r>
  <r>
    <s v="HATCH BANK"/>
    <s v="San Marcos"/>
    <x v="0"/>
    <n v="92078"/>
    <d v="2020-09-30T00:00:00"/>
    <x v="1"/>
    <n v="5"/>
    <n v="110191"/>
    <n v="57502"/>
    <n v="110191"/>
    <n v="82432"/>
    <n v="69525"/>
    <x v="0"/>
    <n v="0.09"/>
    <n v="6257.25"/>
    <n v="0.74808287428192866"/>
    <n v="22038.2"/>
    <n v="9.1896599944064885"/>
  </r>
  <r>
    <s v="HATCH BANK"/>
    <s v="San Marcos"/>
    <x v="0"/>
    <n v="92078"/>
    <d v="2021-09-30T00:00:00"/>
    <x v="2"/>
    <n v="7"/>
    <n v="466319"/>
    <n v="353410"/>
    <n v="466319"/>
    <n v="437775"/>
    <n v="436008"/>
    <x v="0"/>
    <n v="0.09"/>
    <n v="39240.720000000001"/>
    <n v="0.93878868328333176"/>
    <n v="66617"/>
    <n v="9.0062057984664907"/>
  </r>
  <r>
    <s v="HAVERHILL BANK"/>
    <s v="Haverhill"/>
    <x v="3"/>
    <n v="1830"/>
    <d v="2019-09-30T00:00:00"/>
    <x v="0"/>
    <n v="72"/>
    <n v="412900"/>
    <n v="25513"/>
    <n v="412900"/>
    <n v="367425"/>
    <n v="343465"/>
    <x v="0"/>
    <n v="8.5000000000000006E-2"/>
    <n v="29194.525000000001"/>
    <n v="0.88986437394042139"/>
    <n v="5734.7222222222226"/>
    <n v="0.87389673234964427"/>
  </r>
  <r>
    <s v="HAVERHILL BANK"/>
    <s v="Haverhill"/>
    <x v="3"/>
    <n v="1830"/>
    <d v="2020-09-30T00:00:00"/>
    <x v="1"/>
    <n v="70"/>
    <n v="488757"/>
    <n v="70416"/>
    <n v="488757"/>
    <n v="440147"/>
    <n v="412103"/>
    <x v="0"/>
    <n v="8.5000000000000006E-2"/>
    <n v="35028.755000000005"/>
    <n v="0.90054362392763687"/>
    <n v="6982.2428571428572"/>
    <n v="2.0102341633323819"/>
  </r>
  <r>
    <s v="HAVERHILL BANK"/>
    <s v="Haverhill"/>
    <x v="3"/>
    <n v="1830"/>
    <d v="2021-09-30T00:00:00"/>
    <x v="2"/>
    <n v="69"/>
    <n v="546469"/>
    <n v="87716"/>
    <n v="546469"/>
    <n v="494160"/>
    <n v="473347"/>
    <x v="0"/>
    <n v="8.5000000000000006E-2"/>
    <n v="40234.495000000003"/>
    <n v="0.90427819327354342"/>
    <n v="7919.840579710145"/>
    <n v="2.1801193229839222"/>
  </r>
  <r>
    <s v="HEARTLAND BANK AND TRUST COMPANY"/>
    <s v="Bloomington"/>
    <x v="1"/>
    <n v="61702"/>
    <d v="2019-09-30T00:00:00"/>
    <x v="0"/>
    <n v="669"/>
    <n v="2818116"/>
    <n v="107653"/>
    <n v="2818116"/>
    <n v="2472725"/>
    <n v="2401146"/>
    <x v="1"/>
    <n v="7.4999999999999997E-2"/>
    <n v="180085.94999999998"/>
    <n v="0.87743904083437307"/>
    <n v="4212.4304932735422"/>
    <n v="0.59778677903523292"/>
  </r>
  <r>
    <s v="HEARTLAND BANK AND TRUST COMPANY"/>
    <s v="Bloomington"/>
    <x v="1"/>
    <n v="61702"/>
    <d v="2020-09-30T00:00:00"/>
    <x v="1"/>
    <n v="680"/>
    <n v="3184069"/>
    <n v="189114"/>
    <n v="3184069"/>
    <n v="2836099"/>
    <n v="2753846"/>
    <x v="1"/>
    <n v="7.4999999999999997E-2"/>
    <n v="206538.44999999998"/>
    <n v="0.89071530799112708"/>
    <n v="4682.4544117647056"/>
    <n v="0.91563580534278255"/>
  </r>
  <r>
    <s v="HEARTLAND BANK AND TRUST COMPANY"/>
    <s v="Bloomington"/>
    <x v="1"/>
    <n v="61704"/>
    <d v="2021-09-30T00:00:00"/>
    <x v="2"/>
    <n v="687"/>
    <n v="3935438"/>
    <n v="460266"/>
    <n v="3935438"/>
    <n v="3505204"/>
    <n v="3433414"/>
    <x v="1"/>
    <n v="7.4999999999999997E-2"/>
    <n v="257506.05"/>
    <n v="0.89067697166109594"/>
    <n v="5728.4395924308592"/>
    <n v="1.787398781504357"/>
  </r>
  <r>
    <s v="HERITAGE BANK OF COMMERCE"/>
    <s v="San Jose"/>
    <x v="0"/>
    <n v="95113"/>
    <d v="2019-09-30T00:00:00"/>
    <x v="0"/>
    <n v="308"/>
    <n v="3181132"/>
    <n v="415783"/>
    <n v="3181132"/>
    <n v="2767660"/>
    <n v="2709807"/>
    <x v="1"/>
    <n v="0.08"/>
    <n v="216784.56"/>
    <n v="0.87002362680957601"/>
    <n v="10328.35064935065"/>
    <n v="1.9179548580397054"/>
  </r>
  <r>
    <s v="HERITAGE BANK OF COMMERCE"/>
    <s v="San Jose"/>
    <x v="0"/>
    <n v="95110"/>
    <d v="2020-09-30T00:00:00"/>
    <x v="1"/>
    <n v="342"/>
    <n v="4605351"/>
    <n v="960268"/>
    <n v="4605351"/>
    <n v="4010157"/>
    <n v="3912098"/>
    <x v="1"/>
    <n v="0.08"/>
    <n v="312967.84000000003"/>
    <n v="0.87076033943992548"/>
    <n v="13465.938596491229"/>
    <n v="3.0682641385773053"/>
  </r>
  <r>
    <s v="HERITAGE BANK OF COMMERCE"/>
    <s v="San Jose"/>
    <x v="0"/>
    <n v="95110"/>
    <d v="2021-09-30T00:00:00"/>
    <x v="2"/>
    <n v="325"/>
    <n v="5460770"/>
    <n v="1621347"/>
    <n v="5460770"/>
    <n v="4852562"/>
    <n v="4746778"/>
    <x v="1"/>
    <n v="0.08"/>
    <n v="379742.24"/>
    <n v="0.88862230051805879"/>
    <n v="16802.369230769229"/>
    <n v="4.2695987678378895"/>
  </r>
  <r>
    <s v="HERITAGE BANK OF SCHAUMBURG"/>
    <s v="Schaumburg"/>
    <x v="1"/>
    <n v="60194"/>
    <d v="2019-09-30T00:00:00"/>
    <x v="0"/>
    <n v="17"/>
    <n v="137036"/>
    <n v="32922"/>
    <n v="137036"/>
    <n v="116828"/>
    <n v="111275"/>
    <x v="0"/>
    <n v="0.08"/>
    <n v="8902"/>
    <n v="0.85253510026562362"/>
    <n v="8060.9411764705883"/>
    <n v="3.6982700516737812"/>
  </r>
  <r>
    <s v="HERITAGE BANK OF SCHAUMBURG"/>
    <s v="Schaumburg"/>
    <x v="1"/>
    <n v="60194"/>
    <d v="2020-09-30T00:00:00"/>
    <x v="1"/>
    <n v="18"/>
    <n v="144216"/>
    <n v="31739"/>
    <n v="144216"/>
    <n v="123604"/>
    <n v="123283"/>
    <x v="0"/>
    <n v="0.08"/>
    <n v="9862.64"/>
    <n v="0.85707549786431458"/>
    <n v="8012"/>
    <n v="3.2181038748245907"/>
  </r>
  <r>
    <s v="HERITAGE BANK OF SCHAUMBURG"/>
    <s v="Schaumburg"/>
    <x v="1"/>
    <n v="60194"/>
    <d v="2021-09-30T00:00:00"/>
    <x v="2"/>
    <n v="16"/>
    <n v="164143"/>
    <n v="50552"/>
    <n v="164143"/>
    <n v="142969"/>
    <n v="142761"/>
    <x v="0"/>
    <n v="0.08"/>
    <n v="11420.880000000001"/>
    <n v="0.87100272323522787"/>
    <n v="10258.9375"/>
    <n v="4.4262788856900688"/>
  </r>
  <r>
    <s v="HERITAGE STATE BANK"/>
    <s v="Lawrenceville"/>
    <x v="1"/>
    <n v="62439"/>
    <d v="2019-09-30T00:00:00"/>
    <x v="0"/>
    <n v="11"/>
    <n v="82200"/>
    <n v="8890"/>
    <n v="82200"/>
    <n v="72319"/>
    <n v="72189"/>
    <x v="2"/>
    <n v="0.09"/>
    <n v="6497.0099999999993"/>
    <n v="0.87979318734793188"/>
    <n v="7472.727272727273"/>
    <n v="1.3683217356907256"/>
  </r>
  <r>
    <s v="HERITAGE STATE BANK"/>
    <s v="Lawrenceville"/>
    <x v="1"/>
    <n v="62439"/>
    <d v="2020-09-30T00:00:00"/>
    <x v="1"/>
    <n v="11"/>
    <n v="79214"/>
    <n v="18055"/>
    <n v="79214"/>
    <n v="70058"/>
    <n v="69975"/>
    <x v="2"/>
    <n v="0.09"/>
    <n v="6297.75"/>
    <n v="0.88441437119701061"/>
    <n v="7201.272727272727"/>
    <n v="2.8668969076257396"/>
  </r>
  <r>
    <s v="HICKORY POINT BANK AND TRUST"/>
    <s v="Decatur"/>
    <x v="1"/>
    <n v="62523"/>
    <d v="2019-09-30T00:00:00"/>
    <x v="0"/>
    <n v="144"/>
    <n v="639622"/>
    <n v="34165"/>
    <n v="639622"/>
    <n v="571093"/>
    <n v="565335"/>
    <x v="0"/>
    <n v="0.08"/>
    <n v="45226.8"/>
    <n v="0.89286015803083696"/>
    <n v="4441.8194444444443"/>
    <n v="0.75541493097013268"/>
  </r>
  <r>
    <s v="HICKORY POINT BANK AND TRUST"/>
    <s v="Decatur"/>
    <x v="1"/>
    <n v="62523"/>
    <d v="2020-09-30T00:00:00"/>
    <x v="1"/>
    <n v="148"/>
    <n v="770287"/>
    <n v="141202"/>
    <n v="770287"/>
    <n v="699492"/>
    <n v="637023"/>
    <x v="0"/>
    <n v="0.08"/>
    <n v="50961.840000000004"/>
    <n v="0.90809269791649083"/>
    <n v="5204.6418918918916"/>
    <n v="2.7707398319997862"/>
  </r>
  <r>
    <s v="HICKORY POINT BANK AND TRUST"/>
    <s v="Decatur"/>
    <x v="1"/>
    <n v="62523"/>
    <d v="2021-09-30T00:00:00"/>
    <x v="2"/>
    <n v="143"/>
    <n v="764149"/>
    <n v="138476"/>
    <n v="764149"/>
    <n v="691930"/>
    <n v="630580"/>
    <x v="0"/>
    <n v="0.08"/>
    <n v="50446.400000000001"/>
    <n v="0.90549094482882264"/>
    <n v="5343.6993006993007"/>
    <n v="2.7450125281486883"/>
  </r>
  <r>
    <s v="HINGHAM INSTITUTION FOR SAVINGS"/>
    <s v="Hingham"/>
    <x v="3"/>
    <n v="2043"/>
    <d v="2019-09-30T00:00:00"/>
    <x v="0"/>
    <n v="85"/>
    <n v="2480411"/>
    <n v="231174"/>
    <n v="2480411"/>
    <n v="2242558"/>
    <n v="1714018"/>
    <x v="1"/>
    <n v="0.08"/>
    <n v="137121.44"/>
    <n v="0.90410742413253287"/>
    <n v="29181.305882352943"/>
    <n v="1.6859070324815726"/>
  </r>
  <r>
    <s v="HINGHAM INSTITUTION FOR SAVINGS"/>
    <s v="Hingham"/>
    <x v="3"/>
    <n v="2043"/>
    <d v="2020-09-30T00:00:00"/>
    <x v="1"/>
    <n v="86"/>
    <n v="2719181"/>
    <n v="236292"/>
    <n v="2719181"/>
    <n v="2440869"/>
    <n v="2035421"/>
    <x v="1"/>
    <n v="0.08"/>
    <n v="162833.68"/>
    <n v="0.89764859345516168"/>
    <n v="31618.383720930233"/>
    <n v="1.4511248532858805"/>
  </r>
  <r>
    <s v="HINGHAM INSTITUTION FOR SAVINGS"/>
    <s v="Hingham"/>
    <x v="3"/>
    <n v="2043"/>
    <d v="2021-09-30T00:00:00"/>
    <x v="2"/>
    <n v="72"/>
    <n v="3164872"/>
    <n v="219069"/>
    <n v="3164872"/>
    <n v="2824156"/>
    <n v="2425846"/>
    <x v="1"/>
    <n v="0.08"/>
    <n v="194067.68"/>
    <n v="0.89234446132418621"/>
    <n v="43956.555555555555"/>
    <n v="1.1288278398546321"/>
  </r>
  <r>
    <s v="HINSDALE BANK &amp; TRUST COMPANY"/>
    <s v="Hinsdale"/>
    <x v="1"/>
    <n v="60521"/>
    <d v="2019-09-30T00:00:00"/>
    <x v="0"/>
    <n v="176"/>
    <n v="2659294"/>
    <n v="144435"/>
    <n v="2659294"/>
    <n v="2320813"/>
    <n v="2216177"/>
    <x v="1"/>
    <n v="7.4999999999999997E-2"/>
    <n v="166213.27499999999"/>
    <n v="0.87271772132001957"/>
    <n v="15109.625"/>
    <n v="0.86897391318473216"/>
  </r>
  <r>
    <s v="HINSDALE BANK &amp; TRUST COMPANY, NATIONAL ASSOCIATION"/>
    <s v="Hinsdale"/>
    <x v="1"/>
    <n v="60521"/>
    <d v="2020-09-30T00:00:00"/>
    <x v="1"/>
    <n v="212"/>
    <n v="3829564"/>
    <n v="414320"/>
    <n v="3829564"/>
    <n v="3402969"/>
    <n v="3194650"/>
    <x v="1"/>
    <n v="7.4999999999999997E-2"/>
    <n v="239598.75"/>
    <n v="0.88860481245384593"/>
    <n v="18063.981132075471"/>
    <n v="1.7292243803442213"/>
  </r>
  <r>
    <s v="HINSDALE BANK &amp; TRUST COMPANY, NATIONAL ASSOCIATION"/>
    <s v="Hinsdale"/>
    <x v="1"/>
    <n v="60521"/>
    <d v="2021-09-30T00:00:00"/>
    <x v="2"/>
    <n v="208"/>
    <n v="4087990"/>
    <n v="372263"/>
    <n v="4087990"/>
    <n v="3631879"/>
    <n v="3439721"/>
    <x v="1"/>
    <n v="7.4999999999999997E-2"/>
    <n v="257979.07499999998"/>
    <n v="0.8884265861707098"/>
    <n v="19653.798076923078"/>
    <n v="1.442996878719718"/>
  </r>
  <r>
    <s v="HOLCOMB BANK"/>
    <s v="Rochelle"/>
    <x v="1"/>
    <n v="61068"/>
    <d v="2019-09-30T00:00:00"/>
    <x v="0"/>
    <n v="54"/>
    <n v="187766"/>
    <n v="11216"/>
    <n v="187766"/>
    <n v="167865"/>
    <n v="166939"/>
    <x v="0"/>
    <n v="0.08"/>
    <n v="13355.12"/>
    <n v="0.89401169540811432"/>
    <n v="3477.1481481481483"/>
    <n v="0.83982772150306395"/>
  </r>
  <r>
    <s v="HOLCOMB BANK"/>
    <s v="Rochelle"/>
    <x v="1"/>
    <n v="61068"/>
    <d v="2020-09-30T00:00:00"/>
    <x v="1"/>
    <n v="53"/>
    <n v="238929"/>
    <n v="9349"/>
    <n v="238929"/>
    <n v="212830"/>
    <n v="193110"/>
    <x v="0"/>
    <n v="0.08"/>
    <n v="15448.800000000001"/>
    <n v="0.89076671312398248"/>
    <n v="4508.0943396226412"/>
    <n v="0.60516027134793637"/>
  </r>
  <r>
    <s v="HOLCOMB BANK"/>
    <s v="Rochelle"/>
    <x v="1"/>
    <n v="61068"/>
    <d v="2021-09-30T00:00:00"/>
    <x v="2"/>
    <n v="52"/>
    <n v="255939"/>
    <n v="24840"/>
    <n v="255939"/>
    <n v="228332"/>
    <n v="210536"/>
    <x v="0"/>
    <n v="0.08"/>
    <n v="16842.88"/>
    <n v="0.8921344539128464"/>
    <n v="4921.9038461538457"/>
    <n v="1.4748071588706919"/>
  </r>
  <r>
    <s v="HOME BANK OF CALIFORNIA"/>
    <s v="San Diego"/>
    <x v="0"/>
    <n v="92123"/>
    <d v="2019-09-30T00:00:00"/>
    <x v="0"/>
    <n v="21"/>
    <n v="175844"/>
    <n v="13842"/>
    <n v="175844"/>
    <n v="151497"/>
    <n v="127883"/>
    <x v="0"/>
    <n v="0.09"/>
    <n v="11509.47"/>
    <n v="0.86154204863401651"/>
    <n v="8373.5238095238092"/>
    <n v="1.2026618080589289"/>
  </r>
  <r>
    <s v="HOME BANK OF CALIFORNIA"/>
    <s v="San Diego"/>
    <x v="0"/>
    <n v="92123"/>
    <d v="2020-09-30T00:00:00"/>
    <x v="1"/>
    <n v="23"/>
    <n v="205853"/>
    <n v="25500"/>
    <n v="205853"/>
    <n v="181208"/>
    <n v="159373"/>
    <x v="0"/>
    <n v="0.09"/>
    <n v="14343.57"/>
    <n v="0.8802786454411643"/>
    <n v="8950.1304347826081"/>
    <n v="1.7778000874259337"/>
  </r>
  <r>
    <s v="HOME BANK OF CALIFORNIA"/>
    <s v="San Diego"/>
    <x v="0"/>
    <n v="92123"/>
    <d v="2021-09-30T00:00:00"/>
    <x v="2"/>
    <n v="24"/>
    <n v="200860"/>
    <n v="21646"/>
    <n v="200860"/>
    <n v="173966"/>
    <n v="152921"/>
    <x v="0"/>
    <n v="0.09"/>
    <n v="13762.89"/>
    <n v="0.86610574529523054"/>
    <n v="8369.1666666666661"/>
    <n v="1.5727801355674571"/>
  </r>
  <r>
    <s v="HOME STATE BANK, NATIONAL ASSOCIATION"/>
    <s v="Crystal Lake"/>
    <x v="1"/>
    <n v="60014"/>
    <d v="2019-09-30T00:00:00"/>
    <x v="0"/>
    <n v="168"/>
    <n v="603667"/>
    <n v="33630"/>
    <n v="603668"/>
    <n v="525542"/>
    <n v="511202"/>
    <x v="0"/>
    <n v="0.08"/>
    <n v="40896.160000000003"/>
    <n v="0.87058262253858498"/>
    <n v="3593.2559523809523"/>
    <n v="0.82232659496637328"/>
  </r>
  <r>
    <s v="HOME STATE BANK, NATIONAL ASSOCIATION"/>
    <s v="Crystal Lake"/>
    <x v="1"/>
    <n v="60014"/>
    <d v="2020-09-30T00:00:00"/>
    <x v="1"/>
    <n v="161"/>
    <n v="690027"/>
    <n v="76598"/>
    <n v="690027"/>
    <n v="609207"/>
    <n v="587216"/>
    <x v="0"/>
    <n v="0.08"/>
    <n v="46977.279999999999"/>
    <n v="0.88287414840288858"/>
    <n v="4285.8819875776398"/>
    <n v="1.6305328873872647"/>
  </r>
  <r>
    <s v="HOME STATE BANK, NATIONAL ASSOCIATION"/>
    <s v="Crystal Lake"/>
    <x v="1"/>
    <n v="60014"/>
    <d v="2021-09-30T00:00:00"/>
    <x v="2"/>
    <n v="146"/>
    <n v="781267"/>
    <n v="188833"/>
    <n v="781267"/>
    <n v="701414"/>
    <n v="690426"/>
    <x v="0"/>
    <n v="0.08"/>
    <n v="55234.080000000002"/>
    <n v="0.89779038408124234"/>
    <n v="5351.1438356164381"/>
    <n v="3.4187769579940501"/>
  </r>
  <r>
    <s v="HOMESTAR BANK AND FINANCIAL SERVICES"/>
    <s v="Manteno"/>
    <x v="1"/>
    <n v="60950"/>
    <d v="2019-09-30T00:00:00"/>
    <x v="0"/>
    <n v="88"/>
    <n v="396808"/>
    <n v="80945"/>
    <n v="396808"/>
    <n v="359895"/>
    <n v="344651"/>
    <x v="0"/>
    <n v="0.08"/>
    <n v="27572.080000000002"/>
    <n v="0.90697516179109294"/>
    <n v="4509.181818181818"/>
    <n v="2.9357596525180543"/>
  </r>
  <r>
    <s v="HOMETOWN BANK"/>
    <s v="Oxford"/>
    <x v="3"/>
    <n v="1540"/>
    <d v="2019-09-30T00:00:00"/>
    <x v="0"/>
    <n v="120"/>
    <n v="796973"/>
    <n v="57796"/>
    <n v="796973"/>
    <n v="714812"/>
    <n v="681797"/>
    <x v="0"/>
    <n v="8.5000000000000006E-2"/>
    <n v="57952.745000000003"/>
    <n v="0.89690867821118159"/>
    <n v="6641.4416666666666"/>
    <n v="0.99729529636603054"/>
  </r>
  <r>
    <s v="HOMETOWN BANK"/>
    <s v="Oxford"/>
    <x v="3"/>
    <n v="1540"/>
    <d v="2020-09-30T00:00:00"/>
    <x v="1"/>
    <n v="155"/>
    <n v="1228602"/>
    <n v="252367"/>
    <n v="1228602"/>
    <n v="1102913"/>
    <n v="1063005"/>
    <x v="1"/>
    <n v="0.08"/>
    <n v="85040.400000000009"/>
    <n v="0.89769754566572413"/>
    <n v="7926.4645161290318"/>
    <n v="2.9676130403902143"/>
  </r>
  <r>
    <s v="HOMETOWN BANK"/>
    <s v="Oxford"/>
    <x v="3"/>
    <n v="1540"/>
    <d v="2021-09-30T00:00:00"/>
    <x v="2"/>
    <n v="149"/>
    <n v="1351976"/>
    <n v="410847"/>
    <n v="1351976"/>
    <n v="1219483"/>
    <n v="1201549"/>
    <x v="1"/>
    <n v="0.08"/>
    <n v="96123.92"/>
    <n v="0.90200047929844906"/>
    <n v="9073.6644295302012"/>
    <n v="4.2741390488444502"/>
  </r>
  <r>
    <s v="HOMETOWN NATIONAL BANK"/>
    <s v="La Salle"/>
    <x v="1"/>
    <n v="61301"/>
    <d v="2019-09-30T00:00:00"/>
    <x v="0"/>
    <n v="45"/>
    <n v="218932"/>
    <n v="31312"/>
    <n v="218932"/>
    <n v="192988"/>
    <n v="191203"/>
    <x v="0"/>
    <n v="0.08"/>
    <n v="15296.24"/>
    <n v="0.88149745126340595"/>
    <n v="4865.1555555555551"/>
    <n v="2.0470390108941805"/>
  </r>
  <r>
    <s v="HOMETOWN NATIONAL BANK"/>
    <s v="La Salle"/>
    <x v="1"/>
    <n v="61301"/>
    <d v="2020-09-30T00:00:00"/>
    <x v="1"/>
    <n v="46"/>
    <n v="300262"/>
    <n v="55578"/>
    <n v="300262"/>
    <n v="271402"/>
    <n v="264556"/>
    <x v="0"/>
    <n v="0.08"/>
    <n v="21164.48"/>
    <n v="0.90388394135788075"/>
    <n v="6527.434782608696"/>
    <n v="2.6260035682426404"/>
  </r>
  <r>
    <s v="HOMETOWN NATIONAL BANK"/>
    <s v="La Salle"/>
    <x v="1"/>
    <n v="61301"/>
    <d v="2021-09-30T00:00:00"/>
    <x v="2"/>
    <n v="49"/>
    <n v="321554"/>
    <n v="83153"/>
    <n v="321554"/>
    <n v="292934"/>
    <n v="285817"/>
    <x v="0"/>
    <n v="0.08"/>
    <n v="22865.360000000001"/>
    <n v="0.91099473183353341"/>
    <n v="6562.3265306122448"/>
    <n v="3.6366363792216698"/>
  </r>
  <r>
    <s v="HOYNE SAVINGS BANK"/>
    <s v="Chicago"/>
    <x v="1"/>
    <n v="60630"/>
    <d v="2019-09-30T00:00:00"/>
    <x v="0"/>
    <n v="83"/>
    <n v="443443"/>
    <n v="51450"/>
    <n v="443443"/>
    <n v="367304"/>
    <n v="365578"/>
    <x v="0"/>
    <n v="0.08"/>
    <n v="29246.240000000002"/>
    <n v="0.82830036780375382"/>
    <n v="5342.6867469879517"/>
    <n v="1.7592004989359316"/>
  </r>
  <r>
    <s v="HOYNE SAVINGS BANK"/>
    <s v="Chicago"/>
    <x v="1"/>
    <n v="60630"/>
    <d v="2020-09-30T00:00:00"/>
    <x v="1"/>
    <n v="79"/>
    <n v="450331"/>
    <n v="56606"/>
    <n v="450331"/>
    <n v="372705"/>
    <n v="366663"/>
    <x v="0"/>
    <n v="0.08"/>
    <n v="29333.040000000001"/>
    <n v="0.82762456948333563"/>
    <n v="5700.3924050632913"/>
    <n v="1.9297692976929768"/>
  </r>
  <r>
    <s v="HOYNE SAVINGS BANK"/>
    <s v="Chicago"/>
    <x v="1"/>
    <n v="60630"/>
    <d v="2021-09-30T00:00:00"/>
    <x v="2"/>
    <n v="79"/>
    <n v="528234"/>
    <n v="99718"/>
    <n v="528234"/>
    <n v="436805"/>
    <n v="430362"/>
    <x v="0"/>
    <n v="0.08"/>
    <n v="34428.959999999999"/>
    <n v="0.82691572295611415"/>
    <n v="6686.506329113924"/>
    <n v="2.896340754992309"/>
  </r>
  <r>
    <s v="ILLINI STATE BANK"/>
    <s v="Oglesby"/>
    <x v="1"/>
    <n v="61348"/>
    <d v="2019-09-30T00:00:00"/>
    <x v="0"/>
    <n v="18"/>
    <n v="125486"/>
    <n v="11321"/>
    <n v="125486"/>
    <n v="105382"/>
    <n v="86093"/>
    <x v="0"/>
    <n v="0.08"/>
    <n v="6887.4400000000005"/>
    <n v="0.83979089300798493"/>
    <n v="6971.4444444444443"/>
    <n v="1.6437166784756019"/>
  </r>
  <r>
    <s v="ILLINI STATE BANK"/>
    <s v="Oglesby"/>
    <x v="1"/>
    <n v="61348"/>
    <d v="2020-09-30T00:00:00"/>
    <x v="1"/>
    <n v="19"/>
    <n v="145325"/>
    <n v="15234"/>
    <n v="145325"/>
    <n v="123158"/>
    <n v="102983"/>
    <x v="0"/>
    <n v="0.08"/>
    <n v="8238.64"/>
    <n v="0.84746602442800623"/>
    <n v="7648.6842105263158"/>
    <n v="1.8490915976423294"/>
  </r>
  <r>
    <s v="ILLINI STATE BANK"/>
    <s v="Oglesby"/>
    <x v="1"/>
    <n v="61348"/>
    <d v="2021-09-30T00:00:00"/>
    <x v="2"/>
    <n v="19"/>
    <n v="153177"/>
    <n v="4571"/>
    <n v="153177"/>
    <n v="129684"/>
    <n v="109009"/>
    <x v="0"/>
    <n v="0.08"/>
    <n v="8720.7199999999993"/>
    <n v="0.84662841027047142"/>
    <n v="8061.9473684210525"/>
    <n v="0.52415396893834454"/>
  </r>
  <r>
    <s v="ILLINOIS BANK &amp; TRUST"/>
    <s v="Rockford"/>
    <x v="1"/>
    <n v="61114"/>
    <d v="2019-09-30T00:00:00"/>
    <x v="0"/>
    <n v="86"/>
    <n v="871478"/>
    <n v="34301"/>
    <n v="871478"/>
    <n v="794481"/>
    <n v="768267"/>
    <x v="0"/>
    <n v="0.08"/>
    <n v="61461.36"/>
    <n v="0.91164779833799592"/>
    <n v="10133.465116279071"/>
    <n v="0.55809048156435193"/>
  </r>
  <r>
    <s v="ILLINOIS BANK &amp; TRUST"/>
    <s v="Rockford"/>
    <x v="1"/>
    <n v="61114"/>
    <d v="2020-09-30T00:00:00"/>
    <x v="1"/>
    <n v="97"/>
    <n v="1500012"/>
    <n v="20528"/>
    <n v="1500012"/>
    <n v="1353321"/>
    <n v="1307513"/>
    <x v="1"/>
    <n v="7.4999999999999997E-2"/>
    <n v="98063.474999999991"/>
    <n v="0.90220678234574125"/>
    <n v="15464.041237113403"/>
    <n v="0.2093338013975132"/>
  </r>
  <r>
    <s v="ILLINOIS BANK &amp; TRUST"/>
    <s v="Rockford"/>
    <x v="1"/>
    <n v="61107"/>
    <d v="2021-09-30T00:00:00"/>
    <x v="2"/>
    <n v="84"/>
    <n v="1680558"/>
    <n v="19775"/>
    <n v="1680558"/>
    <n v="1529911"/>
    <n v="1509847"/>
    <x v="1"/>
    <n v="7.4999999999999997E-2"/>
    <n v="113238.52499999999"/>
    <n v="0.91035894030435127"/>
    <n v="20006.642857142859"/>
    <n v="0.17463138097215591"/>
  </r>
  <r>
    <s v="ILLINOIS NATIONAL BANK"/>
    <s v="Springfield"/>
    <x v="1"/>
    <n v="62701"/>
    <d v="2019-09-30T00:00:00"/>
    <x v="0"/>
    <n v="268"/>
    <n v="1185272"/>
    <n v="224027"/>
    <n v="1185272"/>
    <n v="1084737"/>
    <n v="1077351"/>
    <x v="1"/>
    <n v="7.4999999999999997E-2"/>
    <n v="80801.324999999997"/>
    <n v="0.91517980682914979"/>
    <n v="4422.6567164179105"/>
    <n v="2.7725659201751953"/>
  </r>
  <r>
    <s v="INB, NATIONAL ASSOCIATION"/>
    <s v="Springfield"/>
    <x v="1"/>
    <n v="62701"/>
    <d v="2020-09-30T00:00:00"/>
    <x v="1"/>
    <n v="285"/>
    <n v="1432228"/>
    <n v="314179"/>
    <n v="1432228"/>
    <n v="1317048"/>
    <n v="1305433"/>
    <x v="1"/>
    <n v="7.4999999999999997E-2"/>
    <n v="97907.474999999991"/>
    <n v="0.91957984343274957"/>
    <n v="5025.3614035087721"/>
    <n v="3.2089378262487109"/>
  </r>
  <r>
    <s v="INB, NATIONAL ASSOCIATION"/>
    <s v="Springfield"/>
    <x v="1"/>
    <n v="62701"/>
    <d v="2021-09-30T00:00:00"/>
    <x v="2"/>
    <n v="275"/>
    <n v="1629399"/>
    <n v="553908"/>
    <n v="1629399"/>
    <n v="1498686"/>
    <n v="1492404"/>
    <x v="1"/>
    <n v="7.4999999999999997E-2"/>
    <n v="111930.3"/>
    <n v="0.91977839681993179"/>
    <n v="5925.0872727272726"/>
    <n v="4.9486868167064682"/>
  </r>
  <r>
    <s v="INDUSTRIAL AND COMMERCIAL BANK OF CHINA USA, NATIONAL ASSOCIATION"/>
    <s v="New York"/>
    <x v="2"/>
    <n v="10019"/>
    <d v="2019-09-30T00:00:00"/>
    <x v="0"/>
    <n v="301"/>
    <n v="2821957"/>
    <n v="250428"/>
    <n v="2821957"/>
    <n v="2386701"/>
    <n v="2162781"/>
    <x v="1"/>
    <n v="0.08"/>
    <n v="173022.48"/>
    <n v="0.84576093824250331"/>
    <n v="9375.2724252491698"/>
    <n v="1.4473726188643232"/>
  </r>
  <r>
    <s v="INDUSTRIAL AND COMMERCIAL BANK OF CHINA USA, NATIONAL ASSOCIATION"/>
    <s v="New York"/>
    <x v="2"/>
    <n v="10019"/>
    <d v="2020-09-30T00:00:00"/>
    <x v="1"/>
    <n v="301"/>
    <n v="2986808"/>
    <n v="225938"/>
    <n v="2986808"/>
    <n v="2539991"/>
    <n v="2114902"/>
    <x v="1"/>
    <n v="0.08"/>
    <n v="169192.16"/>
    <n v="0.85040317288556877"/>
    <n v="9922.9501661129561"/>
    <n v="1.3353928456259438"/>
  </r>
  <r>
    <s v="INDUSTRIAL AND COMMERCIAL BANK OF CHINA USA, NATIONAL ASSOCIATION"/>
    <s v="New York"/>
    <x v="2"/>
    <n v="10036"/>
    <d v="2021-09-30T00:00:00"/>
    <x v="2"/>
    <n v="301"/>
    <n v="3053536"/>
    <n v="220308"/>
    <n v="3053536"/>
    <n v="2649366"/>
    <n v="2333971"/>
    <x v="1"/>
    <n v="0.08"/>
    <n v="186717.68"/>
    <n v="0.86763869821741091"/>
    <n v="10144.637873754153"/>
    <n v="1.1798989790361578"/>
  </r>
  <r>
    <s v="INFINITY BANK"/>
    <s v="Santa Ana"/>
    <x v="0"/>
    <n v="92707"/>
    <d v="2019-09-30T00:00:00"/>
    <x v="0"/>
    <n v="23"/>
    <n v="110115"/>
    <n v="26847"/>
    <n v="110115"/>
    <n v="83806"/>
    <n v="81900"/>
    <x v="0"/>
    <n v="0.09"/>
    <n v="7371"/>
    <n v="0.7610770558052945"/>
    <n v="4787.608695652174"/>
    <n v="3.6422466422466422"/>
  </r>
  <r>
    <s v="INFINITY BANK"/>
    <s v="Santa Ana"/>
    <x v="0"/>
    <n v="92707"/>
    <d v="2020-09-30T00:00:00"/>
    <x v="1"/>
    <n v="25"/>
    <n v="189970"/>
    <n v="27952"/>
    <n v="189970"/>
    <n v="164456"/>
    <n v="152688"/>
    <x v="0"/>
    <n v="0.09"/>
    <n v="13741.92"/>
    <n v="0.86569458335526661"/>
    <n v="7598.8"/>
    <n v="2.0340680196071581"/>
  </r>
  <r>
    <s v="INFINITY BANK"/>
    <s v="Santa Ana"/>
    <x v="0"/>
    <n v="92707"/>
    <d v="2021-09-30T00:00:00"/>
    <x v="2"/>
    <n v="25"/>
    <n v="329311"/>
    <n v="107900"/>
    <n v="329311"/>
    <n v="300851"/>
    <n v="299408"/>
    <x v="0"/>
    <n v="0.09"/>
    <n v="26946.719999999998"/>
    <n v="0.91357713529156326"/>
    <n v="13172.44"/>
    <n v="4.0041979135122938"/>
  </r>
  <r>
    <s v="INLAND BANK &amp; TRUST"/>
    <s v="Oak Brook"/>
    <x v="1"/>
    <n v="60523"/>
    <d v="2019-09-30T00:00:00"/>
    <x v="0"/>
    <n v="279"/>
    <n v="1112405"/>
    <n v="25724"/>
    <n v="1112405"/>
    <n v="971356"/>
    <n v="961669"/>
    <x v="1"/>
    <n v="7.4999999999999997E-2"/>
    <n v="72125.175000000003"/>
    <n v="0.87320355446083031"/>
    <n v="3987.1146953405018"/>
    <n v="0.35665771348215097"/>
  </r>
  <r>
    <s v="INLAND BANK &amp; TRUST"/>
    <s v="Oak Brook"/>
    <x v="1"/>
    <n v="60523"/>
    <d v="2020-09-30T00:00:00"/>
    <x v="1"/>
    <n v="296"/>
    <n v="1252239"/>
    <n v="77323"/>
    <n v="1252239"/>
    <n v="1095199"/>
    <n v="1077763"/>
    <x v="1"/>
    <n v="7.4999999999999997E-2"/>
    <n v="80832.224999999991"/>
    <n v="0.87459262968171414"/>
    <n v="4230.5371621621625"/>
    <n v="0.95658631195664856"/>
  </r>
  <r>
    <s v="INLAND BANK &amp; TRUST"/>
    <s v="Oak Brook"/>
    <x v="1"/>
    <n v="60523"/>
    <d v="2021-09-30T00:00:00"/>
    <x v="2"/>
    <n v="317"/>
    <n v="1294662"/>
    <n v="151847"/>
    <n v="1294662"/>
    <n v="1122751"/>
    <n v="1107910"/>
    <x v="1"/>
    <n v="7.4999999999999997E-2"/>
    <n v="83093.25"/>
    <n v="0.86721553579235355"/>
    <n v="4084.1072555205046"/>
    <n v="1.8274288224374422"/>
  </r>
  <r>
    <s v="INSTITUTION FOR SAVINGS IN NEWBURYPORT AND ITS VICINITY"/>
    <s v="Newburyport"/>
    <x v="3"/>
    <n v="1950"/>
    <d v="2019-09-30T00:00:00"/>
    <x v="0"/>
    <n v="203"/>
    <n v="3609643"/>
    <n v="91134"/>
    <n v="3609643"/>
    <n v="3217983"/>
    <n v="2730898"/>
    <x v="1"/>
    <n v="0.08"/>
    <n v="218471.84"/>
    <n v="0.89149619505308419"/>
    <n v="17781.492610837438"/>
    <n v="0.41714300570728019"/>
  </r>
  <r>
    <s v="INSTITUTION FOR SAVINGS IN NEWBURYPORT AND ITS VICINITY"/>
    <s v="Newburyport"/>
    <x v="3"/>
    <n v="1950"/>
    <d v="2020-09-30T00:00:00"/>
    <x v="1"/>
    <n v="176"/>
    <n v="3869689"/>
    <n v="343599"/>
    <n v="3869689"/>
    <n v="3456920"/>
    <n v="2937219"/>
    <x v="1"/>
    <n v="0.08"/>
    <n v="234977.52000000002"/>
    <n v="0.89333277170335912"/>
    <n v="21986.86931818182"/>
    <n v="1.4622632837388019"/>
  </r>
  <r>
    <s v="INSTITUTION FOR SAVINGS IN NEWBURYPORT AND ITS VICINITY"/>
    <s v="Newburyport"/>
    <x v="3"/>
    <n v="1950"/>
    <d v="2021-09-30T00:00:00"/>
    <x v="2"/>
    <n v="181"/>
    <n v="4347726"/>
    <n v="324801"/>
    <n v="4347726"/>
    <n v="3837283"/>
    <n v="3352364"/>
    <x v="1"/>
    <n v="0.08"/>
    <n v="268189.12"/>
    <n v="0.88259540734627706"/>
    <n v="24020.585635359115"/>
    <n v="1.2110893984066169"/>
  </r>
  <r>
    <s v="INTERAUDI BANK"/>
    <s v="New York"/>
    <x v="2"/>
    <n v="10022"/>
    <d v="2019-09-30T00:00:00"/>
    <x v="0"/>
    <n v="106"/>
    <n v="2051738"/>
    <n v="667241"/>
    <n v="2051738"/>
    <n v="1881347"/>
    <n v="1760221"/>
    <x v="1"/>
    <n v="0.08"/>
    <n v="140817.68"/>
    <n v="0.91695284680597622"/>
    <n v="19356.018867924529"/>
    <n v="4.7383325730121388"/>
  </r>
  <r>
    <s v="INTERAUDI BANK"/>
    <s v="New York"/>
    <x v="2"/>
    <n v="10022"/>
    <d v="2020-09-30T00:00:00"/>
    <x v="1"/>
    <n v="106"/>
    <n v="2093736"/>
    <n v="661959"/>
    <n v="2093736"/>
    <n v="1914041"/>
    <n v="1789433"/>
    <x v="1"/>
    <n v="0.08"/>
    <n v="143154.64000000001"/>
    <n v="0.91417494851308856"/>
    <n v="19752.226415094341"/>
    <n v="4.6240834387205325"/>
  </r>
  <r>
    <s v="INTERAUDI BANK"/>
    <s v="New York"/>
    <x v="2"/>
    <n v="10022"/>
    <d v="2021-09-30T00:00:00"/>
    <x v="2"/>
    <n v="112"/>
    <n v="2297961"/>
    <n v="906140"/>
    <n v="2297961"/>
    <n v="2111648"/>
    <n v="1988812"/>
    <x v="1"/>
    <n v="0.08"/>
    <n v="159104.95999999999"/>
    <n v="0.9189224708339262"/>
    <n v="20517.508928571428"/>
    <n v="5.6952341397779183"/>
  </r>
  <r>
    <s v="INTERNATIONAL BANK OF CHICAGO"/>
    <s v="Chicago"/>
    <x v="1"/>
    <n v="60640"/>
    <d v="2019-09-30T00:00:00"/>
    <x v="0"/>
    <n v="110"/>
    <n v="648663"/>
    <n v="40085"/>
    <n v="648663"/>
    <n v="566147"/>
    <n v="552456"/>
    <x v="0"/>
    <n v="0.08"/>
    <n v="44196.480000000003"/>
    <n v="0.87279064784024984"/>
    <n v="5896.9363636363632"/>
    <n v="0.90697268198734371"/>
  </r>
  <r>
    <s v="INTERNATIONAL BANK OF CHICAGO"/>
    <s v="Chicago"/>
    <x v="1"/>
    <n v="60640"/>
    <d v="2020-09-30T00:00:00"/>
    <x v="1"/>
    <n v="122"/>
    <n v="754137"/>
    <n v="26906"/>
    <n v="754137"/>
    <n v="668901"/>
    <n v="617269"/>
    <x v="0"/>
    <n v="0.08"/>
    <n v="49381.520000000004"/>
    <n v="0.88697544345390822"/>
    <n v="6181.4508196721308"/>
    <n v="0.54485969650184918"/>
  </r>
  <r>
    <s v="INTERNATIONAL BANK OF CHICAGO"/>
    <s v="Chicago"/>
    <x v="1"/>
    <n v="60640"/>
    <d v="2021-09-30T00:00:00"/>
    <x v="2"/>
    <n v="117"/>
    <n v="836562"/>
    <n v="36569"/>
    <n v="836562"/>
    <n v="739106"/>
    <n v="719590"/>
    <x v="0"/>
    <n v="0.08"/>
    <n v="57567.200000000004"/>
    <n v="0.88350415151536887"/>
    <n v="7150.1025641025644"/>
    <n v="0.63524020622854671"/>
  </r>
  <r>
    <s v="INTERNATIONAL CITY BANK FEDERAL SAVINGS BANK"/>
    <s v="Long Beach"/>
    <x v="0"/>
    <n v="90802"/>
    <d v="2019-09-30T00:00:00"/>
    <x v="0"/>
    <n v="42"/>
    <n v="327171"/>
    <n v="5874"/>
    <n v="327171"/>
    <n v="286656"/>
    <n v="228905"/>
    <x v="0"/>
    <n v="0.09"/>
    <n v="20601.45"/>
    <n v="0.87616567483059316"/>
    <n v="7789.7857142857147"/>
    <n v="0.28512556155027924"/>
  </r>
  <r>
    <s v="INTERNATIONAL CITY BANK FEDERAL SAVINGS BANK"/>
    <s v="Long Beach"/>
    <x v="0"/>
    <n v="90802"/>
    <d v="2020-09-30T00:00:00"/>
    <x v="1"/>
    <n v="42"/>
    <n v="440906"/>
    <n v="2429"/>
    <n v="440906"/>
    <n v="384514"/>
    <n v="313058"/>
    <x v="0"/>
    <n v="0.09"/>
    <n v="28175.219999999998"/>
    <n v="0.872099721936195"/>
    <n v="10497.761904761905"/>
    <n v="8.6210506963210948E-2"/>
  </r>
  <r>
    <s v="INTERNATIONAL CITY BANK FEDERAL SAVINGS BANK"/>
    <s v="Long Beach"/>
    <x v="0"/>
    <n v="90802"/>
    <d v="2021-09-30T00:00:00"/>
    <x v="2"/>
    <n v="43"/>
    <n v="512969"/>
    <n v="4624"/>
    <n v="512969"/>
    <n v="440933"/>
    <n v="311554"/>
    <x v="0"/>
    <n v="0.09"/>
    <n v="28039.86"/>
    <n v="0.85957046137290949"/>
    <n v="11929.511627906977"/>
    <n v="0.16490809868522882"/>
  </r>
  <r>
    <s v="IPAVA STATE BANK"/>
    <s v="Ipava"/>
    <x v="1"/>
    <n v="61441"/>
    <d v="2019-09-30T00:00:00"/>
    <x v="0"/>
    <n v="34"/>
    <n v="142482"/>
    <n v="12304"/>
    <n v="142482"/>
    <n v="129678"/>
    <n v="129227"/>
    <x v="0"/>
    <n v="0.08"/>
    <n v="10338.16"/>
    <n v="0.91013601718111758"/>
    <n v="4190.6470588235297"/>
    <n v="1.1901537604370604"/>
  </r>
  <r>
    <s v="IPAVA STATE BANK"/>
    <s v="Ipava"/>
    <x v="1"/>
    <n v="61441"/>
    <d v="2020-09-30T00:00:00"/>
    <x v="1"/>
    <n v="36"/>
    <n v="181697"/>
    <n v="38533"/>
    <n v="181697"/>
    <n v="167242"/>
    <n v="166743"/>
    <x v="0"/>
    <n v="0.08"/>
    <n v="13339.44"/>
    <n v="0.92044447624341619"/>
    <n v="5047.1388888888887"/>
    <n v="2.8886519973851974"/>
  </r>
  <r>
    <s v="IPAVA STATE BANK"/>
    <s v="Ipava"/>
    <x v="1"/>
    <n v="61441"/>
    <d v="2021-09-30T00:00:00"/>
    <x v="2"/>
    <n v="37"/>
    <n v="189028"/>
    <n v="42180"/>
    <n v="189028"/>
    <n v="173000"/>
    <n v="172426"/>
    <x v="0"/>
    <n v="0.08"/>
    <n v="13794.08"/>
    <n v="0.91520832892481541"/>
    <n v="5108.864864864865"/>
    <n v="3.0578335053878187"/>
  </r>
  <r>
    <s v="IROQUOIS FARMERS STATE BANK"/>
    <s v="Iroquois"/>
    <x v="1"/>
    <n v="60945"/>
    <d v="2019-09-30T00:00:00"/>
    <x v="0"/>
    <n v="24"/>
    <n v="113303"/>
    <n v="13697"/>
    <n v="113304"/>
    <n v="102802"/>
    <n v="102190"/>
    <x v="0"/>
    <n v="0.08"/>
    <n v="8175.2"/>
    <n v="0.90731931193348803"/>
    <n v="4720.958333333333"/>
    <n v="1.6754330169292495"/>
  </r>
  <r>
    <s v="IROQUOIS FARMERS STATE BANK"/>
    <s v="Iroquois"/>
    <x v="1"/>
    <n v="60945"/>
    <d v="2020-09-30T00:00:00"/>
    <x v="1"/>
    <n v="26"/>
    <n v="120550"/>
    <n v="12202"/>
    <n v="120550"/>
    <n v="109696"/>
    <n v="109072"/>
    <x v="0"/>
    <n v="0.08"/>
    <n v="8725.76"/>
    <n v="0.90996267109083373"/>
    <n v="4636.5384615384619"/>
    <n v="1.3983882206249083"/>
  </r>
  <r>
    <s v="IROQUOIS FARMERS STATE BANK"/>
    <s v="Iroquois"/>
    <x v="1"/>
    <n v="60945"/>
    <d v="2021-09-30T00:00:00"/>
    <x v="2"/>
    <n v="25"/>
    <n v="140337"/>
    <n v="11321"/>
    <n v="140337"/>
    <n v="129225"/>
    <n v="128604"/>
    <x v="0"/>
    <n v="0.08"/>
    <n v="10288.32"/>
    <n v="0.92081917099553223"/>
    <n v="5613.48"/>
    <n v="1.1003740163603"/>
  </r>
  <r>
    <s v="IROQUOIS FEDERAL SAVINGS AND LOAN ASSOCIATION"/>
    <s v="Watseka"/>
    <x v="1"/>
    <n v="60970"/>
    <d v="2019-09-30T00:00:00"/>
    <x v="0"/>
    <n v="105"/>
    <n v="678205"/>
    <n v="12376"/>
    <n v="678204"/>
    <n v="600148"/>
    <n v="559598"/>
    <x v="0"/>
    <n v="0.08"/>
    <n v="44767.840000000004"/>
    <n v="0.88490648107872993"/>
    <n v="6459.0952380952385"/>
    <n v="0.27644845049481948"/>
  </r>
  <r>
    <s v="IROQUOIS FEDERAL SAVINGS AND LOAN ASSOCIATION"/>
    <s v="Watseka"/>
    <x v="1"/>
    <n v="60970"/>
    <d v="2020-09-30T00:00:00"/>
    <x v="1"/>
    <n v="109"/>
    <n v="726004"/>
    <n v="18696"/>
    <n v="726004"/>
    <n v="643889"/>
    <n v="605145"/>
    <x v="0"/>
    <n v="0.08"/>
    <n v="48411.6"/>
    <n v="0.88689456256439358"/>
    <n v="6660.5871559633024"/>
    <n v="0.38618843417693283"/>
  </r>
  <r>
    <s v="IROQUOIS FEDERAL SAVINGS AND LOAN ASSOCIATION"/>
    <s v="Watseka"/>
    <x v="1"/>
    <n v="60970"/>
    <d v="2021-09-30T00:00:00"/>
    <x v="2"/>
    <n v="110"/>
    <n v="767055"/>
    <n v="31161"/>
    <n v="767055"/>
    <n v="685373"/>
    <n v="643910"/>
    <x v="0"/>
    <n v="0.08"/>
    <n v="51512.800000000003"/>
    <n v="0.89351219925559444"/>
    <n v="6973.227272727273"/>
    <n v="0.60491761270985067"/>
  </r>
  <r>
    <s v="ISRAEL DISCOUNT BANK OF NEW YORK"/>
    <s v="New York"/>
    <x v="2"/>
    <n v="10017"/>
    <d v="2019-09-30T00:00:00"/>
    <x v="0"/>
    <n v="581"/>
    <n v="9701571"/>
    <n v="101114"/>
    <n v="9701571"/>
    <n v="8650043"/>
    <n v="7914537"/>
    <x v="1"/>
    <n v="0.08"/>
    <n v="633162.96"/>
    <n v="0.89161260583466329"/>
    <n v="16698.056798623064"/>
    <n v="0.15969664428885733"/>
  </r>
  <r>
    <s v="ISRAEL DISCOUNT BANK OF NEW YORK"/>
    <s v="New York"/>
    <x v="2"/>
    <n v="10017"/>
    <d v="2020-09-30T00:00:00"/>
    <x v="1"/>
    <n v="562"/>
    <n v="10669451"/>
    <n v="322188"/>
    <n v="10669451"/>
    <n v="9529462"/>
    <n v="8783160"/>
    <x v="1"/>
    <n v="0.08"/>
    <n v="702652.8"/>
    <n v="0.89315392141545047"/>
    <n v="18984.788256227759"/>
    <n v="0.45853087043842988"/>
  </r>
  <r>
    <s v="ISRAEL DISCOUNT BANK OF NEW YORK"/>
    <s v="New York"/>
    <x v="2"/>
    <n v="10036"/>
    <d v="2021-09-30T00:00:00"/>
    <x v="2"/>
    <n v="557"/>
    <n v="11724992"/>
    <n v="565007"/>
    <n v="11724992"/>
    <n v="10589426"/>
    <n v="10233912"/>
    <x v="1"/>
    <n v="0.08"/>
    <n v="818712.96"/>
    <n v="0.90314995524090758"/>
    <n v="21050.254937163376"/>
    <n v="0.69011610613810248"/>
  </r>
  <r>
    <s v="ITASCA BANK &amp; TRUST CO."/>
    <s v="Itasca"/>
    <x v="1"/>
    <n v="60143"/>
    <d v="2019-09-30T00:00:00"/>
    <x v="0"/>
    <n v="95"/>
    <n v="579164"/>
    <n v="70426"/>
    <n v="579164"/>
    <n v="522894"/>
    <n v="520490"/>
    <x v="0"/>
    <n v="0.08"/>
    <n v="41639.200000000004"/>
    <n v="0.90284271812474537"/>
    <n v="6096.4631578947365"/>
    <n v="1.6913389306230666"/>
  </r>
  <r>
    <s v="ITASCA BANK &amp; TRUST CO."/>
    <s v="Itasca"/>
    <x v="1"/>
    <n v="60143"/>
    <d v="2020-09-30T00:00:00"/>
    <x v="1"/>
    <n v="94"/>
    <n v="696246"/>
    <n v="32236"/>
    <n v="696246"/>
    <n v="633248"/>
    <n v="591858"/>
    <x v="0"/>
    <n v="0.08"/>
    <n v="47348.639999999999"/>
    <n v="0.90951761302757939"/>
    <n v="7406.8723404255315"/>
    <n v="0.68082208908217845"/>
  </r>
  <r>
    <s v="ITASCA BANK &amp; TRUST CO."/>
    <s v="Itasca"/>
    <x v="1"/>
    <n v="60143"/>
    <d v="2021-09-30T00:00:00"/>
    <x v="2"/>
    <n v="95"/>
    <n v="734832"/>
    <n v="35396"/>
    <n v="734832"/>
    <n v="669382"/>
    <n v="663985"/>
    <x v="0"/>
    <n v="0.08"/>
    <n v="53118.8"/>
    <n v="0.91093202255753691"/>
    <n v="7735.0736842105262"/>
    <n v="0.66635541465545156"/>
  </r>
  <r>
    <s v="JEFF BANK"/>
    <s v="Jeffersonville"/>
    <x v="2"/>
    <n v="12748"/>
    <d v="2019-09-30T00:00:00"/>
    <x v="0"/>
    <n v="126"/>
    <n v="512116"/>
    <n v="72350"/>
    <n v="512115"/>
    <n v="454220"/>
    <n v="447620"/>
    <x v="0"/>
    <n v="8.5000000000000006E-2"/>
    <n v="38047.700000000004"/>
    <n v="0.88694748845964588"/>
    <n v="4064.4126984126983"/>
    <n v="1.9015604096962495"/>
  </r>
  <r>
    <s v="JEFF BANK"/>
    <s v="Jeffersonville"/>
    <x v="2"/>
    <n v="12748"/>
    <d v="2020-09-30T00:00:00"/>
    <x v="1"/>
    <n v="122"/>
    <n v="594735"/>
    <n v="110065"/>
    <n v="594734"/>
    <n v="533099"/>
    <n v="526803"/>
    <x v="0"/>
    <n v="8.5000000000000006E-2"/>
    <n v="44778.255000000005"/>
    <n v="0.89636392679092369"/>
    <n v="4874.877049180328"/>
    <n v="2.4580010989709176"/>
  </r>
  <r>
    <s v="JEFF BANK"/>
    <s v="Jeffersonville"/>
    <x v="2"/>
    <n v="12748"/>
    <d v="2021-09-30T00:00:00"/>
    <x v="2"/>
    <n v="115"/>
    <n v="681801"/>
    <n v="165330"/>
    <n v="681801"/>
    <n v="616857"/>
    <n v="609982"/>
    <x v="0"/>
    <n v="8.5000000000000006E-2"/>
    <n v="51848.47"/>
    <n v="0.90474639960927017"/>
    <n v="5928.7043478260866"/>
    <n v="3.1887151154122773"/>
  </r>
  <r>
    <s v="JERSEY STATE BANK"/>
    <s v="Jerseyville"/>
    <x v="1"/>
    <n v="62052"/>
    <d v="2019-09-30T00:00:00"/>
    <x v="0"/>
    <n v="31"/>
    <n v="154917"/>
    <n v="13771"/>
    <n v="154917"/>
    <n v="132939"/>
    <n v="130445"/>
    <x v="0"/>
    <n v="0.08"/>
    <n v="10435.6"/>
    <n v="0.8581304827746471"/>
    <n v="4997.322580645161"/>
    <n v="1.3196174632987083"/>
  </r>
  <r>
    <s v="JERSEY STATE BANK"/>
    <s v="Jerseyville"/>
    <x v="1"/>
    <n v="62052"/>
    <d v="2020-09-30T00:00:00"/>
    <x v="1"/>
    <n v="32"/>
    <n v="188508"/>
    <n v="35983"/>
    <n v="188508"/>
    <n v="164703"/>
    <n v="157662"/>
    <x v="0"/>
    <n v="0.08"/>
    <n v="12612.960000000001"/>
    <n v="0.87371888726207902"/>
    <n v="5890.875"/>
    <n v="2.8528592812472247"/>
  </r>
  <r>
    <s v="JERSEY STATE BANK"/>
    <s v="Jerseyville"/>
    <x v="1"/>
    <n v="62052"/>
    <d v="2021-09-30T00:00:00"/>
    <x v="2"/>
    <n v="29"/>
    <n v="179611"/>
    <n v="29439"/>
    <n v="179611"/>
    <n v="155196"/>
    <n v="152614"/>
    <x v="0"/>
    <n v="0.08"/>
    <n v="12209.12"/>
    <n v="0.86406734554119735"/>
    <n v="6193.4827586206893"/>
    <n v="2.4112302934200005"/>
  </r>
  <r>
    <s v="KINMUNDY BANK"/>
    <s v="Kinmundy"/>
    <x v="1"/>
    <n v="62854"/>
    <d v="2019-09-30T00:00:00"/>
    <x v="0"/>
    <n v="9"/>
    <n v="48574"/>
    <n v="1669"/>
    <n v="48574"/>
    <n v="41929"/>
    <n v="41795"/>
    <x v="2"/>
    <n v="0.09"/>
    <n v="3761.5499999999997"/>
    <n v="0.86319841890723437"/>
    <n v="5397.1111111111113"/>
    <n v="0.44370007044968168"/>
  </r>
  <r>
    <s v="KINMUNDY BANK"/>
    <s v="Kinmundy"/>
    <x v="1"/>
    <n v="62854"/>
    <d v="2020-09-30T00:00:00"/>
    <x v="1"/>
    <n v="9"/>
    <n v="53123"/>
    <n v="2332"/>
    <n v="53123"/>
    <n v="45832"/>
    <n v="45701"/>
    <x v="2"/>
    <n v="0.09"/>
    <n v="4113.09"/>
    <n v="0.86275248009336825"/>
    <n v="5902.5555555555557"/>
    <n v="0.56697033130809193"/>
  </r>
  <r>
    <s v="KINMUNDY BANK"/>
    <s v="Kinmundy"/>
    <x v="1"/>
    <n v="62854"/>
    <d v="2021-09-30T00:00:00"/>
    <x v="2"/>
    <n v="8"/>
    <n v="59077"/>
    <n v="9358"/>
    <n v="59077"/>
    <n v="51201"/>
    <n v="51092"/>
    <x v="2"/>
    <n v="0.09"/>
    <n v="4598.28"/>
    <n v="0.86668246525720671"/>
    <n v="7384.625"/>
    <n v="2.0351087798046228"/>
  </r>
  <r>
    <s v="LA SALLE STATE BANK"/>
    <s v="La Salle"/>
    <x v="1"/>
    <n v="61301"/>
    <d v="2019-09-30T00:00:00"/>
    <x v="0"/>
    <n v="31"/>
    <n v="141089"/>
    <n v="6009"/>
    <n v="141089"/>
    <n v="127304"/>
    <n v="97330"/>
    <x v="0"/>
    <n v="0.08"/>
    <n v="7786.4000000000005"/>
    <n v="0.90229571405283193"/>
    <n v="4551.2580645161288"/>
    <n v="0.77173019623959715"/>
  </r>
  <r>
    <s v="LA SALLE STATE BANK"/>
    <s v="La Salle"/>
    <x v="1"/>
    <n v="61301"/>
    <d v="2020-09-30T00:00:00"/>
    <x v="1"/>
    <n v="30"/>
    <n v="155715"/>
    <n v="22852"/>
    <n v="155716"/>
    <n v="139971"/>
    <n v="103944"/>
    <x v="0"/>
    <n v="0.08"/>
    <n v="8315.52"/>
    <n v="0.89889220691648208"/>
    <n v="5190.5"/>
    <n v="2.7481143692757639"/>
  </r>
  <r>
    <s v="LA SALLE STATE BANK"/>
    <s v="La Salle"/>
    <x v="1"/>
    <n v="61301"/>
    <d v="2021-09-30T00:00:00"/>
    <x v="2"/>
    <n v="28"/>
    <n v="182584"/>
    <n v="16284"/>
    <n v="182584"/>
    <n v="166343"/>
    <n v="126037"/>
    <x v="0"/>
    <n v="0.08"/>
    <n v="10082.960000000001"/>
    <n v="0.91104916093414534"/>
    <n v="6520.8571428571431"/>
    <n v="1.6150019438736243"/>
  </r>
  <r>
    <s v="LAKE FOREST BANK &amp; TRUST COMPANY, NATIONAL ASSOCIATION"/>
    <s v="Lake Forest"/>
    <x v="1"/>
    <n v="60045"/>
    <d v="2019-09-30T00:00:00"/>
    <x v="0"/>
    <n v="505"/>
    <n v="4296635"/>
    <n v="374376"/>
    <n v="4296635"/>
    <n v="3847528"/>
    <n v="3416604"/>
    <x v="1"/>
    <n v="7.4999999999999997E-2"/>
    <n v="256245.3"/>
    <n v="0.89547471451496341"/>
    <n v="8508.1881188118805"/>
    <n v="1.4610063091888905"/>
  </r>
  <r>
    <s v="LAKE FOREST BANK &amp; TRUST COMPANY, NATIONAL ASSOCIATION"/>
    <s v="Lake Forest"/>
    <x v="1"/>
    <n v="60045"/>
    <d v="2020-09-30T00:00:00"/>
    <x v="1"/>
    <n v="565"/>
    <n v="5427430"/>
    <n v="609968"/>
    <n v="5427430"/>
    <n v="4934509"/>
    <n v="4250743"/>
    <x v="1"/>
    <n v="7.4999999999999997E-2"/>
    <n v="318805.72499999998"/>
    <n v="0.90917966698787456"/>
    <n v="9606.070796460177"/>
    <n v="1.9132906098220164"/>
  </r>
  <r>
    <s v="LAKE FOREST BANK &amp; TRUST COMPANY, NATIONAL ASSOCIATION"/>
    <s v="Lake Forest"/>
    <x v="1"/>
    <n v="60045"/>
    <d v="2021-09-30T00:00:00"/>
    <x v="2"/>
    <n v="565"/>
    <n v="6048383"/>
    <n v="858574"/>
    <n v="6048383"/>
    <n v="5453886"/>
    <n v="4820415"/>
    <x v="1"/>
    <n v="7.4999999999999997E-2"/>
    <n v="361531.125"/>
    <n v="0.90170976275807935"/>
    <n v="10705.102654867256"/>
    <n v="2.3748273402462927"/>
  </r>
  <r>
    <s v="LAKE SHORE SAVINGS BANK"/>
    <s v="Dunkirk"/>
    <x v="2"/>
    <n v="14048"/>
    <d v="2019-09-30T00:00:00"/>
    <x v="0"/>
    <n v="113"/>
    <n v="596896"/>
    <n v="20516"/>
    <n v="596896"/>
    <n v="518417"/>
    <n v="475039"/>
    <x v="0"/>
    <n v="8.5000000000000006E-2"/>
    <n v="40378.315000000002"/>
    <n v="0.86852148447970834"/>
    <n v="5282.2654867256633"/>
    <n v="0.508094505677119"/>
  </r>
  <r>
    <s v="LAKE SHORE SAVINGS BANK"/>
    <s v="Dunkirk"/>
    <x v="2"/>
    <n v="14048"/>
    <d v="2020-09-30T00:00:00"/>
    <x v="1"/>
    <n v="113"/>
    <n v="682763"/>
    <n v="71096"/>
    <n v="682763"/>
    <n v="601463"/>
    <n v="559369"/>
    <x v="0"/>
    <n v="8.5000000000000006E-2"/>
    <n v="47546.365000000005"/>
    <n v="0.88092500618809166"/>
    <n v="6042.1504424778759"/>
    <n v="1.4952983261706756"/>
  </r>
  <r>
    <s v="LAKE SHORE SAVINGS BANK"/>
    <s v="Dunkirk"/>
    <x v="2"/>
    <n v="14048"/>
    <d v="2021-09-30T00:00:00"/>
    <x v="2"/>
    <n v="111"/>
    <n v="708725"/>
    <n v="60721"/>
    <n v="708725"/>
    <n v="625416"/>
    <n v="594809"/>
    <x v="0"/>
    <n v="8.5000000000000006E-2"/>
    <n v="50558.765000000007"/>
    <n v="0.88245229108610534"/>
    <n v="6384.9099099099103"/>
    <n v="1.2009984816678174"/>
  </r>
  <r>
    <s v="LAKESIDE BANK"/>
    <s v="Chicago"/>
    <x v="1"/>
    <n v="60601"/>
    <d v="2019-09-30T00:00:00"/>
    <x v="0"/>
    <n v="170"/>
    <n v="1775819"/>
    <n v="170360"/>
    <n v="1775819"/>
    <n v="1571073"/>
    <n v="1442343"/>
    <x v="1"/>
    <n v="7.4999999999999997E-2"/>
    <n v="108175.72499999999"/>
    <n v="0.88470333969847148"/>
    <n v="10445.994117647058"/>
    <n v="1.5748450033498738"/>
  </r>
  <r>
    <s v="LAKESIDE BANK"/>
    <s v="Chicago"/>
    <x v="1"/>
    <n v="60601"/>
    <d v="2020-09-30T00:00:00"/>
    <x v="1"/>
    <n v="174"/>
    <n v="2084252"/>
    <n v="298146"/>
    <n v="2084252"/>
    <n v="1876667"/>
    <n v="1743832"/>
    <x v="1"/>
    <n v="7.4999999999999997E-2"/>
    <n v="130787.4"/>
    <n v="0.9004031182409804"/>
    <n v="11978.459770114943"/>
    <n v="2.2796232664614484"/>
  </r>
  <r>
    <s v="LAKESIDE BANK"/>
    <s v="Chicago"/>
    <x v="1"/>
    <n v="60601"/>
    <d v="2021-09-30T00:00:00"/>
    <x v="2"/>
    <n v="187"/>
    <n v="2298808"/>
    <n v="399799"/>
    <n v="2298808"/>
    <n v="2075765"/>
    <n v="1953118"/>
    <x v="1"/>
    <n v="7.4999999999999997E-2"/>
    <n v="146483.85"/>
    <n v="0.90297449808770458"/>
    <n v="12293.09090909091"/>
    <n v="2.7293042884932364"/>
  </r>
  <r>
    <s v="LEADER BANK, NATIONAL ASSOCIATION"/>
    <s v="Arlington"/>
    <x v="3"/>
    <n v="2476"/>
    <d v="2019-09-30T00:00:00"/>
    <x v="0"/>
    <n v="239"/>
    <n v="1545344"/>
    <n v="84056"/>
    <n v="1545344"/>
    <n v="1369287"/>
    <n v="1187348"/>
    <x v="1"/>
    <n v="0.08"/>
    <n v="94987.839999999997"/>
    <n v="0.88607261554708849"/>
    <n v="6465.8744769874475"/>
    <n v="0.88491326889841904"/>
  </r>
  <r>
    <s v="LEADER BANK, NATIONAL ASSOCIATION"/>
    <s v="Arlington"/>
    <x v="3"/>
    <n v="2476"/>
    <d v="2020-09-30T00:00:00"/>
    <x v="1"/>
    <n v="300"/>
    <n v="1999550"/>
    <n v="136109"/>
    <n v="1999550"/>
    <n v="1773901"/>
    <n v="1593616"/>
    <x v="1"/>
    <n v="0.08"/>
    <n v="127489.28"/>
    <n v="0.88715010877447431"/>
    <n v="6665.166666666667"/>
    <n v="1.0676113317135369"/>
  </r>
  <r>
    <s v="LEADER BANK, NATIONAL ASSOCIATION"/>
    <s v="Arlington"/>
    <x v="3"/>
    <n v="2474"/>
    <d v="2021-09-30T00:00:00"/>
    <x v="2"/>
    <n v="392"/>
    <n v="2774556"/>
    <n v="161222"/>
    <n v="2774556"/>
    <n v="2427119"/>
    <n v="2328944"/>
    <x v="1"/>
    <n v="0.08"/>
    <n v="186315.51999999999"/>
    <n v="0.87477744186817641"/>
    <n v="7077.9489795918371"/>
    <n v="0.86531707074107411"/>
  </r>
  <r>
    <s v="LEE BANK"/>
    <s v="Lee"/>
    <x v="3"/>
    <n v="1238"/>
    <d v="2019-09-30T00:00:00"/>
    <x v="0"/>
    <n v="76"/>
    <n v="400354"/>
    <n v="16211"/>
    <n v="400354"/>
    <n v="366071"/>
    <n v="329650"/>
    <x v="0"/>
    <n v="8.5000000000000006E-2"/>
    <n v="28020.250000000004"/>
    <n v="0.91436828406859927"/>
    <n v="5267.8157894736842"/>
    <n v="0.57854587307393757"/>
  </r>
  <r>
    <s v="LEE BANK"/>
    <s v="Lee"/>
    <x v="3"/>
    <n v="1238"/>
    <d v="2020-09-30T00:00:00"/>
    <x v="1"/>
    <n v="79"/>
    <n v="448584"/>
    <n v="45357"/>
    <n v="448584"/>
    <n v="412266"/>
    <n v="381657"/>
    <x v="0"/>
    <n v="8.5000000000000006E-2"/>
    <n v="32440.845000000001"/>
    <n v="0.91903857471510353"/>
    <n v="5678.2784810126586"/>
    <n v="1.3981448387056501"/>
  </r>
  <r>
    <s v="LEE BANK"/>
    <s v="Lee"/>
    <x v="3"/>
    <n v="1238"/>
    <d v="2021-09-30T00:00:00"/>
    <x v="2"/>
    <n v="75"/>
    <n v="514282"/>
    <n v="62917"/>
    <n v="514282"/>
    <n v="473798"/>
    <n v="452513"/>
    <x v="0"/>
    <n v="8.5000000000000006E-2"/>
    <n v="38463.605000000003"/>
    <n v="0.92128054258169645"/>
    <n v="6857.0933333333332"/>
    <n v="1.6357541109316196"/>
  </r>
  <r>
    <s v="LEGENCE BANK"/>
    <s v="Eldorado"/>
    <x v="1"/>
    <n v="62930"/>
    <d v="2019-09-30T00:00:00"/>
    <x v="0"/>
    <n v="148"/>
    <n v="477198"/>
    <n v="22932"/>
    <n v="477199"/>
    <n v="421474"/>
    <n v="416279"/>
    <x v="0"/>
    <n v="0.08"/>
    <n v="33302.32"/>
    <n v="0.88322666901370084"/>
    <n v="3224.3108108108108"/>
    <n v="0.68860067406715209"/>
  </r>
  <r>
    <s v="LEGENCE BANK"/>
    <s v="Eldorado"/>
    <x v="1"/>
    <n v="62930"/>
    <d v="2020-09-30T00:00:00"/>
    <x v="1"/>
    <n v="136"/>
    <n v="576756"/>
    <n v="37647"/>
    <n v="576756"/>
    <n v="513965"/>
    <n v="502863"/>
    <x v="0"/>
    <n v="0.08"/>
    <n v="40229.040000000001"/>
    <n v="0.89113073812842869"/>
    <n v="4240.8529411764703"/>
    <n v="0.9358165146371874"/>
  </r>
  <r>
    <s v="LEGENCE BANK"/>
    <s v="Eldorado"/>
    <x v="1"/>
    <n v="62930"/>
    <d v="2021-09-30T00:00:00"/>
    <x v="2"/>
    <n v="160"/>
    <n v="627646"/>
    <n v="76469"/>
    <n v="627646"/>
    <n v="557272"/>
    <n v="548305"/>
    <x v="0"/>
    <n v="0.08"/>
    <n v="43864.4"/>
    <n v="0.88787628695156184"/>
    <n v="3922.7874999999999"/>
    <n v="1.7433043652711537"/>
  </r>
  <r>
    <s v="LENA STATE BANK"/>
    <s v="Lena"/>
    <x v="1"/>
    <n v="61048"/>
    <d v="2019-09-30T00:00:00"/>
    <x v="0"/>
    <n v="11"/>
    <n v="89929"/>
    <n v="4089"/>
    <n v="89929"/>
    <n v="78893"/>
    <n v="77282"/>
    <x v="2"/>
    <n v="0.09"/>
    <n v="6955.38"/>
    <n v="0.87728096609547535"/>
    <n v="8175.363636363636"/>
    <n v="0.58789023748522728"/>
  </r>
  <r>
    <s v="LENA STATE BANK"/>
    <s v="Lena"/>
    <x v="1"/>
    <n v="61048"/>
    <d v="2020-09-30T00:00:00"/>
    <x v="1"/>
    <n v="10"/>
    <n v="94220"/>
    <n v="3538"/>
    <n v="94220"/>
    <n v="82811"/>
    <n v="78250"/>
    <x v="2"/>
    <n v="0.09"/>
    <n v="7042.5"/>
    <n v="0.87891105922309487"/>
    <n v="9422"/>
    <n v="0.50237841675541361"/>
  </r>
  <r>
    <s v="LENA STATE BANK"/>
    <s v="Lena"/>
    <x v="1"/>
    <n v="61048"/>
    <d v="2021-09-30T00:00:00"/>
    <x v="2"/>
    <n v="9"/>
    <n v="96065"/>
    <n v="10685"/>
    <n v="96065"/>
    <n v="84470"/>
    <n v="84002"/>
    <x v="2"/>
    <n v="0.09"/>
    <n v="7560.1799999999994"/>
    <n v="0.87930047363764119"/>
    <n v="10673.888888888889"/>
    <n v="1.4133261377374613"/>
  </r>
  <r>
    <s v="LIBERTY BANK"/>
    <s v="Liberty"/>
    <x v="1"/>
    <n v="62347"/>
    <d v="2019-09-30T00:00:00"/>
    <x v="0"/>
    <n v="26"/>
    <n v="101240"/>
    <n v="12324"/>
    <n v="101240"/>
    <n v="88605"/>
    <n v="87445"/>
    <x v="0"/>
    <n v="0.08"/>
    <n v="6995.6"/>
    <n v="0.87519755037534575"/>
    <n v="3893.8461538461538"/>
    <n v="1.7616787695122647"/>
  </r>
  <r>
    <s v="LIBERTY BANK"/>
    <s v="South San Franci"/>
    <x v="0"/>
    <n v="94080"/>
    <d v="2019-09-30T00:00:00"/>
    <x v="0"/>
    <n v="45"/>
    <n v="271168"/>
    <n v="11587"/>
    <n v="271168"/>
    <n v="235405"/>
    <n v="233789"/>
    <x v="0"/>
    <n v="0.09"/>
    <n v="21041.01"/>
    <n v="0.86811496931791365"/>
    <n v="6025.9555555555553"/>
    <n v="0.5506864927111389"/>
  </r>
  <r>
    <s v="LIBERTY BANK"/>
    <s v="Liberty"/>
    <x v="1"/>
    <n v="62347"/>
    <d v="2020-09-30T00:00:00"/>
    <x v="1"/>
    <n v="26"/>
    <n v="114870"/>
    <n v="23187"/>
    <n v="114870"/>
    <n v="101112"/>
    <n v="100017"/>
    <x v="0"/>
    <n v="0.08"/>
    <n v="8001.3600000000006"/>
    <n v="0.88022982501958735"/>
    <n v="4418.0769230769229"/>
    <n v="2.8978823599988002"/>
  </r>
  <r>
    <s v="LIBERTY BANK"/>
    <s v="South San Franci"/>
    <x v="0"/>
    <n v="94080"/>
    <d v="2020-09-30T00:00:00"/>
    <x v="1"/>
    <n v="44"/>
    <n v="300029"/>
    <n v="34517"/>
    <n v="300029"/>
    <n v="263975"/>
    <n v="262520"/>
    <x v="0"/>
    <n v="0.09"/>
    <n v="23626.799999999999"/>
    <n v="0.87983161627709316"/>
    <n v="6818.840909090909"/>
    <n v="1.4609257284101107"/>
  </r>
  <r>
    <s v="LIBERTY BANK"/>
    <s v="Liberty"/>
    <x v="1"/>
    <n v="62347"/>
    <d v="2021-09-30T00:00:00"/>
    <x v="2"/>
    <n v="26"/>
    <n v="124883"/>
    <n v="26527"/>
    <n v="124883"/>
    <n v="110206"/>
    <n v="109062"/>
    <x v="0"/>
    <n v="0.08"/>
    <n v="8724.9600000000009"/>
    <n v="0.88247399565993767"/>
    <n v="4803.1923076923076"/>
    <n v="3.0403577781445414"/>
  </r>
  <r>
    <s v="LIBERTY BANK"/>
    <s v="South San Franci"/>
    <x v="0"/>
    <n v="94080"/>
    <d v="2021-09-30T00:00:00"/>
    <x v="2"/>
    <n v="41"/>
    <n v="298232"/>
    <n v="27936"/>
    <n v="298232"/>
    <n v="261964"/>
    <n v="260854"/>
    <x v="0"/>
    <n v="0.09"/>
    <n v="23476.86"/>
    <n v="0.87838997827194931"/>
    <n v="7273.9512195121952"/>
    <n v="1.1899376662807548"/>
  </r>
  <r>
    <s v="LIBERTY BANK FOR SAVINGS"/>
    <s v="Chicago"/>
    <x v="1"/>
    <n v="60647"/>
    <d v="2019-09-30T00:00:00"/>
    <x v="0"/>
    <n v="102"/>
    <n v="825661"/>
    <n v="3098"/>
    <n v="825661"/>
    <n v="626568"/>
    <n v="617062"/>
    <x v="0"/>
    <n v="0.08"/>
    <n v="49364.959999999999"/>
    <n v="0.75886834911664713"/>
    <n v="8094.7156862745096"/>
    <n v="6.2757064930266324E-2"/>
  </r>
  <r>
    <s v="LIBERTY BANK FOR SAVINGS"/>
    <s v="Chicago"/>
    <x v="1"/>
    <n v="60647"/>
    <d v="2020-09-30T00:00:00"/>
    <x v="1"/>
    <n v="104"/>
    <n v="868509"/>
    <n v="24684"/>
    <n v="868508"/>
    <n v="662475"/>
    <n v="651019"/>
    <x v="0"/>
    <n v="0.08"/>
    <n v="52081.520000000004"/>
    <n v="0.76277275192312344"/>
    <n v="8351.0480769230762"/>
    <n v="0.47394930101886423"/>
  </r>
  <r>
    <s v="LIBERTY BANK FOR SAVINGS"/>
    <s v="Chicago"/>
    <x v="1"/>
    <n v="60647"/>
    <d v="2021-09-30T00:00:00"/>
    <x v="2"/>
    <n v="101"/>
    <n v="901046"/>
    <n v="4183"/>
    <n v="901046"/>
    <n v="695311"/>
    <n v="684231"/>
    <x v="0"/>
    <n v="0.08"/>
    <n v="54738.48"/>
    <n v="0.77167092468087095"/>
    <n v="8921.2475247524744"/>
    <n v="7.6417905648823267E-2"/>
  </r>
  <r>
    <s v="LIBERTYVILLE BANK &amp; TRUST COMPANY"/>
    <s v="Libertyville"/>
    <x v="1"/>
    <n v="60048"/>
    <d v="2019-09-30T00:00:00"/>
    <x v="0"/>
    <n v="99"/>
    <n v="1684632"/>
    <n v="63792"/>
    <n v="1684632"/>
    <n v="1519838"/>
    <n v="1423712"/>
    <x v="1"/>
    <n v="7.4999999999999997E-2"/>
    <n v="106778.4"/>
    <n v="0.9021780424448782"/>
    <n v="17016.484848484848"/>
    <n v="0.5974241981524353"/>
  </r>
  <r>
    <s v="LIBERTYVILLE BANK &amp; TRUST COMPANY, NATIONAL ASSOCIATION"/>
    <s v="Libertyville"/>
    <x v="1"/>
    <n v="60048"/>
    <d v="2020-09-30T00:00:00"/>
    <x v="1"/>
    <n v="98"/>
    <n v="2044230"/>
    <n v="271686"/>
    <n v="2044230"/>
    <n v="1873699"/>
    <n v="1709106"/>
    <x v="1"/>
    <n v="7.4999999999999997E-2"/>
    <n v="128182.95"/>
    <n v="0.91657934772506033"/>
    <n v="20859.489795918369"/>
    <n v="2.1195174553245968"/>
  </r>
  <r>
    <s v="LIBERTYVILLE BANK &amp; TRUST COMPANY, NATIONAL ASSOCIATION"/>
    <s v="Libertyville"/>
    <x v="1"/>
    <n v="60048"/>
    <d v="2021-09-30T00:00:00"/>
    <x v="2"/>
    <n v="81"/>
    <n v="2249267"/>
    <n v="259551"/>
    <n v="2249267"/>
    <n v="2057555"/>
    <n v="1898251"/>
    <x v="1"/>
    <n v="7.4999999999999997E-2"/>
    <n v="142368.82499999998"/>
    <n v="0.91476689961663071"/>
    <n v="27768.728395061727"/>
    <n v="1.8230887274654408"/>
  </r>
  <r>
    <s v="LIGHTHOUSE BANK"/>
    <s v="Santa Cruz"/>
    <x v="0"/>
    <n v="95060"/>
    <d v="2019-09-30T00:00:00"/>
    <x v="0"/>
    <n v="31"/>
    <n v="321822"/>
    <n v="73588"/>
    <n v="321822"/>
    <n v="278958"/>
    <n v="276995"/>
    <x v="0"/>
    <n v="0.09"/>
    <n v="24929.55"/>
    <n v="0.86680835990081473"/>
    <n v="10381.354838709678"/>
    <n v="2.9518382802738117"/>
  </r>
  <r>
    <s v="LINCOLNWAY COMMUNITY BANK"/>
    <s v="New Lenox"/>
    <x v="1"/>
    <n v="60451"/>
    <d v="2019-09-30T00:00:00"/>
    <x v="0"/>
    <n v="34"/>
    <n v="225194"/>
    <n v="37932"/>
    <n v="225194"/>
    <n v="199125"/>
    <n v="197452"/>
    <x v="0"/>
    <n v="0.08"/>
    <n v="15796.16"/>
    <n v="0.88423759069957464"/>
    <n v="6623.3529411764703"/>
    <n v="2.4013431112371615"/>
  </r>
  <r>
    <s v="LINCOLNWAY COMMUNITY BANK"/>
    <s v="New Lenox"/>
    <x v="1"/>
    <n v="60451"/>
    <d v="2020-09-30T00:00:00"/>
    <x v="1"/>
    <n v="35"/>
    <n v="257306"/>
    <n v="40180"/>
    <n v="257306"/>
    <n v="227916"/>
    <n v="226013"/>
    <x v="0"/>
    <n v="0.08"/>
    <n v="18081.04"/>
    <n v="0.88577802305426223"/>
    <n v="7351.6"/>
    <n v="2.222217306084163"/>
  </r>
  <r>
    <s v="LINCOLNWAY COMMUNITY BANK"/>
    <s v="New Lenox"/>
    <x v="1"/>
    <n v="60451"/>
    <d v="2021-09-30T00:00:00"/>
    <x v="2"/>
    <n v="34"/>
    <n v="278430"/>
    <n v="77568"/>
    <n v="278430"/>
    <n v="247602"/>
    <n v="245158"/>
    <x v="0"/>
    <n v="0.08"/>
    <n v="19612.64"/>
    <n v="0.88927917250296307"/>
    <n v="8189.1176470588234"/>
    <n v="3.9550004486902326"/>
  </r>
  <r>
    <s v="LISLE SAVINGS BANK"/>
    <s v="Lisle"/>
    <x v="1"/>
    <n v="60532"/>
    <d v="2019-09-30T00:00:00"/>
    <x v="0"/>
    <n v="60"/>
    <n v="505730"/>
    <n v="28131"/>
    <n v="505730"/>
    <n v="379238"/>
    <n v="372276"/>
    <x v="0"/>
    <n v="0.08"/>
    <n v="29782.080000000002"/>
    <n v="0.74988234828861255"/>
    <n v="8428.8333333333339"/>
    <n v="0.94456129323405214"/>
  </r>
  <r>
    <s v="LISLE SAVINGS BANK"/>
    <s v="Lisle"/>
    <x v="1"/>
    <n v="60532"/>
    <d v="2020-09-30T00:00:00"/>
    <x v="1"/>
    <n v="57"/>
    <n v="577252"/>
    <n v="42416"/>
    <n v="577252"/>
    <n v="445031"/>
    <n v="404129"/>
    <x v="0"/>
    <n v="0.08"/>
    <n v="32330.32"/>
    <n v="0.770947523785106"/>
    <n v="10127.228070175439"/>
    <n v="1.3119573205585346"/>
  </r>
  <r>
    <s v="LISLE SAVINGS BANK"/>
    <s v="Lisle"/>
    <x v="1"/>
    <n v="60532"/>
    <d v="2021-09-30T00:00:00"/>
    <x v="2"/>
    <n v="60"/>
    <n v="606739"/>
    <n v="27101"/>
    <n v="606739"/>
    <n v="470338"/>
    <n v="428113"/>
    <x v="0"/>
    <n v="0.08"/>
    <n v="34249.040000000001"/>
    <n v="0.77518999108348075"/>
    <n v="10112.316666666668"/>
    <n v="0.79129225227918798"/>
  </r>
  <r>
    <s v="LONGVIEW BANK"/>
    <s v="Ogden"/>
    <x v="1"/>
    <n v="61859"/>
    <d v="2019-09-30T00:00:00"/>
    <x v="0"/>
    <n v="42"/>
    <n v="207404"/>
    <n v="25816"/>
    <n v="207404"/>
    <n v="188166"/>
    <n v="186017"/>
    <x v="0"/>
    <n v="0.08"/>
    <n v="14881.36"/>
    <n v="0.9072438332915469"/>
    <n v="4938.1904761904761"/>
    <n v="1.7347876806958502"/>
  </r>
  <r>
    <s v="LONGVIEW BANK"/>
    <s v="Ogden"/>
    <x v="1"/>
    <n v="61859"/>
    <d v="2020-09-30T00:00:00"/>
    <x v="1"/>
    <n v="42"/>
    <n v="218608"/>
    <n v="33609"/>
    <n v="218608"/>
    <n v="199481"/>
    <n v="195223"/>
    <x v="0"/>
    <n v="0.08"/>
    <n v="15617.84"/>
    <n v="0.9125054892776111"/>
    <n v="5204.9523809523807"/>
    <n v="2.1519621151196322"/>
  </r>
  <r>
    <s v="LONGVIEW BANK"/>
    <s v="Ogden"/>
    <x v="1"/>
    <n v="61859"/>
    <d v="2021-09-30T00:00:00"/>
    <x v="2"/>
    <n v="43"/>
    <n v="255774"/>
    <n v="64036"/>
    <n v="255774"/>
    <n v="234896"/>
    <n v="233814"/>
    <x v="0"/>
    <n v="0.08"/>
    <n v="18705.12"/>
    <n v="0.91837325138598924"/>
    <n v="5948.2325581395353"/>
    <n v="3.4234476977426502"/>
  </r>
  <r>
    <s v="LONGVIEW BANK AND TRUST"/>
    <s v="Chrisman"/>
    <x v="1"/>
    <n v="61924"/>
    <d v="2019-09-30T00:00:00"/>
    <x v="0"/>
    <n v="39"/>
    <n v="186586"/>
    <n v="41640"/>
    <n v="186586"/>
    <n v="169981"/>
    <n v="165990"/>
    <x v="0"/>
    <n v="0.08"/>
    <n v="13279.2"/>
    <n v="0.91100618481558104"/>
    <n v="4784.2564102564102"/>
    <n v="3.1357310681366344"/>
  </r>
  <r>
    <s v="LONGVIEW BANK AND TRUST"/>
    <s v="Chrisman"/>
    <x v="1"/>
    <n v="61924"/>
    <d v="2020-09-30T00:00:00"/>
    <x v="1"/>
    <n v="39"/>
    <n v="202599"/>
    <n v="39664"/>
    <n v="202599"/>
    <n v="184863"/>
    <n v="176660"/>
    <x v="0"/>
    <n v="0.08"/>
    <n v="14132.800000000001"/>
    <n v="0.91245761331497199"/>
    <n v="5194.8461538461543"/>
    <n v="2.8065210007924826"/>
  </r>
  <r>
    <s v="LONGVIEW BANK AND TRUST"/>
    <s v="Chrisman"/>
    <x v="1"/>
    <n v="61924"/>
    <d v="2021-09-30T00:00:00"/>
    <x v="2"/>
    <n v="42"/>
    <n v="219970"/>
    <n v="45011"/>
    <n v="219970"/>
    <n v="200133"/>
    <n v="196145"/>
    <x v="0"/>
    <n v="0.08"/>
    <n v="15691.6"/>
    <n v="0.90981952084375139"/>
    <n v="5237.3809523809523"/>
    <n v="2.8684774019220476"/>
  </r>
  <r>
    <s v="LOOMIS FEDERAL SAVINGS AND LOAN ASSOCIATION"/>
    <s v="Chicago"/>
    <x v="1"/>
    <n v="60638"/>
    <d v="2019-09-30T00:00:00"/>
    <x v="0"/>
    <n v="15"/>
    <n v="61513"/>
    <n v="27404"/>
    <n v="61513"/>
    <n v="43606"/>
    <n v="43399"/>
    <x v="2"/>
    <n v="0.09"/>
    <n v="3905.91"/>
    <n v="0.70889080356997702"/>
    <n v="4100.8666666666668"/>
    <n v="7.0160346756581697"/>
  </r>
  <r>
    <s v="LOOMIS FEDERAL SAVINGS AND LOAN ASSOCIATION"/>
    <s v="Chicago"/>
    <x v="1"/>
    <n v="60638"/>
    <d v="2020-09-30T00:00:00"/>
    <x v="1"/>
    <n v="14"/>
    <n v="63878"/>
    <n v="28880"/>
    <n v="63878"/>
    <n v="49561"/>
    <n v="43701"/>
    <x v="2"/>
    <n v="0.09"/>
    <n v="3933.0899999999997"/>
    <n v="0.77586962647546887"/>
    <n v="4562.7142857142853"/>
    <n v="7.3428271410010968"/>
  </r>
  <r>
    <s v="LUTHER BURBANK SAVINGS"/>
    <s v="Santa Rosa"/>
    <x v="0"/>
    <n v="95401"/>
    <d v="2019-09-30T00:00:00"/>
    <x v="0"/>
    <n v="274"/>
    <n v="7158637"/>
    <n v="167365"/>
    <n v="7158637"/>
    <n v="6412870"/>
    <n v="5403809"/>
    <x v="1"/>
    <n v="0.08"/>
    <n v="432304.72000000003"/>
    <n v="0.89582276626123103"/>
    <n v="26126.412408759123"/>
    <n v="0.38714590023444573"/>
  </r>
  <r>
    <s v="LUTHER BURBANK SAVINGS"/>
    <s v="Santa Rosa"/>
    <x v="0"/>
    <n v="95401"/>
    <d v="2020-09-30T00:00:00"/>
    <x v="1"/>
    <n v="282"/>
    <n v="7067694"/>
    <n v="214065"/>
    <n v="7067694"/>
    <n v="6316417"/>
    <n v="5314445"/>
    <x v="1"/>
    <n v="0.08"/>
    <n v="425155.60000000003"/>
    <n v="0.89370267020615213"/>
    <n v="25062.744680851065"/>
    <n v="0.50349801343319944"/>
  </r>
  <r>
    <s v="LUTHER BURBANK SAVINGS"/>
    <s v="Santa Rosa"/>
    <x v="0"/>
    <n v="95401"/>
    <d v="2021-09-30T00:00:00"/>
    <x v="2"/>
    <n v="277"/>
    <n v="7217866"/>
    <n v="131225"/>
    <n v="7217866"/>
    <n v="6430109"/>
    <n v="5641588"/>
    <x v="1"/>
    <n v="0.08"/>
    <n v="451327.04000000004"/>
    <n v="0.89086012403111947"/>
    <n v="26057.277978339349"/>
    <n v="0.29075368495537068"/>
  </r>
  <r>
    <s v="M.Y. SAFRA BANK, FSB"/>
    <s v="New York"/>
    <x v="2"/>
    <n v="10022"/>
    <d v="2019-09-30T00:00:00"/>
    <x v="0"/>
    <n v="25"/>
    <n v="431856"/>
    <n v="23617"/>
    <n v="431856"/>
    <n v="379988"/>
    <n v="377075"/>
    <x v="0"/>
    <n v="8.5000000000000006E-2"/>
    <n v="32051.375000000004"/>
    <n v="0.87989515023526366"/>
    <n v="17274.240000000002"/>
    <n v="0.73684826314003682"/>
  </r>
  <r>
    <s v="M.Y. SAFRA BANK, FSB"/>
    <s v="New York"/>
    <x v="2"/>
    <n v="10022"/>
    <d v="2020-09-30T00:00:00"/>
    <x v="1"/>
    <n v="28"/>
    <n v="363513"/>
    <n v="48388"/>
    <n v="363513"/>
    <n v="318978"/>
    <n v="313856"/>
    <x v="0"/>
    <n v="8.5000000000000006E-2"/>
    <n v="26677.760000000002"/>
    <n v="0.87748718752836896"/>
    <n v="12982.607142857143"/>
    <n v="1.8137954610881872"/>
  </r>
  <r>
    <s v="M.Y. SAFRA BANK, FSB"/>
    <s v="New York"/>
    <x v="2"/>
    <n v="10022"/>
    <d v="2021-09-30T00:00:00"/>
    <x v="2"/>
    <n v="24"/>
    <n v="382989"/>
    <n v="95609"/>
    <n v="382989"/>
    <n v="340262"/>
    <n v="333363"/>
    <x v="0"/>
    <n v="8.5000000000000006E-2"/>
    <n v="28335.855000000003"/>
    <n v="0.88843804913457047"/>
    <n v="15957.875"/>
    <n v="3.3741349961029936"/>
  </r>
  <r>
    <s v="MAHOPAC BANK"/>
    <s v="Mahopac"/>
    <x v="2"/>
    <n v="10541"/>
    <d v="2019-09-30T00:00:00"/>
    <x v="0"/>
    <n v="118"/>
    <n v="1341751"/>
    <n v="27502"/>
    <n v="1341751"/>
    <n v="1204908"/>
    <n v="1090303"/>
    <x v="1"/>
    <n v="0.08"/>
    <n v="87224.24"/>
    <n v="0.89801162808896728"/>
    <n v="11370.771186440677"/>
    <n v="0.31530226001395939"/>
  </r>
  <r>
    <s v="MAHOPAC BANK"/>
    <s v="Mahopac"/>
    <x v="2"/>
    <n v="10541"/>
    <d v="2020-09-30T00:00:00"/>
    <x v="1"/>
    <n v="118"/>
    <n v="1615134"/>
    <n v="139034"/>
    <n v="1615134"/>
    <n v="1468257"/>
    <n v="1395572"/>
    <x v="1"/>
    <n v="0.08"/>
    <n v="111645.76000000001"/>
    <n v="0.90906203448134959"/>
    <n v="13687.576271186441"/>
    <n v="1.2453137494876652"/>
  </r>
  <r>
    <s v="MAHOPAC BANK"/>
    <s v="Mahopac"/>
    <x v="2"/>
    <n v="10541"/>
    <d v="2021-09-30T00:00:00"/>
    <x v="2"/>
    <n v="112"/>
    <n v="1663906"/>
    <n v="146275"/>
    <n v="1663906"/>
    <n v="1514524"/>
    <n v="1465877"/>
    <x v="1"/>
    <n v="0.08"/>
    <n v="117270.16"/>
    <n v="0.91022209187297842"/>
    <n v="14856.303571428571"/>
    <n v="1.247333507518025"/>
  </r>
  <r>
    <s v="MAIN STREET BANK"/>
    <s v="Marlborough"/>
    <x v="3"/>
    <n v="1752"/>
    <d v="2019-09-30T00:00:00"/>
    <x v="0"/>
    <n v="175"/>
    <n v="1032828"/>
    <n v="49159"/>
    <n v="1032828"/>
    <n v="907648"/>
    <n v="823490"/>
    <x v="1"/>
    <n v="0.08"/>
    <n v="65879.199999999997"/>
    <n v="0.8787987932162955"/>
    <n v="5901.8742857142861"/>
    <n v="0.74619910381425403"/>
  </r>
  <r>
    <s v="MAIN STREET BANK"/>
    <s v="Marlborough"/>
    <x v="3"/>
    <n v="1752"/>
    <d v="2020-09-30T00:00:00"/>
    <x v="1"/>
    <n v="179"/>
    <n v="1192676"/>
    <n v="50365"/>
    <n v="1192676"/>
    <n v="1060898"/>
    <n v="969143"/>
    <x v="1"/>
    <n v="0.08"/>
    <n v="77531.44"/>
    <n v="0.88951064664670032"/>
    <n v="6662.9944134078214"/>
    <n v="0.64960743667343213"/>
  </r>
  <r>
    <s v="MAIN STREET BANK"/>
    <s v="Marlborough"/>
    <x v="3"/>
    <n v="1752"/>
    <d v="2021-09-30T00:00:00"/>
    <x v="2"/>
    <n v="174"/>
    <n v="1317892"/>
    <n v="85518"/>
    <n v="1317892"/>
    <n v="1180051"/>
    <n v="1122226"/>
    <x v="1"/>
    <n v="0.08"/>
    <n v="89778.08"/>
    <n v="0.89540796969706171"/>
    <n v="7574.0919540229888"/>
    <n v="0.9525487735981879"/>
  </r>
  <r>
    <s v="MALAGA BANK F.S.B."/>
    <s v="Palos Verdes Pen"/>
    <x v="0"/>
    <n v="90274"/>
    <d v="2019-09-30T00:00:00"/>
    <x v="0"/>
    <n v="76"/>
    <n v="1231343"/>
    <n v="24225"/>
    <n v="1231343"/>
    <n v="1077915"/>
    <n v="779326"/>
    <x v="1"/>
    <n v="0.08"/>
    <n v="62346.080000000002"/>
    <n v="0.87539783797041115"/>
    <n v="16201.881578947368"/>
    <n v="0.38855690686567623"/>
  </r>
  <r>
    <s v="MALAGA BANK F.S.B."/>
    <s v="Palos Verdes Pen"/>
    <x v="0"/>
    <n v="90274"/>
    <d v="2020-09-30T00:00:00"/>
    <x v="1"/>
    <n v="72"/>
    <n v="1282413"/>
    <n v="10157"/>
    <n v="1282413"/>
    <n v="1118409"/>
    <n v="814275"/>
    <x v="1"/>
    <n v="0.08"/>
    <n v="65142"/>
    <n v="0.87211296204888755"/>
    <n v="17811.291666666668"/>
    <n v="0.15592091124006019"/>
  </r>
  <r>
    <s v="MALAGA BANK F.S.B."/>
    <s v="Palos Verdes Pen"/>
    <x v="0"/>
    <n v="90274"/>
    <d v="2021-09-30T00:00:00"/>
    <x v="2"/>
    <n v="72"/>
    <n v="1427795"/>
    <n v="158339"/>
    <n v="1427795"/>
    <n v="1252027"/>
    <n v="974000"/>
    <x v="1"/>
    <n v="0.08"/>
    <n v="77920"/>
    <n v="0.87689549270028255"/>
    <n v="19830.486111111109"/>
    <n v="2.0320713552361398"/>
  </r>
  <r>
    <s v="MANSFIELD CO-OPERATIVE BANK"/>
    <s v="Mansfield"/>
    <x v="3"/>
    <n v="2048"/>
    <d v="2019-09-30T00:00:00"/>
    <x v="0"/>
    <n v="84"/>
    <n v="527235"/>
    <n v="50088"/>
    <n v="527235"/>
    <n v="471036"/>
    <n v="423975"/>
    <x v="0"/>
    <n v="8.5000000000000006E-2"/>
    <n v="36037.875"/>
    <n v="0.89340806281828788"/>
    <n v="6276.6071428571431"/>
    <n v="1.3898710731417987"/>
  </r>
  <r>
    <s v="MANSFIELD CO-OPERATIVE BANK"/>
    <s v="Mansfield"/>
    <x v="3"/>
    <n v="2048"/>
    <d v="2020-09-30T00:00:00"/>
    <x v="1"/>
    <n v="79"/>
    <n v="592070"/>
    <n v="106202"/>
    <n v="592069"/>
    <n v="532884"/>
    <n v="503346"/>
    <x v="0"/>
    <n v="8.5000000000000006E-2"/>
    <n v="42784.41"/>
    <n v="0.90003546877902951"/>
    <n v="7494.5569620253164"/>
    <n v="2.4822593089398683"/>
  </r>
  <r>
    <s v="MANUFACTURERS AND TRADERS TRUST COMPANY"/>
    <s v="Buffalo"/>
    <x v="2"/>
    <n v="14203"/>
    <d v="2019-09-30T00:00:00"/>
    <x v="0"/>
    <n v="16885"/>
    <n v="125040594"/>
    <n v="14244075"/>
    <n v="125040594"/>
    <n v="109814856"/>
    <n v="96701239"/>
    <x v="1"/>
    <n v="0.08"/>
    <n v="7736099.1200000001"/>
    <n v="0.87823363986898528"/>
    <n v="7405.4245780278352"/>
    <n v="1.8412477372704603"/>
  </r>
  <r>
    <s v="MANUFACTURERS AND TRADERS TRUST COMPANY"/>
    <s v="Buffalo"/>
    <x v="2"/>
    <n v="14203"/>
    <d v="2020-09-30T00:00:00"/>
    <x v="1"/>
    <n v="16323"/>
    <n v="138246208"/>
    <n v="21603178"/>
    <n v="138246208"/>
    <n v="122347524"/>
    <n v="116427052"/>
    <x v="1"/>
    <n v="0.08"/>
    <n v="9314164.1600000001"/>
    <n v="0.88499732303688217"/>
    <n v="8469.4117502910012"/>
    <n v="2.3193898699762663"/>
  </r>
  <r>
    <s v="MANUFACTURERS AND TRADERS TRUST COMPANY"/>
    <s v="Buffalo"/>
    <x v="2"/>
    <n v="14203"/>
    <d v="2021-09-30T00:00:00"/>
    <x v="2"/>
    <n v="16441"/>
    <n v="151507667"/>
    <n v="39834226"/>
    <n v="151507667"/>
    <n v="135032604"/>
    <n v="130812096"/>
    <x v="1"/>
    <n v="0.08"/>
    <n v="10464967.68"/>
    <n v="0.89125921264433439"/>
    <n v="9215.2342923179858"/>
    <n v="3.8064356449116143"/>
  </r>
  <r>
    <s v="MANUFACTURERS BANK"/>
    <s v="Los Angeles"/>
    <x v="0"/>
    <n v="90071"/>
    <d v="2019-09-30T00:00:00"/>
    <x v="0"/>
    <n v="283"/>
    <n v="4491983"/>
    <n v="1694629"/>
    <n v="4491983"/>
    <n v="4116403"/>
    <n v="3897592"/>
    <x v="1"/>
    <n v="0.08"/>
    <n v="311807.35999999999"/>
    <n v="0.91638881981521303"/>
    <n v="15872.73144876325"/>
    <n v="5.4348588820995118"/>
  </r>
  <r>
    <s v="MANUFACTURERS BANK"/>
    <s v="Los Angeles"/>
    <x v="0"/>
    <n v="90071"/>
    <d v="2020-09-30T00:00:00"/>
    <x v="1"/>
    <n v="284"/>
    <n v="4011529"/>
    <n v="705975"/>
    <n v="4011529"/>
    <n v="3624017"/>
    <n v="3160712"/>
    <x v="1"/>
    <n v="0.08"/>
    <n v="252856.95999999999"/>
    <n v="0.90340042412755839"/>
    <n v="14125.102112676057"/>
    <n v="2.7919935444925068"/>
  </r>
  <r>
    <s v="MANUFACTURERS BANK"/>
    <s v="Los Angeles"/>
    <x v="0"/>
    <n v="90071"/>
    <d v="2021-09-30T00:00:00"/>
    <x v="2"/>
    <n v="331"/>
    <n v="3866706"/>
    <n v="1100387"/>
    <n v="3866706"/>
    <n v="3469488"/>
    <n v="3146038"/>
    <x v="1"/>
    <n v="0.08"/>
    <n v="251683.04"/>
    <n v="0.89727225188571358"/>
    <n v="11681.891238670694"/>
    <n v="4.3721142274823128"/>
  </r>
  <r>
    <s v="MAPLE CITY SAVINGS BANK, FSB"/>
    <s v="Hornell"/>
    <x v="2"/>
    <n v="14843"/>
    <d v="2019-09-30T00:00:00"/>
    <x v="0"/>
    <n v="29"/>
    <n v="84221"/>
    <n v="2952"/>
    <n v="84221"/>
    <n v="76148"/>
    <n v="69306"/>
    <x v="2"/>
    <n v="0.09"/>
    <n v="6237.54"/>
    <n v="0.90414504695978437"/>
    <n v="2904.1724137931033"/>
    <n v="0.47326349810983176"/>
  </r>
  <r>
    <s v="MAPLE CITY SAVINGS BANK, FSB"/>
    <s v="Hornell"/>
    <x v="2"/>
    <n v="14843"/>
    <d v="2020-09-30T00:00:00"/>
    <x v="1"/>
    <n v="27"/>
    <n v="93935"/>
    <n v="2766"/>
    <n v="93935"/>
    <n v="85224"/>
    <n v="78416"/>
    <x v="2"/>
    <n v="0.09"/>
    <n v="7057.44"/>
    <n v="0.9072656624261457"/>
    <n v="3479.0740740740739"/>
    <n v="0.39192681765626064"/>
  </r>
  <r>
    <s v="MAPLE CITY SAVINGS BANK, FSB"/>
    <s v="Hornell"/>
    <x v="2"/>
    <n v="14843"/>
    <d v="2021-09-30T00:00:00"/>
    <x v="2"/>
    <n v="29"/>
    <n v="103244"/>
    <n v="4299"/>
    <n v="103244"/>
    <n v="93339"/>
    <n v="88938"/>
    <x v="0"/>
    <n v="8.5000000000000006E-2"/>
    <n v="7559.7300000000005"/>
    <n v="0.90406222153345472"/>
    <n v="3560.1379310344828"/>
    <n v="0.56867110333305548"/>
  </r>
  <r>
    <s v="MARBLEHEAD BANK"/>
    <s v="Marblehead"/>
    <x v="3"/>
    <n v="1945"/>
    <d v="2019-09-30T00:00:00"/>
    <x v="0"/>
    <n v="49"/>
    <n v="214934"/>
    <n v="9518"/>
    <n v="214934"/>
    <n v="195574"/>
    <n v="182247"/>
    <x v="0"/>
    <n v="8.5000000000000006E-2"/>
    <n v="15490.995000000001"/>
    <n v="0.90992583769901458"/>
    <n v="4386.408163265306"/>
    <n v="0.61442147518606771"/>
  </r>
  <r>
    <s v="MARBLEHEAD BANK"/>
    <s v="Marblehead"/>
    <x v="3"/>
    <n v="1945"/>
    <d v="2020-09-30T00:00:00"/>
    <x v="1"/>
    <n v="50"/>
    <n v="244421"/>
    <n v="30026"/>
    <n v="244421"/>
    <n v="225179"/>
    <n v="218636"/>
    <x v="0"/>
    <n v="8.5000000000000006E-2"/>
    <n v="18584.060000000001"/>
    <n v="0.92127517684650662"/>
    <n v="4888.42"/>
    <n v="1.6156857005412164"/>
  </r>
  <r>
    <s v="MARBLEHEAD BANK"/>
    <s v="Marblehead"/>
    <x v="3"/>
    <n v="1945"/>
    <d v="2021-09-30T00:00:00"/>
    <x v="2"/>
    <n v="50"/>
    <n v="285339"/>
    <n v="78936"/>
    <n v="285339"/>
    <n v="265945"/>
    <n v="258267"/>
    <x v="0"/>
    <n v="8.5000000000000006E-2"/>
    <n v="21952.695000000003"/>
    <n v="0.9320317236690393"/>
    <n v="5706.78"/>
    <n v="3.595731640238248"/>
  </r>
  <r>
    <s v="MARINE BANK"/>
    <s v="Springfield"/>
    <x v="1"/>
    <n v="62704"/>
    <d v="2019-09-30T00:00:00"/>
    <x v="0"/>
    <n v="201"/>
    <n v="630735"/>
    <n v="50462"/>
    <n v="630735"/>
    <n v="557505"/>
    <n v="537011"/>
    <x v="0"/>
    <n v="0.08"/>
    <n v="42960.88"/>
    <n v="0.88389735784441958"/>
    <n v="3137.9850746268658"/>
    <n v="1.1746034997420911"/>
  </r>
  <r>
    <s v="MARINE BANK"/>
    <s v="Springfield"/>
    <x v="1"/>
    <n v="62704"/>
    <d v="2020-09-30T00:00:00"/>
    <x v="1"/>
    <n v="189"/>
    <n v="684159"/>
    <n v="87226"/>
    <n v="684159"/>
    <n v="608579"/>
    <n v="582254"/>
    <x v="0"/>
    <n v="0.08"/>
    <n v="46580.32"/>
    <n v="0.88952860373100406"/>
    <n v="3619.8888888888887"/>
    <n v="1.8725934042531267"/>
  </r>
  <r>
    <s v="MARINE BANK"/>
    <s v="Springfield"/>
    <x v="1"/>
    <n v="62704"/>
    <d v="2021-09-30T00:00:00"/>
    <x v="2"/>
    <n v="185"/>
    <n v="720191"/>
    <n v="148367"/>
    <n v="720191"/>
    <n v="646175"/>
    <n v="608428"/>
    <x v="0"/>
    <n v="0.08"/>
    <n v="48674.239999999998"/>
    <n v="0.8972272633232018"/>
    <n v="3892.9243243243245"/>
    <n v="3.0481626420874779"/>
  </r>
  <r>
    <s v="MARQUETTE BANK"/>
    <s v="Chicago"/>
    <x v="1"/>
    <n v="60636"/>
    <d v="2019-09-30T00:00:00"/>
    <x v="0"/>
    <n v="339"/>
    <n v="1598767"/>
    <n v="60786"/>
    <n v="1598767"/>
    <n v="1421292"/>
    <n v="1351416"/>
    <x v="1"/>
    <n v="7.4999999999999997E-2"/>
    <n v="101356.2"/>
    <n v="0.88899257990689073"/>
    <n v="4716.1268436578175"/>
    <n v="0.59972650908380543"/>
  </r>
  <r>
    <s v="MARQUETTE BANK"/>
    <s v="Chicago"/>
    <x v="1"/>
    <n v="60636"/>
    <d v="2020-09-30T00:00:00"/>
    <x v="1"/>
    <n v="332"/>
    <n v="1796031"/>
    <n v="53024"/>
    <n v="1796031"/>
    <n v="1616805"/>
    <n v="1525539"/>
    <x v="1"/>
    <n v="7.4999999999999997E-2"/>
    <n v="114415.425"/>
    <n v="0.90020996296834521"/>
    <n v="5409.7319277108436"/>
    <n v="0.46343401687316199"/>
  </r>
  <r>
    <s v="MARQUETTE BANK"/>
    <s v="Chicago"/>
    <x v="1"/>
    <n v="60636"/>
    <d v="2021-09-30T00:00:00"/>
    <x v="2"/>
    <n v="305"/>
    <n v="1980279"/>
    <n v="94897"/>
    <n v="1980279"/>
    <n v="1800065"/>
    <n v="1696186"/>
    <x v="1"/>
    <n v="7.4999999999999997E-2"/>
    <n v="127213.95"/>
    <n v="0.90899565162282692"/>
    <n v="6492.7180327868855"/>
    <n v="0.74596378777641914"/>
  </r>
  <r>
    <s v="MARSEILLES BANK"/>
    <s v="Marseilles"/>
    <x v="1"/>
    <n v="61341"/>
    <d v="2019-09-30T00:00:00"/>
    <x v="0"/>
    <n v="9"/>
    <n v="63549"/>
    <n v="1625"/>
    <n v="63549"/>
    <n v="56983"/>
    <n v="56469"/>
    <x v="2"/>
    <n v="0.09"/>
    <n v="5082.21"/>
    <n v="0.89667815386552108"/>
    <n v="7061"/>
    <n v="0.31974278906223869"/>
  </r>
  <r>
    <s v="MARSEILLES BANK"/>
    <s v="Marseilles"/>
    <x v="1"/>
    <n v="61341"/>
    <d v="2020-09-30T00:00:00"/>
    <x v="1"/>
    <n v="9"/>
    <n v="66082"/>
    <n v="4949"/>
    <n v="66082"/>
    <n v="59060"/>
    <n v="58697"/>
    <x v="2"/>
    <n v="0.09"/>
    <n v="5282.73"/>
    <n v="0.893738082987803"/>
    <n v="7342.4444444444443"/>
    <n v="0.9368262243196227"/>
  </r>
  <r>
    <s v="MARSEILLES BANK"/>
    <s v="Marseilles"/>
    <x v="1"/>
    <n v="61341"/>
    <d v="2021-09-30T00:00:00"/>
    <x v="2"/>
    <n v="11"/>
    <n v="72714"/>
    <n v="3093"/>
    <n v="72714"/>
    <n v="66121"/>
    <n v="65818"/>
    <x v="2"/>
    <n v="0.09"/>
    <n v="5923.62"/>
    <n v="0.90932970267073743"/>
    <n v="6610.363636363636"/>
    <n v="0.52214693042430138"/>
  </r>
  <r>
    <s v="MARTHA'S VINEYARD BANK"/>
    <s v="Edgartown"/>
    <x v="3"/>
    <n v="2539"/>
    <d v="2021-09-30T00:00:00"/>
    <x v="2"/>
    <n v="102"/>
    <n v="1204459"/>
    <n v="84678"/>
    <n v="1204459"/>
    <n v="1083650"/>
    <n v="1029652"/>
    <x v="1"/>
    <n v="0.08"/>
    <n v="82372.160000000003"/>
    <n v="0.89969853685347534"/>
    <n v="11808.421568627451"/>
    <n v="1.0279929529588638"/>
  </r>
  <r>
    <s v="MARTHA'S VINEYARD SAVINGS BANK"/>
    <s v="Edgartown"/>
    <x v="3"/>
    <n v="2539"/>
    <d v="2019-09-30T00:00:00"/>
    <x v="0"/>
    <n v="107"/>
    <n v="832109"/>
    <n v="36416"/>
    <n v="832109"/>
    <n v="724779"/>
    <n v="674360"/>
    <x v="0"/>
    <n v="8.5000000000000006E-2"/>
    <n v="57320.600000000006"/>
    <n v="0.87101449449531254"/>
    <n v="7776.7196261682247"/>
    <n v="0.63530388725868181"/>
  </r>
  <r>
    <s v="MARTHA'S VINEYARD SAVINGS BANK"/>
    <s v="Edgartown"/>
    <x v="3"/>
    <n v="2539"/>
    <d v="2020-09-30T00:00:00"/>
    <x v="1"/>
    <n v="104"/>
    <n v="1030389"/>
    <n v="103155"/>
    <n v="1030389"/>
    <n v="916027"/>
    <n v="854164"/>
    <x v="1"/>
    <n v="0.08"/>
    <n v="68333.119999999995"/>
    <n v="0.88901084930060392"/>
    <n v="9907.586538461539"/>
    <n v="1.5095900787202459"/>
  </r>
  <r>
    <s v="MASON CITY NATIONAL BANK"/>
    <s v="Mason City"/>
    <x v="1"/>
    <n v="62664"/>
    <d v="2019-09-30T00:00:00"/>
    <x v="0"/>
    <n v="10"/>
    <n v="71539"/>
    <n v="3465"/>
    <n v="71539"/>
    <n v="58423"/>
    <n v="58352"/>
    <x v="2"/>
    <n v="0.09"/>
    <n v="5251.6799999999994"/>
    <n v="0.8166594444988049"/>
    <n v="7153.9"/>
    <n v="0.65978886756238009"/>
  </r>
  <r>
    <s v="MASON CITY NATIONAL BANK"/>
    <s v="Mason City"/>
    <x v="1"/>
    <n v="62664"/>
    <d v="2020-09-30T00:00:00"/>
    <x v="1"/>
    <n v="10"/>
    <n v="73237"/>
    <n v="4387"/>
    <n v="73237"/>
    <n v="59477"/>
    <n v="59409"/>
    <x v="2"/>
    <n v="0.09"/>
    <n v="5346.8099999999995"/>
    <n v="0.81211682619440995"/>
    <n v="7323.7"/>
    <n v="0.82048922628632781"/>
  </r>
  <r>
    <s v="MASON CITY NATIONAL BANK"/>
    <s v="Mason City"/>
    <x v="1"/>
    <n v="62664"/>
    <d v="2021-09-30T00:00:00"/>
    <x v="2"/>
    <n v="10"/>
    <n v="85964"/>
    <n v="13238"/>
    <n v="85964"/>
    <n v="72105"/>
    <n v="71725"/>
    <x v="2"/>
    <n v="0.09"/>
    <n v="6455.25"/>
    <n v="0.83878135033269741"/>
    <n v="8596.4"/>
    <n v="2.0507338987645714"/>
  </r>
  <r>
    <s v="MASPETH FEDERAL SAVINGS AND LOAN ASSOCIATION"/>
    <s v="Maspeth"/>
    <x v="2"/>
    <n v="11378"/>
    <d v="2019-09-30T00:00:00"/>
    <x v="0"/>
    <n v="199"/>
    <n v="1966997"/>
    <n v="112044"/>
    <n v="1966997"/>
    <n v="1327672"/>
    <n v="1270228"/>
    <x v="1"/>
    <n v="0.08"/>
    <n v="101618.24000000001"/>
    <n v="0.67497408486133936"/>
    <n v="9884.4070351758801"/>
    <n v="1.1025973289834581"/>
  </r>
  <r>
    <s v="MASPETH FEDERAL SAVINGS AND LOAN ASSOCIATION"/>
    <s v="Maspeth"/>
    <x v="2"/>
    <n v="11378"/>
    <d v="2020-09-30T00:00:00"/>
    <x v="1"/>
    <n v="196"/>
    <n v="2027347"/>
    <n v="183498"/>
    <n v="2027347"/>
    <n v="1371444"/>
    <n v="1332546"/>
    <x v="1"/>
    <n v="0.08"/>
    <n v="106603.68000000001"/>
    <n v="0.67647225659938826"/>
    <n v="10343.607142857143"/>
    <n v="1.7213101836634532"/>
  </r>
  <r>
    <s v="MASPETH FEDERAL SAVINGS AND LOAN ASSOCIATION"/>
    <s v="Maspeth"/>
    <x v="2"/>
    <n v="11378"/>
    <d v="2021-09-30T00:00:00"/>
    <x v="2"/>
    <n v="196"/>
    <n v="2167530"/>
    <n v="280369"/>
    <n v="2167530"/>
    <n v="1489944"/>
    <n v="1450723"/>
    <x v="1"/>
    <n v="0.08"/>
    <n v="116057.84"/>
    <n v="0.68739256204066379"/>
    <n v="11058.826530612245"/>
    <n v="2.415769585234397"/>
  </r>
  <r>
    <s v="MASSENA SAVINGS AND LOAN"/>
    <s v="Massena"/>
    <x v="2"/>
    <n v="13662"/>
    <d v="2019-09-30T00:00:00"/>
    <x v="0"/>
    <n v="24"/>
    <n v="165513"/>
    <n v="5118"/>
    <n v="165513"/>
    <n v="143450"/>
    <n v="117091"/>
    <x v="0"/>
    <n v="8.5000000000000006E-2"/>
    <n v="9952.7350000000006"/>
    <n v="0.86669929250270372"/>
    <n v="6896.375"/>
    <n v="0.51423051050791568"/>
  </r>
  <r>
    <s v="MASSENA SAVINGS AND LOAN"/>
    <s v="Massena"/>
    <x v="2"/>
    <n v="13662"/>
    <d v="2020-09-30T00:00:00"/>
    <x v="1"/>
    <n v="26"/>
    <n v="179892"/>
    <n v="20964"/>
    <n v="179892"/>
    <n v="156997"/>
    <n v="128608"/>
    <x v="0"/>
    <n v="8.5000000000000006E-2"/>
    <n v="10931.68"/>
    <n v="0.8727291930713984"/>
    <n v="6918.9230769230771"/>
    <n v="1.9177290224375392"/>
  </r>
  <r>
    <s v="MASSENA SAVINGS AND LOAN"/>
    <s v="Massena"/>
    <x v="2"/>
    <n v="13662"/>
    <d v="2021-09-30T00:00:00"/>
    <x v="2"/>
    <n v="24"/>
    <n v="179437"/>
    <n v="23367"/>
    <n v="179437"/>
    <n v="155710"/>
    <n v="134320"/>
    <x v="0"/>
    <n v="8.5000000000000006E-2"/>
    <n v="11417.2"/>
    <n v="0.86776974648483873"/>
    <n v="7476.541666666667"/>
    <n v="2.0466489156710925"/>
  </r>
  <r>
    <s v="MCHENRY SAVINGS BANK"/>
    <s v="Mchenry"/>
    <x v="1"/>
    <n v="60050"/>
    <d v="2019-09-30T00:00:00"/>
    <x v="0"/>
    <n v="51"/>
    <n v="230251"/>
    <n v="8648"/>
    <n v="230251"/>
    <n v="208386"/>
    <n v="185120"/>
    <x v="0"/>
    <n v="0.08"/>
    <n v="14809.6"/>
    <n v="0.90503841459971945"/>
    <n v="4514.7254901960787"/>
    <n v="0.58394554883318928"/>
  </r>
  <r>
    <s v="MCHENRY SAVINGS BANK"/>
    <s v="Mchenry"/>
    <x v="1"/>
    <n v="60050"/>
    <d v="2020-09-30T00:00:00"/>
    <x v="1"/>
    <n v="48"/>
    <n v="261641"/>
    <n v="12620"/>
    <n v="261641"/>
    <n v="239365"/>
    <n v="215910"/>
    <x v="0"/>
    <n v="0.08"/>
    <n v="17272.8"/>
    <n v="0.91486043853983134"/>
    <n v="5450.854166666667"/>
    <n v="0.7306285026168311"/>
  </r>
  <r>
    <s v="MCHENRY SAVINGS BANK"/>
    <s v="Mchenry"/>
    <x v="1"/>
    <n v="60050"/>
    <d v="2021-09-30T00:00:00"/>
    <x v="2"/>
    <n v="51"/>
    <n v="272760"/>
    <n v="9821"/>
    <n v="272760"/>
    <n v="247738"/>
    <n v="230754"/>
    <x v="0"/>
    <n v="0.08"/>
    <n v="18460.32"/>
    <n v="0.90826367502566363"/>
    <n v="5348.2352941176468"/>
    <n v="0.53200594572575122"/>
  </r>
  <r>
    <s v="MECHANICS BANK"/>
    <s v="Walnut Creek"/>
    <x v="0"/>
    <n v="94596"/>
    <d v="2019-09-30T00:00:00"/>
    <x v="0"/>
    <n v="2338"/>
    <n v="17299341"/>
    <n v="2142787"/>
    <n v="17299341"/>
    <n v="15036173"/>
    <n v="14668158"/>
    <x v="1"/>
    <n v="0.08"/>
    <n v="1173452.6400000001"/>
    <n v="0.86917605705327161"/>
    <n v="7399.2048759623613"/>
    <n v="1.8260532440405943"/>
  </r>
  <r>
    <s v="MECHANICS BANK"/>
    <s v="Walnut Creek"/>
    <x v="0"/>
    <n v="94596"/>
    <d v="2020-09-30T00:00:00"/>
    <x v="1"/>
    <n v="1962"/>
    <n v="18539337"/>
    <n v="918271"/>
    <n v="18539337"/>
    <n v="16116245"/>
    <n v="15773408"/>
    <x v="1"/>
    <n v="0.08"/>
    <n v="1261872.6400000001"/>
    <n v="0.86929996471826365"/>
    <n v="9449.2033639143738"/>
    <n v="0.72770497662902012"/>
  </r>
  <r>
    <s v="MECHANICS BANK"/>
    <s v="Walnut Creek"/>
    <x v="0"/>
    <n v="94596"/>
    <d v="2021-09-30T00:00:00"/>
    <x v="2"/>
    <n v="1808"/>
    <n v="19052469"/>
    <n v="955488"/>
    <n v="19052469"/>
    <n v="16646293"/>
    <n v="16351217"/>
    <x v="1"/>
    <n v="0.08"/>
    <n v="1308097.3600000001"/>
    <n v="0.87370791680595306"/>
    <n v="10537.870022123894"/>
    <n v="0.73044104301227242"/>
  </r>
  <r>
    <s v="MECHANICS COOPERATIVE BANK"/>
    <s v="Taunton"/>
    <x v="3"/>
    <n v="2780"/>
    <d v="2019-09-30T00:00:00"/>
    <x v="0"/>
    <n v="98"/>
    <n v="611946"/>
    <n v="13759"/>
    <n v="611945"/>
    <n v="551570"/>
    <n v="446631"/>
    <x v="0"/>
    <n v="8.5000000000000006E-2"/>
    <n v="37963.635000000002"/>
    <n v="0.90133769973167566"/>
    <n v="6244.3469387755104"/>
    <n v="0.36242577930169223"/>
  </r>
  <r>
    <s v="MECHANICS COOPERATIVE BANK"/>
    <s v="Taunton"/>
    <x v="3"/>
    <n v="2780"/>
    <d v="2020-09-30T00:00:00"/>
    <x v="1"/>
    <n v="98"/>
    <n v="665598"/>
    <n v="18869"/>
    <n v="665598"/>
    <n v="598725"/>
    <n v="505166"/>
    <x v="0"/>
    <n v="8.5000000000000006E-2"/>
    <n v="42939.11"/>
    <n v="0.89952944570145943"/>
    <n v="6791.8163265306121"/>
    <n v="0.43943621560856755"/>
  </r>
  <r>
    <s v="MECHANICS COOPERATIVE BANK"/>
    <s v="Taunton"/>
    <x v="3"/>
    <n v="2780"/>
    <d v="2021-09-30T00:00:00"/>
    <x v="2"/>
    <n v="96"/>
    <n v="664786"/>
    <n v="42133"/>
    <n v="664786"/>
    <n v="589328"/>
    <n v="543218"/>
    <x v="0"/>
    <n v="8.5000000000000006E-2"/>
    <n v="46173.530000000006"/>
    <n v="0.88649279617801824"/>
    <n v="6924.854166666667"/>
    <n v="0.91249250382199487"/>
  </r>
  <r>
    <s v="MEGA BANK"/>
    <s v="San Gabriel"/>
    <x v="0"/>
    <n v="91776"/>
    <d v="2019-09-30T00:00:00"/>
    <x v="0"/>
    <n v="45"/>
    <n v="349914"/>
    <n v="40510"/>
    <n v="349914"/>
    <n v="305971"/>
    <n v="280041"/>
    <x v="0"/>
    <n v="0.09"/>
    <n v="25203.69"/>
    <n v="0.87441771406688495"/>
    <n v="7775.8666666666668"/>
    <n v="1.6073043272631906"/>
  </r>
  <r>
    <s v="MEGA BANK"/>
    <s v="San Gabriel"/>
    <x v="0"/>
    <n v="91776"/>
    <d v="2020-09-30T00:00:00"/>
    <x v="1"/>
    <n v="43"/>
    <n v="403634"/>
    <n v="44701"/>
    <n v="403634"/>
    <n v="360094"/>
    <n v="306613"/>
    <x v="0"/>
    <n v="0.09"/>
    <n v="27595.17"/>
    <n v="0.89212999895945333"/>
    <n v="9386.8372093023263"/>
    <n v="1.6198849291379616"/>
  </r>
  <r>
    <s v="MEGA BANK"/>
    <s v="San Gabriel"/>
    <x v="0"/>
    <n v="91776"/>
    <d v="2021-09-30T00:00:00"/>
    <x v="2"/>
    <n v="46"/>
    <n v="450314"/>
    <n v="74609"/>
    <n v="450314"/>
    <n v="402291"/>
    <n v="379561"/>
    <x v="0"/>
    <n v="0.09"/>
    <n v="34160.49"/>
    <n v="0.89335663559205358"/>
    <n v="9789.434782608696"/>
    <n v="2.1840728865423187"/>
  </r>
  <r>
    <s v="MELROSE BANK"/>
    <s v="Melrose"/>
    <x v="3"/>
    <n v="2176"/>
    <d v="2019-09-30T00:00:00"/>
    <x v="0"/>
    <n v="29"/>
    <n v="336852"/>
    <n v="15052"/>
    <n v="336852"/>
    <n v="305901"/>
    <n v="273047"/>
    <x v="0"/>
    <n v="8.5000000000000006E-2"/>
    <n v="23208.995000000003"/>
    <n v="0.90811691781553916"/>
    <n v="11615.586206896553"/>
    <n v="0.64854165378552575"/>
  </r>
  <r>
    <s v="MERCHANTS AND MANUFACTURERS BANK"/>
    <s v="Joliet"/>
    <x v="1"/>
    <n v="60432"/>
    <d v="2019-09-30T00:00:00"/>
    <x v="0"/>
    <n v="42"/>
    <n v="283490"/>
    <n v="21265"/>
    <n v="283490"/>
    <n v="260963"/>
    <n v="224737"/>
    <x v="0"/>
    <n v="0.08"/>
    <n v="17978.96"/>
    <n v="0.92053687960774633"/>
    <n v="6749.7619047619046"/>
    <n v="1.1827714172566155"/>
  </r>
  <r>
    <s v="MERCHANTS AND MANUFACTURERS BANK"/>
    <s v="Joliet"/>
    <x v="1"/>
    <n v="60432"/>
    <d v="2020-09-30T00:00:00"/>
    <x v="1"/>
    <n v="43"/>
    <n v="329089"/>
    <n v="24580"/>
    <n v="329089"/>
    <n v="304953"/>
    <n v="248408"/>
    <x v="0"/>
    <n v="0.08"/>
    <n v="19872.64"/>
    <n v="0.92665813807207165"/>
    <n v="7653.2325581395353"/>
    <n v="1.2368764291005121"/>
  </r>
  <r>
    <s v="MERCHANTS AND MANUFACTURERS BANK"/>
    <s v="Joliet"/>
    <x v="1"/>
    <n v="60432"/>
    <d v="2021-09-30T00:00:00"/>
    <x v="2"/>
    <n v="45"/>
    <n v="351676"/>
    <n v="21934"/>
    <n v="351676"/>
    <n v="323103"/>
    <n v="291491"/>
    <x v="0"/>
    <n v="0.08"/>
    <n v="23319.279999999999"/>
    <n v="0.91875191938033873"/>
    <n v="7815.0222222222219"/>
    <n v="0.94059507840722356"/>
  </r>
  <r>
    <s v="MERCHANTS BANK OF COMMERCE"/>
    <s v="Redding"/>
    <x v="0"/>
    <n v="96002"/>
    <d v="2019-09-30T00:00:00"/>
    <x v="0"/>
    <n v="209"/>
    <n v="1471733"/>
    <n v="88604"/>
    <n v="1471733"/>
    <n v="1283539"/>
    <n v="1266528"/>
    <x v="1"/>
    <n v="0.08"/>
    <n v="101322.24000000001"/>
    <n v="0.8721276209747284"/>
    <n v="7041.7846889952152"/>
    <n v="0.87447731120038397"/>
  </r>
  <r>
    <s v="MERCHANTS BANK OF COMMERCE"/>
    <s v="Redding"/>
    <x v="0"/>
    <n v="96002"/>
    <d v="2020-09-30T00:00:00"/>
    <x v="1"/>
    <n v="205"/>
    <n v="1739269"/>
    <n v="127882"/>
    <n v="1739269"/>
    <n v="1549315"/>
    <n v="1522475"/>
    <x v="1"/>
    <n v="0.08"/>
    <n v="121798"/>
    <n v="0.89078515169303885"/>
    <n v="8484.2390243902446"/>
    <n v="1.0499515591389021"/>
  </r>
  <r>
    <s v="MERCHANTS BANK OF COMMERCE"/>
    <s v="Sacramento"/>
    <x v="0"/>
    <n v="95814"/>
    <d v="2021-09-30T00:00:00"/>
    <x v="2"/>
    <n v="186"/>
    <n v="1950857"/>
    <n v="155181"/>
    <n v="1950857"/>
    <n v="1753965"/>
    <n v="1739007"/>
    <x v="1"/>
    <n v="0.08"/>
    <n v="139120.56"/>
    <n v="0.89907409922921055"/>
    <n v="10488.478494623656"/>
    <n v="1.1154426060389637"/>
  </r>
  <r>
    <s v="METHUEN CO-OPERATIVE BANK"/>
    <s v="Methuen"/>
    <x v="3"/>
    <n v="1844"/>
    <d v="2019-09-30T00:00:00"/>
    <x v="0"/>
    <n v="16"/>
    <n v="93241"/>
    <n v="21482"/>
    <n v="93241"/>
    <n v="83335"/>
    <n v="83187"/>
    <x v="2"/>
    <n v="9.5000000000000001E-2"/>
    <n v="7902.7650000000003"/>
    <n v="0.89375918319194347"/>
    <n v="5827.5625"/>
    <n v="2.7182891051423139"/>
  </r>
  <r>
    <s v="METHUEN CO-OPERATIVE BANK"/>
    <s v="Methuen"/>
    <x v="3"/>
    <n v="1844"/>
    <d v="2020-09-30T00:00:00"/>
    <x v="1"/>
    <n v="16"/>
    <n v="105495"/>
    <n v="24899"/>
    <n v="105495"/>
    <n v="95248"/>
    <n v="95099"/>
    <x v="0"/>
    <n v="8.5000000000000006E-2"/>
    <n v="8083.4150000000009"/>
    <n v="0.90286743447556761"/>
    <n v="6593.4375"/>
    <n v="3.0802575396660936"/>
  </r>
  <r>
    <s v="METHUEN CO-OPERATIVE BANK"/>
    <s v="Methuen"/>
    <x v="3"/>
    <n v="1844"/>
    <d v="2021-09-30T00:00:00"/>
    <x v="2"/>
    <n v="17"/>
    <n v="119045"/>
    <n v="25077"/>
    <n v="119045"/>
    <n v="108385"/>
    <n v="108196"/>
    <x v="0"/>
    <n v="8.5000000000000006E-2"/>
    <n v="9196.66"/>
    <n v="0.91045402998865976"/>
    <n v="7002.6470588235297"/>
    <n v="2.7267507986595132"/>
  </r>
  <r>
    <s v="METROPOLITAN BANK"/>
    <s v="Oakland"/>
    <x v="0"/>
    <n v="94606"/>
    <d v="2019-09-30T00:00:00"/>
    <x v="0"/>
    <n v="40"/>
    <n v="179772"/>
    <n v="30033"/>
    <n v="179772"/>
    <n v="158432"/>
    <n v="150527"/>
    <x v="0"/>
    <n v="0.09"/>
    <n v="13547.43"/>
    <n v="0.88129408361702599"/>
    <n v="4494.3"/>
    <n v="2.2168780351697701"/>
  </r>
  <r>
    <s v="METROPOLITAN BANK"/>
    <s v="Oakland"/>
    <x v="0"/>
    <n v="94606"/>
    <d v="2020-09-30T00:00:00"/>
    <x v="1"/>
    <n v="41"/>
    <n v="187854"/>
    <n v="32640"/>
    <n v="187854"/>
    <n v="165391"/>
    <n v="151617"/>
    <x v="0"/>
    <n v="0.09"/>
    <n v="13645.529999999999"/>
    <n v="0.8804230945308591"/>
    <n v="4581.8048780487807"/>
    <n v="2.391992102908425"/>
  </r>
  <r>
    <s v="METROPOLITAN BANK"/>
    <s v="Oakland"/>
    <x v="0"/>
    <n v="94606"/>
    <d v="2021-09-30T00:00:00"/>
    <x v="2"/>
    <n v="42"/>
    <n v="206436"/>
    <n v="22610"/>
    <n v="206436"/>
    <n v="183054"/>
    <n v="168874"/>
    <x v="0"/>
    <n v="0.09"/>
    <n v="15198.66"/>
    <n v="0.88673487182468169"/>
    <n v="4915.1428571428569"/>
    <n v="1.4876311464300143"/>
  </r>
  <r>
    <s v="METROPOLITAN BANK AND TRUST COMPANY"/>
    <s v="New York"/>
    <x v="2"/>
    <n v="10022"/>
    <d v="2019-09-30T00:00:00"/>
    <x v="0"/>
    <n v="6"/>
    <n v="32809"/>
    <n v="19771"/>
    <n v="32809"/>
    <n v="32809"/>
    <n v="10158"/>
    <x v="2"/>
    <n v="0.09"/>
    <n v="914.21999999999991"/>
    <n v="1"/>
    <n v="5468.166666666667"/>
    <n v="21.626085624904292"/>
  </r>
  <r>
    <s v="METROPOLITAN BANK AND TRUST COMPANY"/>
    <s v="New York"/>
    <x v="2"/>
    <n v="10022"/>
    <d v="2020-09-30T00:00:00"/>
    <x v="1"/>
    <n v="7"/>
    <n v="40132"/>
    <n v="28211"/>
    <n v="40132"/>
    <n v="40132"/>
    <n v="9818"/>
    <x v="2"/>
    <n v="0.09"/>
    <n v="883.62"/>
    <n v="1"/>
    <n v="5733.1428571428569"/>
    <n v="31.92662004028881"/>
  </r>
  <r>
    <s v="METROPOLITAN BANK AND TRUST COMPANY"/>
    <s v="New York"/>
    <x v="2"/>
    <n v="10022"/>
    <d v="2021-09-30T00:00:00"/>
    <x v="2"/>
    <n v="7"/>
    <n v="31483"/>
    <n v="18614"/>
    <n v="31483"/>
    <n v="31483"/>
    <n v="10266"/>
    <x v="2"/>
    <n v="0.09"/>
    <n v="923.93999999999994"/>
    <n v="1"/>
    <n v="4497.5714285714284"/>
    <n v="20.146329848258546"/>
  </r>
  <r>
    <s v="METROPOLITAN CAPITAL BANK &amp; TRUST"/>
    <s v="Chicago"/>
    <x v="1"/>
    <n v="60611"/>
    <d v="2019-09-30T00:00:00"/>
    <x v="0"/>
    <n v="35"/>
    <n v="229942"/>
    <n v="65832"/>
    <n v="229942"/>
    <n v="208397"/>
    <n v="202602"/>
    <x v="0"/>
    <n v="0.08"/>
    <n v="16208.16"/>
    <n v="0.90630245888093519"/>
    <n v="6569.7714285714283"/>
    <n v="4.0616578316107441"/>
  </r>
  <r>
    <s v="METROPOLITAN CAPITAL BANK &amp; TRUST"/>
    <s v="Chicago"/>
    <x v="1"/>
    <n v="60611"/>
    <d v="2020-09-30T00:00:00"/>
    <x v="1"/>
    <n v="41"/>
    <n v="228475"/>
    <n v="65619"/>
    <n v="228475"/>
    <n v="207875"/>
    <n v="198185"/>
    <x v="0"/>
    <n v="0.08"/>
    <n v="15854.800000000001"/>
    <n v="0.9098369624685414"/>
    <n v="5572.5609756097565"/>
    <n v="4.1387466256275696"/>
  </r>
  <r>
    <s v="METROPOLITAN CAPITAL BANK &amp; TRUST"/>
    <s v="Chicago"/>
    <x v="1"/>
    <n v="60611"/>
    <d v="2021-09-30T00:00:00"/>
    <x v="2"/>
    <n v="40"/>
    <n v="267575"/>
    <n v="57777"/>
    <n v="267575"/>
    <n v="245763"/>
    <n v="241400"/>
    <x v="0"/>
    <n v="0.08"/>
    <n v="19312"/>
    <n v="0.91848266841072601"/>
    <n v="6689.375"/>
    <n v="2.9917667771333885"/>
  </r>
  <r>
    <s v="METROPOLITAN COMMERCIAL BANK"/>
    <s v="New York"/>
    <x v="2"/>
    <n v="10016"/>
    <d v="2019-09-30T00:00:00"/>
    <x v="0"/>
    <n v="166"/>
    <n v="3241096"/>
    <n v="435440"/>
    <n v="3241096"/>
    <n v="2908812"/>
    <n v="2723242"/>
    <x v="1"/>
    <n v="0.08"/>
    <n v="217859.36000000002"/>
    <n v="0.89747789019516855"/>
    <n v="19524.674698795181"/>
    <n v="1.9987206425282804"/>
  </r>
  <r>
    <s v="METROPOLITAN COMMERCIAL BANK"/>
    <s v="New York"/>
    <x v="2"/>
    <n v="10016"/>
    <d v="2020-09-30T00:00:00"/>
    <x v="1"/>
    <n v="178"/>
    <n v="4000306"/>
    <n v="767904"/>
    <n v="4000306"/>
    <n v="3627863"/>
    <n v="3548522"/>
    <x v="1"/>
    <n v="0.08"/>
    <n v="283881.76"/>
    <n v="0.90689637242750931"/>
    <n v="22473.629213483146"/>
    <n v="2.7050135239403899"/>
  </r>
  <r>
    <s v="METROPOLITAN COMMERCIAL BANK"/>
    <s v="New York"/>
    <x v="2"/>
    <n v="10016"/>
    <d v="2021-09-30T00:00:00"/>
    <x v="2"/>
    <n v="228"/>
    <n v="6139561"/>
    <n v="1857480"/>
    <n v="6139561"/>
    <n v="5585278"/>
    <n v="5512262"/>
    <x v="1"/>
    <n v="0.08"/>
    <n v="440980.96"/>
    <n v="0.90971944085252998"/>
    <n v="26927.899122807019"/>
    <n v="4.21215464722105"/>
  </r>
  <r>
    <s v="MIDAMERICA NATIONAL BANK"/>
    <s v="Canton"/>
    <x v="1"/>
    <n v="61520"/>
    <d v="2019-09-30T00:00:00"/>
    <x v="0"/>
    <n v="114"/>
    <n v="424293"/>
    <n v="29219"/>
    <n v="424293"/>
    <n v="368622"/>
    <n v="363346"/>
    <x v="0"/>
    <n v="0.08"/>
    <n v="29067.68"/>
    <n v="0.86879114197028939"/>
    <n v="3721.8684210526317"/>
    <n v="1.0052057818167808"/>
  </r>
  <r>
    <s v="MIDAMERICA NATIONAL BANK"/>
    <s v="Canton"/>
    <x v="1"/>
    <n v="61520"/>
    <d v="2020-09-30T00:00:00"/>
    <x v="1"/>
    <n v="114"/>
    <n v="464486"/>
    <n v="10382"/>
    <n v="464486"/>
    <n v="405120"/>
    <n v="393013"/>
    <x v="0"/>
    <n v="0.08"/>
    <n v="31441.040000000001"/>
    <n v="0.87218990453964163"/>
    <n v="4074.4385964912281"/>
    <n v="0.33020536216359253"/>
  </r>
  <r>
    <s v="MIDAMERICA NATIONAL BANK"/>
    <s v="Canton"/>
    <x v="1"/>
    <n v="61520"/>
    <d v="2021-09-30T00:00:00"/>
    <x v="2"/>
    <n v="115"/>
    <n v="525562"/>
    <n v="21790"/>
    <n v="525562"/>
    <n v="462309"/>
    <n v="451037"/>
    <x v="0"/>
    <n v="0.08"/>
    <n v="36082.959999999999"/>
    <n v="0.87964693033362384"/>
    <n v="4570.1043478260872"/>
    <n v="0.60388615568124127"/>
  </r>
  <r>
    <s v="MIDDLESEX FEDERAL SAVINGS, F.A."/>
    <s v="Somerville"/>
    <x v="3"/>
    <n v="2144"/>
    <d v="2019-09-30T00:00:00"/>
    <x v="0"/>
    <n v="56"/>
    <n v="426095"/>
    <n v="22960"/>
    <n v="426095"/>
    <n v="386833"/>
    <n v="332983"/>
    <x v="0"/>
    <n v="8.5000000000000006E-2"/>
    <n v="28303.555"/>
    <n v="0.90785622924465204"/>
    <n v="7608.8392857142853"/>
    <n v="0.81120551817607367"/>
  </r>
  <r>
    <s v="MIDDLESEX FEDERAL SAVINGS, F.A."/>
    <s v="Somerville"/>
    <x v="3"/>
    <n v="2144"/>
    <d v="2020-09-30T00:00:00"/>
    <x v="1"/>
    <n v="58"/>
    <n v="461528"/>
    <n v="22407"/>
    <n v="461527"/>
    <n v="422518"/>
    <n v="344680"/>
    <x v="0"/>
    <n v="8.5000000000000006E-2"/>
    <n v="29297.800000000003"/>
    <n v="0.9154764174654626"/>
    <n v="7957.3793103448279"/>
    <n v="0.76480145266880095"/>
  </r>
  <r>
    <s v="MIDDLESEX FEDERAL SAVINGS, F.A."/>
    <s v="Somerville"/>
    <x v="3"/>
    <n v="2144"/>
    <d v="2021-09-30T00:00:00"/>
    <x v="2"/>
    <n v="71"/>
    <n v="574466"/>
    <n v="47449"/>
    <n v="574466"/>
    <n v="532267"/>
    <n v="492533"/>
    <x v="0"/>
    <n v="8.5000000000000006E-2"/>
    <n v="41865.305"/>
    <n v="0.926542214856928"/>
    <n v="8091.070422535211"/>
    <n v="1.133372848949745"/>
  </r>
  <r>
    <s v="MIDDLESEX SAVINGS BANK"/>
    <s v="Natick"/>
    <x v="3"/>
    <n v="1760"/>
    <d v="2019-09-30T00:00:00"/>
    <x v="0"/>
    <n v="518"/>
    <n v="4941035"/>
    <n v="120241"/>
    <n v="4941035"/>
    <n v="4285271"/>
    <n v="4205246"/>
    <x v="1"/>
    <n v="0.08"/>
    <n v="336419.68"/>
    <n v="0.86728205730175967"/>
    <n v="9538.6776061776054"/>
    <n v="0.35741369232620401"/>
  </r>
  <r>
    <s v="MIDDLESEX SAVINGS BANK"/>
    <s v="Natick"/>
    <x v="3"/>
    <n v="1760"/>
    <d v="2020-09-30T00:00:00"/>
    <x v="1"/>
    <n v="526"/>
    <n v="5642748"/>
    <n v="371579"/>
    <n v="5642748"/>
    <n v="4957183"/>
    <n v="4855492"/>
    <x v="1"/>
    <n v="0.08"/>
    <n v="388439.36"/>
    <n v="0.87850511842811341"/>
    <n v="10727.657794676807"/>
    <n v="0.95659461492264841"/>
  </r>
  <r>
    <s v="MIDDLESEX SAVINGS BANK"/>
    <s v="Natick"/>
    <x v="3"/>
    <n v="1760"/>
    <d v="2021-09-30T00:00:00"/>
    <x v="2"/>
    <n v="506"/>
    <n v="6032158"/>
    <n v="366934"/>
    <n v="6032158"/>
    <n v="5339530"/>
    <n v="5255220"/>
    <x v="1"/>
    <n v="0.08"/>
    <n v="420417.60000000003"/>
    <n v="0.88517741080389467"/>
    <n v="11921.260869565218"/>
    <n v="0.87278458370915002"/>
  </r>
  <r>
    <s v="MIDDLETOWN STATE BANK"/>
    <s v="Middletown"/>
    <x v="1"/>
    <n v="62666"/>
    <d v="2019-09-30T00:00:00"/>
    <x v="0"/>
    <n v="7"/>
    <n v="37432"/>
    <n v="1511"/>
    <n v="37432"/>
    <n v="33900"/>
    <n v="32856"/>
    <x v="2"/>
    <n v="0.09"/>
    <n v="2957.04"/>
    <n v="0.90564223124599275"/>
    <n v="5347.4285714285716"/>
    <n v="0.51098395692990284"/>
  </r>
  <r>
    <s v="MIDDLETOWN STATE BANK"/>
    <s v="Middletown"/>
    <x v="1"/>
    <n v="62666"/>
    <d v="2020-09-30T00:00:00"/>
    <x v="1"/>
    <n v="7"/>
    <n v="40837"/>
    <n v="1774"/>
    <n v="40837"/>
    <n v="37297"/>
    <n v="34757"/>
    <x v="2"/>
    <n v="0.09"/>
    <n v="3128.13"/>
    <n v="0.91331390650635458"/>
    <n v="5833.8571428571431"/>
    <n v="0.56711198064019075"/>
  </r>
  <r>
    <s v="MIDDLETOWN STATE BANK"/>
    <s v="Middletown"/>
    <x v="1"/>
    <n v="62666"/>
    <d v="2021-09-30T00:00:00"/>
    <x v="2"/>
    <n v="7"/>
    <n v="42057"/>
    <n v="1004"/>
    <n v="42057"/>
    <n v="38462"/>
    <n v="36181"/>
    <x v="2"/>
    <n v="0.09"/>
    <n v="3256.29"/>
    <n v="0.91452076943196137"/>
    <n v="6008.1428571428569"/>
    <n v="0.30832634685485627"/>
  </r>
  <r>
    <s v="MIDLAND COMMUNITY BANK"/>
    <s v="Kincaid"/>
    <x v="1"/>
    <n v="62540"/>
    <d v="2019-09-30T00:00:00"/>
    <x v="0"/>
    <n v="14"/>
    <n v="62373"/>
    <n v="3145"/>
    <n v="62373"/>
    <n v="55386"/>
    <n v="55113"/>
    <x v="2"/>
    <n v="0.09"/>
    <n v="4960.17"/>
    <n v="0.8879803761242846"/>
    <n v="4455.2142857142853"/>
    <n v="0.63405084906364095"/>
  </r>
  <r>
    <s v="MIDLAND COMMUNITY BANK"/>
    <s v="Kincaid"/>
    <x v="1"/>
    <n v="62540"/>
    <d v="2020-09-30T00:00:00"/>
    <x v="1"/>
    <n v="14"/>
    <n v="75236"/>
    <n v="4509"/>
    <n v="75236"/>
    <n v="67020"/>
    <n v="62515"/>
    <x v="2"/>
    <n v="0.09"/>
    <n v="5626.3499999999995"/>
    <n v="0.89079695890265298"/>
    <n v="5374"/>
    <n v="0.80140766216108139"/>
  </r>
  <r>
    <s v="MIDLAND COMMUNITY BANK"/>
    <s v="Kincaid"/>
    <x v="1"/>
    <n v="62540"/>
    <d v="2021-09-30T00:00:00"/>
    <x v="2"/>
    <n v="13"/>
    <n v="77680"/>
    <n v="3098"/>
    <n v="77680"/>
    <n v="68768"/>
    <n v="68441"/>
    <x v="2"/>
    <n v="0.09"/>
    <n v="6159.69"/>
    <n v="0.88527291452111223"/>
    <n v="5975.3846153846152"/>
    <n v="0.50294738858611399"/>
  </r>
  <r>
    <s v="MIDLAND FEDERAL SAVINGS AND LOAN ASSOCIATION"/>
    <s v="Bridgeview"/>
    <x v="1"/>
    <n v="60455"/>
    <d v="2019-09-30T00:00:00"/>
    <x v="0"/>
    <n v="30"/>
    <n v="115745"/>
    <n v="26518"/>
    <n v="115745"/>
    <n v="104631"/>
    <n v="103902"/>
    <x v="0"/>
    <n v="0.08"/>
    <n v="8312.16"/>
    <n v="0.90397857358849198"/>
    <n v="3858.1666666666665"/>
    <n v="3.1902658274142941"/>
  </r>
  <r>
    <s v="MIDLAND FEDERAL SAVINGS AND LOAN ASSOCIATION"/>
    <s v="Bridgeview"/>
    <x v="1"/>
    <n v="60455"/>
    <d v="2020-09-30T00:00:00"/>
    <x v="1"/>
    <n v="28"/>
    <n v="119033"/>
    <n v="29131"/>
    <n v="119033"/>
    <n v="108302"/>
    <n v="107507"/>
    <x v="0"/>
    <n v="0.08"/>
    <n v="8600.56"/>
    <n v="0.9098485293994103"/>
    <n v="4251.1785714285716"/>
    <n v="3.3871050257192556"/>
  </r>
  <r>
    <s v="MIDLAND FEDERAL SAVINGS AND LOAN ASSOCIATION"/>
    <s v="Bridgeview"/>
    <x v="1"/>
    <n v="60455"/>
    <d v="2021-09-30T00:00:00"/>
    <x v="2"/>
    <n v="26"/>
    <n v="126618"/>
    <n v="39541"/>
    <n v="126618"/>
    <n v="116894"/>
    <n v="116208"/>
    <x v="0"/>
    <n v="0.08"/>
    <n v="9296.64"/>
    <n v="0.92320207237517571"/>
    <n v="4869.9230769230771"/>
    <n v="4.2532570907338565"/>
  </r>
  <r>
    <s v="MIDLAND STATES BANK"/>
    <s v="Effingham"/>
    <x v="1"/>
    <n v="62401"/>
    <d v="2019-09-30T00:00:00"/>
    <x v="0"/>
    <n v="1047"/>
    <n v="5712771"/>
    <n v="323248"/>
    <n v="5712771"/>
    <n v="4939848"/>
    <n v="4183557"/>
    <x v="1"/>
    <n v="7.4999999999999997E-2"/>
    <n v="313766.77499999997"/>
    <n v="0.86470261104462265"/>
    <n v="5456.3237822349574"/>
    <n v="1.0302174282155911"/>
  </r>
  <r>
    <s v="MIDLAND STATES BANK"/>
    <s v="Effingham"/>
    <x v="1"/>
    <n v="62401"/>
    <d v="2020-09-30T00:00:00"/>
    <x v="1"/>
    <n v="935"/>
    <n v="6691009"/>
    <n v="456529"/>
    <n v="6691009"/>
    <n v="5925973"/>
    <n v="5092864"/>
    <x v="1"/>
    <n v="7.4999999999999997E-2"/>
    <n v="381964.79999999999"/>
    <n v="0.88566208773594535"/>
    <n v="7156.1593582887699"/>
    <n v="1.195212228980262"/>
  </r>
  <r>
    <s v="MIDLAND STATES BANK"/>
    <s v="Effingham"/>
    <x v="1"/>
    <n v="62401"/>
    <d v="2021-09-30T00:00:00"/>
    <x v="2"/>
    <n v="903"/>
    <n v="7083098"/>
    <n v="655479"/>
    <n v="7083098"/>
    <n v="6284874"/>
    <n v="5639110"/>
    <x v="1"/>
    <n v="7.4999999999999997E-2"/>
    <n v="422933.25"/>
    <n v="0.88730580884240207"/>
    <n v="7843.9623477297891"/>
    <n v="1.5498403116803894"/>
  </r>
  <r>
    <s v="MIDWEST BANK"/>
    <s v="Monmouth"/>
    <x v="1"/>
    <n v="61462"/>
    <d v="2019-09-30T00:00:00"/>
    <x v="0"/>
    <n v="135"/>
    <n v="522253"/>
    <n v="12598"/>
    <n v="522253"/>
    <n v="457090"/>
    <n v="390873"/>
    <x v="0"/>
    <n v="0.08"/>
    <n v="31269.84"/>
    <n v="0.87522714086850628"/>
    <n v="3868.5407407407406"/>
    <n v="0.40288021940630331"/>
  </r>
  <r>
    <s v="MIDWEST BANK"/>
    <s v="Monmouth"/>
    <x v="1"/>
    <n v="61462"/>
    <d v="2020-09-30T00:00:00"/>
    <x v="1"/>
    <n v="129"/>
    <n v="579097"/>
    <n v="30890"/>
    <n v="579097"/>
    <n v="510023"/>
    <n v="436776"/>
    <x v="0"/>
    <n v="0.08"/>
    <n v="34942.080000000002"/>
    <n v="0.88072119178652286"/>
    <n v="4489.1240310077519"/>
    <n v="0.88403437917834304"/>
  </r>
  <r>
    <s v="MIDWEST BANK"/>
    <s v="Monmouth"/>
    <x v="1"/>
    <n v="61462"/>
    <d v="2021-09-30T00:00:00"/>
    <x v="2"/>
    <n v="126"/>
    <n v="647132"/>
    <n v="21498"/>
    <n v="647132"/>
    <n v="573821"/>
    <n v="505059"/>
    <x v="0"/>
    <n v="0.08"/>
    <n v="40404.720000000001"/>
    <n v="0.88671399343565149"/>
    <n v="5135.9682539682535"/>
    <n v="0.53206655064061825"/>
  </r>
  <r>
    <s v="MIDWEST COMMUNITY BANK"/>
    <s v="Freeport"/>
    <x v="1"/>
    <n v="61032"/>
    <d v="2019-09-30T00:00:00"/>
    <x v="0"/>
    <n v="179"/>
    <n v="246284"/>
    <n v="13345"/>
    <n v="246284"/>
    <n v="216543"/>
    <n v="215122"/>
    <x v="0"/>
    <n v="0.08"/>
    <n v="17209.760000000002"/>
    <n v="0.87924103880073412"/>
    <n v="1375.8882681564246"/>
    <n v="0.77543208040088873"/>
  </r>
  <r>
    <s v="MIDWEST COMMUNITY BANK"/>
    <s v="Freeport"/>
    <x v="1"/>
    <n v="61032"/>
    <d v="2020-09-30T00:00:00"/>
    <x v="1"/>
    <n v="229"/>
    <n v="381225"/>
    <n v="19814"/>
    <n v="381225"/>
    <n v="339808"/>
    <n v="337966"/>
    <x v="0"/>
    <n v="0.08"/>
    <n v="27037.279999999999"/>
    <n v="0.89135812184405538"/>
    <n v="1664.7379912663755"/>
    <n v="0.73283998982146137"/>
  </r>
  <r>
    <s v="MIDWEST COMMUNITY BANK"/>
    <s v="Freeport"/>
    <x v="1"/>
    <n v="61032"/>
    <d v="2021-09-30T00:00:00"/>
    <x v="2"/>
    <n v="258"/>
    <n v="352943"/>
    <n v="41163"/>
    <n v="352943"/>
    <n v="298645"/>
    <n v="295824"/>
    <x v="0"/>
    <n v="0.08"/>
    <n v="23665.920000000002"/>
    <n v="0.84615646152494883"/>
    <n v="1367.9961240310076"/>
    <n v="1.7393365649845853"/>
  </r>
  <r>
    <s v="MILFORD BUILDING AND LOAN ASSOCIATION"/>
    <s v="Milford"/>
    <x v="1"/>
    <n v="60953"/>
    <d v="2019-09-30T00:00:00"/>
    <x v="0"/>
    <n v="4"/>
    <n v="30141"/>
    <n v="8951"/>
    <n v="30141"/>
    <n v="27466"/>
    <n v="27205"/>
    <x v="2"/>
    <n v="0.09"/>
    <n v="2448.4499999999998"/>
    <n v="0.91125045618924394"/>
    <n v="7535.25"/>
    <n v="3.6557822295738123"/>
  </r>
  <r>
    <s v="MILFORD BUILDING AND LOAN ASSOCIATION"/>
    <s v="Milford"/>
    <x v="1"/>
    <n v="60953"/>
    <d v="2020-09-30T00:00:00"/>
    <x v="1"/>
    <n v="4"/>
    <n v="30934"/>
    <n v="10067"/>
    <n v="30933"/>
    <n v="28161"/>
    <n v="27964"/>
    <x v="2"/>
    <n v="0.09"/>
    <n v="2516.7599999999998"/>
    <n v="0.91035753539794406"/>
    <n v="7733.5"/>
    <n v="3.9999841065496913"/>
  </r>
  <r>
    <s v="MILFORD BUILDING AND LOAN ASSOCIATION"/>
    <s v="Milford"/>
    <x v="1"/>
    <n v="60953"/>
    <d v="2021-09-30T00:00:00"/>
    <x v="2"/>
    <n v="4"/>
    <n v="31962"/>
    <n v="10852"/>
    <n v="31962"/>
    <n v="29018"/>
    <n v="28829"/>
    <x v="2"/>
    <n v="0.09"/>
    <n v="2594.61"/>
    <n v="0.90789062011138222"/>
    <n v="7990.5"/>
    <n v="4.1825168329729703"/>
  </r>
  <r>
    <s v="MILFORD FEDERAL BANK"/>
    <s v="Milford"/>
    <x v="3"/>
    <n v="1757"/>
    <d v="2019-09-30T00:00:00"/>
    <x v="0"/>
    <n v="81"/>
    <n v="418574"/>
    <n v="24444"/>
    <n v="418575"/>
    <n v="369263"/>
    <n v="338970"/>
    <x v="0"/>
    <n v="8.5000000000000006E-2"/>
    <n v="28812.45"/>
    <n v="0.88219287390043333"/>
    <n v="5167.5802469135806"/>
    <n v="0.84838325099045719"/>
  </r>
  <r>
    <s v="MILFORD FEDERAL BANK"/>
    <s v="Milford"/>
    <x v="3"/>
    <n v="1757"/>
    <d v="2020-09-30T00:00:00"/>
    <x v="1"/>
    <n v="78"/>
    <n v="438362"/>
    <n v="45544"/>
    <n v="438362"/>
    <n v="387501"/>
    <n v="366901"/>
    <x v="0"/>
    <n v="8.5000000000000006E-2"/>
    <n v="31186.585000000003"/>
    <n v="0.88397488833429905"/>
    <n v="5620.0256410256407"/>
    <n v="1.4603715026829645"/>
  </r>
  <r>
    <s v="MILFORD FEDERAL BANK"/>
    <s v="Milford"/>
    <x v="3"/>
    <n v="1757"/>
    <d v="2021-09-30T00:00:00"/>
    <x v="2"/>
    <n v="80"/>
    <n v="456763"/>
    <n v="38476"/>
    <n v="456763"/>
    <n v="403983"/>
    <n v="388575"/>
    <x v="0"/>
    <n v="8.5000000000000006E-2"/>
    <n v="33028.875"/>
    <n v="0.88444773328837933"/>
    <n v="5709.5375000000004"/>
    <n v="1.16492008886164"/>
  </r>
  <r>
    <s v="MILLBURY NATIONAL BANK"/>
    <s v="Millbury"/>
    <x v="3"/>
    <n v="1527"/>
    <d v="2019-09-30T00:00:00"/>
    <x v="0"/>
    <n v="18"/>
    <n v="95833"/>
    <n v="7512"/>
    <n v="95833"/>
    <n v="86342"/>
    <n v="83355"/>
    <x v="2"/>
    <n v="9.5000000000000001E-2"/>
    <n v="7918.7250000000004"/>
    <n v="0.90096313378481319"/>
    <n v="5324.0555555555557"/>
    <n v="0.94863756475947825"/>
  </r>
  <r>
    <s v="MILLBURY NATIONAL BANK"/>
    <s v="Millbury"/>
    <x v="3"/>
    <n v="1527"/>
    <d v="2020-09-30T00:00:00"/>
    <x v="1"/>
    <n v="19"/>
    <n v="101509"/>
    <n v="14340"/>
    <n v="101509"/>
    <n v="91990"/>
    <n v="88508"/>
    <x v="0"/>
    <n v="8.5000000000000006E-2"/>
    <n v="7523.18"/>
    <n v="0.90622506378744738"/>
    <n v="5342.5789473684208"/>
    <n v="1.9061088529052874"/>
  </r>
  <r>
    <s v="MILLBURY NATIONAL BANK"/>
    <s v="Millbury"/>
    <x v="3"/>
    <n v="1527"/>
    <d v="2021-09-30T00:00:00"/>
    <x v="2"/>
    <n v="20"/>
    <n v="107324"/>
    <n v="14036"/>
    <n v="107324"/>
    <n v="97311"/>
    <n v="94436"/>
    <x v="0"/>
    <n v="8.5000000000000006E-2"/>
    <n v="8027.06"/>
    <n v="0.90670306734747119"/>
    <n v="5366.2"/>
    <n v="1.7485854098511784"/>
  </r>
  <r>
    <s v="MILLBURY SAVINGS BANK"/>
    <s v="Millbury"/>
    <x v="3"/>
    <n v="1527"/>
    <d v="2019-09-30T00:00:00"/>
    <x v="0"/>
    <n v="34"/>
    <n v="221173"/>
    <n v="3327"/>
    <n v="221174"/>
    <n v="191079"/>
    <n v="180251"/>
    <x v="0"/>
    <n v="8.5000000000000006E-2"/>
    <n v="15321.335000000001"/>
    <n v="0.86393456705836602"/>
    <n v="6505.088235294118"/>
    <n v="0.21714817931988301"/>
  </r>
  <r>
    <s v="MILLEDGEVILLE STATE BANK"/>
    <s v="Milledgeville"/>
    <x v="1"/>
    <n v="61051"/>
    <d v="2019-09-30T00:00:00"/>
    <x v="0"/>
    <n v="14"/>
    <n v="148605"/>
    <n v="12552"/>
    <n v="148605"/>
    <n v="131440"/>
    <n v="106471"/>
    <x v="0"/>
    <n v="0.08"/>
    <n v="8517.68"/>
    <n v="0.88449244641835734"/>
    <n v="10614.642857142857"/>
    <n v="1.4736407096768134"/>
  </r>
  <r>
    <s v="MILLEDGEVILLE STATE BANK"/>
    <s v="Milledgeville"/>
    <x v="1"/>
    <n v="61051"/>
    <d v="2020-09-30T00:00:00"/>
    <x v="1"/>
    <n v="13"/>
    <n v="155194"/>
    <n v="13714"/>
    <n v="155194"/>
    <n v="136930"/>
    <n v="113438"/>
    <x v="0"/>
    <n v="0.08"/>
    <n v="9075.0400000000009"/>
    <n v="0.88231503795249822"/>
    <n v="11938"/>
    <n v="1.5111779121634723"/>
  </r>
  <r>
    <s v="MILLEDGEVILLE STATE BANK"/>
    <s v="Milledgeville"/>
    <x v="1"/>
    <n v="61051"/>
    <d v="2021-09-30T00:00:00"/>
    <x v="2"/>
    <n v="13"/>
    <n v="166915"/>
    <n v="16244"/>
    <n v="166915"/>
    <n v="147398"/>
    <n v="122871"/>
    <x v="0"/>
    <n v="0.08"/>
    <n v="9829.68"/>
    <n v="0.88307222238864092"/>
    <n v="12839.615384615385"/>
    <n v="1.6525461663044982"/>
  </r>
  <r>
    <s v="MILLENNIUM BANK"/>
    <s v="Des Plaines"/>
    <x v="1"/>
    <n v="60016"/>
    <d v="2019-09-30T00:00:00"/>
    <x v="0"/>
    <n v="28"/>
    <n v="144864"/>
    <n v="24614"/>
    <n v="144864"/>
    <n v="128532"/>
    <n v="127020"/>
    <x v="0"/>
    <n v="0.08"/>
    <n v="10161.6"/>
    <n v="0.88725977468522199"/>
    <n v="5173.7142857142853"/>
    <n v="2.4222563375846322"/>
  </r>
  <r>
    <s v="MILLENNIUM BANK"/>
    <s v="Des Plaines"/>
    <x v="1"/>
    <n v="60016"/>
    <d v="2020-09-30T00:00:00"/>
    <x v="1"/>
    <n v="32"/>
    <n v="217453"/>
    <n v="35510"/>
    <n v="217453"/>
    <n v="196423"/>
    <n v="184577"/>
    <x v="0"/>
    <n v="0.08"/>
    <n v="14766.16"/>
    <n v="0.90328944645509601"/>
    <n v="6795.40625"/>
    <n v="2.4048229194319988"/>
  </r>
  <r>
    <s v="MILLENNIUM BANK"/>
    <s v="Des Plaines"/>
    <x v="1"/>
    <n v="60016"/>
    <d v="2021-09-30T00:00:00"/>
    <x v="2"/>
    <n v="35"/>
    <n v="295401"/>
    <n v="108598"/>
    <n v="295401"/>
    <n v="266493"/>
    <n v="259643"/>
    <x v="0"/>
    <n v="0.08"/>
    <n v="20771.439999999999"/>
    <n v="0.90213980318279219"/>
    <n v="8440.028571428571"/>
    <n v="5.2282364631436247"/>
  </r>
  <r>
    <s v="MISSION BANK"/>
    <s v="Bakersfield"/>
    <x v="0"/>
    <n v="93301"/>
    <d v="2019-09-30T00:00:00"/>
    <x v="0"/>
    <n v="110"/>
    <n v="800373"/>
    <n v="99731"/>
    <n v="800373"/>
    <n v="724697"/>
    <n v="717555"/>
    <x v="0"/>
    <n v="0.09"/>
    <n v="64579.95"/>
    <n v="0.90544908436441507"/>
    <n v="7276.1181818181822"/>
    <n v="1.544302837026043"/>
  </r>
  <r>
    <s v="MISSION BANK"/>
    <s v="Bakersfield"/>
    <x v="0"/>
    <n v="93301"/>
    <d v="2020-09-30T00:00:00"/>
    <x v="1"/>
    <n v="116"/>
    <n v="1184229"/>
    <n v="220203"/>
    <n v="1184229"/>
    <n v="1082301"/>
    <n v="1062916"/>
    <x v="1"/>
    <n v="0.08"/>
    <n v="85033.279999999999"/>
    <n v="0.91392880937724041"/>
    <n v="10208.870689655172"/>
    <n v="2.5896096210801232"/>
  </r>
  <r>
    <s v="MISSION BANK"/>
    <s v="Bakersfield"/>
    <x v="0"/>
    <n v="93301"/>
    <d v="2021-09-30T00:00:00"/>
    <x v="2"/>
    <n v="113"/>
    <n v="1457840"/>
    <n v="308069"/>
    <n v="1457840"/>
    <n v="1327503"/>
    <n v="1312781"/>
    <x v="1"/>
    <n v="0.08"/>
    <n v="105022.48"/>
    <n v="0.91059581298359216"/>
    <n v="12901.238938053097"/>
    <n v="2.9333624572567705"/>
  </r>
  <r>
    <s v="MISSION NATIONAL BANK"/>
    <s v="San Francisco"/>
    <x v="0"/>
    <n v="94103"/>
    <d v="2019-09-30T00:00:00"/>
    <x v="0"/>
    <n v="48"/>
    <n v="243059"/>
    <n v="42912"/>
    <n v="243059"/>
    <n v="211047"/>
    <n v="208818"/>
    <x v="0"/>
    <n v="0.09"/>
    <n v="18793.62"/>
    <n v="0.86829535215729514"/>
    <n v="5063.729166666667"/>
    <n v="2.2833280655882158"/>
  </r>
  <r>
    <s v="MISSION NATIONAL BANK"/>
    <s v="San Francisco"/>
    <x v="0"/>
    <n v="94103"/>
    <d v="2020-09-30T00:00:00"/>
    <x v="1"/>
    <n v="47"/>
    <n v="243906"/>
    <n v="58701"/>
    <n v="243906"/>
    <n v="206272"/>
    <n v="193039"/>
    <x v="0"/>
    <n v="0.09"/>
    <n v="17373.509999999998"/>
    <n v="0.84570285273835"/>
    <n v="5189.489361702128"/>
    <n v="3.3787645674362867"/>
  </r>
  <r>
    <s v="MISSION NATIONAL BANK"/>
    <s v="San Francisco"/>
    <x v="0"/>
    <n v="94103"/>
    <d v="2021-09-30T00:00:00"/>
    <x v="2"/>
    <n v="40"/>
    <n v="220168"/>
    <n v="67649"/>
    <n v="220168"/>
    <n v="183529"/>
    <n v="179715"/>
    <x v="0"/>
    <n v="0.09"/>
    <n v="16174.349999999999"/>
    <n v="0.83358617056066275"/>
    <n v="5504.2"/>
    <n v="4.1824864677715023"/>
  </r>
  <r>
    <s v="MISSION VALLEY BANK"/>
    <s v="Sun Valley"/>
    <x v="0"/>
    <n v="91352"/>
    <d v="2019-09-30T00:00:00"/>
    <x v="0"/>
    <n v="61"/>
    <n v="338294"/>
    <n v="27704"/>
    <n v="338294"/>
    <n v="297281"/>
    <n v="291355"/>
    <x v="0"/>
    <n v="0.09"/>
    <n v="26221.95"/>
    <n v="0.87876521605467439"/>
    <n v="5545.8032786885242"/>
    <n v="1.056519442680655"/>
  </r>
  <r>
    <s v="MISSION VALLEY BANK"/>
    <s v="Sun Valley"/>
    <x v="0"/>
    <n v="91352"/>
    <d v="2020-09-30T00:00:00"/>
    <x v="1"/>
    <n v="62"/>
    <n v="465780"/>
    <n v="79793"/>
    <n v="465780"/>
    <n v="422117"/>
    <n v="374274"/>
    <x v="0"/>
    <n v="0.09"/>
    <n v="33684.659999999996"/>
    <n v="0.90625831937824719"/>
    <n v="7512.5806451612907"/>
    <n v="2.3688230785170461"/>
  </r>
  <r>
    <s v="MISSION VALLEY BANK"/>
    <s v="Sun Valley"/>
    <x v="0"/>
    <n v="91352"/>
    <d v="2021-09-30T00:00:00"/>
    <x v="2"/>
    <n v="72"/>
    <n v="442210"/>
    <n v="90490"/>
    <n v="442210"/>
    <n v="392681"/>
    <n v="352672"/>
    <x v="0"/>
    <n v="0.09"/>
    <n v="31740.48"/>
    <n v="0.88799665317383147"/>
    <n v="6141.8055555555557"/>
    <n v="2.8509335712629427"/>
  </r>
  <r>
    <s v="MIZRAHI TEFAHOT BANK, LTD."/>
    <s v="Los Angeles"/>
    <x v="0"/>
    <n v="90017"/>
    <d v="2019-09-30T00:00:00"/>
    <x v="0"/>
    <n v="351"/>
    <n v="2545052"/>
    <n v="1792406"/>
    <n v="2545052"/>
    <n v="2545052"/>
    <n v="946512"/>
    <x v="1"/>
    <n v="0.08"/>
    <n v="75720.960000000006"/>
    <n v="1"/>
    <n v="7250.8603988603991"/>
    <n v="23.671200153827947"/>
  </r>
  <r>
    <s v="MIZRAHI TEFAHOT BANK, LTD."/>
    <s v="Los Angeles"/>
    <x v="0"/>
    <n v="90017"/>
    <d v="2020-09-30T00:00:00"/>
    <x v="1"/>
    <n v="389"/>
    <n v="4250575"/>
    <n v="3446453"/>
    <n v="4250575"/>
    <n v="4250575"/>
    <n v="819289"/>
    <x v="1"/>
    <n v="0.08"/>
    <n v="65543.12"/>
    <n v="1"/>
    <n v="10926.928020565552"/>
    <n v="52.582986589591712"/>
  </r>
  <r>
    <s v="MIZRAHI TEFAHOT BANK, LTD."/>
    <s v="Los Angeles"/>
    <x v="0"/>
    <n v="90017"/>
    <d v="2021-09-30T00:00:00"/>
    <x v="2"/>
    <n v="150"/>
    <n v="2373622"/>
    <n v="1462673"/>
    <n v="2373622"/>
    <n v="2373622"/>
    <n v="836194"/>
    <x v="1"/>
    <n v="0.08"/>
    <n v="66895.520000000004"/>
    <n v="1"/>
    <n v="15824.146666666667"/>
    <n v="21.865036702009341"/>
  </r>
  <r>
    <s v="MIZUHO BANK (USA)"/>
    <s v="New York"/>
    <x v="2"/>
    <n v="10020"/>
    <d v="2019-09-30T00:00:00"/>
    <x v="0"/>
    <n v="189"/>
    <n v="6072448"/>
    <n v="749270"/>
    <n v="6072448"/>
    <n v="4632402"/>
    <n v="3678555"/>
    <x v="1"/>
    <n v="0.08"/>
    <n v="294284.40000000002"/>
    <n v="0.76285577085221645"/>
    <n v="32129.354497354496"/>
    <n v="2.5460744776141717"/>
  </r>
  <r>
    <s v="MIZUHO BANK (USA)"/>
    <s v="New York"/>
    <x v="2"/>
    <n v="10020"/>
    <d v="2020-09-30T00:00:00"/>
    <x v="1"/>
    <n v="139"/>
    <n v="7960812"/>
    <n v="1195378"/>
    <n v="7960812"/>
    <n v="6498906"/>
    <n v="4471685"/>
    <x v="1"/>
    <n v="0.08"/>
    <n v="357734.8"/>
    <n v="0.81636220023786521"/>
    <n v="57272.028776978419"/>
    <n v="3.3415200310397535"/>
  </r>
  <r>
    <s v="MIZUHO BANK (USA)"/>
    <s v="New York"/>
    <x v="2"/>
    <n v="10020"/>
    <d v="2021-09-30T00:00:00"/>
    <x v="2"/>
    <n v="129"/>
    <n v="7373011"/>
    <n v="1106759"/>
    <n v="7373011"/>
    <n v="5885064"/>
    <n v="3917285"/>
    <x v="1"/>
    <n v="0.08"/>
    <n v="313382.8"/>
    <n v="0.79819004745822297"/>
    <n v="57155.124031007756"/>
    <n v="3.5316520242974407"/>
  </r>
  <r>
    <s v="MODERN BANK, NATIONAL ASSOCIATION"/>
    <s v="New York"/>
    <x v="2"/>
    <n v="10022"/>
    <d v="2019-09-30T00:00:00"/>
    <x v="0"/>
    <n v="38"/>
    <n v="782683"/>
    <n v="41763"/>
    <n v="782683"/>
    <n v="698431"/>
    <n v="578421"/>
    <x v="0"/>
    <n v="8.5000000000000006E-2"/>
    <n v="49165.785000000003"/>
    <n v="0.89235488697212029"/>
    <n v="20596.92105263158"/>
    <n v="0.84943218134318399"/>
  </r>
  <r>
    <s v="MODERN BANK, NATIONAL ASSOCIATION"/>
    <s v="New York"/>
    <x v="2"/>
    <n v="10022"/>
    <d v="2020-09-30T00:00:00"/>
    <x v="1"/>
    <n v="44"/>
    <n v="886060"/>
    <n v="17352"/>
    <n v="886060"/>
    <n v="805051"/>
    <n v="571578"/>
    <x v="0"/>
    <n v="8.5000000000000006E-2"/>
    <n v="48584.130000000005"/>
    <n v="0.90857391147326361"/>
    <n v="20137.727272727272"/>
    <n v="0.35715366314061808"/>
  </r>
  <r>
    <s v="MODERN BANK, NATIONAL ASSOCIATION"/>
    <s v="New York"/>
    <x v="2"/>
    <n v="10022"/>
    <d v="2021-09-30T00:00:00"/>
    <x v="2"/>
    <n v="50"/>
    <n v="789806"/>
    <n v="25557"/>
    <n v="789806"/>
    <n v="703336"/>
    <n v="563236"/>
    <x v="0"/>
    <n v="8.5000000000000006E-2"/>
    <n v="47875.060000000005"/>
    <n v="0.89051741820143171"/>
    <n v="15796.12"/>
    <n v="0.53382700721419452"/>
  </r>
  <r>
    <s v="MONSON SAVINGS BANK"/>
    <s v="Monson"/>
    <x v="3"/>
    <n v="1057"/>
    <d v="2019-09-30T00:00:00"/>
    <x v="0"/>
    <n v="82"/>
    <n v="436179"/>
    <n v="25865"/>
    <n v="436179"/>
    <n v="395228"/>
    <n v="384558"/>
    <x v="0"/>
    <n v="8.5000000000000006E-2"/>
    <n v="32687.430000000004"/>
    <n v="0.90611423291813686"/>
    <n v="5319.2560975609758"/>
    <n v="0.79128276527093122"/>
  </r>
  <r>
    <s v="MONSON SAVINGS BANK"/>
    <s v="Monson"/>
    <x v="3"/>
    <n v="1057"/>
    <d v="2020-09-30T00:00:00"/>
    <x v="1"/>
    <n v="89"/>
    <n v="504182"/>
    <n v="34716"/>
    <n v="504182"/>
    <n v="459185"/>
    <n v="447738"/>
    <x v="0"/>
    <n v="8.5000000000000006E-2"/>
    <n v="38057.730000000003"/>
    <n v="0.91075246637127072"/>
    <n v="5664.9662921348317"/>
    <n v="0.91219313395728008"/>
  </r>
  <r>
    <s v="MONSON SAVINGS BANK"/>
    <s v="Monson"/>
    <x v="3"/>
    <n v="1057"/>
    <d v="2021-09-30T00:00:00"/>
    <x v="2"/>
    <n v="88"/>
    <n v="571585"/>
    <n v="79920"/>
    <n v="571585"/>
    <n v="521009"/>
    <n v="513002"/>
    <x v="0"/>
    <n v="8.5000000000000006E-2"/>
    <n v="43605.170000000006"/>
    <n v="0.91151622243410868"/>
    <n v="6495.284090909091"/>
    <n v="1.8328101920024618"/>
  </r>
  <r>
    <s v="MONTECITO BANK &amp; TRUST"/>
    <s v="Santa Barbara"/>
    <x v="0"/>
    <n v="93101"/>
    <d v="2019-09-30T00:00:00"/>
    <x v="0"/>
    <n v="231"/>
    <n v="1537912"/>
    <n v="28877"/>
    <n v="1537912"/>
    <n v="1362983"/>
    <n v="1343070"/>
    <x v="1"/>
    <n v="0.08"/>
    <n v="107445.6"/>
    <n v="0.88625552047191258"/>
    <n v="6657.6277056277058"/>
    <n v="0.26875926050019727"/>
  </r>
  <r>
    <s v="MONTECITO BANK &amp; TRUST"/>
    <s v="Santa Barbara"/>
    <x v="0"/>
    <n v="93101"/>
    <d v="2020-09-30T00:00:00"/>
    <x v="1"/>
    <n v="242"/>
    <n v="1885633"/>
    <n v="83082"/>
    <n v="1885633"/>
    <n v="1698260"/>
    <n v="1664089"/>
    <x v="1"/>
    <n v="0.08"/>
    <n v="133127.12"/>
    <n v="0.90063124690753715"/>
    <n v="7791.8719008264461"/>
    <n v="0.62408020244109541"/>
  </r>
  <r>
    <s v="MONTECITO BANK &amp; TRUST"/>
    <s v="Santa Barbara"/>
    <x v="0"/>
    <n v="93101"/>
    <d v="2021-09-30T00:00:00"/>
    <x v="2"/>
    <n v="258"/>
    <n v="2290165"/>
    <n v="282347"/>
    <n v="2290165"/>
    <n v="2099609"/>
    <n v="2074662"/>
    <x v="1"/>
    <n v="0.08"/>
    <n v="165972.96"/>
    <n v="0.91679376813461044"/>
    <n v="8876.6085271317825"/>
    <n v="1.7011626472167516"/>
  </r>
  <r>
    <s v="MONTEREY COUNTY BANK"/>
    <s v="Monterey"/>
    <x v="0"/>
    <n v="93940"/>
    <d v="2019-09-30T00:00:00"/>
    <x v="0"/>
    <n v="43"/>
    <n v="171551"/>
    <n v="20041"/>
    <n v="171551"/>
    <n v="153582"/>
    <n v="142538"/>
    <x v="0"/>
    <n v="0.09"/>
    <n v="12828.42"/>
    <n v="0.89525563826500576"/>
    <n v="3989.5581395348836"/>
    <n v="1.5622344762644191"/>
  </r>
  <r>
    <s v="MONTEREY COUNTY BANK"/>
    <s v="Monterey"/>
    <x v="0"/>
    <n v="93940"/>
    <d v="2020-09-30T00:00:00"/>
    <x v="1"/>
    <n v="44"/>
    <n v="210911"/>
    <n v="37603"/>
    <n v="210911"/>
    <n v="191284"/>
    <n v="165770"/>
    <x v="0"/>
    <n v="0.09"/>
    <n v="14919.3"/>
    <n v="0.90694179061310221"/>
    <n v="4793.431818181818"/>
    <n v="2.520426561567902"/>
  </r>
  <r>
    <s v="MONTEREY COUNTY BANK"/>
    <s v="Monterey"/>
    <x v="0"/>
    <n v="93940"/>
    <d v="2021-09-30T00:00:00"/>
    <x v="2"/>
    <n v="38"/>
    <n v="245423"/>
    <n v="44474"/>
    <n v="245423"/>
    <n v="225171"/>
    <n v="206250"/>
    <x v="0"/>
    <n v="0.09"/>
    <n v="18562.5"/>
    <n v="0.91748124666392306"/>
    <n v="6458.5"/>
    <n v="2.3959057239057238"/>
  </r>
  <r>
    <s v="MORGAN STANLEY PRIVATE BANK, NATIONAL ASSOCIATION"/>
    <s v="Purchase"/>
    <x v="2"/>
    <n v="10577"/>
    <d v="2019-09-30T00:00:00"/>
    <x v="0"/>
    <n v="763"/>
    <n v="78786000"/>
    <n v="2940000"/>
    <n v="78786000"/>
    <n v="70505000"/>
    <n v="69776000"/>
    <x v="1"/>
    <n v="0.08"/>
    <n v="5582080"/>
    <n v="0.89489249359023182"/>
    <n v="103258.19134993447"/>
    <n v="0.526685393258427"/>
  </r>
  <r>
    <s v="MORGAN STANLEY PRIVATE BANK, NATIONAL ASSOCIATION"/>
    <s v="Purchase"/>
    <x v="2"/>
    <n v="10577"/>
    <d v="2020-09-30T00:00:00"/>
    <x v="1"/>
    <n v="816"/>
    <n v="110164000"/>
    <n v="10530000"/>
    <n v="110164000"/>
    <n v="101662000"/>
    <n v="97147000"/>
    <x v="1"/>
    <n v="0.08"/>
    <n v="7771760"/>
    <n v="0.9228241530808613"/>
    <n v="135004.90196078431"/>
    <n v="1.354905452561582"/>
  </r>
  <r>
    <s v="MORGAN STANLEY PRIVATE BANK, NATIONAL ASSOCIATION"/>
    <s v="Purchase"/>
    <x v="2"/>
    <n v="10577"/>
    <d v="2021-09-30T00:00:00"/>
    <x v="2"/>
    <n v="945"/>
    <n v="144423000"/>
    <n v="8004000"/>
    <n v="144423000"/>
    <n v="134473000"/>
    <n v="115444000"/>
    <x v="1"/>
    <n v="0.08"/>
    <n v="9235520"/>
    <n v="0.93110515638090885"/>
    <n v="152828.57142857142"/>
    <n v="0.86665396209417556"/>
  </r>
  <r>
    <s v="MORTON COMMUNITY BANK"/>
    <s v="Morton"/>
    <x v="1"/>
    <n v="61550"/>
    <d v="2019-09-30T00:00:00"/>
    <x v="0"/>
    <n v="414"/>
    <n v="3870859"/>
    <n v="178819"/>
    <n v="3870859"/>
    <n v="3448778"/>
    <n v="3021460"/>
    <x v="1"/>
    <n v="7.4999999999999997E-2"/>
    <n v="226609.5"/>
    <n v="0.89095934519960551"/>
    <n v="9349.9009661835753"/>
    <n v="0.78910637020954555"/>
  </r>
  <r>
    <s v="MORTON COMMUNITY BANK"/>
    <s v="Morton"/>
    <x v="1"/>
    <n v="61550"/>
    <d v="2020-09-30T00:00:00"/>
    <x v="1"/>
    <n v="422"/>
    <n v="4511678"/>
    <n v="98266"/>
    <n v="4511678"/>
    <n v="4050474"/>
    <n v="3644054"/>
    <x v="1"/>
    <n v="7.4999999999999997E-2"/>
    <n v="273304.05"/>
    <n v="0.8977755061420607"/>
    <n v="10691.18009478673"/>
    <n v="0.3595482759951783"/>
  </r>
  <r>
    <s v="MORTON COMMUNITY BANK"/>
    <s v="Morton"/>
    <x v="1"/>
    <n v="61550"/>
    <d v="2021-09-30T00:00:00"/>
    <x v="2"/>
    <n v="421"/>
    <n v="4916204"/>
    <n v="253735"/>
    <n v="4916204"/>
    <n v="4436136"/>
    <n v="4090678"/>
    <x v="1"/>
    <n v="7.4999999999999997E-2"/>
    <n v="306800.84999999998"/>
    <n v="0.90234986180394472"/>
    <n v="11677.444180522565"/>
    <n v="0.82703486642882518"/>
  </r>
  <r>
    <s v="MOUNTAINONE BANK"/>
    <s v="North Adams"/>
    <x v="3"/>
    <n v="1247"/>
    <d v="2019-09-30T00:00:00"/>
    <x v="0"/>
    <n v="161"/>
    <n v="898895"/>
    <n v="20625"/>
    <n v="898895"/>
    <n v="787914"/>
    <n v="646133"/>
    <x v="0"/>
    <n v="8.5000000000000006E-2"/>
    <n v="54921.305000000008"/>
    <n v="0.87653619165753505"/>
    <n v="5583.1987577639748"/>
    <n v="0.3755373256334677"/>
  </r>
  <r>
    <s v="MOUNTAINONE BANK"/>
    <s v="North Adams"/>
    <x v="3"/>
    <n v="1247"/>
    <d v="2020-09-30T00:00:00"/>
    <x v="1"/>
    <n v="165"/>
    <n v="907543"/>
    <n v="42586"/>
    <n v="907543"/>
    <n v="790472"/>
    <n v="754920"/>
    <x v="0"/>
    <n v="8.5000000000000006E-2"/>
    <n v="64168.200000000004"/>
    <n v="0.87100225554050881"/>
    <n v="5500.2606060606058"/>
    <n v="0.66366206314030929"/>
  </r>
  <r>
    <s v="MOUNTAINONE BANK"/>
    <s v="North Adams"/>
    <x v="3"/>
    <n v="1247"/>
    <d v="2021-09-30T00:00:00"/>
    <x v="2"/>
    <n v="154"/>
    <n v="877566"/>
    <n v="98989"/>
    <n v="877566"/>
    <n v="752017"/>
    <n v="727797"/>
    <x v="0"/>
    <n v="8.5000000000000006E-2"/>
    <n v="61862.745000000003"/>
    <n v="0.85693497697039311"/>
    <n v="5698.4805194805194"/>
    <n v="1.600139146751409"/>
  </r>
  <r>
    <s v="MUFG UNION BANK, NATIONAL ASSOCIATION"/>
    <s v="San Francisco"/>
    <x v="0"/>
    <n v="94104"/>
    <d v="2019-09-30T00:00:00"/>
    <x v="0"/>
    <n v="12468"/>
    <n v="134715480"/>
    <n v="10631363"/>
    <n v="134715480"/>
    <n v="119736679"/>
    <n v="97755940"/>
    <x v="1"/>
    <n v="0.08"/>
    <n v="7820475.2000000002"/>
    <n v="0.88881158275203409"/>
    <n v="10804.898941289701"/>
    <n v="1.3594267263963704"/>
  </r>
  <r>
    <s v="MUFG UNION BANK, NATIONAL ASSOCIATION"/>
    <s v="San Francisco"/>
    <x v="0"/>
    <n v="94104"/>
    <d v="2020-09-30T00:00:00"/>
    <x v="1"/>
    <n v="12897"/>
    <n v="132479115"/>
    <n v="14894391"/>
    <n v="132479115"/>
    <n v="116874246"/>
    <n v="102990573"/>
    <x v="1"/>
    <n v="0.08"/>
    <n v="8239245.8399999999"/>
    <n v="0.88220883721936094"/>
    <n v="10272.087694812748"/>
    <n v="1.8077371751296112"/>
  </r>
  <r>
    <s v="MUFG UNION BANK, NATIONAL ASSOCIATION"/>
    <s v="San Francisco"/>
    <x v="0"/>
    <n v="94104"/>
    <d v="2021-09-30T00:00:00"/>
    <x v="2"/>
    <n v="12864"/>
    <n v="133260073"/>
    <n v="16414971"/>
    <n v="133260073"/>
    <n v="117055502"/>
    <n v="104167946"/>
    <x v="1"/>
    <n v="0.08"/>
    <n v="8333435.6800000006"/>
    <n v="0.87839890347351079"/>
    <n v="10359.147465796021"/>
    <n v="1.9697723280441757"/>
  </r>
  <r>
    <s v="MUNICIPAL TRUST AND SAVINGS BANK"/>
    <s v="Bourbonnais"/>
    <x v="1"/>
    <n v="60914"/>
    <d v="2019-09-30T00:00:00"/>
    <x v="0"/>
    <n v="48"/>
    <n v="317922"/>
    <n v="97851"/>
    <n v="317922"/>
    <n v="265153"/>
    <n v="254700"/>
    <x v="0"/>
    <n v="0.08"/>
    <n v="20376"/>
    <n v="0.83401903611577688"/>
    <n v="6623.375"/>
    <n v="4.802267373380448"/>
  </r>
  <r>
    <s v="MUNICIPAL TRUST AND SAVINGS BANK"/>
    <s v="Bourbonnais"/>
    <x v="1"/>
    <n v="60914"/>
    <d v="2020-09-30T00:00:00"/>
    <x v="1"/>
    <n v="54"/>
    <n v="324366"/>
    <n v="89397"/>
    <n v="324366"/>
    <n v="274357"/>
    <n v="262482"/>
    <x v="0"/>
    <n v="0.08"/>
    <n v="20998.560000000001"/>
    <n v="0.84582539477010532"/>
    <n v="6006.7777777777774"/>
    <n v="4.2572919285893889"/>
  </r>
  <r>
    <s v="MUNICIPAL TRUST AND SAVINGS BANK"/>
    <s v="Bourbonnais"/>
    <x v="1"/>
    <n v="60914"/>
    <d v="2021-09-30T00:00:00"/>
    <x v="2"/>
    <n v="57"/>
    <n v="351468"/>
    <n v="103355"/>
    <n v="351468"/>
    <n v="300228"/>
    <n v="289185"/>
    <x v="0"/>
    <n v="0.08"/>
    <n v="23134.799999999999"/>
    <n v="0.85421147871214453"/>
    <n v="6166.105263157895"/>
    <n v="4.4675121462039868"/>
  </r>
  <r>
    <s v="MURPHY BANK"/>
    <s v="Fresno"/>
    <x v="0"/>
    <n v="93704"/>
    <d v="2019-09-30T00:00:00"/>
    <x v="0"/>
    <n v="33"/>
    <n v="309342"/>
    <n v="41956"/>
    <n v="309342"/>
    <n v="276045"/>
    <n v="266808"/>
    <x v="0"/>
    <n v="0.09"/>
    <n v="24012.719999999998"/>
    <n v="0.89236185193087258"/>
    <n v="9374"/>
    <n v="1.7472406291332263"/>
  </r>
  <r>
    <s v="MURPHY BANK"/>
    <s v="Fresno"/>
    <x v="0"/>
    <n v="93704"/>
    <d v="2020-09-30T00:00:00"/>
    <x v="1"/>
    <n v="31"/>
    <n v="319605"/>
    <n v="43000"/>
    <n v="319605"/>
    <n v="283723"/>
    <n v="265757"/>
    <x v="0"/>
    <n v="0.09"/>
    <n v="23918.129999999997"/>
    <n v="0.88773016692479778"/>
    <n v="10309.838709677419"/>
    <n v="1.7977994099037009"/>
  </r>
  <r>
    <s v="MURPHY BANK"/>
    <s v="Fresno"/>
    <x v="0"/>
    <n v="93704"/>
    <d v="2021-09-30T00:00:00"/>
    <x v="2"/>
    <n v="33"/>
    <n v="351517"/>
    <n v="40515"/>
    <n v="351517"/>
    <n v="311248"/>
    <n v="307152"/>
    <x v="0"/>
    <n v="0.09"/>
    <n v="27643.68"/>
    <n v="0.8854422403468396"/>
    <n v="10652.030303030304"/>
    <n v="1.4656152871108332"/>
  </r>
  <r>
    <s v="MURPHY-WALL STATE BANK AND TRUST COMPANY"/>
    <s v="Pinckneyville"/>
    <x v="1"/>
    <n v="62274"/>
    <d v="2019-09-30T00:00:00"/>
    <x v="0"/>
    <n v="43"/>
    <n v="128520"/>
    <n v="7601"/>
    <n v="128520"/>
    <n v="112886"/>
    <n v="112169"/>
    <x v="0"/>
    <n v="0.08"/>
    <n v="8973.52"/>
    <n v="0.87835356364768125"/>
    <n v="2988.8372093023254"/>
    <n v="0.8470477582932896"/>
  </r>
  <r>
    <s v="MURPHY-WALL STATE BANK AND TRUST COMPANY"/>
    <s v="Pinckneyville"/>
    <x v="1"/>
    <n v="62274"/>
    <d v="2020-09-30T00:00:00"/>
    <x v="1"/>
    <n v="46"/>
    <n v="153649"/>
    <n v="16101"/>
    <n v="153649"/>
    <n v="137135"/>
    <n v="132175"/>
    <x v="0"/>
    <n v="0.08"/>
    <n v="10574"/>
    <n v="0.89252126600238202"/>
    <n v="3340.195652173913"/>
    <n v="1.5226971817665973"/>
  </r>
  <r>
    <s v="MURPHY-WALL STATE BANK AND TRUST COMPANY"/>
    <s v="Pinckneyville"/>
    <x v="1"/>
    <n v="62274"/>
    <d v="2021-09-30T00:00:00"/>
    <x v="2"/>
    <n v="45"/>
    <n v="160611"/>
    <n v="9951"/>
    <n v="160611"/>
    <n v="143901"/>
    <n v="143591"/>
    <x v="0"/>
    <n v="0.08"/>
    <n v="11487.28"/>
    <n v="0.89595980350038296"/>
    <n v="3569.1333333333332"/>
    <n v="0.86626250948875616"/>
  </r>
  <r>
    <s v="MUTUAL FEDERAL BANK"/>
    <s v="Chicago"/>
    <x v="1"/>
    <n v="60608"/>
    <d v="2019-09-30T00:00:00"/>
    <x v="0"/>
    <n v="41"/>
    <n v="71805"/>
    <n v="10114"/>
    <n v="71805"/>
    <n v="58004"/>
    <n v="57195"/>
    <x v="2"/>
    <n v="0.09"/>
    <n v="5147.55"/>
    <n v="0.80779889979806418"/>
    <n v="1751.3414634146341"/>
    <n v="1.9648182144903885"/>
  </r>
  <r>
    <s v="MUTUAL FEDERAL BANK"/>
    <s v="Chicago"/>
    <x v="1"/>
    <n v="60608"/>
    <d v="2020-09-30T00:00:00"/>
    <x v="1"/>
    <n v="42"/>
    <n v="98159"/>
    <n v="10965"/>
    <n v="98159"/>
    <n v="83324"/>
    <n v="63500"/>
    <x v="2"/>
    <n v="0.09"/>
    <n v="5715"/>
    <n v="0.8488676535009525"/>
    <n v="2337.1190476190477"/>
    <n v="1.9186351706036746"/>
  </r>
  <r>
    <s v="MUTUAL FEDERAL BANK"/>
    <s v="Chicago"/>
    <x v="1"/>
    <n v="60608"/>
    <d v="2021-09-30T00:00:00"/>
    <x v="2"/>
    <n v="48"/>
    <n v="96835"/>
    <n v="30564"/>
    <n v="96835"/>
    <n v="81500"/>
    <n v="70541"/>
    <x v="2"/>
    <n v="0.09"/>
    <n v="6348.69"/>
    <n v="0.84163783755873389"/>
    <n v="2017.3958333333333"/>
    <n v="4.8142215165648352"/>
  </r>
  <r>
    <s v="MUTUALONE BANK"/>
    <s v="Framingham"/>
    <x v="3"/>
    <n v="1701"/>
    <d v="2019-09-30T00:00:00"/>
    <x v="0"/>
    <n v="91"/>
    <n v="983289"/>
    <n v="108883"/>
    <n v="983289"/>
    <n v="816420"/>
    <n v="794132"/>
    <x v="0"/>
    <n v="8.5000000000000006E-2"/>
    <n v="67501.22"/>
    <n v="0.83029506076036652"/>
    <n v="10805.373626373626"/>
    <n v="1.613052327054237"/>
  </r>
  <r>
    <s v="MUTUALONE BANK"/>
    <s v="Framingham"/>
    <x v="3"/>
    <n v="1701"/>
    <d v="2020-09-30T00:00:00"/>
    <x v="1"/>
    <n v="92"/>
    <n v="974144"/>
    <n v="48177"/>
    <n v="974144"/>
    <n v="790940"/>
    <n v="748590"/>
    <x v="0"/>
    <n v="8.5000000000000006E-2"/>
    <n v="63630.15"/>
    <n v="0.81193334866303135"/>
    <n v="10588.521739130434"/>
    <n v="0.75714107227469996"/>
  </r>
  <r>
    <s v="MUTUALONE BANK"/>
    <s v="Framingham"/>
    <x v="3"/>
    <n v="1701"/>
    <d v="2021-09-30T00:00:00"/>
    <x v="2"/>
    <n v="91"/>
    <n v="1009470"/>
    <n v="79708"/>
    <n v="1009470"/>
    <n v="811455"/>
    <n v="785971"/>
    <x v="1"/>
    <n v="0.08"/>
    <n v="62877.68"/>
    <n v="0.80384261047876604"/>
    <n v="11093.076923076924"/>
    <n v="1.2676676365921897"/>
  </r>
  <r>
    <s v="NANO BANC"/>
    <s v="Irvine"/>
    <x v="0"/>
    <n v="92618"/>
    <d v="2019-09-30T00:00:00"/>
    <x v="0"/>
    <n v="60"/>
    <n v="910381"/>
    <n v="224076"/>
    <n v="910381"/>
    <n v="831094"/>
    <n v="827334"/>
    <x v="0"/>
    <n v="0.09"/>
    <n v="74460.06"/>
    <n v="0.91290789240988113"/>
    <n v="15173.016666666666"/>
    <n v="3.0093448756286256"/>
  </r>
  <r>
    <s v="NANO BANC"/>
    <s v="Irvine"/>
    <x v="0"/>
    <n v="92618"/>
    <d v="2020-09-30T00:00:00"/>
    <x v="1"/>
    <n v="70"/>
    <n v="1366675"/>
    <n v="461984"/>
    <n v="1366675"/>
    <n v="1261297"/>
    <n v="1207879"/>
    <x v="1"/>
    <n v="0.08"/>
    <n v="96630.32"/>
    <n v="0.92289461649624083"/>
    <n v="19523.928571428572"/>
    <n v="4.7809424619519003"/>
  </r>
  <r>
    <s v="NANO BANC"/>
    <s v="Irvine"/>
    <x v="0"/>
    <n v="92618"/>
    <d v="2021-09-30T00:00:00"/>
    <x v="2"/>
    <n v="83"/>
    <n v="1221330"/>
    <n v="153627"/>
    <n v="1221330"/>
    <n v="1089752"/>
    <n v="1049252"/>
    <x v="1"/>
    <n v="0.08"/>
    <n v="83940.160000000003"/>
    <n v="0.89226662736524931"/>
    <n v="14714.819277108434"/>
    <n v="1.8301966543785477"/>
  </r>
  <r>
    <s v="NASHVILLE SAVINGS BANK"/>
    <s v="Nashville"/>
    <x v="1"/>
    <n v="62263"/>
    <d v="2019-09-30T00:00:00"/>
    <x v="0"/>
    <n v="6"/>
    <n v="60671"/>
    <n v="2857"/>
    <n v="60671"/>
    <n v="52415"/>
    <n v="52177"/>
    <x v="2"/>
    <n v="0.09"/>
    <n v="4695.9299999999994"/>
    <n v="0.86392180778296057"/>
    <n v="10111.833333333334"/>
    <n v="0.60839918823321482"/>
  </r>
  <r>
    <s v="NASHVILLE SAVINGS BANK"/>
    <s v="Nashville"/>
    <x v="1"/>
    <n v="62263"/>
    <d v="2020-09-30T00:00:00"/>
    <x v="1"/>
    <n v="6"/>
    <n v="71348"/>
    <n v="7232"/>
    <n v="71348"/>
    <n v="62494"/>
    <n v="58209"/>
    <x v="2"/>
    <n v="0.09"/>
    <n v="5238.8099999999995"/>
    <n v="0.87590401973426024"/>
    <n v="11891.333333333334"/>
    <n v="1.3804661745701792"/>
  </r>
  <r>
    <s v="NASHVILLE SAVINGS BANK"/>
    <s v="Nashville"/>
    <x v="1"/>
    <n v="62263"/>
    <d v="2021-09-30T00:00:00"/>
    <x v="2"/>
    <n v="6"/>
    <n v="80115"/>
    <n v="3763"/>
    <n v="80115"/>
    <n v="70827"/>
    <n v="66590"/>
    <x v="2"/>
    <n v="0.09"/>
    <n v="5993.0999999999995"/>
    <n v="0.88406665418460961"/>
    <n v="13352.5"/>
    <n v="0.62788873871619033"/>
  </r>
  <r>
    <s v="NATIONAL BANK OF NEW YORK CITY"/>
    <s v="Flushing"/>
    <x v="2"/>
    <n v="11354"/>
    <d v="2019-09-30T00:00:00"/>
    <x v="0"/>
    <n v="27"/>
    <n v="228125"/>
    <n v="20016"/>
    <n v="228125"/>
    <n v="187547"/>
    <n v="166388"/>
    <x v="0"/>
    <n v="8.5000000000000006E-2"/>
    <n v="14142.980000000001"/>
    <n v="0.82212383561643831"/>
    <n v="8449.0740740740748"/>
    <n v="1.4152604330911871"/>
  </r>
  <r>
    <s v="NATIONAL BANK OF NEW YORK CITY"/>
    <s v="Flushing"/>
    <x v="2"/>
    <n v="11354"/>
    <d v="2020-09-30T00:00:00"/>
    <x v="1"/>
    <n v="26"/>
    <n v="207503"/>
    <n v="23896"/>
    <n v="207503"/>
    <n v="167307"/>
    <n v="146801"/>
    <x v="0"/>
    <n v="8.5000000000000006E-2"/>
    <n v="12478.085000000001"/>
    <n v="0.80628713801728169"/>
    <n v="7980.8846153846152"/>
    <n v="1.9150374436462003"/>
  </r>
  <r>
    <s v="NATIONAL BANK OF NEW YORK CITY"/>
    <s v="Flushing"/>
    <x v="2"/>
    <n v="11354"/>
    <d v="2021-09-30T00:00:00"/>
    <x v="2"/>
    <n v="27"/>
    <n v="210160"/>
    <n v="32777"/>
    <n v="210160"/>
    <n v="173578"/>
    <n v="154770"/>
    <x v="0"/>
    <n v="8.5000000000000006E-2"/>
    <n v="13155.45"/>
    <n v="0.82593262276360868"/>
    <n v="7783.7037037037035"/>
    <n v="2.4915149234727809"/>
  </r>
  <r>
    <s v="NATIONAL BANK OF ST. ANNE"/>
    <s v="St. Anne"/>
    <x v="1"/>
    <n v="60964"/>
    <d v="2019-09-30T00:00:00"/>
    <x v="0"/>
    <n v="20"/>
    <n v="74758"/>
    <n v="15422"/>
    <n v="74758"/>
    <n v="65857"/>
    <n v="65141"/>
    <x v="2"/>
    <n v="0.09"/>
    <n v="5862.69"/>
    <n v="0.88093581957783784"/>
    <n v="3737.9"/>
    <n v="2.6305330829363314"/>
  </r>
  <r>
    <s v="NATIONAL BANK OF ST. ANNE"/>
    <s v="St. Anne"/>
    <x v="1"/>
    <n v="60964"/>
    <d v="2020-09-30T00:00:00"/>
    <x v="1"/>
    <n v="23"/>
    <n v="95708"/>
    <n v="13915"/>
    <n v="95708"/>
    <n v="85621"/>
    <n v="81156"/>
    <x v="2"/>
    <n v="0.09"/>
    <n v="7304.04"/>
    <n v="0.89460651147239523"/>
    <n v="4161.217391304348"/>
    <n v="1.9051100486853851"/>
  </r>
  <r>
    <s v="NATIONAL BANK OF ST. ANNE"/>
    <s v="St. Anne"/>
    <x v="1"/>
    <n v="60964"/>
    <d v="2021-09-30T00:00:00"/>
    <x v="2"/>
    <n v="26"/>
    <n v="110895"/>
    <n v="16170"/>
    <n v="110895"/>
    <n v="98744"/>
    <n v="98161"/>
    <x v="0"/>
    <n v="0.08"/>
    <n v="7852.88"/>
    <n v="0.89042788223093916"/>
    <n v="4265.1923076923076"/>
    <n v="2.0591171646580619"/>
  </r>
  <r>
    <s v="NBT BANK, NATIONAL ASSOCIATION"/>
    <s v="Norwich"/>
    <x v="2"/>
    <n v="13815"/>
    <d v="2019-09-30T00:00:00"/>
    <x v="0"/>
    <n v="1527"/>
    <n v="9591370"/>
    <n v="272083"/>
    <n v="9591369"/>
    <n v="8463807"/>
    <n v="7795723"/>
    <x v="1"/>
    <n v="0.08"/>
    <n v="623657.84"/>
    <n v="0.88243983914706658"/>
    <n v="6281.1853307138181"/>
    <n v="0.43626966992028837"/>
  </r>
  <r>
    <s v="NBT BANK, NATIONAL ASSOCIATION"/>
    <s v="Norwich"/>
    <x v="2"/>
    <n v="13815"/>
    <d v="2020-09-30T00:00:00"/>
    <x v="1"/>
    <n v="1512"/>
    <n v="10761572"/>
    <n v="615278"/>
    <n v="10761572"/>
    <n v="9473200"/>
    <n v="9006325"/>
    <x v="1"/>
    <n v="0.08"/>
    <n v="720506"/>
    <n v="0.88028031592410472"/>
    <n v="7117.4417989417989"/>
    <n v="0.85395263883992634"/>
  </r>
  <r>
    <s v="NBT BANK, NATIONAL ASSOCIATION"/>
    <s v="Norwich"/>
    <x v="2"/>
    <n v="13815"/>
    <d v="2021-09-30T00:00:00"/>
    <x v="2"/>
    <n v="1503"/>
    <n v="11905119"/>
    <n v="1343424"/>
    <n v="11905119"/>
    <n v="10548589"/>
    <n v="10250613"/>
    <x v="1"/>
    <n v="0.08"/>
    <n v="820049.04"/>
    <n v="0.88605489789728265"/>
    <n v="7920.9041916167662"/>
    <n v="1.638223977434325"/>
  </r>
  <r>
    <s v="NEEDHAM BANK"/>
    <s v="Needham"/>
    <x v="3"/>
    <n v="2492"/>
    <d v="2019-09-30T00:00:00"/>
    <x v="0"/>
    <n v="200"/>
    <n v="2345536"/>
    <n v="54679"/>
    <n v="2345536"/>
    <n v="2057717"/>
    <n v="1719621"/>
    <x v="1"/>
    <n v="0.08"/>
    <n v="137569.68"/>
    <n v="0.8772907343993015"/>
    <n v="11727.68"/>
    <n v="0.39746403422614635"/>
  </r>
  <r>
    <s v="NEEDHAM BANK"/>
    <s v="Needham"/>
    <x v="3"/>
    <n v="2492"/>
    <d v="2020-09-30T00:00:00"/>
    <x v="1"/>
    <n v="225"/>
    <n v="2568792"/>
    <n v="29551"/>
    <n v="2568792"/>
    <n v="2265506"/>
    <n v="2041189"/>
    <x v="1"/>
    <n v="0.08"/>
    <n v="163295.12"/>
    <n v="0.88193438783677314"/>
    <n v="11416.853333333333"/>
    <n v="0.1809668286474207"/>
  </r>
  <r>
    <s v="NEEDHAM BANK"/>
    <s v="Needham"/>
    <x v="3"/>
    <n v="2492"/>
    <d v="2021-09-30T00:00:00"/>
    <x v="2"/>
    <n v="256"/>
    <n v="2933206"/>
    <n v="511109"/>
    <n v="2933206"/>
    <n v="2613799"/>
    <n v="2532049"/>
    <x v="1"/>
    <n v="0.08"/>
    <n v="202563.92"/>
    <n v="0.89110652303315896"/>
    <n v="11457.8359375"/>
    <n v="2.523198603186589"/>
  </r>
  <r>
    <s v="NEIGHBORHOOD NATIONAL BANK"/>
    <s v="San Diego"/>
    <x v="0"/>
    <n v="92113"/>
    <d v="2019-09-30T00:00:00"/>
    <x v="0"/>
    <n v="36"/>
    <n v="68110"/>
    <n v="8150"/>
    <n v="68110"/>
    <n v="57262"/>
    <n v="50804"/>
    <x v="2"/>
    <n v="0.1"/>
    <n v="5080.4000000000005"/>
    <n v="0.84072823373953898"/>
    <n v="1891.9444444444443"/>
    <n v="1.6042043933548538"/>
  </r>
  <r>
    <s v="NEIGHBORHOOD NATIONAL BANK"/>
    <s v="San Diego"/>
    <x v="0"/>
    <n v="92113"/>
    <d v="2020-09-30T00:00:00"/>
    <x v="1"/>
    <n v="32"/>
    <n v="135407"/>
    <n v="2922"/>
    <n v="135407"/>
    <n v="124794"/>
    <n v="76705"/>
    <x v="0"/>
    <n v="0.09"/>
    <n v="6903.45"/>
    <n v="0.9216214819027081"/>
    <n v="4231.46875"/>
    <n v="0.42326662755578731"/>
  </r>
  <r>
    <s v="NEIGHBORHOOD NATIONAL BANK"/>
    <s v="El Cajon"/>
    <x v="0"/>
    <n v="92019"/>
    <d v="2021-09-30T00:00:00"/>
    <x v="2"/>
    <n v="25"/>
    <n v="115990"/>
    <n v="2224"/>
    <n v="115990"/>
    <n v="104950"/>
    <n v="83563"/>
    <x v="0"/>
    <n v="0.09"/>
    <n v="7520.67"/>
    <n v="0.90481938098111903"/>
    <n v="4639.6000000000004"/>
    <n v="0.29571833360591543"/>
  </r>
  <r>
    <s v="NEW OMNI BANK, NATIONAL ASSOCIATION"/>
    <s v="Alhambra"/>
    <x v="0"/>
    <n v="91801"/>
    <d v="2019-09-30T00:00:00"/>
    <x v="0"/>
    <n v="72"/>
    <n v="482743"/>
    <n v="96770"/>
    <n v="482743"/>
    <n v="413830"/>
    <n v="370298"/>
    <x v="0"/>
    <n v="0.09"/>
    <n v="33326.82"/>
    <n v="0.85724702377869799"/>
    <n v="6704.7638888888887"/>
    <n v="2.9036673766053887"/>
  </r>
  <r>
    <s v="NEW OMNI BANK, NATIONAL ASSOCIATION"/>
    <s v="Alhambra"/>
    <x v="0"/>
    <n v="91801"/>
    <d v="2020-09-30T00:00:00"/>
    <x v="1"/>
    <n v="64"/>
    <n v="523693"/>
    <n v="37964"/>
    <n v="523693"/>
    <n v="449136"/>
    <n v="394743"/>
    <x v="0"/>
    <n v="0.09"/>
    <n v="35526.869999999995"/>
    <n v="0.8576322387352896"/>
    <n v="8182.703125"/>
    <n v="1.0685996261421287"/>
  </r>
  <r>
    <s v="NEW OMNI BANK, NATIONAL ASSOCIATION"/>
    <s v="Alhambra"/>
    <x v="0"/>
    <n v="91801"/>
    <d v="2021-09-30T00:00:00"/>
    <x v="2"/>
    <n v="67"/>
    <n v="535900"/>
    <n v="73360"/>
    <n v="535900"/>
    <n v="457065"/>
    <n v="412035"/>
    <x v="0"/>
    <n v="0.09"/>
    <n v="37083.15"/>
    <n v="0.85289233065870496"/>
    <n v="7998.5074626865671"/>
    <n v="1.9782569711580595"/>
  </r>
  <r>
    <s v="NEW VALLEY BANK &amp; TRUST"/>
    <s v="Springfield"/>
    <x v="3"/>
    <n v="1144"/>
    <d v="2019-09-30T00:00:00"/>
    <x v="0"/>
    <n v="15"/>
    <n v="45395"/>
    <n v="9220"/>
    <n v="45395"/>
    <n v="24507"/>
    <n v="23995"/>
    <x v="2"/>
    <n v="9.5000000000000001E-2"/>
    <n v="2279.5250000000001"/>
    <n v="0.53986121819583655"/>
    <n v="3026.3333333333335"/>
    <n v="4.0447022954343561"/>
  </r>
  <r>
    <s v="NEW VALLEY BANK &amp; TRUST"/>
    <s v="Springfield"/>
    <x v="3"/>
    <n v="1144"/>
    <d v="2020-09-30T00:00:00"/>
    <x v="1"/>
    <n v="20"/>
    <n v="210327"/>
    <n v="19115"/>
    <n v="210327"/>
    <n v="190390"/>
    <n v="116595"/>
    <x v="0"/>
    <n v="8.5000000000000006E-2"/>
    <n v="9910.5750000000007"/>
    <n v="0.90520950710084769"/>
    <n v="10516.35"/>
    <n v="1.9287478274469441"/>
  </r>
  <r>
    <s v="NEW VALLEY BANK &amp; TRUST"/>
    <s v="Springfield"/>
    <x v="3"/>
    <n v="1144"/>
    <d v="2021-09-30T00:00:00"/>
    <x v="2"/>
    <n v="26"/>
    <n v="242005"/>
    <n v="38138"/>
    <n v="242005"/>
    <n v="220662"/>
    <n v="220215"/>
    <x v="0"/>
    <n v="8.5000000000000006E-2"/>
    <n v="18718.275000000001"/>
    <n v="0.91180760728084131"/>
    <n v="9307.8846153846152"/>
    <n v="2.0374740727978407"/>
  </r>
  <r>
    <s v="NEW YORK COMMUNITY BANK"/>
    <s v="Westbury"/>
    <x v="2"/>
    <n v="11590"/>
    <d v="2019-09-30T00:00:00"/>
    <x v="0"/>
    <n v="2774"/>
    <n v="52513906"/>
    <n v="849374"/>
    <n v="52513906"/>
    <n v="45355071"/>
    <n v="31752405"/>
    <x v="1"/>
    <n v="0.08"/>
    <n v="2540192.4"/>
    <n v="0.86367734672031438"/>
    <n v="18930.751982696467"/>
    <n v="0.33437388443489557"/>
  </r>
  <r>
    <s v="NEW YORK COMMUNITY BANK"/>
    <s v="Hicksville"/>
    <x v="2"/>
    <n v="11801"/>
    <d v="2020-09-30T00:00:00"/>
    <x v="1"/>
    <n v="2751"/>
    <n v="54908208"/>
    <n v="1446227"/>
    <n v="54908208"/>
    <n v="47678210"/>
    <n v="31854977"/>
    <x v="1"/>
    <n v="0.08"/>
    <n v="2548398.16"/>
    <n v="0.86832573374093724"/>
    <n v="19959.363140676116"/>
    <n v="0.56750433378118592"/>
  </r>
  <r>
    <s v="NEW YORK COMMUNITY BANK"/>
    <s v="Hicksville"/>
    <x v="2"/>
    <n v="11801"/>
    <d v="2021-09-30T00:00:00"/>
    <x v="2"/>
    <n v="2717"/>
    <n v="57845769"/>
    <n v="2009544"/>
    <n v="57845769"/>
    <n v="50391601"/>
    <n v="34759539"/>
    <x v="1"/>
    <n v="0.08"/>
    <n v="2780763.12"/>
    <n v="0.87113719587684968"/>
    <n v="21290.308796466692"/>
    <n v="0.72265918141204344"/>
  </r>
  <r>
    <s v="NEWBANK"/>
    <s v="Flushing"/>
    <x v="2"/>
    <n v="11354"/>
    <d v="2019-09-30T00:00:00"/>
    <x v="0"/>
    <n v="46"/>
    <n v="447929"/>
    <n v="177988"/>
    <n v="447929"/>
    <n v="398152"/>
    <n v="387646"/>
    <x v="0"/>
    <n v="8.5000000000000006E-2"/>
    <n v="32949.910000000003"/>
    <n v="0.88887301335702762"/>
    <n v="9737.5869565217399"/>
    <n v="5.4017749972609934"/>
  </r>
  <r>
    <s v="NEWBANK"/>
    <s v="Flushing"/>
    <x v="2"/>
    <n v="11354"/>
    <d v="2020-09-30T00:00:00"/>
    <x v="1"/>
    <n v="48"/>
    <n v="477045"/>
    <n v="176295"/>
    <n v="477045"/>
    <n v="425341"/>
    <n v="414164"/>
    <x v="0"/>
    <n v="8.5000000000000006E-2"/>
    <n v="35203.94"/>
    <n v="0.89161609491767024"/>
    <n v="9938.4375"/>
    <n v="5.0078201474039554"/>
  </r>
  <r>
    <s v="NEWBANK"/>
    <s v="Flushing"/>
    <x v="2"/>
    <n v="11354"/>
    <d v="2021-09-30T00:00:00"/>
    <x v="2"/>
    <n v="51"/>
    <n v="553555"/>
    <n v="231217"/>
    <n v="553555"/>
    <n v="494948"/>
    <n v="481433"/>
    <x v="0"/>
    <n v="8.5000000000000006E-2"/>
    <n v="40921.805"/>
    <n v="0.89412614825988379"/>
    <n v="10854.019607843138"/>
    <n v="5.6502150870422261"/>
  </r>
  <r>
    <s v="NEWBURYPORT FIVE CENTS SAVINGS BANK"/>
    <s v="Newburyport"/>
    <x v="3"/>
    <n v="1950"/>
    <d v="2019-09-30T00:00:00"/>
    <x v="0"/>
    <n v="165"/>
    <n v="1012426"/>
    <n v="17923"/>
    <n v="1012426"/>
    <n v="884901"/>
    <n v="775741"/>
    <x v="1"/>
    <n v="0.08"/>
    <n v="62059.28"/>
    <n v="0.87404017676353629"/>
    <n v="6135.9151515151516"/>
    <n v="0.28880451078388275"/>
  </r>
  <r>
    <s v="NEWBURYPORT FIVE CENTS SAVINGS BANK"/>
    <s v="Newburyport"/>
    <x v="3"/>
    <n v="1950"/>
    <d v="2020-09-30T00:00:00"/>
    <x v="1"/>
    <n v="166"/>
    <n v="1185617"/>
    <n v="29252"/>
    <n v="1185617"/>
    <n v="1047971"/>
    <n v="869170"/>
    <x v="1"/>
    <n v="0.08"/>
    <n v="69533.600000000006"/>
    <n v="0.88390348653907624"/>
    <n v="7142.2710843373497"/>
    <n v="0.42068870301552053"/>
  </r>
  <r>
    <s v="NEWBURYPORT FIVE CENTS SAVINGS BANK"/>
    <s v="Newburyport"/>
    <x v="3"/>
    <n v="1950"/>
    <d v="2021-09-30T00:00:00"/>
    <x v="2"/>
    <n v="179"/>
    <n v="1260795"/>
    <n v="67137"/>
    <n v="1260795"/>
    <n v="1123582"/>
    <n v="1081704"/>
    <x v="1"/>
    <n v="0.08"/>
    <n v="86536.320000000007"/>
    <n v="0.89116946053878698"/>
    <n v="7043.5474860335198"/>
    <n v="0.7758245324044285"/>
  </r>
  <r>
    <s v="NOKOMIS SAVINGS BANK"/>
    <s v="Nokomis"/>
    <x v="1"/>
    <n v="62075"/>
    <d v="2019-09-30T00:00:00"/>
    <x v="0"/>
    <n v="7"/>
    <n v="28744"/>
    <n v="657"/>
    <n v="28744"/>
    <n v="23737"/>
    <n v="18933"/>
    <x v="2"/>
    <n v="0.09"/>
    <n v="1703.97"/>
    <n v="0.82580712496521014"/>
    <n v="4106.2857142857147"/>
    <n v="0.38557016848888181"/>
  </r>
  <r>
    <s v="NOKOMIS SAVINGS BANK"/>
    <s v="Nokomis"/>
    <x v="1"/>
    <n v="62075"/>
    <d v="2020-09-30T00:00:00"/>
    <x v="1"/>
    <n v="6"/>
    <n v="33908"/>
    <n v="4324"/>
    <n v="33908"/>
    <n v="28792"/>
    <n v="20689"/>
    <x v="2"/>
    <n v="0.09"/>
    <n v="1862.01"/>
    <n v="0.84912115135071364"/>
    <n v="5651.333333333333"/>
    <n v="2.3222216851681785"/>
  </r>
  <r>
    <s v="NOKOMIS SAVINGS BANK"/>
    <s v="Nokomis"/>
    <x v="1"/>
    <n v="62075"/>
    <d v="2021-09-30T00:00:00"/>
    <x v="2"/>
    <n v="5"/>
    <n v="33235"/>
    <n v="2934"/>
    <n v="33235"/>
    <n v="28148"/>
    <n v="23059"/>
    <x v="2"/>
    <n v="0.09"/>
    <n v="2075.31"/>
    <n v="0.84693846848202192"/>
    <n v="6647"/>
    <n v="1.4137646905763477"/>
  </r>
  <r>
    <s v="NORTH ADAMS STATE BANK"/>
    <s v="Ursa"/>
    <x v="1"/>
    <n v="62376"/>
    <d v="2019-09-30T00:00:00"/>
    <x v="0"/>
    <n v="13"/>
    <n v="38456"/>
    <n v="4302"/>
    <n v="38456"/>
    <n v="32649"/>
    <n v="31760"/>
    <x v="2"/>
    <n v="0.09"/>
    <n v="2858.4"/>
    <n v="0.84899625546078639"/>
    <n v="2958.1538461538462"/>
    <n v="1.5050377833753148"/>
  </r>
  <r>
    <s v="NORTH ADAMS STATE BANK"/>
    <s v="Ursa"/>
    <x v="1"/>
    <n v="62376"/>
    <d v="2020-09-30T00:00:00"/>
    <x v="1"/>
    <n v="12"/>
    <n v="43770"/>
    <n v="7056"/>
    <n v="43769"/>
    <n v="37565"/>
    <n v="33054"/>
    <x v="2"/>
    <n v="0.09"/>
    <n v="2974.8599999999997"/>
    <n v="0.8582362348640622"/>
    <n v="3647.5"/>
    <n v="2.3718763235916986"/>
  </r>
  <r>
    <s v="NORTH ADAMS STATE BANK"/>
    <s v="Ursa"/>
    <x v="1"/>
    <n v="62376"/>
    <d v="2021-09-30T00:00:00"/>
    <x v="2"/>
    <n v="12"/>
    <n v="48790"/>
    <n v="9827"/>
    <n v="48790"/>
    <n v="42195"/>
    <n v="37939"/>
    <x v="2"/>
    <n v="0.09"/>
    <n v="3414.5099999999998"/>
    <n v="0.86482885837261736"/>
    <n v="4065.8333333333335"/>
    <n v="2.8780117791425419"/>
  </r>
  <r>
    <s v="NORTH BROOKFIELD SAVINGS BANK"/>
    <s v="North Brookfield"/>
    <x v="3"/>
    <n v="1535"/>
    <d v="2019-09-30T00:00:00"/>
    <x v="0"/>
    <n v="67"/>
    <n v="319910"/>
    <n v="8228"/>
    <n v="319910"/>
    <n v="281887"/>
    <n v="251045"/>
    <x v="0"/>
    <n v="8.5000000000000006E-2"/>
    <n v="21338.825000000001"/>
    <n v="0.88114469694601605"/>
    <n v="4774.7761194029854"/>
    <n v="0.3855882411519847"/>
  </r>
  <r>
    <s v="NORTH BROOKFIELD SAVINGS BANK"/>
    <s v="North Brookfield"/>
    <x v="3"/>
    <n v="1535"/>
    <d v="2020-09-30T00:00:00"/>
    <x v="1"/>
    <n v="55"/>
    <n v="338102"/>
    <n v="22551"/>
    <n v="338103"/>
    <n v="298349"/>
    <n v="282835"/>
    <x v="0"/>
    <n v="8.5000000000000006E-2"/>
    <n v="24040.975000000002"/>
    <n v="0.88242305576423685"/>
    <n v="6147.3090909090906"/>
    <n v="0.93802352026072144"/>
  </r>
  <r>
    <s v="NORTH BROOKFIELD SAVINGS BANK"/>
    <s v="North Brookfield"/>
    <x v="3"/>
    <n v="1535"/>
    <d v="2021-09-30T00:00:00"/>
    <x v="2"/>
    <n v="66"/>
    <n v="352525"/>
    <n v="28785"/>
    <n v="352525"/>
    <n v="312819"/>
    <n v="303116"/>
    <x v="0"/>
    <n v="8.5000000000000006E-2"/>
    <n v="25764.86"/>
    <n v="0.88736685341465149"/>
    <n v="5341.287878787879"/>
    <n v="1.1172193444870262"/>
  </r>
  <r>
    <s v="NORTH CAMBRIDGE CO-OPERATIVE BANK"/>
    <s v="Cambridge"/>
    <x v="3"/>
    <n v="2140"/>
    <d v="2019-09-30T00:00:00"/>
    <x v="0"/>
    <n v="10"/>
    <n v="91564"/>
    <n v="18263"/>
    <n v="91564"/>
    <n v="70100"/>
    <n v="69776"/>
    <x v="2"/>
    <n v="9.5000000000000001E-2"/>
    <n v="6628.72"/>
    <n v="0.76558472762220964"/>
    <n v="9156.4"/>
    <n v="2.7551322125538564"/>
  </r>
  <r>
    <s v="NORTH CAMBRIDGE CO-OPERATIVE BANK"/>
    <s v="Cambridge"/>
    <x v="3"/>
    <n v="2140"/>
    <d v="2020-09-30T00:00:00"/>
    <x v="1"/>
    <n v="10"/>
    <n v="89614"/>
    <n v="26891"/>
    <n v="89614"/>
    <n v="68143"/>
    <n v="67811"/>
    <x v="2"/>
    <n v="9.5000000000000001E-2"/>
    <n v="6442.0450000000001"/>
    <n v="0.76040574017452633"/>
    <n v="8961.4"/>
    <n v="4.1742955847095136"/>
  </r>
  <r>
    <s v="NORTH CAMBRIDGE CO-OPERATIVE BANK"/>
    <s v="Cambridge"/>
    <x v="3"/>
    <n v="2140"/>
    <d v="2021-09-30T00:00:00"/>
    <x v="2"/>
    <n v="10"/>
    <n v="89617"/>
    <n v="26980"/>
    <n v="89617"/>
    <n v="67303"/>
    <n v="66669"/>
    <x v="2"/>
    <n v="9.5000000000000001E-2"/>
    <n v="6333.5550000000003"/>
    <n v="0.7510070633919903"/>
    <n v="8961.7000000000007"/>
    <n v="4.2598509052183173"/>
  </r>
  <r>
    <s v="NORTH CENTRAL BANK"/>
    <s v="Hennepin"/>
    <x v="1"/>
    <n v="61327"/>
    <d v="2019-09-30T00:00:00"/>
    <x v="0"/>
    <n v="25"/>
    <n v="124888"/>
    <n v="12816"/>
    <n v="124888"/>
    <n v="107491"/>
    <n v="103179"/>
    <x v="0"/>
    <n v="0.08"/>
    <n v="8254.32"/>
    <n v="0.86069918647107813"/>
    <n v="4995.5200000000004"/>
    <n v="1.5526415258918966"/>
  </r>
  <r>
    <s v="NORTH CENTRAL BANK"/>
    <s v="Hennepin"/>
    <x v="1"/>
    <n v="61327"/>
    <d v="2020-09-30T00:00:00"/>
    <x v="1"/>
    <n v="24"/>
    <n v="134968"/>
    <n v="18876"/>
    <n v="134967"/>
    <n v="115762"/>
    <n v="106952"/>
    <x v="0"/>
    <n v="0.08"/>
    <n v="8556.16"/>
    <n v="0.85769960286882818"/>
    <n v="5623.666666666667"/>
    <n v="2.2061298526441768"/>
  </r>
  <r>
    <s v="NORTH CENTRAL BANK"/>
    <s v="Hennepin"/>
    <x v="1"/>
    <n v="61327"/>
    <d v="2021-09-30T00:00:00"/>
    <x v="2"/>
    <n v="24"/>
    <n v="153707"/>
    <n v="11705"/>
    <n v="153707"/>
    <n v="134324"/>
    <n v="125507"/>
    <x v="0"/>
    <n v="0.08"/>
    <n v="10040.56"/>
    <n v="0.87389643932937344"/>
    <n v="6404.458333333333"/>
    <n v="1.1657716302676346"/>
  </r>
  <r>
    <s v="NORTH COUNTY SAVINGS BANK"/>
    <s v="Red Bud"/>
    <x v="1"/>
    <n v="62278"/>
    <d v="2019-09-30T00:00:00"/>
    <x v="0"/>
    <n v="12"/>
    <n v="54340"/>
    <n v="17037"/>
    <n v="54340"/>
    <n v="49509"/>
    <n v="49372"/>
    <x v="2"/>
    <n v="0.09"/>
    <n v="4443.4799999999996"/>
    <n v="0.91109679793890319"/>
    <n v="4528.333333333333"/>
    <n v="3.83415701207162"/>
  </r>
  <r>
    <s v="NORTH COUNTY SAVINGS BANK"/>
    <s v="Red Bud"/>
    <x v="1"/>
    <n v="62278"/>
    <d v="2020-09-30T00:00:00"/>
    <x v="1"/>
    <n v="12"/>
    <n v="59976"/>
    <n v="20924"/>
    <n v="59976"/>
    <n v="54953"/>
    <n v="54853"/>
    <x v="2"/>
    <n v="0.09"/>
    <n v="4936.7699999999995"/>
    <n v="0.91624983326664"/>
    <n v="4998"/>
    <n v="4.2383987911124077"/>
  </r>
  <r>
    <s v="NORTH COUNTY SAVINGS BANK"/>
    <s v="Red Bud"/>
    <x v="1"/>
    <n v="62278"/>
    <d v="2021-09-30T00:00:00"/>
    <x v="2"/>
    <n v="13"/>
    <n v="67369"/>
    <n v="20364"/>
    <n v="67369"/>
    <n v="62225"/>
    <n v="62138"/>
    <x v="2"/>
    <n v="0.09"/>
    <n v="5592.42"/>
    <n v="0.92364440618088439"/>
    <n v="5182.2307692307695"/>
    <n v="3.6413574087783105"/>
  </r>
  <r>
    <s v="NORTH EASTON SAVINGS BANK"/>
    <s v="South Easton"/>
    <x v="3"/>
    <n v="2375"/>
    <d v="2019-09-30T00:00:00"/>
    <x v="0"/>
    <n v="184"/>
    <n v="1135321"/>
    <n v="64523"/>
    <n v="1135321"/>
    <n v="1021142"/>
    <n v="967567"/>
    <x v="1"/>
    <n v="0.08"/>
    <n v="77405.36"/>
    <n v="0.89943020520187678"/>
    <n v="6170.222826086957"/>
    <n v="0.83357276550357751"/>
  </r>
  <r>
    <s v="NORTH EASTON SAVINGS BANK"/>
    <s v="South Easton"/>
    <x v="3"/>
    <n v="2375"/>
    <d v="2020-09-30T00:00:00"/>
    <x v="1"/>
    <n v="189"/>
    <n v="1251586"/>
    <n v="74422"/>
    <n v="1251586"/>
    <n v="1133061"/>
    <n v="1091234"/>
    <x v="1"/>
    <n v="0.08"/>
    <n v="87298.72"/>
    <n v="0.90530015516312901"/>
    <n v="6622.1481481481478"/>
    <n v="0.85249818095843788"/>
  </r>
  <r>
    <s v="NORTH EASTON SAVINGS BANK"/>
    <s v="South Easton"/>
    <x v="3"/>
    <n v="2375"/>
    <d v="2021-09-30T00:00:00"/>
    <x v="2"/>
    <n v="183"/>
    <n v="1370255"/>
    <n v="85358"/>
    <n v="1370255"/>
    <n v="1242103"/>
    <n v="1221879"/>
    <x v="1"/>
    <n v="0.08"/>
    <n v="97750.32"/>
    <n v="0.90647580194927224"/>
    <n v="7487.7322404371589"/>
    <n v="0.87322476284476602"/>
  </r>
  <r>
    <s v="NORTH SHORE BANK, A CO-OPERATIVE BANK"/>
    <s v="Peabody"/>
    <x v="3"/>
    <n v="1960"/>
    <d v="2019-09-30T00:00:00"/>
    <x v="0"/>
    <n v="140"/>
    <n v="906913"/>
    <n v="51555"/>
    <n v="906913"/>
    <n v="806883"/>
    <n v="747928"/>
    <x v="0"/>
    <n v="8.5000000000000006E-2"/>
    <n v="63573.880000000005"/>
    <n v="0.88970276090429845"/>
    <n v="6477.95"/>
    <n v="0.81094625654435437"/>
  </r>
  <r>
    <s v="NORTH SHORE BANK, A CO-OPERATIVE BANK"/>
    <s v="Peabody"/>
    <x v="3"/>
    <n v="1960"/>
    <d v="2020-09-30T00:00:00"/>
    <x v="1"/>
    <n v="197"/>
    <n v="1508463"/>
    <n v="139151"/>
    <n v="1508463"/>
    <n v="1354470"/>
    <n v="1311268"/>
    <x v="1"/>
    <n v="0.08"/>
    <n v="104901.44"/>
    <n v="0.89791396938473134"/>
    <n v="7657.1725888324872"/>
    <n v="1.3264927535789786"/>
  </r>
  <r>
    <s v="NORTH SHORE BANK, A CO-OPERATIVE BANK"/>
    <s v="Peabody"/>
    <x v="3"/>
    <n v="1960"/>
    <d v="2021-09-30T00:00:00"/>
    <x v="2"/>
    <n v="188"/>
    <n v="1593271"/>
    <n v="266030"/>
    <n v="1593271"/>
    <n v="1424789"/>
    <n v="1400241"/>
    <x v="1"/>
    <n v="0.08"/>
    <n v="112019.28"/>
    <n v="0.89425402207157478"/>
    <n v="8474.8457446808516"/>
    <n v="2.3748590421220346"/>
  </r>
  <r>
    <s v="NORTH SHORE TRUST AND SAVINGS"/>
    <s v="Waukegan"/>
    <x v="1"/>
    <n v="60085"/>
    <d v="2019-09-30T00:00:00"/>
    <x v="0"/>
    <n v="40"/>
    <n v="224465"/>
    <n v="39037"/>
    <n v="224466"/>
    <n v="179012"/>
    <n v="176044"/>
    <x v="0"/>
    <n v="0.08"/>
    <n v="14083.52"/>
    <n v="0.79750517898113293"/>
    <n v="5611.625"/>
    <n v="2.7718212492331462"/>
  </r>
  <r>
    <s v="NORTH SHORE TRUST AND SAVINGS"/>
    <s v="Waukegan"/>
    <x v="1"/>
    <n v="60085"/>
    <d v="2020-09-30T00:00:00"/>
    <x v="1"/>
    <n v="36"/>
    <n v="238758"/>
    <n v="46551"/>
    <n v="238758"/>
    <n v="193196"/>
    <n v="186207"/>
    <x v="0"/>
    <n v="0.08"/>
    <n v="14896.56"/>
    <n v="0.80917079218287968"/>
    <n v="6632.166666666667"/>
    <n v="3.1249496528057485"/>
  </r>
  <r>
    <s v="NORTH SHORE TRUST AND SAVINGS"/>
    <s v="Waukegan"/>
    <x v="1"/>
    <n v="60085"/>
    <d v="2021-09-30T00:00:00"/>
    <x v="2"/>
    <n v="35"/>
    <n v="259426"/>
    <n v="48438"/>
    <n v="259426"/>
    <n v="214524"/>
    <n v="207241"/>
    <x v="0"/>
    <n v="0.08"/>
    <n v="16579.28"/>
    <n v="0.82691788795263388"/>
    <n v="7412.1714285714288"/>
    <n v="2.9215985253883163"/>
  </r>
  <r>
    <s v="NORTH SIDE FEDERAL SAVINGS AND LOAN ASSOCIATION OF CHICAGO"/>
    <s v="Chicago"/>
    <x v="1"/>
    <n v="60640"/>
    <d v="2019-09-30T00:00:00"/>
    <x v="0"/>
    <n v="9"/>
    <n v="39666"/>
    <n v="5867"/>
    <n v="39666"/>
    <n v="35678"/>
    <n v="33412"/>
    <x v="2"/>
    <n v="0.09"/>
    <n v="3007.08"/>
    <n v="0.89946049513437198"/>
    <n v="4407.333333333333"/>
    <n v="1.9510621599691396"/>
  </r>
  <r>
    <s v="NORTH SIDE FEDERAL SAVINGS AND LOAN ASSOCIATION OF CHICAGO"/>
    <s v="Chicago"/>
    <x v="1"/>
    <n v="60640"/>
    <d v="2020-09-30T00:00:00"/>
    <x v="1"/>
    <n v="9"/>
    <n v="47243"/>
    <n v="8449"/>
    <n v="47243"/>
    <n v="43277"/>
    <n v="37828"/>
    <x v="2"/>
    <n v="0.09"/>
    <n v="3404.52"/>
    <n v="0.91605105518277841"/>
    <n v="5249.2222222222226"/>
    <n v="2.4817007977629739"/>
  </r>
  <r>
    <s v="NORTH SIDE FEDERAL SAVINGS AND LOAN ASSOCIATION OF CHICAGO"/>
    <s v="Chicago"/>
    <x v="1"/>
    <n v="60640"/>
    <d v="2021-09-30T00:00:00"/>
    <x v="2"/>
    <n v="9"/>
    <n v="51088"/>
    <n v="13674"/>
    <n v="51088"/>
    <n v="47643"/>
    <n v="43313"/>
    <x v="2"/>
    <n v="0.09"/>
    <n v="3898.17"/>
    <n v="0.93256733479486376"/>
    <n v="5676.4444444444443"/>
    <n v="3.5077998137587638"/>
  </r>
  <r>
    <s v="NORTHBROOK BANK AND TRUST COMPANY"/>
    <s v="Northbrook"/>
    <x v="1"/>
    <n v="60062"/>
    <d v="2019-09-30T00:00:00"/>
    <x v="0"/>
    <n v="94"/>
    <n v="2872636"/>
    <n v="424632"/>
    <n v="2872636"/>
    <n v="2597185"/>
    <n v="2532026"/>
    <x v="1"/>
    <n v="7.4999999999999997E-2"/>
    <n v="189901.94999999998"/>
    <n v="0.90411211166329464"/>
    <n v="30559.957446808512"/>
    <n v="2.2360591873859117"/>
  </r>
  <r>
    <s v="NORTHBROOK BANK AND TRUST COMPANY, NATIONAL ASSOCIATION"/>
    <s v="Northbrook"/>
    <x v="1"/>
    <n v="60062"/>
    <d v="2020-09-30T00:00:00"/>
    <x v="1"/>
    <n v="93"/>
    <n v="3377313"/>
    <n v="479990"/>
    <n v="3377313"/>
    <n v="3085600"/>
    <n v="2946184"/>
    <x v="1"/>
    <n v="7.4999999999999997E-2"/>
    <n v="220963.8"/>
    <n v="0.91362571369606549"/>
    <n v="36315.193548387098"/>
    <n v="2.172256270031562"/>
  </r>
  <r>
    <s v="NORTHBROOK BANK AND TRUST COMPANY, NATIONAL ASSOCIATION"/>
    <s v="Northbrook"/>
    <x v="1"/>
    <n v="60062"/>
    <d v="2021-09-30T00:00:00"/>
    <x v="2"/>
    <n v="97"/>
    <n v="4137711"/>
    <n v="957791"/>
    <n v="4137711"/>
    <n v="3810950"/>
    <n v="3669154"/>
    <x v="1"/>
    <n v="7.4999999999999997E-2"/>
    <n v="275186.55"/>
    <n v="0.92102855902695957"/>
    <n v="42656.81443298969"/>
    <n v="3.4805153086151921"/>
  </r>
  <r>
    <s v="NORTHEAST COMMUNITY BANK"/>
    <s v="White Plains"/>
    <x v="2"/>
    <n v="10601"/>
    <d v="2019-09-30T00:00:00"/>
    <x v="0"/>
    <n v="118"/>
    <n v="1031290"/>
    <n v="197181"/>
    <n v="1031290"/>
    <n v="904411"/>
    <n v="869560"/>
    <x v="1"/>
    <n v="0.08"/>
    <n v="69564.800000000003"/>
    <n v="0.87697059023165158"/>
    <n v="8739.7457627118638"/>
    <n v="2.8344938819632914"/>
  </r>
  <r>
    <s v="NORTHEAST COMMUNITY BANK"/>
    <s v="White Plains"/>
    <x v="2"/>
    <n v="10601"/>
    <d v="2020-09-30T00:00:00"/>
    <x v="1"/>
    <n v="121"/>
    <n v="951247"/>
    <n v="69093"/>
    <n v="951247"/>
    <n v="812428"/>
    <n v="766876"/>
    <x v="0"/>
    <n v="8.5000000000000006E-2"/>
    <n v="65184.460000000006"/>
    <n v="0.85406629403299039"/>
    <n v="7861.545454545455"/>
    <n v="1.0599612238867975"/>
  </r>
  <r>
    <s v="NORTHEAST COMMUNITY BANK"/>
    <s v="White Plains"/>
    <x v="2"/>
    <n v="10601"/>
    <d v="2021-09-30T00:00:00"/>
    <x v="2"/>
    <n v="128"/>
    <n v="1097105"/>
    <n v="102094"/>
    <n v="1097105"/>
    <n v="907044"/>
    <n v="856676"/>
    <x v="1"/>
    <n v="0.08"/>
    <n v="68534.080000000002"/>
    <n v="0.82676134007228119"/>
    <n v="8571.1328125"/>
    <n v="1.489682213578996"/>
  </r>
  <r>
    <s v="NORTHERN BANK &amp; TRUST COMPANY"/>
    <s v="Woburn"/>
    <x v="3"/>
    <n v="1801"/>
    <d v="2019-09-30T00:00:00"/>
    <x v="0"/>
    <n v="218"/>
    <n v="2148380"/>
    <n v="108536"/>
    <n v="2148380"/>
    <n v="1893110"/>
    <n v="1796878"/>
    <x v="1"/>
    <n v="0.08"/>
    <n v="143750.24"/>
    <n v="0.88118023813291879"/>
    <n v="9854.9541284403676"/>
    <n v="0.75503178290345818"/>
  </r>
  <r>
    <s v="NORTHERN BANK &amp; TRUST COMPANY"/>
    <s v="Woburn"/>
    <x v="3"/>
    <n v="1801"/>
    <d v="2020-09-30T00:00:00"/>
    <x v="1"/>
    <n v="223"/>
    <n v="2677239"/>
    <n v="343519"/>
    <n v="2677239"/>
    <n v="2379550"/>
    <n v="2150836"/>
    <x v="1"/>
    <n v="0.08"/>
    <n v="172066.88"/>
    <n v="0.88880746171708991"/>
    <n v="12005.556053811659"/>
    <n v="1.9964272031898294"/>
  </r>
  <r>
    <s v="NORTHERN BANK &amp; TRUST COMPANY"/>
    <s v="Woburn"/>
    <x v="3"/>
    <n v="1801"/>
    <d v="2021-09-30T00:00:00"/>
    <x v="2"/>
    <n v="224"/>
    <n v="2654610"/>
    <n v="352571"/>
    <n v="2654610"/>
    <n v="2304673"/>
    <n v="2269741"/>
    <x v="1"/>
    <n v="0.08"/>
    <n v="181579.28"/>
    <n v="0.86817762307834301"/>
    <n v="11850.9375"/>
    <n v="1.9416918053645769"/>
  </r>
  <r>
    <s v="NORTHERN CALIFORNIA NATIONAL BANK"/>
    <s v="Chico"/>
    <x v="0"/>
    <n v="95926"/>
    <d v="2019-09-30T00:00:00"/>
    <x v="0"/>
    <n v="26"/>
    <n v="264781"/>
    <n v="99490"/>
    <n v="264781"/>
    <n v="239264"/>
    <n v="238180"/>
    <x v="0"/>
    <n v="0.09"/>
    <n v="21436.2"/>
    <n v="0.90362979216786699"/>
    <n v="10183.884615384615"/>
    <n v="4.6412143943422803"/>
  </r>
  <r>
    <s v="NORTHERN CALIFORNIA NATIONAL BANK"/>
    <s v="Chico"/>
    <x v="0"/>
    <n v="95926"/>
    <d v="2020-09-30T00:00:00"/>
    <x v="1"/>
    <n v="28"/>
    <n v="312343"/>
    <n v="80696"/>
    <n v="312343"/>
    <n v="282933"/>
    <n v="275929"/>
    <x v="0"/>
    <n v="0.09"/>
    <n v="24833.61"/>
    <n v="0.90584069436484893"/>
    <n v="11155.107142857143"/>
    <n v="3.2494671535874162"/>
  </r>
  <r>
    <s v="NORTHFIELD BANK"/>
    <s v="Staten Island"/>
    <x v="2"/>
    <n v="10314"/>
    <d v="2019-09-30T00:00:00"/>
    <x v="0"/>
    <n v="382"/>
    <n v="4810350"/>
    <n v="69258"/>
    <n v="4810350"/>
    <n v="4179802"/>
    <n v="3388040"/>
    <x v="1"/>
    <n v="0.08"/>
    <n v="271043.20000000001"/>
    <n v="0.86891847786543597"/>
    <n v="12592.539267015707"/>
    <n v="0.25552384269371081"/>
  </r>
  <r>
    <s v="NORTHFIELD BANK"/>
    <s v="Staten Island"/>
    <x v="2"/>
    <n v="10314"/>
    <d v="2020-09-30T00:00:00"/>
    <x v="1"/>
    <n v="394"/>
    <n v="5596227"/>
    <n v="350559"/>
    <n v="5596227"/>
    <n v="4898142"/>
    <n v="4176267"/>
    <x v="1"/>
    <n v="0.08"/>
    <n v="334101.36"/>
    <n v="0.87525791930884866"/>
    <n v="14203.621827411167"/>
    <n v="1.0492594223501515"/>
  </r>
  <r>
    <s v="NORTHFIELD BANK"/>
    <s v="Staten Island"/>
    <x v="2"/>
    <n v="10314"/>
    <d v="2021-09-30T00:00:00"/>
    <x v="2"/>
    <n v="370"/>
    <n v="5398860"/>
    <n v="173414"/>
    <n v="5398860"/>
    <n v="4708907"/>
    <n v="4192244"/>
    <x v="1"/>
    <n v="0.08"/>
    <n v="335379.52"/>
    <n v="0.8722039467591306"/>
    <n v="14591.513513513513"/>
    <n v="0.51706794738092532"/>
  </r>
  <r>
    <s v="NORTHMARK BANK"/>
    <s v="North Andover"/>
    <x v="3"/>
    <n v="1845"/>
    <d v="2019-09-30T00:00:00"/>
    <x v="0"/>
    <n v="49"/>
    <n v="365669"/>
    <n v="18725"/>
    <n v="365668"/>
    <n v="318886"/>
    <n v="308843"/>
    <x v="0"/>
    <n v="8.5000000000000006E-2"/>
    <n v="26251.655000000002"/>
    <n v="0.87206189203897511"/>
    <n v="7462.6326530612241"/>
    <n v="0.71328836220040215"/>
  </r>
  <r>
    <s v="NORTHMARK BANK"/>
    <s v="North Andover"/>
    <x v="3"/>
    <n v="1845"/>
    <d v="2020-09-30T00:00:00"/>
    <x v="1"/>
    <n v="44"/>
    <n v="417301"/>
    <n v="59552"/>
    <n v="417301"/>
    <n v="367910"/>
    <n v="349660"/>
    <x v="0"/>
    <n v="8.5000000000000006E-2"/>
    <n v="29721.100000000002"/>
    <n v="0.88164178854112496"/>
    <n v="9484.113636363636"/>
    <n v="2.0036943450948987"/>
  </r>
  <r>
    <s v="NORTHMARK BANK"/>
    <s v="North Andover"/>
    <x v="3"/>
    <n v="1845"/>
    <d v="2021-09-30T00:00:00"/>
    <x v="2"/>
    <n v="44"/>
    <n v="458468"/>
    <n v="96297"/>
    <n v="458468"/>
    <n v="406175"/>
    <n v="392749"/>
    <x v="0"/>
    <n v="8.5000000000000006E-2"/>
    <n v="33383.665000000001"/>
    <n v="0.8859396948096705"/>
    <n v="10419.727272727272"/>
    <n v="2.8845544669825798"/>
  </r>
  <r>
    <s v="NORTHSIDE COMMUNITY BANK"/>
    <s v="Gurnee"/>
    <x v="1"/>
    <n v="60031"/>
    <d v="2019-09-30T00:00:00"/>
    <x v="0"/>
    <n v="39"/>
    <n v="240838"/>
    <n v="22024"/>
    <n v="240838"/>
    <n v="185031"/>
    <n v="178930"/>
    <x v="0"/>
    <n v="0.08"/>
    <n v="14314.4"/>
    <n v="0.7682799226035758"/>
    <n v="6175.333333333333"/>
    <n v="1.5385905102554072"/>
  </r>
  <r>
    <s v="NORTHSIDE COMMUNITY BANK"/>
    <s v="Gurnee"/>
    <x v="1"/>
    <n v="60031"/>
    <d v="2020-09-30T00:00:00"/>
    <x v="1"/>
    <n v="39"/>
    <n v="278005"/>
    <n v="40259"/>
    <n v="278005"/>
    <n v="220312"/>
    <n v="209808"/>
    <x v="0"/>
    <n v="0.08"/>
    <n v="16784.64"/>
    <n v="0.79247495548641211"/>
    <n v="7128.333333333333"/>
    <n v="2.398562018607489"/>
  </r>
  <r>
    <s v="NORTHSIDE COMMUNITY BANK"/>
    <s v="Gurnee"/>
    <x v="1"/>
    <n v="60031"/>
    <d v="2021-09-30T00:00:00"/>
    <x v="2"/>
    <n v="35"/>
    <n v="291592"/>
    <n v="62832"/>
    <n v="291592"/>
    <n v="232092"/>
    <n v="220018"/>
    <x v="0"/>
    <n v="0.08"/>
    <n v="17601.439999999999"/>
    <n v="0.79594776262723255"/>
    <n v="8331.2000000000007"/>
    <n v="3.5697079329873014"/>
  </r>
  <r>
    <s v="NORTHWEST BANK OF ROCKFORD"/>
    <s v="Rockford"/>
    <x v="1"/>
    <n v="61101"/>
    <d v="2019-09-30T00:00:00"/>
    <x v="0"/>
    <n v="76"/>
    <n v="285868"/>
    <n v="12523"/>
    <n v="285868"/>
    <n v="257571"/>
    <n v="244307"/>
    <x v="0"/>
    <n v="0.08"/>
    <n v="19544.560000000001"/>
    <n v="0.9010137546000252"/>
    <n v="3761.4210526315787"/>
    <n v="0.64074095298128986"/>
  </r>
  <r>
    <s v="NORTHWEST BANK OF ROCKFORD"/>
    <s v="Rockford"/>
    <x v="1"/>
    <n v="61101"/>
    <d v="2020-09-30T00:00:00"/>
    <x v="1"/>
    <n v="78"/>
    <n v="338535"/>
    <n v="7839"/>
    <n v="338535"/>
    <n v="309257"/>
    <n v="283697"/>
    <x v="0"/>
    <n v="0.08"/>
    <n v="22695.760000000002"/>
    <n v="0.91351558923006482"/>
    <n v="4340.1923076923076"/>
    <n v="0.3453949107674737"/>
  </r>
  <r>
    <s v="NORTHWEST BANK OF ROCKFORD"/>
    <s v="Rockford"/>
    <x v="1"/>
    <n v="61101"/>
    <d v="2021-09-30T00:00:00"/>
    <x v="2"/>
    <n v="71"/>
    <n v="397927"/>
    <n v="79775"/>
    <n v="397927"/>
    <n v="364917"/>
    <n v="324612"/>
    <x v="0"/>
    <n v="0.08"/>
    <n v="25968.959999999999"/>
    <n v="0.91704508615901914"/>
    <n v="5604.6056338028166"/>
    <n v="3.0719366505243184"/>
  </r>
  <r>
    <s v="NORWOOD CO-OPERATIVE BANK"/>
    <s v="Norwood"/>
    <x v="3"/>
    <n v="2062"/>
    <d v="2019-09-30T00:00:00"/>
    <x v="0"/>
    <n v="53"/>
    <n v="571595"/>
    <n v="7559"/>
    <n v="571595"/>
    <n v="494370"/>
    <n v="462815"/>
    <x v="0"/>
    <n v="8.5000000000000006E-2"/>
    <n v="39339.275000000001"/>
    <n v="0.86489559915674563"/>
    <n v="10784.811320754718"/>
    <n v="0.19214894021305678"/>
  </r>
  <r>
    <s v="NORWOOD CO-OPERATIVE BANK"/>
    <s v="Norwood"/>
    <x v="3"/>
    <n v="2062"/>
    <d v="2020-09-30T00:00:00"/>
    <x v="1"/>
    <n v="52"/>
    <n v="628903"/>
    <n v="39679"/>
    <n v="628903"/>
    <n v="546885"/>
    <n v="510516"/>
    <x v="0"/>
    <n v="8.5000000000000006E-2"/>
    <n v="43393.86"/>
    <n v="0.86958561177160865"/>
    <n v="12094.288461538461"/>
    <n v="0.91439203610833419"/>
  </r>
  <r>
    <s v="NORWOOD CO-OPERATIVE BANK"/>
    <s v="Norwood"/>
    <x v="3"/>
    <n v="2062"/>
    <d v="2021-09-30T00:00:00"/>
    <x v="2"/>
    <n v="51"/>
    <n v="690126"/>
    <n v="108007"/>
    <n v="690126"/>
    <n v="598422"/>
    <n v="573181"/>
    <x v="0"/>
    <n v="8.5000000000000006E-2"/>
    <n v="48720.385000000002"/>
    <n v="0.86711991723250537"/>
    <n v="13531.882352941177"/>
    <n v="2.2168749282256286"/>
  </r>
  <r>
    <s v="OAK VALLEY COMMUNITY BANK"/>
    <s v="Oakdale"/>
    <x v="0"/>
    <n v="95361"/>
    <d v="2019-09-30T00:00:00"/>
    <x v="0"/>
    <n v="182"/>
    <n v="1101057"/>
    <n v="106009"/>
    <n v="1101057"/>
    <n v="991950"/>
    <n v="978132"/>
    <x v="1"/>
    <n v="0.08"/>
    <n v="78250.559999999998"/>
    <n v="0.90090703751031964"/>
    <n v="6049.7637362637361"/>
    <n v="1.3547379085849354"/>
  </r>
  <r>
    <s v="OAK VALLEY COMMUNITY BANK"/>
    <s v="Oakdale"/>
    <x v="0"/>
    <n v="95361"/>
    <d v="2020-09-30T00:00:00"/>
    <x v="1"/>
    <n v="187"/>
    <n v="1448980"/>
    <n v="120890"/>
    <n v="1448980"/>
    <n v="1325335"/>
    <n v="1311454"/>
    <x v="1"/>
    <n v="0.08"/>
    <n v="104916.32"/>
    <n v="0.9146675592485749"/>
    <n v="7748.5561497326207"/>
    <n v="1.1522516230077455"/>
  </r>
  <r>
    <s v="OAK VALLEY COMMUNITY BANK"/>
    <s v="Oakdale"/>
    <x v="0"/>
    <n v="95361"/>
    <d v="2021-09-30T00:00:00"/>
    <x v="2"/>
    <n v="196"/>
    <n v="1856700"/>
    <n v="623408"/>
    <n v="1856700"/>
    <n v="1717076"/>
    <n v="1701287"/>
    <x v="1"/>
    <n v="0.08"/>
    <n v="136102.96"/>
    <n v="0.92479991382560456"/>
    <n v="9472.9591836734689"/>
    <n v="4.5804147095698733"/>
  </r>
  <r>
    <s v="OAKDALE STATE BANK"/>
    <s v="Oakdale"/>
    <x v="1"/>
    <n v="62268"/>
    <d v="2019-09-30T00:00:00"/>
    <x v="0"/>
    <n v="5"/>
    <n v="20986"/>
    <n v="4482"/>
    <n v="20986"/>
    <n v="18368"/>
    <n v="18248"/>
    <x v="2"/>
    <n v="0.09"/>
    <n v="1642.32"/>
    <n v="0.87525016677785195"/>
    <n v="4197.2"/>
    <n v="2.7290661990355107"/>
  </r>
  <r>
    <s v="OAKDALE STATE BANK"/>
    <s v="Oakdale"/>
    <x v="1"/>
    <n v="62268"/>
    <d v="2020-09-30T00:00:00"/>
    <x v="1"/>
    <n v="5"/>
    <n v="23414"/>
    <n v="3873"/>
    <n v="23414"/>
    <n v="20656"/>
    <n v="20556"/>
    <x v="2"/>
    <n v="0.09"/>
    <n v="1850.04"/>
    <n v="0.88220722644571625"/>
    <n v="4682.8"/>
    <n v="2.0934682493351495"/>
  </r>
  <r>
    <s v="OAKDALE STATE BANK"/>
    <s v="Oakdale"/>
    <x v="1"/>
    <n v="62268"/>
    <d v="2021-09-30T00:00:00"/>
    <x v="2"/>
    <n v="5"/>
    <n v="25010"/>
    <n v="4458"/>
    <n v="25010"/>
    <n v="22166"/>
    <n v="22087"/>
    <x v="2"/>
    <n v="0.09"/>
    <n v="1987.83"/>
    <n v="0.88628548580567768"/>
    <n v="5002"/>
    <n v="2.2426465039766983"/>
  </r>
  <r>
    <s v="OLD PLANK TRAIL COMMUNITY BANK, NATIONAL ASSOCIATION"/>
    <s v="New Lenox"/>
    <x v="1"/>
    <n v="60451"/>
    <d v="2019-09-30T00:00:00"/>
    <x v="0"/>
    <n v="150"/>
    <n v="1655908"/>
    <n v="131073"/>
    <n v="1655908"/>
    <n v="1486915"/>
    <n v="1450872"/>
    <x v="1"/>
    <n v="7.4999999999999997E-2"/>
    <n v="108815.4"/>
    <n v="0.89794541725748045"/>
    <n v="11039.386666666667"/>
    <n v="1.2045445773300472"/>
  </r>
  <r>
    <s v="OLD PLANK TRAIL COMMUNITY BANK, NATIONAL ASSOCIATION"/>
    <s v="New Lenox"/>
    <x v="1"/>
    <n v="60451"/>
    <d v="2020-09-30T00:00:00"/>
    <x v="1"/>
    <n v="152"/>
    <n v="1994257"/>
    <n v="314681"/>
    <n v="1994257"/>
    <n v="1823603"/>
    <n v="1779323"/>
    <x v="1"/>
    <n v="7.4999999999999997E-2"/>
    <n v="133449.22500000001"/>
    <n v="0.91442727792857192"/>
    <n v="13120.111842105263"/>
    <n v="2.3580579055442246"/>
  </r>
  <r>
    <s v="OLD PLANK TRAIL COMMUNITY BANK, NATIONAL ASSOCIATION"/>
    <s v="New Lenox"/>
    <x v="1"/>
    <n v="60451"/>
    <d v="2021-09-30T00:00:00"/>
    <x v="2"/>
    <n v="136"/>
    <n v="2133923"/>
    <n v="147257"/>
    <n v="2133923"/>
    <n v="1945299"/>
    <n v="1907867"/>
    <x v="1"/>
    <n v="7.4999999999999997E-2"/>
    <n v="143090.02499999999"/>
    <n v="0.91160693239634227"/>
    <n v="15690.610294117647"/>
    <n v="1.0291213520998408"/>
  </r>
  <r>
    <s v="OLD SECOND NATIONAL BANK"/>
    <s v="Aurora"/>
    <x v="1"/>
    <n v="60506"/>
    <d v="2019-09-30T00:00:00"/>
    <x v="0"/>
    <n v="532"/>
    <n v="2611102"/>
    <n v="54037"/>
    <n v="2611102"/>
    <n v="2253485"/>
    <n v="2086762"/>
    <x v="1"/>
    <n v="7.4999999999999997E-2"/>
    <n v="156507.15"/>
    <n v="0.86303981996873347"/>
    <n v="4908.0864661654132"/>
    <n v="0.34526857079692524"/>
  </r>
  <r>
    <s v="OLD SECOND NATIONAL BANK"/>
    <s v="Aurora"/>
    <x v="1"/>
    <n v="60506"/>
    <d v="2020-09-30T00:00:00"/>
    <x v="1"/>
    <n v="527"/>
    <n v="2981114"/>
    <n v="313140"/>
    <n v="2981114"/>
    <n v="2629455"/>
    <n v="2519101"/>
    <x v="1"/>
    <n v="7.4999999999999997E-2"/>
    <n v="188932.57499999998"/>
    <n v="0.88203772146922255"/>
    <n v="5656.7628083491463"/>
    <n v="1.6574166736466702"/>
  </r>
  <r>
    <s v="OLD SECOND NATIONAL BANK"/>
    <s v="Aurora"/>
    <x v="1"/>
    <n v="60506"/>
    <d v="2021-09-30T00:00:00"/>
    <x v="2"/>
    <n v="523"/>
    <n v="3276400"/>
    <n v="519253"/>
    <n v="3276400"/>
    <n v="2893362"/>
    <n v="2806168"/>
    <x v="1"/>
    <n v="7.4999999999999997E-2"/>
    <n v="210462.6"/>
    <n v="0.88309180808204124"/>
    <n v="6264.6271510516253"/>
    <n v="2.4671984476101692"/>
  </r>
  <r>
    <s v="ONEUNITED BANK"/>
    <s v="Boston"/>
    <x v="3"/>
    <n v="2110"/>
    <d v="2019-09-30T00:00:00"/>
    <x v="0"/>
    <n v="95"/>
    <n v="650210"/>
    <n v="17854"/>
    <n v="650210"/>
    <n v="604568"/>
    <n v="365383"/>
    <x v="0"/>
    <n v="8.5000000000000006E-2"/>
    <n v="31057.555000000004"/>
    <n v="0.92980421709909111"/>
    <n v="6844.3157894736842"/>
    <n v="0.57486817619738573"/>
  </r>
  <r>
    <s v="ONEUNITED BANK"/>
    <s v="Boston"/>
    <x v="3"/>
    <n v="2110"/>
    <d v="2020-09-30T00:00:00"/>
    <x v="1"/>
    <n v="93"/>
    <n v="683653"/>
    <n v="80153"/>
    <n v="683653"/>
    <n v="640131"/>
    <n v="423960"/>
    <x v="0"/>
    <n v="8.5000000000000006E-2"/>
    <n v="36036.600000000006"/>
    <n v="0.9363390491960103"/>
    <n v="7351.1075268817203"/>
    <n v="2.2242109410987716"/>
  </r>
  <r>
    <s v="ONEUNITED BANK"/>
    <s v="Boston"/>
    <x v="3"/>
    <n v="2110"/>
    <d v="2021-09-30T00:00:00"/>
    <x v="2"/>
    <n v="101"/>
    <n v="634946"/>
    <n v="29450"/>
    <n v="634946"/>
    <n v="580502"/>
    <n v="469430"/>
    <x v="0"/>
    <n v="8.5000000000000006E-2"/>
    <n v="39901.550000000003"/>
    <n v="0.91425412554768437"/>
    <n v="6286.5940594059402"/>
    <n v="0.73806656633639545"/>
  </r>
  <r>
    <s v="OPEN BANK"/>
    <s v="Los Angeles"/>
    <x v="0"/>
    <n v="90017"/>
    <d v="2019-09-30T00:00:00"/>
    <x v="0"/>
    <n v="171"/>
    <n v="1151623"/>
    <n v="89107"/>
    <n v="1151623"/>
    <n v="1017265"/>
    <n v="998916"/>
    <x v="1"/>
    <n v="0.08"/>
    <n v="79913.279999999999"/>
    <n v="0.88333161112621061"/>
    <n v="6734.6374269005846"/>
    <n v="1.1150462100917395"/>
  </r>
  <r>
    <s v="OPEN BANK"/>
    <s v="Los Angeles"/>
    <x v="0"/>
    <n v="90017"/>
    <d v="2020-09-30T00:00:00"/>
    <x v="1"/>
    <n v="167"/>
    <n v="1339959"/>
    <n v="87983"/>
    <n v="1339960"/>
    <n v="1202609"/>
    <n v="1174500"/>
    <x v="1"/>
    <n v="0.08"/>
    <n v="93960"/>
    <n v="0.89749686371000903"/>
    <n v="8023.7065868263471"/>
    <n v="0.93638782460621539"/>
  </r>
  <r>
    <s v="OPEN BANK"/>
    <s v="Los Angeles"/>
    <x v="0"/>
    <n v="90017"/>
    <d v="2021-09-30T00:00:00"/>
    <x v="2"/>
    <n v="188"/>
    <n v="1679733"/>
    <n v="188241"/>
    <n v="1679733"/>
    <n v="1523811"/>
    <n v="1498855"/>
    <x v="1"/>
    <n v="0.08"/>
    <n v="119908.40000000001"/>
    <n v="0.90717453309543838"/>
    <n v="8934.75"/>
    <n v="1.5698733366469737"/>
  </r>
  <r>
    <s v="OPUS BANK"/>
    <s v="Irvine"/>
    <x v="0"/>
    <n v="92612"/>
    <d v="2019-09-30T00:00:00"/>
    <x v="0"/>
    <n v="737"/>
    <n v="7771343"/>
    <n v="286276"/>
    <n v="7771343"/>
    <n v="6688300"/>
    <n v="6282057"/>
    <x v="1"/>
    <n v="0.08"/>
    <n v="502564.56"/>
    <n v="0.86063631472706836"/>
    <n v="10544.563093622795"/>
    <n v="0.56963029784670849"/>
  </r>
  <r>
    <s v="ORANGE BANK &amp;TRUST COMPANY"/>
    <s v="Middletown"/>
    <x v="2"/>
    <n v="10940"/>
    <d v="2019-09-30T00:00:00"/>
    <x v="0"/>
    <n v="170"/>
    <n v="1235431"/>
    <n v="65663"/>
    <n v="1235431"/>
    <n v="1131559"/>
    <n v="1114720"/>
    <x v="1"/>
    <n v="0.08"/>
    <n v="89177.600000000006"/>
    <n v="0.91592245944937434"/>
    <n v="7267.2411764705885"/>
    <n v="0.73631719176115973"/>
  </r>
  <r>
    <s v="ORANGE BANK &amp;TRUST COMPANY"/>
    <s v="Middletown"/>
    <x v="2"/>
    <n v="10940"/>
    <d v="2020-09-30T00:00:00"/>
    <x v="1"/>
    <n v="170"/>
    <n v="1715865"/>
    <n v="259702"/>
    <n v="1715865"/>
    <n v="1593050"/>
    <n v="1576762"/>
    <x v="1"/>
    <n v="0.08"/>
    <n v="126140.96"/>
    <n v="0.92842385618915246"/>
    <n v="10093.323529411764"/>
    <n v="2.058823715944448"/>
  </r>
  <r>
    <s v="ORANGE BANK &amp;TRUST COMPANY"/>
    <s v="Middletown"/>
    <x v="2"/>
    <n v="10940"/>
    <d v="2021-09-30T00:00:00"/>
    <x v="2"/>
    <n v="180"/>
    <n v="2166815"/>
    <n v="390065"/>
    <n v="2166815"/>
    <n v="1997059"/>
    <n v="1978515"/>
    <x v="1"/>
    <n v="0.08"/>
    <n v="158281.20000000001"/>
    <n v="0.92165644044369266"/>
    <n v="12037.861111111111"/>
    <n v="2.4643798505444736"/>
  </r>
  <r>
    <s v="OSB COMMUNITY BANK"/>
    <s v="Ottawa"/>
    <x v="1"/>
    <n v="61350"/>
    <d v="2021-09-30T00:00:00"/>
    <x v="2"/>
    <n v="56"/>
    <n v="342948"/>
    <n v="8442"/>
    <n v="342948"/>
    <n v="295754"/>
    <n v="274480"/>
    <x v="0"/>
    <n v="0.08"/>
    <n v="21958.400000000001"/>
    <n v="0.86238730069864822"/>
    <n v="6124.0714285714284"/>
    <n v="0.38445424074613815"/>
  </r>
  <r>
    <s v="OTTAWA SAVINGS BANK"/>
    <s v="Ottawa"/>
    <x v="1"/>
    <n v="61350"/>
    <d v="2019-09-30T00:00:00"/>
    <x v="0"/>
    <n v="64"/>
    <n v="304040"/>
    <n v="14250"/>
    <n v="304040"/>
    <n v="257877"/>
    <n v="242505"/>
    <x v="0"/>
    <n v="0.08"/>
    <n v="19400.400000000001"/>
    <n v="0.8481680042099724"/>
    <n v="4750.625"/>
    <n v="0.73452093771262439"/>
  </r>
  <r>
    <s v="OTTAWA SAVINGS BANK"/>
    <s v="Ottawa"/>
    <x v="1"/>
    <n v="61350"/>
    <d v="2020-09-30T00:00:00"/>
    <x v="1"/>
    <n v="52"/>
    <n v="310402"/>
    <n v="10897"/>
    <n v="310402"/>
    <n v="264248"/>
    <n v="242586"/>
    <x v="0"/>
    <n v="0.08"/>
    <n v="19406.88"/>
    <n v="0.85130894775162536"/>
    <n v="5969.2692307692305"/>
    <n v="0.56150190035698677"/>
  </r>
  <r>
    <s v="OXFORD BANK &amp; TRUST"/>
    <s v="Oak Brook"/>
    <x v="1"/>
    <n v="60523"/>
    <d v="2019-09-30T00:00:00"/>
    <x v="0"/>
    <n v="113"/>
    <n v="583189"/>
    <n v="11424"/>
    <n v="583189"/>
    <n v="523080"/>
    <n v="505914"/>
    <x v="0"/>
    <n v="0.08"/>
    <n v="40473.120000000003"/>
    <n v="0.89693049766027821"/>
    <n v="5160.9646017699115"/>
    <n v="0.28226141201864346"/>
  </r>
  <r>
    <s v="OXFORD BANK &amp; TRUST"/>
    <s v="Oak Brook"/>
    <x v="1"/>
    <n v="60523"/>
    <d v="2020-09-30T00:00:00"/>
    <x v="1"/>
    <n v="112"/>
    <n v="717578"/>
    <n v="59035"/>
    <n v="717578"/>
    <n v="646427"/>
    <n v="618315"/>
    <x v="0"/>
    <n v="0.08"/>
    <n v="49465.200000000004"/>
    <n v="0.90084562235743015"/>
    <n v="6406.9464285714284"/>
    <n v="1.1934653049012234"/>
  </r>
  <r>
    <s v="OXFORD BANK &amp; TRUST"/>
    <s v="Oak Brook"/>
    <x v="1"/>
    <n v="60523"/>
    <d v="2021-09-30T00:00:00"/>
    <x v="2"/>
    <n v="110"/>
    <n v="743200"/>
    <n v="310328"/>
    <n v="743200"/>
    <n v="675730"/>
    <n v="658994"/>
    <x v="0"/>
    <n v="0.08"/>
    <n v="52719.520000000004"/>
    <n v="0.90921689989235732"/>
    <n v="6756.363636363636"/>
    <n v="5.886396537752999"/>
  </r>
  <r>
    <s v="PACIFIC ALLIANCE BANK"/>
    <s v="Rosemead"/>
    <x v="0"/>
    <n v="91770"/>
    <d v="2019-09-30T00:00:00"/>
    <x v="0"/>
    <n v="35"/>
    <n v="276757"/>
    <n v="35856"/>
    <n v="276757"/>
    <n v="238243"/>
    <n v="229727"/>
    <x v="0"/>
    <n v="0.09"/>
    <n v="20675.43"/>
    <n v="0.86083820824766855"/>
    <n v="7907.3428571428567"/>
    <n v="1.734232371467002"/>
  </r>
  <r>
    <s v="PACIFIC ALLIANCE BANK"/>
    <s v="Rosemead"/>
    <x v="0"/>
    <n v="91770"/>
    <d v="2020-09-30T00:00:00"/>
    <x v="1"/>
    <n v="35"/>
    <n v="358668"/>
    <n v="53635"/>
    <n v="358668"/>
    <n v="317737"/>
    <n v="296219"/>
    <x v="0"/>
    <n v="0.09"/>
    <n v="26659.71"/>
    <n v="0.88588053576009007"/>
    <n v="10247.657142857142"/>
    <n v="2.0118373380655679"/>
  </r>
  <r>
    <s v="PACIFIC ALLIANCE BANK"/>
    <s v="Rosemead"/>
    <x v="0"/>
    <n v="91770"/>
    <d v="2021-09-30T00:00:00"/>
    <x v="2"/>
    <n v="36"/>
    <n v="372918"/>
    <n v="35323"/>
    <n v="372918"/>
    <n v="329014"/>
    <n v="317459"/>
    <x v="0"/>
    <n v="0.09"/>
    <n v="28571.309999999998"/>
    <n v="0.88226902428952214"/>
    <n v="10358.833333333334"/>
    <n v="1.2363101306870425"/>
  </r>
  <r>
    <s v="PACIFIC CITY BANK"/>
    <s v="Los Angeles"/>
    <x v="0"/>
    <n v="90010"/>
    <d v="2019-09-30T00:00:00"/>
    <x v="0"/>
    <n v="249"/>
    <n v="1699395"/>
    <n v="121911"/>
    <n v="1699395"/>
    <n v="1477345"/>
    <n v="1434785"/>
    <x v="1"/>
    <n v="0.08"/>
    <n v="114782.8"/>
    <n v="0.86933585187669726"/>
    <n v="6824.8795180722891"/>
    <n v="1.0621016389215108"/>
  </r>
  <r>
    <s v="PACIFIC CITY BANK"/>
    <s v="Los Angeles"/>
    <x v="0"/>
    <n v="90010"/>
    <d v="2020-09-30T00:00:00"/>
    <x v="1"/>
    <n v="252"/>
    <n v="2021119"/>
    <n v="257382"/>
    <n v="2021119"/>
    <n v="1795549"/>
    <n v="1650798"/>
    <x v="1"/>
    <n v="0.08"/>
    <n v="132063.84"/>
    <n v="0.88839350874441336"/>
    <n v="8020.313492063492"/>
    <n v="1.9489210672656498"/>
  </r>
  <r>
    <s v="PACIFIC CITY BANK"/>
    <s v="Los Angeles"/>
    <x v="0"/>
    <n v="90010"/>
    <d v="2021-09-30T00:00:00"/>
    <x v="2"/>
    <n v="249"/>
    <n v="2104632"/>
    <n v="214973"/>
    <n v="2104632"/>
    <n v="1862199"/>
    <n v="1837743"/>
    <x v="1"/>
    <n v="0.08"/>
    <n v="147019.44"/>
    <n v="0.88480979097533441"/>
    <n v="8452.3373493975905"/>
    <n v="1.4622079909976531"/>
  </r>
  <r>
    <s v="PACIFIC COAST BANKERS' BANK"/>
    <s v="Walnut Creek"/>
    <x v="0"/>
    <n v="94596"/>
    <d v="2019-09-30T00:00:00"/>
    <x v="0"/>
    <n v="104"/>
    <n v="879943"/>
    <n v="194123"/>
    <n v="879943"/>
    <n v="788131"/>
    <n v="678315"/>
    <x v="0"/>
    <n v="0.09"/>
    <n v="61048.35"/>
    <n v="0.89566142352402367"/>
    <n v="8460.9903846153848"/>
    <n v="3.1798238609233502"/>
  </r>
  <r>
    <s v="PACIFIC COAST BANKERS' BANK"/>
    <s v="Walnut Creek"/>
    <x v="0"/>
    <n v="94596"/>
    <d v="2020-09-30T00:00:00"/>
    <x v="1"/>
    <n v="102"/>
    <n v="1300428"/>
    <n v="322487"/>
    <n v="1300428"/>
    <n v="1168327"/>
    <n v="1012126"/>
    <x v="1"/>
    <n v="0.08"/>
    <n v="80970.080000000002"/>
    <n v="0.89841729030749873"/>
    <n v="12749.294117647059"/>
    <n v="3.9827921622406697"/>
  </r>
  <r>
    <s v="PACIFIC COAST BANKERS' BANK"/>
    <s v="Walnut Creek"/>
    <x v="0"/>
    <n v="94596"/>
    <d v="2021-09-30T00:00:00"/>
    <x v="2"/>
    <n v="105"/>
    <n v="1364568"/>
    <n v="635470"/>
    <n v="1364568"/>
    <n v="1228782"/>
    <n v="1186422"/>
    <x v="1"/>
    <n v="0.08"/>
    <n v="94913.76"/>
    <n v="0.90049158414970887"/>
    <n v="12995.885714285714"/>
    <n v="6.6952357592829532"/>
  </r>
  <r>
    <s v="PACIFIC ENTERPRISE BANK"/>
    <s v="Irvine"/>
    <x v="0"/>
    <n v="92614"/>
    <d v="2019-09-30T00:00:00"/>
    <x v="0"/>
    <n v="106"/>
    <n v="486699"/>
    <n v="101186"/>
    <n v="486699"/>
    <n v="436435"/>
    <n v="414344"/>
    <x v="0"/>
    <n v="0.09"/>
    <n v="37290.959999999999"/>
    <n v="0.89672466966235809"/>
    <n v="4591.5"/>
    <n v="2.7134190162977836"/>
  </r>
  <r>
    <s v="PACIFIC ENTERPRISE BANK"/>
    <s v="Irvine"/>
    <x v="0"/>
    <n v="92614"/>
    <d v="2020-09-30T00:00:00"/>
    <x v="1"/>
    <n v="89"/>
    <n v="619183"/>
    <n v="53072"/>
    <n v="619183"/>
    <n v="564952"/>
    <n v="483684"/>
    <x v="0"/>
    <n v="0.09"/>
    <n v="43531.56"/>
    <n v="0.9124152310383199"/>
    <n v="6957.1123595505615"/>
    <n v="1.2191614543563338"/>
  </r>
  <r>
    <s v="PACIFIC ENTERPRISE BANK"/>
    <s v="Irvine"/>
    <x v="0"/>
    <n v="92614"/>
    <d v="2021-09-30T00:00:00"/>
    <x v="2"/>
    <n v="92"/>
    <n v="578918"/>
    <n v="63485"/>
    <n v="578918"/>
    <n v="516893"/>
    <n v="419062"/>
    <x v="0"/>
    <n v="0.09"/>
    <n v="37715.58"/>
    <n v="0.89286047419496373"/>
    <n v="6292.586956521739"/>
    <n v="1.6832566276324001"/>
  </r>
  <r>
    <s v="PACIFIC GLOBAL BANK"/>
    <s v="Chicago"/>
    <x v="1"/>
    <n v="60616"/>
    <d v="2019-09-30T00:00:00"/>
    <x v="0"/>
    <n v="43"/>
    <n v="224533"/>
    <n v="16316"/>
    <n v="224533"/>
    <n v="199309"/>
    <n v="196868"/>
    <x v="0"/>
    <n v="0.08"/>
    <n v="15749.44"/>
    <n v="0.88766016576627937"/>
    <n v="5221.6976744186049"/>
    <n v="1.0359733425442428"/>
  </r>
  <r>
    <s v="PACIFIC MERCANTILE BANK"/>
    <s v="Costa Mesa"/>
    <x v="0"/>
    <n v="92626"/>
    <d v="2019-09-30T00:00:00"/>
    <x v="0"/>
    <n v="169"/>
    <n v="1437734"/>
    <n v="213276"/>
    <n v="1437734"/>
    <n v="1278875"/>
    <n v="1220490"/>
    <x v="1"/>
    <n v="0.08"/>
    <n v="97639.2"/>
    <n v="0.88950737758166676"/>
    <n v="8507.3017751479292"/>
    <n v="2.1843276061254087"/>
  </r>
  <r>
    <s v="PACIFIC MERCANTILE BANK"/>
    <s v="Costa Mesa"/>
    <x v="0"/>
    <n v="92626"/>
    <d v="2020-09-30T00:00:00"/>
    <x v="1"/>
    <n v="145"/>
    <n v="1617448"/>
    <n v="280126"/>
    <n v="1617448"/>
    <n v="1450758"/>
    <n v="1409886"/>
    <x v="1"/>
    <n v="0.08"/>
    <n v="112790.88"/>
    <n v="0.89694259104465801"/>
    <n v="11154.813793103449"/>
    <n v="2.4835873255000758"/>
  </r>
  <r>
    <s v="PACIFIC MERCANTILE BANK"/>
    <s v="Costa Mesa"/>
    <x v="0"/>
    <n v="92626"/>
    <d v="2021-09-30T00:00:00"/>
    <x v="2"/>
    <n v="118"/>
    <n v="1490319"/>
    <n v="454039"/>
    <n v="1490319"/>
    <n v="1307284"/>
    <n v="1292299"/>
    <x v="1"/>
    <n v="0.08"/>
    <n v="103383.92"/>
    <n v="0.87718401228193432"/>
    <n v="12629.822033898305"/>
    <n v="4.3917758196825964"/>
  </r>
  <r>
    <s v="PACIFIC PREMIER BANK"/>
    <s v="Irvine"/>
    <x v="0"/>
    <n v="92614"/>
    <d v="2019-09-30T00:00:00"/>
    <x v="0"/>
    <n v="998"/>
    <n v="11811502"/>
    <n v="430426"/>
    <n v="11811502"/>
    <n v="9616623"/>
    <n v="8890124"/>
    <x v="1"/>
    <n v="0.08"/>
    <n v="711209.92"/>
    <n v="0.81417443776413867"/>
    <n v="11835.172344689379"/>
    <n v="0.60520246961684665"/>
  </r>
  <r>
    <s v="PACIFIC PREMIER BANK"/>
    <s v="Irvine"/>
    <x v="0"/>
    <n v="92614"/>
    <d v="2020-09-30T00:00:00"/>
    <x v="1"/>
    <n v="1537"/>
    <n v="19841091"/>
    <n v="1105922"/>
    <n v="19841091"/>
    <n v="16913094"/>
    <n v="16488838"/>
    <x v="1"/>
    <n v="0.08"/>
    <n v="1319107.04"/>
    <n v="0.85242762104160497"/>
    <n v="12908.972674040338"/>
    <n v="0.83838685297290205"/>
  </r>
  <r>
    <s v="PACIFIC PREMIER BANK"/>
    <s v="Irvine"/>
    <x v="0"/>
    <n v="92614"/>
    <d v="2021-09-30T00:00:00"/>
    <x v="2"/>
    <n v="1524"/>
    <n v="21007729"/>
    <n v="325028"/>
    <n v="21007729"/>
    <n v="17865633"/>
    <n v="17533543"/>
    <x v="1"/>
    <n v="0.08"/>
    <n v="1402683.44"/>
    <n v="0.85043142930870819"/>
    <n v="13784.59908136483"/>
    <n v="0.23171871195684751"/>
  </r>
  <r>
    <s v="PACIFIC VALLEY BANK"/>
    <s v="Salinas"/>
    <x v="0"/>
    <n v="93901"/>
    <d v="2019-09-30T00:00:00"/>
    <x v="0"/>
    <n v="47"/>
    <n v="340345"/>
    <n v="54331"/>
    <n v="340345"/>
    <n v="305206"/>
    <n v="303521"/>
    <x v="0"/>
    <n v="0.09"/>
    <n v="27316.89"/>
    <n v="0.89675476354875205"/>
    <n v="7241.3829787234044"/>
    <n v="1.988916014963636"/>
  </r>
  <r>
    <s v="PACIFIC VALLEY BANK"/>
    <s v="Salinas"/>
    <x v="0"/>
    <n v="93901"/>
    <d v="2020-09-30T00:00:00"/>
    <x v="1"/>
    <n v="49"/>
    <n v="420189"/>
    <n v="63102"/>
    <n v="420188"/>
    <n v="381976"/>
    <n v="380349"/>
    <x v="0"/>
    <n v="0.09"/>
    <n v="34231.409999999996"/>
    <n v="0.90905759075082881"/>
    <n v="8575.2857142857138"/>
    <n v="1.8433947067912191"/>
  </r>
  <r>
    <s v="PACIFIC VALLEY BANK"/>
    <s v="Salinas"/>
    <x v="0"/>
    <n v="93901"/>
    <d v="2021-09-30T00:00:00"/>
    <x v="2"/>
    <n v="50"/>
    <n v="473384"/>
    <n v="69074"/>
    <n v="473384"/>
    <n v="431084"/>
    <n v="428275"/>
    <x v="0"/>
    <n v="0.09"/>
    <n v="38544.75"/>
    <n v="0.91064336775218424"/>
    <n v="9467.68"/>
    <n v="1.7920469065177489"/>
  </r>
  <r>
    <s v="PACIFIC WESTERN BANK"/>
    <s v="Beverly Hills"/>
    <x v="0"/>
    <n v="90212"/>
    <d v="2019-09-30T00:00:00"/>
    <x v="0"/>
    <n v="1807"/>
    <n v="26682657"/>
    <n v="731358"/>
    <n v="26682657"/>
    <n v="21476789"/>
    <n v="19839151"/>
    <x v="1"/>
    <n v="0.08"/>
    <n v="1587132.08"/>
    <n v="0.80489694111047483"/>
    <n v="14766.273934698394"/>
    <n v="0.46080474915484032"/>
  </r>
  <r>
    <s v="PACIFIC WESTERN BANK"/>
    <s v="Beverly Hills"/>
    <x v="0"/>
    <n v="90212"/>
    <d v="2020-09-30T00:00:00"/>
    <x v="1"/>
    <n v="1752"/>
    <n v="28403865"/>
    <n v="2949816"/>
    <n v="28403865"/>
    <n v="24643536"/>
    <n v="24086958"/>
    <x v="1"/>
    <n v="0.08"/>
    <n v="1926956.6400000001"/>
    <n v="0.86761206617479703"/>
    <n v="16212.251712328767"/>
    <n v="1.5308159710329547"/>
  </r>
  <r>
    <s v="PACIFIC WESTERN BANK"/>
    <s v="Beverly Hills"/>
    <x v="0"/>
    <n v="90212"/>
    <d v="2021-09-30T00:00:00"/>
    <x v="2"/>
    <n v="2100"/>
    <n v="35841196"/>
    <n v="3425757"/>
    <n v="35841196"/>
    <n v="31673191"/>
    <n v="30702591"/>
    <x v="1"/>
    <n v="0.08"/>
    <n v="2456207.2800000003"/>
    <n v="0.88370909832361622"/>
    <n v="17067.236190476189"/>
    <n v="1.3947344867408746"/>
  </r>
  <r>
    <s v="PAN AMERICAN BANK &amp; TRUST"/>
    <s v="Melrose Park"/>
    <x v="1"/>
    <n v="60160"/>
    <d v="2019-09-30T00:00:00"/>
    <x v="0"/>
    <n v="57"/>
    <n v="378607"/>
    <n v="13677"/>
    <n v="378608"/>
    <n v="344098"/>
    <n v="342931"/>
    <x v="0"/>
    <n v="0.08"/>
    <n v="27434.48"/>
    <n v="0.90885271534863332"/>
    <n v="6642.2280701754389"/>
    <n v="0.49853323263280369"/>
  </r>
  <r>
    <s v="PAN AMERICAN BANK &amp; TRUST"/>
    <s v="Melrose Park"/>
    <x v="1"/>
    <n v="60160"/>
    <d v="2020-09-30T00:00:00"/>
    <x v="1"/>
    <n v="47"/>
    <n v="376017"/>
    <n v="26366"/>
    <n v="376017"/>
    <n v="340786"/>
    <n v="335566"/>
    <x v="0"/>
    <n v="0.08"/>
    <n v="26845.279999999999"/>
    <n v="0.90630476813548322"/>
    <n v="8000.3617021276596"/>
    <n v="0.98214658219247486"/>
  </r>
  <r>
    <s v="PAN AMERICAN BANK &amp; TRUST"/>
    <s v="Melrose Park"/>
    <x v="1"/>
    <n v="60160"/>
    <d v="2021-09-30T00:00:00"/>
    <x v="2"/>
    <n v="46"/>
    <n v="420679"/>
    <n v="23527"/>
    <n v="420679"/>
    <n v="383656"/>
    <n v="376945"/>
    <x v="0"/>
    <n v="0.08"/>
    <n v="30155.600000000002"/>
    <n v="0.91199227914870962"/>
    <n v="9145.1956521739139"/>
    <n v="0.78018676464736225"/>
  </r>
  <r>
    <s v="PARK RIDGE COMMUNITY BANK"/>
    <s v="Park Ridge"/>
    <x v="1"/>
    <n v="60068"/>
    <d v="2019-09-30T00:00:00"/>
    <x v="0"/>
    <n v="25"/>
    <n v="320589"/>
    <n v="17716"/>
    <n v="320589"/>
    <n v="274669"/>
    <n v="267786"/>
    <x v="0"/>
    <n v="0.08"/>
    <n v="21422.880000000001"/>
    <n v="0.85676364441699493"/>
    <n v="12823.56"/>
    <n v="0.82696630891831535"/>
  </r>
  <r>
    <s v="PARK RIDGE COMMUNITY BANK"/>
    <s v="Park Ridge"/>
    <x v="1"/>
    <n v="60068"/>
    <d v="2020-09-30T00:00:00"/>
    <x v="1"/>
    <n v="26"/>
    <n v="382718"/>
    <n v="33231"/>
    <n v="382718"/>
    <n v="334222"/>
    <n v="324091"/>
    <x v="0"/>
    <n v="0.08"/>
    <n v="25927.279999999999"/>
    <n v="0.87328529099754915"/>
    <n v="14719.923076923076"/>
    <n v="1.2817002014866195"/>
  </r>
  <r>
    <s v="PARK RIDGE COMMUNITY BANK"/>
    <s v="Park Ridge"/>
    <x v="1"/>
    <n v="60068"/>
    <d v="2021-09-30T00:00:00"/>
    <x v="2"/>
    <n v="29"/>
    <n v="444612"/>
    <n v="79586"/>
    <n v="444612"/>
    <n v="381846"/>
    <n v="370532"/>
    <x v="0"/>
    <n v="0.08"/>
    <n v="29642.560000000001"/>
    <n v="0.85882972119510947"/>
    <n v="15331.448275862069"/>
    <n v="2.6848558289162607"/>
  </r>
  <r>
    <s v="PARKWAY BANK AND TRUST COMPANY"/>
    <s v="Harwood Heights"/>
    <x v="1"/>
    <n v="60656"/>
    <d v="2019-09-30T00:00:00"/>
    <x v="0"/>
    <n v="322"/>
    <n v="2620907"/>
    <n v="272108"/>
    <n v="2620907"/>
    <n v="2316716"/>
    <n v="2114765"/>
    <x v="1"/>
    <n v="7.4999999999999997E-2"/>
    <n v="158607.375"/>
    <n v="0.88393674403555711"/>
    <n v="8139.4627329192544"/>
    <n v="1.7156074867262636"/>
  </r>
  <r>
    <s v="PARKWAY BANK AND TRUST COMPANY"/>
    <s v="Harwood Heights"/>
    <x v="1"/>
    <n v="60656"/>
    <d v="2020-09-30T00:00:00"/>
    <x v="1"/>
    <n v="289"/>
    <n v="2786955"/>
    <n v="332080"/>
    <n v="2786955"/>
    <n v="2483983"/>
    <n v="2111176"/>
    <x v="1"/>
    <n v="7.4999999999999997E-2"/>
    <n v="158338.19999999998"/>
    <n v="0.89128923861346887"/>
    <n v="9643.4429065743952"/>
    <n v="2.0972829045675652"/>
  </r>
  <r>
    <s v="PARKWAY BANK AND TRUST COMPANY"/>
    <s v="Harwood Heights"/>
    <x v="1"/>
    <n v="60656"/>
    <d v="2021-09-30T00:00:00"/>
    <x v="2"/>
    <n v="302"/>
    <n v="2892278"/>
    <n v="393481"/>
    <n v="2892278"/>
    <n v="2567813"/>
    <n v="2290839"/>
    <x v="1"/>
    <n v="7.4999999999999997E-2"/>
    <n v="171812.92499999999"/>
    <n v="0.8878168004597069"/>
    <n v="9577.0794701986761"/>
    <n v="2.2901711265319533"/>
  </r>
  <r>
    <s v="PARTNERS BANK OF CALIFORNIA"/>
    <s v="Mission Viejo"/>
    <x v="0"/>
    <n v="92691"/>
    <d v="2019-09-30T00:00:00"/>
    <x v="0"/>
    <n v="39"/>
    <n v="284677"/>
    <n v="42683"/>
    <n v="284677"/>
    <n v="252591"/>
    <n v="240966"/>
    <x v="0"/>
    <n v="0.09"/>
    <n v="21686.94"/>
    <n v="0.88728980563937376"/>
    <n v="7299.4102564102568"/>
    <n v="1.9681430390825079"/>
  </r>
  <r>
    <s v="PARTNERS BANK OF CALIFORNIA"/>
    <s v="Mission Viejo"/>
    <x v="0"/>
    <n v="92691"/>
    <d v="2020-09-30T00:00:00"/>
    <x v="1"/>
    <n v="42"/>
    <n v="438080"/>
    <n v="72779"/>
    <n v="438080"/>
    <n v="402898"/>
    <n v="321878"/>
    <x v="0"/>
    <n v="0.09"/>
    <n v="28969.02"/>
    <n v="0.91969046749452155"/>
    <n v="10430.476190476191"/>
    <n v="2.51230452393626"/>
  </r>
  <r>
    <s v="PARTNERS BANK OF CALIFORNIA"/>
    <s v="Mission Viejo"/>
    <x v="0"/>
    <n v="92691"/>
    <d v="2021-09-30T00:00:00"/>
    <x v="2"/>
    <n v="39"/>
    <n v="399809"/>
    <n v="89109"/>
    <n v="399809"/>
    <n v="360701"/>
    <n v="327491"/>
    <x v="0"/>
    <n v="0.09"/>
    <n v="29474.19"/>
    <n v="0.90218329252217933"/>
    <n v="10251.51282051282"/>
    <n v="3.0232891896265852"/>
  </r>
  <r>
    <s v="PATHFINDER BANK"/>
    <s v="Oswego"/>
    <x v="2"/>
    <n v="13126"/>
    <d v="2019-09-30T00:00:00"/>
    <x v="0"/>
    <n v="154"/>
    <n v="1052290"/>
    <n v="39769"/>
    <n v="1052290"/>
    <n v="971436"/>
    <n v="882300"/>
    <x v="1"/>
    <n v="0.08"/>
    <n v="70584"/>
    <n v="0.9231637666422754"/>
    <n v="6833.0519480519479"/>
    <n v="0.56342797234500741"/>
  </r>
  <r>
    <s v="PATHFINDER BANK"/>
    <s v="Oswego"/>
    <x v="2"/>
    <n v="13126"/>
    <d v="2020-09-30T00:00:00"/>
    <x v="1"/>
    <n v="161"/>
    <n v="1196978"/>
    <n v="38976"/>
    <n v="1196978"/>
    <n v="1098606"/>
    <n v="1007461"/>
    <x v="1"/>
    <n v="0.08"/>
    <n v="80596.88"/>
    <n v="0.91781636755228579"/>
    <n v="7434.6459627329195"/>
    <n v="0.48359192067980794"/>
  </r>
  <r>
    <s v="PATHFINDER BANK"/>
    <s v="Oswego"/>
    <x v="2"/>
    <n v="13126"/>
    <d v="2021-09-30T00:00:00"/>
    <x v="2"/>
    <n v="157"/>
    <n v="1257968"/>
    <n v="75235"/>
    <n v="1257968"/>
    <n v="1140128"/>
    <n v="1061310"/>
    <x v="1"/>
    <n v="0.08"/>
    <n v="84904.8"/>
    <n v="0.90632512114775576"/>
    <n v="8012.5350318471337"/>
    <n v="0.88611009036002675"/>
  </r>
  <r>
    <s v="PATRIOT COMMUNITY BANK"/>
    <s v="Woburn"/>
    <x v="3"/>
    <n v="1801"/>
    <d v="2019-09-30T00:00:00"/>
    <x v="0"/>
    <n v="21"/>
    <n v="187158"/>
    <n v="46185"/>
    <n v="187157"/>
    <n v="161495"/>
    <n v="159957"/>
    <x v="0"/>
    <n v="8.5000000000000006E-2"/>
    <n v="13596.345000000001"/>
    <n v="0.86288056080958331"/>
    <n v="8912.2857142857138"/>
    <n v="3.3968687908404793"/>
  </r>
  <r>
    <s v="PATRIOT COMMUNITY BANK"/>
    <s v="Woburn"/>
    <x v="3"/>
    <n v="1801"/>
    <d v="2020-09-30T00:00:00"/>
    <x v="1"/>
    <n v="26"/>
    <n v="197706"/>
    <n v="64094"/>
    <n v="197706"/>
    <n v="169835"/>
    <n v="168579"/>
    <x v="0"/>
    <n v="8.5000000000000006E-2"/>
    <n v="14329.215"/>
    <n v="0.85902805175361396"/>
    <n v="7604.0769230769229"/>
    <n v="4.4729596143263954"/>
  </r>
  <r>
    <s v="PATRIOT COMMUNITY BANK"/>
    <s v="Woburn"/>
    <x v="3"/>
    <n v="1801"/>
    <d v="2021-09-30T00:00:00"/>
    <x v="2"/>
    <n v="24"/>
    <n v="215694"/>
    <n v="80437"/>
    <n v="215694"/>
    <n v="185219"/>
    <n v="183541"/>
    <x v="0"/>
    <n v="8.5000000000000006E-2"/>
    <n v="15600.985000000001"/>
    <n v="0.85871187886542977"/>
    <n v="8987.25"/>
    <n v="5.1558924003836939"/>
  </r>
  <r>
    <s v="PCSB BANK"/>
    <s v="Brewster"/>
    <x v="2"/>
    <n v="10509"/>
    <d v="2019-09-30T00:00:00"/>
    <x v="0"/>
    <n v="173"/>
    <n v="1655453"/>
    <n v="34066"/>
    <n v="1655453"/>
    <n v="1440913"/>
    <n v="1293568"/>
    <x v="1"/>
    <n v="0.08"/>
    <n v="103485.44"/>
    <n v="0.87040405254634234"/>
    <n v="9569.0924855491321"/>
    <n v="0.3291864053532555"/>
  </r>
  <r>
    <s v="PCSB BANK"/>
    <s v="Brewster"/>
    <x v="2"/>
    <n v="10509"/>
    <d v="2020-09-30T00:00:00"/>
    <x v="1"/>
    <n v="168"/>
    <n v="1790028"/>
    <n v="160836"/>
    <n v="1790028"/>
    <n v="1566625"/>
    <n v="1421949"/>
    <x v="1"/>
    <n v="0.08"/>
    <n v="113755.92"/>
    <n v="0.87519580699296329"/>
    <n v="10654.928571428571"/>
    <n v="1.41386927379252"/>
  </r>
  <r>
    <s v="PCSB BANK"/>
    <s v="Brewster"/>
    <x v="2"/>
    <n v="10509"/>
    <d v="2021-09-30T00:00:00"/>
    <x v="2"/>
    <n v="162"/>
    <n v="1872147"/>
    <n v="145174"/>
    <n v="1872147"/>
    <n v="1631237"/>
    <n v="1534609"/>
    <x v="1"/>
    <n v="0.08"/>
    <n v="122768.72"/>
    <n v="0.87131886545233894"/>
    <n v="11556.462962962964"/>
    <n v="1.1824999071424709"/>
  </r>
  <r>
    <s v="PENTUCKET BANK"/>
    <s v="Haverhill"/>
    <x v="3"/>
    <n v="1830"/>
    <d v="2019-09-30T00:00:00"/>
    <x v="0"/>
    <n v="133"/>
    <n v="793703"/>
    <n v="21970"/>
    <n v="793703"/>
    <n v="698365"/>
    <n v="653690"/>
    <x v="0"/>
    <n v="8.5000000000000006E-2"/>
    <n v="55563.65"/>
    <n v="0.87988202136063487"/>
    <n v="5967.6917293233082"/>
    <n v="0.39540238987179566"/>
  </r>
  <r>
    <s v="PENTUCKET BANK"/>
    <s v="Haverhill"/>
    <x v="3"/>
    <n v="1830"/>
    <d v="2020-09-30T00:00:00"/>
    <x v="1"/>
    <n v="118"/>
    <n v="890499"/>
    <n v="33303"/>
    <n v="890499"/>
    <n v="793065"/>
    <n v="724775"/>
    <x v="0"/>
    <n v="8.5000000000000006E-2"/>
    <n v="61605.875000000007"/>
    <n v="0.89058494170122593"/>
    <n v="7546.6016949152545"/>
    <n v="0.54058155979441891"/>
  </r>
  <r>
    <s v="PENTUCKET BANK"/>
    <s v="Haverhill"/>
    <x v="3"/>
    <n v="1830"/>
    <d v="2021-09-30T00:00:00"/>
    <x v="2"/>
    <n v="117"/>
    <n v="932686"/>
    <n v="44508"/>
    <n v="932686"/>
    <n v="825094"/>
    <n v="777773"/>
    <x v="0"/>
    <n v="8.5000000000000006E-2"/>
    <n v="66110.705000000002"/>
    <n v="0.88464284871864696"/>
    <n v="7971.6752136752139"/>
    <n v="0.67323438768350752"/>
  </r>
  <r>
    <s v="PEOPLEFIRST BANK"/>
    <s v="Joliet"/>
    <x v="1"/>
    <n v="60435"/>
    <d v="2019-09-30T00:00:00"/>
    <x v="0"/>
    <n v="29"/>
    <n v="138482"/>
    <n v="12204"/>
    <n v="138482"/>
    <n v="120945"/>
    <n v="109620"/>
    <x v="0"/>
    <n v="0.08"/>
    <n v="8769.6"/>
    <n v="0.87336260308198899"/>
    <n v="4775.2413793103451"/>
    <n v="1.3916256157635467"/>
  </r>
  <r>
    <s v="PEOPLEFIRST BANK"/>
    <s v="Joliet"/>
    <x v="1"/>
    <n v="60435"/>
    <d v="2020-09-30T00:00:00"/>
    <x v="1"/>
    <n v="29"/>
    <n v="172089"/>
    <n v="34697"/>
    <n v="172089"/>
    <n v="153034"/>
    <n v="139679"/>
    <x v="0"/>
    <n v="0.08"/>
    <n v="11174.32"/>
    <n v="0.88927241136853608"/>
    <n v="5934.1034482758623"/>
    <n v="3.105065901101812"/>
  </r>
  <r>
    <s v="PEOPLEFIRST BANK"/>
    <s v="Joliet"/>
    <x v="1"/>
    <n v="60435"/>
    <d v="2021-09-30T00:00:00"/>
    <x v="2"/>
    <n v="30"/>
    <n v="209900"/>
    <n v="45192"/>
    <n v="209900"/>
    <n v="188036"/>
    <n v="175430"/>
    <x v="0"/>
    <n v="0.08"/>
    <n v="14034.4"/>
    <n v="0.89583611243449257"/>
    <n v="6996.666666666667"/>
    <n v="3.2200877843014308"/>
  </r>
  <r>
    <s v="PEOPLES BANK &amp; TRUST"/>
    <s v="Pana"/>
    <x v="1"/>
    <n v="62557"/>
    <d v="2019-09-30T00:00:00"/>
    <x v="0"/>
    <n v="76"/>
    <n v="429232"/>
    <n v="8476"/>
    <n v="429232"/>
    <n v="385683"/>
    <n v="377511"/>
    <x v="0"/>
    <n v="0.08"/>
    <n v="30200.880000000001"/>
    <n v="0.89854204719126252"/>
    <n v="5647.7894736842109"/>
    <n v="0.28065407365613187"/>
  </r>
  <r>
    <s v="PEOPLES BANK &amp; TRUST"/>
    <s v="Pana"/>
    <x v="1"/>
    <n v="62557"/>
    <d v="2020-09-30T00:00:00"/>
    <x v="1"/>
    <n v="68"/>
    <n v="479962"/>
    <n v="8390"/>
    <n v="479962"/>
    <n v="435472"/>
    <n v="410211"/>
    <x v="0"/>
    <n v="0.08"/>
    <n v="32816.879999999997"/>
    <n v="0.90730516165863129"/>
    <n v="7058.2647058823532"/>
    <n v="0.25566111098922262"/>
  </r>
  <r>
    <s v="PEOPLES BANK &amp; TRUST"/>
    <s v="Pana"/>
    <x v="1"/>
    <n v="62557"/>
    <d v="2021-09-30T00:00:00"/>
    <x v="2"/>
    <n v="64"/>
    <n v="559429"/>
    <n v="7205"/>
    <n v="559429"/>
    <n v="509260"/>
    <n v="474024"/>
    <x v="0"/>
    <n v="0.08"/>
    <n v="37921.919999999998"/>
    <n v="0.91032105950889208"/>
    <n v="8741.078125"/>
    <n v="0.18999565422847789"/>
  </r>
  <r>
    <s v="PEOPLES BANK OF KANKAKEE COUNTY"/>
    <s v="Bourbonnais"/>
    <x v="1"/>
    <n v="60914"/>
    <d v="2019-09-30T00:00:00"/>
    <x v="0"/>
    <n v="53"/>
    <n v="220922"/>
    <n v="27205"/>
    <n v="220922"/>
    <n v="202867"/>
    <n v="168527"/>
    <x v="0"/>
    <n v="0.08"/>
    <n v="13482.16"/>
    <n v="0.91827432306424894"/>
    <n v="4168.3396226415098"/>
    <n v="2.0178517388905042"/>
  </r>
  <r>
    <s v="PEOPLES BANK OF KANKAKEE COUNTY"/>
    <s v="Bourbonnais"/>
    <x v="1"/>
    <n v="60914"/>
    <d v="2020-09-30T00:00:00"/>
    <x v="1"/>
    <n v="50"/>
    <n v="275316"/>
    <n v="25284"/>
    <n v="275316"/>
    <n v="252890"/>
    <n v="221675"/>
    <x v="0"/>
    <n v="0.08"/>
    <n v="17734"/>
    <n v="0.91854450885527905"/>
    <n v="5506.32"/>
    <n v="1.4257358745911808"/>
  </r>
  <r>
    <s v="PEOPLES BANK OF KANKAKEE COUNTY"/>
    <s v="Bourbonnais"/>
    <x v="1"/>
    <n v="60914"/>
    <d v="2021-09-30T00:00:00"/>
    <x v="2"/>
    <n v="53"/>
    <n v="314303"/>
    <n v="42560"/>
    <n v="314303"/>
    <n v="290664"/>
    <n v="254409"/>
    <x v="0"/>
    <n v="0.08"/>
    <n v="20352.72"/>
    <n v="0.92478913659748718"/>
    <n v="5930.2452830188677"/>
    <n v="2.0911209902165409"/>
  </r>
  <r>
    <s v="PEOPLES BANK OF MACON"/>
    <s v="Macon"/>
    <x v="1"/>
    <n v="62544"/>
    <d v="2019-09-30T00:00:00"/>
    <x v="0"/>
    <n v="4"/>
    <n v="20697"/>
    <n v="3413"/>
    <n v="20697"/>
    <n v="17755"/>
    <n v="17092"/>
    <x v="2"/>
    <n v="0.09"/>
    <n v="1538.28"/>
    <n v="0.85785379523602456"/>
    <n v="5174.25"/>
    <n v="2.2187118079933432"/>
  </r>
  <r>
    <s v="PEOPLES BANK OF MACON"/>
    <s v="Macon"/>
    <x v="1"/>
    <n v="62544"/>
    <d v="2020-09-30T00:00:00"/>
    <x v="1"/>
    <n v="4"/>
    <n v="22612"/>
    <n v="6613"/>
    <n v="22612"/>
    <n v="19674"/>
    <n v="19014"/>
    <x v="2"/>
    <n v="0.09"/>
    <n v="1711.26"/>
    <n v="0.87006898991685833"/>
    <n v="5653"/>
    <n v="3.8644040064046377"/>
  </r>
  <r>
    <s v="PEOPLES BANK OF MACON"/>
    <s v="Macon"/>
    <x v="1"/>
    <n v="62544"/>
    <d v="2021-09-30T00:00:00"/>
    <x v="2"/>
    <n v="4"/>
    <n v="25670"/>
    <n v="9891"/>
    <n v="25670"/>
    <n v="22768"/>
    <n v="22108"/>
    <x v="2"/>
    <n v="0.09"/>
    <n v="1989.72"/>
    <n v="0.8869497467861317"/>
    <n v="6417.5"/>
    <n v="4.9710512031843672"/>
  </r>
  <r>
    <s v="PEOPLES NATIONAL BANK , N.A."/>
    <s v="Mount Vernon"/>
    <x v="1"/>
    <n v="62864"/>
    <d v="2019-09-30T00:00:00"/>
    <x v="0"/>
    <n v="270"/>
    <n v="1211565"/>
    <n v="53455"/>
    <n v="1211565"/>
    <n v="1096954"/>
    <n v="1020954"/>
    <x v="1"/>
    <n v="7.4999999999999997E-2"/>
    <n v="76571.55"/>
    <n v="0.90540251657979554"/>
    <n v="4487.2777777777774"/>
    <n v="0.69810523621371123"/>
  </r>
  <r>
    <s v="PEOPLES NATIONAL BANK , N.A."/>
    <s v="Mount Vernon"/>
    <x v="1"/>
    <n v="62864"/>
    <d v="2020-09-30T00:00:00"/>
    <x v="1"/>
    <n v="290"/>
    <n v="1468081"/>
    <n v="120704"/>
    <n v="1468081"/>
    <n v="1349953"/>
    <n v="1161895"/>
    <x v="1"/>
    <n v="7.4999999999999997E-2"/>
    <n v="87142.125"/>
    <n v="0.91953577493339944"/>
    <n v="5062.3482758620694"/>
    <n v="1.3851395062950325"/>
  </r>
  <r>
    <s v="PEOPLES NATIONAL BANK , N.A."/>
    <s v="Mount Vernon"/>
    <x v="1"/>
    <n v="62864"/>
    <d v="2021-09-30T00:00:00"/>
    <x v="2"/>
    <n v="284"/>
    <n v="1513664"/>
    <n v="190927"/>
    <n v="1513664"/>
    <n v="1388131"/>
    <n v="1342579"/>
    <x v="1"/>
    <n v="7.4999999999999997E-2"/>
    <n v="100693.425"/>
    <n v="0.91706679950107817"/>
    <n v="5329.8028169014087"/>
    <n v="1.8961218172884673"/>
  </r>
  <r>
    <s v="PEOPLES NATIONAL BANK OF KEWANEE"/>
    <s v="Kewanee"/>
    <x v="1"/>
    <n v="61443"/>
    <d v="2019-09-30T00:00:00"/>
    <x v="0"/>
    <n v="91"/>
    <n v="360662"/>
    <n v="60815"/>
    <n v="360662"/>
    <n v="306752"/>
    <n v="302392"/>
    <x v="0"/>
    <n v="0.08"/>
    <n v="24191.360000000001"/>
    <n v="0.85052486815910744"/>
    <n v="3963.3186813186812"/>
    <n v="2.5139140585729782"/>
  </r>
  <r>
    <s v="PEOPLES NATIONAL BANK OF KEWANEE"/>
    <s v="Kewanee"/>
    <x v="1"/>
    <n v="61443"/>
    <d v="2020-09-30T00:00:00"/>
    <x v="1"/>
    <n v="86"/>
    <n v="410215"/>
    <n v="69199"/>
    <n v="410215"/>
    <n v="354755"/>
    <n v="347451"/>
    <x v="0"/>
    <n v="0.08"/>
    <n v="27796.080000000002"/>
    <n v="0.86480260351279203"/>
    <n v="4769.9418604651164"/>
    <n v="2.4895237026228156"/>
  </r>
  <r>
    <s v="PEOPLES NATIONAL BANK OF KEWANEE"/>
    <s v="Kewanee"/>
    <x v="1"/>
    <n v="61443"/>
    <d v="2021-09-30T00:00:00"/>
    <x v="2"/>
    <n v="90"/>
    <n v="565691"/>
    <n v="69127"/>
    <n v="565691"/>
    <n v="508831"/>
    <n v="500228"/>
    <x v="0"/>
    <n v="0.08"/>
    <n v="40018.239999999998"/>
    <n v="0.89948576166140171"/>
    <n v="6285.4555555555553"/>
    <n v="1.7273873113860081"/>
  </r>
  <r>
    <s v="PEOPLES STATE BANK OF COLFAX"/>
    <s v="Colfax"/>
    <x v="1"/>
    <n v="61728"/>
    <d v="2019-09-30T00:00:00"/>
    <x v="0"/>
    <n v="6"/>
    <n v="34797"/>
    <n v="9743"/>
    <n v="34797"/>
    <n v="30416"/>
    <n v="30268"/>
    <x v="2"/>
    <n v="0.09"/>
    <n v="2724.12"/>
    <n v="0.87409834181107571"/>
    <n v="5799.5"/>
    <n v="3.5765678457630354"/>
  </r>
  <r>
    <s v="PEOPLES STATE BANK OF COLFAX"/>
    <s v="Colfax"/>
    <x v="1"/>
    <n v="61728"/>
    <d v="2020-09-30T00:00:00"/>
    <x v="1"/>
    <n v="7"/>
    <n v="41438"/>
    <n v="17517"/>
    <n v="41438"/>
    <n v="36943"/>
    <n v="34779"/>
    <x v="2"/>
    <n v="0.09"/>
    <n v="3130.1099999999997"/>
    <n v="0.8915246874849172"/>
    <n v="5919.7142857142853"/>
    <n v="5.5962889483117211"/>
  </r>
  <r>
    <s v="PEOPLES STATE BANK OF COLFAX"/>
    <s v="Colfax"/>
    <x v="1"/>
    <n v="61728"/>
    <d v="2021-09-30T00:00:00"/>
    <x v="2"/>
    <n v="8"/>
    <n v="41597"/>
    <n v="13722"/>
    <n v="41597"/>
    <n v="36885"/>
    <n v="36735"/>
    <x v="2"/>
    <n v="0.09"/>
    <n v="3306.15"/>
    <n v="0.88672260018751348"/>
    <n v="5199.625"/>
    <n v="4.1504468944240278"/>
  </r>
  <r>
    <s v="PEOPLESBANK"/>
    <s v="Holyoke"/>
    <x v="3"/>
    <n v="1040"/>
    <d v="2019-09-30T00:00:00"/>
    <x v="0"/>
    <n v="303"/>
    <n v="2926907"/>
    <n v="119533"/>
    <n v="2926908"/>
    <n v="2631466"/>
    <n v="2064134"/>
    <x v="1"/>
    <n v="0.08"/>
    <n v="165130.72"/>
    <n v="0.8990603391224935"/>
    <n v="9659.7590759075902"/>
    <n v="0.72386894455495621"/>
  </r>
  <r>
    <s v="PEOPLESBANK"/>
    <s v="Holyoke"/>
    <x v="3"/>
    <n v="1040"/>
    <d v="2020-09-30T00:00:00"/>
    <x v="1"/>
    <n v="298"/>
    <n v="3233477"/>
    <n v="218376"/>
    <n v="3233478"/>
    <n v="2933754"/>
    <n v="2244872"/>
    <x v="1"/>
    <n v="0.08"/>
    <n v="179589.76000000001"/>
    <n v="0.90730628360739851"/>
    <n v="10850.593959731543"/>
    <n v="1.215971333777605"/>
  </r>
  <r>
    <s v="PEOPLESBANK"/>
    <s v="Holyoke"/>
    <x v="3"/>
    <n v="1040"/>
    <d v="2021-09-30T00:00:00"/>
    <x v="2"/>
    <n v="304"/>
    <n v="3439206"/>
    <n v="157143"/>
    <n v="3439206"/>
    <n v="3107252"/>
    <n v="2988973"/>
    <x v="1"/>
    <n v="0.08"/>
    <n v="239117.84"/>
    <n v="0.90347946589997807"/>
    <n v="11313.177631578947"/>
    <n v="0.65717806751683605"/>
  </r>
  <r>
    <s v="PERU FEDERAL SAVINGS BANK"/>
    <s v="Peru"/>
    <x v="1"/>
    <n v="61354"/>
    <d v="2019-09-30T00:00:00"/>
    <x v="0"/>
    <n v="24"/>
    <n v="150695"/>
    <n v="12997"/>
    <n v="150695"/>
    <n v="129408"/>
    <n v="128615"/>
    <x v="0"/>
    <n v="0.08"/>
    <n v="10289.200000000001"/>
    <n v="0.85874116593118555"/>
    <n v="6278.958333333333"/>
    <n v="1.2631691482330987"/>
  </r>
  <r>
    <s v="PERU FEDERAL SAVINGS BANK"/>
    <s v="Peru"/>
    <x v="1"/>
    <n v="61354"/>
    <d v="2020-09-30T00:00:00"/>
    <x v="1"/>
    <n v="23"/>
    <n v="170806"/>
    <n v="14000"/>
    <n v="170806"/>
    <n v="147603"/>
    <n v="142580"/>
    <x v="0"/>
    <n v="0.08"/>
    <n v="11406.4"/>
    <n v="0.86415582590775497"/>
    <n v="7426.347826086957"/>
    <n v="1.2273811193715809"/>
  </r>
  <r>
    <s v="PERU FEDERAL SAVINGS BANK"/>
    <s v="Peru"/>
    <x v="1"/>
    <n v="61354"/>
    <d v="2021-09-30T00:00:00"/>
    <x v="2"/>
    <n v="22"/>
    <n v="183474"/>
    <n v="16096"/>
    <n v="183474"/>
    <n v="159821"/>
    <n v="153722"/>
    <x v="0"/>
    <n v="0.08"/>
    <n v="12297.76"/>
    <n v="0.8710825512061654"/>
    <n v="8339.7272727272721"/>
    <n v="1.3088562469913221"/>
  </r>
  <r>
    <s v="PETEFISH, SKILES &amp; CO."/>
    <s v="Virginia"/>
    <x v="1"/>
    <n v="62691"/>
    <d v="2019-09-30T00:00:00"/>
    <x v="0"/>
    <n v="43"/>
    <n v="198143"/>
    <n v="14247"/>
    <n v="198143"/>
    <n v="171695"/>
    <n v="157006"/>
    <x v="0"/>
    <n v="0.08"/>
    <n v="12560.48"/>
    <n v="0.86652064418122265"/>
    <n v="4607.9767441860467"/>
    <n v="1.1342719386520261"/>
  </r>
  <r>
    <s v="PETEFISH, SKILES &amp; CO."/>
    <s v="Virginia"/>
    <x v="1"/>
    <n v="62691"/>
    <d v="2020-09-30T00:00:00"/>
    <x v="1"/>
    <n v="48"/>
    <n v="225702"/>
    <n v="12855"/>
    <n v="225702"/>
    <n v="196747"/>
    <n v="176080"/>
    <x v="0"/>
    <n v="0.08"/>
    <n v="14086.4"/>
    <n v="0.87171137163162049"/>
    <n v="4702.125"/>
    <n v="0.9125823489323035"/>
  </r>
  <r>
    <s v="PETEFISH, SKILES &amp; CO."/>
    <s v="Virginia"/>
    <x v="1"/>
    <n v="62691"/>
    <d v="2021-09-30T00:00:00"/>
    <x v="2"/>
    <n v="55"/>
    <n v="255888"/>
    <n v="32424"/>
    <n v="255888"/>
    <n v="225183"/>
    <n v="203247"/>
    <x v="0"/>
    <n v="0.08"/>
    <n v="16259.76"/>
    <n v="0.88000609641718253"/>
    <n v="4652.5090909090914"/>
    <n v="1.9941253745442737"/>
  </r>
  <r>
    <s v="PHILO EXCHANGE BANK"/>
    <s v="Philo"/>
    <x v="1"/>
    <n v="61864"/>
    <d v="2019-09-30T00:00:00"/>
    <x v="0"/>
    <n v="17"/>
    <n v="97417"/>
    <n v="4651"/>
    <n v="97417"/>
    <n v="85065"/>
    <n v="82323"/>
    <x v="2"/>
    <n v="0.09"/>
    <n v="7409.07"/>
    <n v="0.8732048821047661"/>
    <n v="5730.411764705882"/>
    <n v="0.62774410283611848"/>
  </r>
  <r>
    <s v="PHILO EXCHANGE BANK"/>
    <s v="Philo"/>
    <x v="1"/>
    <n v="61864"/>
    <d v="2020-09-30T00:00:00"/>
    <x v="1"/>
    <n v="19"/>
    <n v="115971"/>
    <n v="15954"/>
    <n v="115971"/>
    <n v="102049"/>
    <n v="97487"/>
    <x v="0"/>
    <n v="0.08"/>
    <n v="7798.96"/>
    <n v="0.87995274680739155"/>
    <n v="6103.7368421052633"/>
    <n v="2.0456573697005753"/>
  </r>
  <r>
    <s v="PHILO EXCHANGE BANK"/>
    <s v="Philo"/>
    <x v="1"/>
    <n v="61864"/>
    <d v="2021-09-30T00:00:00"/>
    <x v="2"/>
    <n v="19"/>
    <n v="124643"/>
    <n v="8268"/>
    <n v="124643"/>
    <n v="110843"/>
    <n v="110246"/>
    <x v="0"/>
    <n v="0.08"/>
    <n v="8819.68"/>
    <n v="0.8892837945171409"/>
    <n v="6560.1578947368425"/>
    <n v="0.93744897774068903"/>
  </r>
  <r>
    <s v="PIERMONT BANK"/>
    <s v="New York"/>
    <x v="2"/>
    <n v="10018"/>
    <d v="2019-09-30T00:00:00"/>
    <x v="0"/>
    <n v="23"/>
    <n v="41547"/>
    <n v="39943"/>
    <n v="41547"/>
    <n v="8937"/>
    <n v="8685"/>
    <x v="2"/>
    <n v="0.09"/>
    <n v="781.65"/>
    <n v="0.21510578381110548"/>
    <n v="1806.391304347826"/>
    <n v="51.100876351308131"/>
  </r>
  <r>
    <s v="PIERMONT BANK"/>
    <s v="New York"/>
    <x v="2"/>
    <n v="10018"/>
    <d v="2020-09-30T00:00:00"/>
    <x v="1"/>
    <n v="23"/>
    <n v="128336"/>
    <n v="27185"/>
    <n v="128336"/>
    <n v="97839"/>
    <n v="96529"/>
    <x v="0"/>
    <n v="8.5000000000000006E-2"/>
    <n v="8204.9650000000001"/>
    <n v="0.76236597681087148"/>
    <n v="5579.826086956522"/>
    <n v="3.3132377773701656"/>
  </r>
  <r>
    <s v="PIERMONT BANK"/>
    <s v="New York"/>
    <x v="2"/>
    <n v="10018"/>
    <d v="2021-09-30T00:00:00"/>
    <x v="2"/>
    <n v="30"/>
    <n v="346764"/>
    <n v="144932"/>
    <n v="346764"/>
    <n v="296922"/>
    <n v="293490"/>
    <x v="0"/>
    <n v="8.5000000000000006E-2"/>
    <n v="24946.65"/>
    <n v="0.85626535626535627"/>
    <n v="11558.8"/>
    <n v="5.8096778525373143"/>
  </r>
  <r>
    <s v="PINNACLE BANK"/>
    <s v="Gilroy"/>
    <x v="0"/>
    <n v="95020"/>
    <d v="2019-09-30T00:00:00"/>
    <x v="0"/>
    <n v="64"/>
    <n v="399513"/>
    <n v="34395"/>
    <n v="399513"/>
    <n v="347286"/>
    <n v="341506"/>
    <x v="0"/>
    <n v="0.09"/>
    <n v="30735.539999999997"/>
    <n v="0.86927334029180525"/>
    <n v="6242.390625"/>
    <n v="1.1190628178323856"/>
  </r>
  <r>
    <s v="PINNACLE BANK"/>
    <s v="Gilroy"/>
    <x v="0"/>
    <n v="95020"/>
    <d v="2020-09-30T00:00:00"/>
    <x v="1"/>
    <n v="71"/>
    <n v="625764"/>
    <n v="93750"/>
    <n v="625764"/>
    <n v="569083"/>
    <n v="548818"/>
    <x v="0"/>
    <n v="0.09"/>
    <n v="49393.619999999995"/>
    <n v="0.90942112361848881"/>
    <n v="8813.577464788732"/>
    <n v="1.8980184080454117"/>
  </r>
  <r>
    <s v="PINNACLE BANK"/>
    <s v="Gilroy"/>
    <x v="0"/>
    <n v="95020"/>
    <d v="2021-09-30T00:00:00"/>
    <x v="2"/>
    <n v="79"/>
    <n v="722686"/>
    <n v="218991"/>
    <n v="722686"/>
    <n v="658403"/>
    <n v="647060"/>
    <x v="0"/>
    <n v="0.09"/>
    <n v="58235.4"/>
    <n v="0.91104988888673644"/>
    <n v="9147.9240506329115"/>
    <n v="3.7604446779793732"/>
  </r>
  <r>
    <s v="PIONEER BANK"/>
    <s v="Albany"/>
    <x v="2"/>
    <n v="12211"/>
    <d v="2019-09-30T00:00:00"/>
    <x v="0"/>
    <n v="255"/>
    <n v="1448078"/>
    <n v="184042"/>
    <n v="1448078"/>
    <n v="1280442"/>
    <n v="1258135"/>
    <x v="1"/>
    <n v="0.08"/>
    <n v="100650.8"/>
    <n v="0.88423551770001341"/>
    <n v="5678.737254901961"/>
    <n v="1.8285199918927619"/>
  </r>
  <r>
    <s v="PIONEER BANK"/>
    <s v="Albany"/>
    <x v="2"/>
    <n v="12211"/>
    <d v="2020-09-30T00:00:00"/>
    <x v="1"/>
    <n v="245"/>
    <n v="1627418"/>
    <n v="261008"/>
    <n v="1627418"/>
    <n v="1458512"/>
    <n v="1425438"/>
    <x v="1"/>
    <n v="0.08"/>
    <n v="114035.04000000001"/>
    <n v="0.8962122822778168"/>
    <n v="6642.5224489795919"/>
    <n v="2.2888403424070356"/>
  </r>
  <r>
    <s v="PIONEER BANK"/>
    <s v="Albany"/>
    <x v="2"/>
    <n v="12211"/>
    <d v="2021-09-30T00:00:00"/>
    <x v="2"/>
    <n v="241"/>
    <n v="1966573"/>
    <n v="475294"/>
    <n v="1966573"/>
    <n v="1784003"/>
    <n v="1749764"/>
    <x v="1"/>
    <n v="0.08"/>
    <n v="139981.12"/>
    <n v="0.9071633750692194"/>
    <n v="8160.0539419087136"/>
    <n v="3.3954150388280935"/>
  </r>
  <r>
    <s v="PIONEER COMMERCIAL BANK"/>
    <s v="Albany"/>
    <x v="2"/>
    <n v="12211"/>
    <d v="2019-09-30T00:00:00"/>
    <x v="0"/>
    <n v="2"/>
    <n v="355118"/>
    <n v="340699"/>
    <n v="355118"/>
    <n v="329779"/>
    <n v="328013"/>
    <x v="0"/>
    <n v="8.5000000000000006E-2"/>
    <n v="27881.105000000003"/>
    <n v="0.92864625279484569"/>
    <n v="177559"/>
    <n v="12.219709369481588"/>
  </r>
  <r>
    <s v="PIONEER COMMERCIAL BANK"/>
    <s v="Albany"/>
    <x v="2"/>
    <n v="12211"/>
    <d v="2020-09-30T00:00:00"/>
    <x v="1"/>
    <n v="2"/>
    <n v="398797"/>
    <n v="379434"/>
    <n v="398797"/>
    <n v="371299"/>
    <n v="368252"/>
    <x v="0"/>
    <n v="8.5000000000000006E-2"/>
    <n v="31301.420000000002"/>
    <n v="0.93104762573439614"/>
    <n v="199398.5"/>
    <n v="12.121942071637644"/>
  </r>
  <r>
    <s v="PIONEER COMMERCIAL BANK"/>
    <s v="Albany"/>
    <x v="2"/>
    <n v="12211"/>
    <d v="2021-09-30T00:00:00"/>
    <x v="2"/>
    <n v="2"/>
    <n v="557356"/>
    <n v="484213"/>
    <n v="557356"/>
    <n v="526169"/>
    <n v="517021"/>
    <x v="0"/>
    <n v="8.5000000000000006E-2"/>
    <n v="43946.785000000003"/>
    <n v="0.94404473980723269"/>
    <n v="278678"/>
    <n v="11.018166630391732"/>
  </r>
  <r>
    <s v="PIONEER STATE BANK"/>
    <s v="Earlville"/>
    <x v="1"/>
    <n v="60518"/>
    <d v="2019-09-30T00:00:00"/>
    <x v="0"/>
    <n v="24"/>
    <n v="107660"/>
    <n v="4801"/>
    <n v="107660"/>
    <n v="94604"/>
    <n v="84263"/>
    <x v="0"/>
    <n v="0.08"/>
    <n v="6741.04"/>
    <n v="0.87872933308563994"/>
    <n v="4485.833333333333"/>
    <n v="0.71220464498059644"/>
  </r>
  <r>
    <s v="PIONEER STATE BANK"/>
    <s v="Earlville"/>
    <x v="1"/>
    <n v="60518"/>
    <d v="2020-09-30T00:00:00"/>
    <x v="1"/>
    <n v="24"/>
    <n v="117029"/>
    <n v="19149"/>
    <n v="117029"/>
    <n v="103500"/>
    <n v="93349"/>
    <x v="0"/>
    <n v="0.08"/>
    <n v="7467.92"/>
    <n v="0.88439617530697523"/>
    <n v="4876.208333333333"/>
    <n v="2.564167800404932"/>
  </r>
  <r>
    <s v="PIONEER STATE BANK"/>
    <s v="Earlville"/>
    <x v="1"/>
    <n v="60518"/>
    <d v="2021-09-30T00:00:00"/>
    <x v="2"/>
    <n v="26"/>
    <n v="133575"/>
    <n v="19969"/>
    <n v="133575"/>
    <n v="119412"/>
    <n v="109864"/>
    <x v="0"/>
    <n v="0.08"/>
    <n v="8789.1200000000008"/>
    <n v="0.89396967995508136"/>
    <n v="5137.5"/>
    <n v="2.2720135804267092"/>
  </r>
  <r>
    <s v="PLUMAS BANK"/>
    <s v="Quincy"/>
    <x v="0"/>
    <n v="95971"/>
    <d v="2019-09-30T00:00:00"/>
    <x v="0"/>
    <n v="161"/>
    <n v="887915"/>
    <n v="77880"/>
    <n v="887915"/>
    <n v="796831"/>
    <n v="776574"/>
    <x v="0"/>
    <n v="0.09"/>
    <n v="69891.66"/>
    <n v="0.89741810871536132"/>
    <n v="5515"/>
    <n v="1.1142960404717817"/>
  </r>
  <r>
    <s v="PLUMAS BANK"/>
    <s v="Quincy"/>
    <x v="0"/>
    <n v="95971"/>
    <d v="2020-09-30T00:00:00"/>
    <x v="1"/>
    <n v="156"/>
    <n v="1114796"/>
    <n v="175531"/>
    <n v="1114796"/>
    <n v="1009838"/>
    <n v="977767"/>
    <x v="1"/>
    <n v="0.08"/>
    <n v="78221.36"/>
    <n v="0.90585003893088956"/>
    <n v="7146.1282051282051"/>
    <n v="2.2440289966832587"/>
  </r>
  <r>
    <s v="PLUMAS BANK"/>
    <s v="Quincy"/>
    <x v="0"/>
    <n v="95971"/>
    <d v="2021-09-30T00:00:00"/>
    <x v="2"/>
    <n v="176"/>
    <n v="1570281"/>
    <n v="372993"/>
    <n v="1570281"/>
    <n v="1432171"/>
    <n v="1405545"/>
    <x v="1"/>
    <n v="0.08"/>
    <n v="112443.6"/>
    <n v="0.91204758893471938"/>
    <n v="8922.051136363636"/>
    <n v="3.3171563343756336"/>
  </r>
  <r>
    <s v="PONCE BANK"/>
    <s v="Bronx"/>
    <x v="2"/>
    <n v="10462"/>
    <d v="2019-09-30T00:00:00"/>
    <x v="0"/>
    <n v="187"/>
    <n v="1098506"/>
    <n v="47389"/>
    <n v="1098506"/>
    <n v="962995"/>
    <n v="782381"/>
    <x v="1"/>
    <n v="0.08"/>
    <n v="62590.48"/>
    <n v="0.87664063737476172"/>
    <n v="5874.363636363636"/>
    <n v="0.75712792105125248"/>
  </r>
  <r>
    <s v="PONCE BANK"/>
    <s v="Bronx"/>
    <x v="2"/>
    <n v="10462"/>
    <d v="2020-09-30T00:00:00"/>
    <x v="1"/>
    <n v="186"/>
    <n v="1260820"/>
    <n v="78564"/>
    <n v="1260820"/>
    <n v="1119945"/>
    <n v="987357"/>
    <x v="1"/>
    <n v="0.08"/>
    <n v="78988.56"/>
    <n v="0.888267159467648"/>
    <n v="6778.6021505376348"/>
    <n v="0.99462504443681465"/>
  </r>
  <r>
    <s v="PONCE BANK"/>
    <s v="Bronx"/>
    <x v="2"/>
    <n v="10462"/>
    <d v="2021-09-30T00:00:00"/>
    <x v="2"/>
    <n v="182"/>
    <n v="1542915"/>
    <n v="65120"/>
    <n v="1542915"/>
    <n v="1388422"/>
    <n v="1267520"/>
    <x v="1"/>
    <n v="0.08"/>
    <n v="101401.60000000001"/>
    <n v="0.89986940304553398"/>
    <n v="8477.5549450549443"/>
    <n v="0.64219893966170161"/>
  </r>
  <r>
    <s v="POPPY BANK"/>
    <s v="Santa Rosa"/>
    <x v="0"/>
    <n v="95404"/>
    <d v="2019-09-30T00:00:00"/>
    <x v="0"/>
    <n v="159"/>
    <n v="2347223"/>
    <n v="241053"/>
    <n v="2347223"/>
    <n v="2094904"/>
    <n v="1984817"/>
    <x v="1"/>
    <n v="0.08"/>
    <n v="158785.36000000002"/>
    <n v="0.89250318354924096"/>
    <n v="14762.408805031446"/>
    <n v="1.5181059513295179"/>
  </r>
  <r>
    <s v="POPPY BANK"/>
    <s v="Santa Rosa"/>
    <x v="0"/>
    <n v="95404"/>
    <d v="2020-09-30T00:00:00"/>
    <x v="1"/>
    <n v="146"/>
    <n v="3157255"/>
    <n v="492475"/>
    <n v="3157255"/>
    <n v="2908716"/>
    <n v="2788066"/>
    <x v="1"/>
    <n v="0.08"/>
    <n v="223045.28"/>
    <n v="0.92128003598062236"/>
    <n v="21625.034246575342"/>
    <n v="2.2079597470074237"/>
  </r>
  <r>
    <s v="POPPY BANK"/>
    <s v="Santa Rosa"/>
    <x v="0"/>
    <n v="95404"/>
    <d v="2021-09-30T00:00:00"/>
    <x v="2"/>
    <n v="173"/>
    <n v="3928568"/>
    <n v="426995"/>
    <n v="3928568"/>
    <n v="3618560"/>
    <n v="3502603"/>
    <x v="1"/>
    <n v="0.08"/>
    <n v="280208.24"/>
    <n v="0.92108880385931968"/>
    <n v="22708.485549132947"/>
    <n v="1.5238488347095003"/>
  </r>
  <r>
    <s v="POPULAR BANK"/>
    <s v="New York"/>
    <x v="2"/>
    <n v="10004"/>
    <d v="2019-09-30T00:00:00"/>
    <x v="0"/>
    <n v="727"/>
    <n v="10095163"/>
    <n v="648678"/>
    <n v="10095163"/>
    <n v="8288514"/>
    <n v="7638693"/>
    <x v="1"/>
    <n v="0.08"/>
    <n v="611095.44000000006"/>
    <n v="0.82103815460929164"/>
    <n v="13886.056396148555"/>
    <n v="1.0615003116370823"/>
  </r>
  <r>
    <s v="POPULAR BANK"/>
    <s v="New York"/>
    <x v="2"/>
    <n v="10004"/>
    <d v="2020-09-30T00:00:00"/>
    <x v="1"/>
    <n v="706"/>
    <n v="10220472"/>
    <n v="261764"/>
    <n v="10220472"/>
    <n v="8428957"/>
    <n v="7683168"/>
    <x v="1"/>
    <n v="0.08"/>
    <n v="614653.44000000006"/>
    <n v="0.82471308565788348"/>
    <n v="14476.589235127478"/>
    <n v="0.42587250467515481"/>
  </r>
  <r>
    <s v="POPULAR BANK"/>
    <s v="New York"/>
    <x v="2"/>
    <n v="10004"/>
    <d v="2021-09-30T00:00:00"/>
    <x v="2"/>
    <n v="622"/>
    <n v="10338113"/>
    <n v="879851"/>
    <n v="10338113"/>
    <n v="8441880"/>
    <n v="7844416"/>
    <x v="1"/>
    <n v="0.08"/>
    <n v="627553.28000000003"/>
    <n v="0.81657842200022379"/>
    <n v="16620.760450160771"/>
    <n v="1.4020339436358296"/>
  </r>
  <r>
    <s v="PRAIRIE COMMUNITY BANK"/>
    <s v="Marengo"/>
    <x v="1"/>
    <n v="60152"/>
    <d v="2019-09-30T00:00:00"/>
    <x v="0"/>
    <n v="27"/>
    <n v="125072"/>
    <n v="10955"/>
    <n v="125072"/>
    <n v="111800"/>
    <n v="109283"/>
    <x v="0"/>
    <n v="0.08"/>
    <n v="8742.64"/>
    <n v="0.89388512216963034"/>
    <n v="4632.2962962962965"/>
    <n v="1.2530539974195438"/>
  </r>
  <r>
    <s v="PRAIRIE COMMUNITY BANK"/>
    <s v="Marengo"/>
    <x v="1"/>
    <n v="60152"/>
    <d v="2020-09-30T00:00:00"/>
    <x v="1"/>
    <n v="32"/>
    <n v="157381"/>
    <n v="42374"/>
    <n v="157381"/>
    <n v="143896"/>
    <n v="135425"/>
    <x v="0"/>
    <n v="0.08"/>
    <n v="10834"/>
    <n v="0.91431621352005643"/>
    <n v="4918.15625"/>
    <n v="3.9112054642791212"/>
  </r>
  <r>
    <s v="PRAIRIE COMMUNITY BANK"/>
    <s v="Marengo"/>
    <x v="1"/>
    <n v="60152"/>
    <d v="2021-09-30T00:00:00"/>
    <x v="2"/>
    <n v="32"/>
    <n v="168498"/>
    <n v="33638"/>
    <n v="168498"/>
    <n v="155081"/>
    <n v="151649"/>
    <x v="0"/>
    <n v="0.08"/>
    <n v="12131.92"/>
    <n v="0.92037294211207255"/>
    <n v="5265.5625"/>
    <n v="2.7726856095325387"/>
  </r>
  <r>
    <s v="PRAIRIE STATE BANK AND TRUST"/>
    <s v="Springfield"/>
    <x v="1"/>
    <n v="62711"/>
    <d v="2019-09-30T00:00:00"/>
    <x v="0"/>
    <n v="150"/>
    <n v="692509"/>
    <n v="18074"/>
    <n v="692509"/>
    <n v="612091"/>
    <n v="601019"/>
    <x v="0"/>
    <n v="0.08"/>
    <n v="48081.520000000004"/>
    <n v="0.88387443340086558"/>
    <n v="4616.7266666666665"/>
    <n v="0.37590325763411803"/>
  </r>
  <r>
    <s v="PRAIRIE STATE BANK AND TRUST"/>
    <s v="Springfield"/>
    <x v="1"/>
    <n v="62711"/>
    <d v="2020-09-30T00:00:00"/>
    <x v="1"/>
    <n v="149"/>
    <n v="769859"/>
    <n v="84324"/>
    <n v="769859"/>
    <n v="688477"/>
    <n v="679328"/>
    <x v="0"/>
    <n v="0.08"/>
    <n v="54346.239999999998"/>
    <n v="0.89428973357458963"/>
    <n v="5166.8389261744969"/>
    <n v="1.5516068820952471"/>
  </r>
  <r>
    <s v="PRAIRIE STATE BANK AND TRUST"/>
    <s v="Springfield"/>
    <x v="1"/>
    <n v="62711"/>
    <d v="2021-09-30T00:00:00"/>
    <x v="2"/>
    <n v="148"/>
    <n v="834763"/>
    <n v="137189"/>
    <n v="834763"/>
    <n v="750062"/>
    <n v="738371"/>
    <x v="0"/>
    <n v="0.08"/>
    <n v="59069.68"/>
    <n v="0.8985328769962253"/>
    <n v="5640.2905405405409"/>
    <n v="2.3224943829050706"/>
  </r>
  <r>
    <s v="PREFERRED BANK"/>
    <s v="Los Angeles"/>
    <x v="0"/>
    <n v="90017"/>
    <d v="2019-09-30T00:00:00"/>
    <x v="0"/>
    <n v="282"/>
    <n v="4497081"/>
    <n v="409866"/>
    <n v="4497081"/>
    <n v="4038001"/>
    <n v="3869572"/>
    <x v="1"/>
    <n v="0.08"/>
    <n v="309565.76"/>
    <n v="0.89791600373664604"/>
    <n v="15947.095744680852"/>
    <n v="1.3240030163542635"/>
  </r>
  <r>
    <s v="PREFERRED BANK"/>
    <s v="Casey"/>
    <x v="1"/>
    <n v="62420"/>
    <d v="2019-09-30T00:00:00"/>
    <x v="0"/>
    <n v="17"/>
    <n v="58957"/>
    <n v="958"/>
    <n v="58957"/>
    <n v="53283"/>
    <n v="53260"/>
    <x v="2"/>
    <n v="0.09"/>
    <n v="4793.3999999999996"/>
    <n v="0.90376036772563051"/>
    <n v="3468.0588235294117"/>
    <n v="0.19985813827345936"/>
  </r>
  <r>
    <s v="PREFERRED BANK"/>
    <s v="Los Angeles"/>
    <x v="0"/>
    <n v="90017"/>
    <d v="2020-09-30T00:00:00"/>
    <x v="1"/>
    <n v="271"/>
    <n v="5087666"/>
    <n v="781346"/>
    <n v="5087666"/>
    <n v="4583798"/>
    <n v="4415502"/>
    <x v="1"/>
    <n v="0.08"/>
    <n v="353240.16000000003"/>
    <n v="0.90096283836242397"/>
    <n v="18773.675276752769"/>
    <n v="2.2119398881486179"/>
  </r>
  <r>
    <s v="PREFERRED BANK"/>
    <s v="Casey"/>
    <x v="1"/>
    <n v="62420"/>
    <d v="2020-09-30T00:00:00"/>
    <x v="1"/>
    <n v="15"/>
    <n v="66121"/>
    <n v="7426"/>
    <n v="66121"/>
    <n v="60140"/>
    <n v="56124"/>
    <x v="2"/>
    <n v="0.09"/>
    <n v="5051.16"/>
    <n v="0.90954462273710324"/>
    <n v="4408.0666666666666"/>
    <n v="1.4701573499948528"/>
  </r>
  <r>
    <s v="PREFERRED BANK"/>
    <s v="Los Angeles"/>
    <x v="0"/>
    <n v="90017"/>
    <d v="2021-09-30T00:00:00"/>
    <x v="2"/>
    <n v="277"/>
    <n v="5980905"/>
    <n v="1061094"/>
    <n v="5980905"/>
    <n v="5418884"/>
    <n v="5196180"/>
    <x v="1"/>
    <n v="0.08"/>
    <n v="415694.4"/>
    <n v="0.90603077627884077"/>
    <n v="21591.714801444043"/>
    <n v="2.5525818967010379"/>
  </r>
  <r>
    <s v="PREFERRED BANK"/>
    <s v="Casey"/>
    <x v="1"/>
    <n v="62420"/>
    <d v="2021-09-30T00:00:00"/>
    <x v="2"/>
    <n v="12"/>
    <n v="66129"/>
    <n v="5235"/>
    <n v="66129"/>
    <n v="60184"/>
    <n v="60173"/>
    <x v="2"/>
    <n v="0.09"/>
    <n v="5415.57"/>
    <n v="0.91009995614632011"/>
    <n v="5510.75"/>
    <n v="0.96665724937541209"/>
  </r>
  <r>
    <s v="PREMIER VALLEY BANK"/>
    <s v="Fresno"/>
    <x v="0"/>
    <n v="93720"/>
    <d v="2019-09-30T00:00:00"/>
    <x v="0"/>
    <n v="85"/>
    <n v="888401"/>
    <n v="26218"/>
    <n v="888401"/>
    <n v="743703"/>
    <n v="719141"/>
    <x v="0"/>
    <n v="0.09"/>
    <n v="64722.689999999995"/>
    <n v="0.83712535217767647"/>
    <n v="10451.776470588235"/>
    <n v="0.40508205082328935"/>
  </r>
  <r>
    <s v="PREMIER VALLEY BANK"/>
    <s v="Fresno"/>
    <x v="0"/>
    <n v="93720"/>
    <d v="2020-09-30T00:00:00"/>
    <x v="1"/>
    <n v="69"/>
    <n v="1042436"/>
    <n v="19261"/>
    <n v="1042436"/>
    <n v="900275"/>
    <n v="855913"/>
    <x v="1"/>
    <n v="0.08"/>
    <n v="68473.040000000008"/>
    <n v="0.86362616026307615"/>
    <n v="15107.768115942028"/>
    <n v="0.28129319218191567"/>
  </r>
  <r>
    <s v="PREMIER VALLEY BANK"/>
    <s v="Fresno"/>
    <x v="0"/>
    <n v="93720"/>
    <d v="2021-09-30T00:00:00"/>
    <x v="2"/>
    <n v="61"/>
    <n v="1206506"/>
    <n v="15647"/>
    <n v="1206506"/>
    <n v="1054479"/>
    <n v="988579"/>
    <x v="1"/>
    <n v="0.08"/>
    <n v="79086.320000000007"/>
    <n v="0.87399399588563997"/>
    <n v="19778.786885245903"/>
    <n v="0.19784711186460566"/>
  </r>
  <r>
    <s v="PRESIDIO BANK"/>
    <s v="San Francisco"/>
    <x v="0"/>
    <n v="94111"/>
    <d v="2019-09-30T00:00:00"/>
    <x v="0"/>
    <n v="56"/>
    <n v="877412"/>
    <n v="98942"/>
    <n v="877412"/>
    <n v="777981"/>
    <n v="754494"/>
    <x v="0"/>
    <n v="0.09"/>
    <n v="67904.459999999992"/>
    <n v="0.88667695449800099"/>
    <n v="15668.071428571429"/>
    <n v="1.4570766043938794"/>
  </r>
  <r>
    <s v="PRINCEVILLE STATE BANK"/>
    <s v="Princeville"/>
    <x v="1"/>
    <n v="61559"/>
    <d v="2019-09-30T00:00:00"/>
    <x v="0"/>
    <n v="16"/>
    <n v="86296"/>
    <n v="8030"/>
    <n v="86296"/>
    <n v="78011"/>
    <n v="72509"/>
    <x v="2"/>
    <n v="0.09"/>
    <n v="6525.8099999999995"/>
    <n v="0.90399323259479003"/>
    <n v="5393.5"/>
    <n v="1.2304985894471339"/>
  </r>
  <r>
    <s v="PRINCEVILLE STATE BANK"/>
    <s v="Princeville"/>
    <x v="1"/>
    <n v="61559"/>
    <d v="2020-09-30T00:00:00"/>
    <x v="1"/>
    <n v="16"/>
    <n v="111885"/>
    <n v="11641"/>
    <n v="111885"/>
    <n v="102104"/>
    <n v="81805"/>
    <x v="0"/>
    <n v="0.08"/>
    <n v="6544.4000000000005"/>
    <n v="0.91257988112794386"/>
    <n v="6992.8125"/>
    <n v="1.7787726911557973"/>
  </r>
  <r>
    <s v="PRINCEVILLE STATE BANK"/>
    <s v="Princeville"/>
    <x v="1"/>
    <n v="61559"/>
    <d v="2021-09-30T00:00:00"/>
    <x v="2"/>
    <n v="16"/>
    <n v="121063"/>
    <n v="13387"/>
    <n v="121063"/>
    <n v="110536"/>
    <n v="96963"/>
    <x v="0"/>
    <n v="0.08"/>
    <n v="7757.04"/>
    <n v="0.91304527394827484"/>
    <n v="7566.4375"/>
    <n v="1.7257871559254561"/>
  </r>
  <r>
    <s v="PROSPECT BANK"/>
    <s v="Paris"/>
    <x v="1"/>
    <n v="61944"/>
    <d v="2019-09-30T00:00:00"/>
    <x v="0"/>
    <n v="85"/>
    <n v="545721"/>
    <n v="19599"/>
    <n v="545721"/>
    <n v="493487"/>
    <n v="455975"/>
    <x v="0"/>
    <n v="0.08"/>
    <n v="36478"/>
    <n v="0.90428442372567663"/>
    <n v="6420.2470588235292"/>
    <n v="0.53728274576457047"/>
  </r>
  <r>
    <s v="PROSPECT BANK"/>
    <s v="Paris"/>
    <x v="1"/>
    <n v="61944"/>
    <d v="2020-09-30T00:00:00"/>
    <x v="1"/>
    <n v="86"/>
    <n v="626872"/>
    <n v="9832"/>
    <n v="626872"/>
    <n v="569396"/>
    <n v="527404"/>
    <x v="0"/>
    <n v="0.08"/>
    <n v="42192.32"/>
    <n v="0.90831302083998011"/>
    <n v="7289.2093023255811"/>
    <n v="0.23302819091246937"/>
  </r>
  <r>
    <s v="PROSPECT BANK"/>
    <s v="Paris"/>
    <x v="1"/>
    <n v="61944"/>
    <d v="2021-09-30T00:00:00"/>
    <x v="2"/>
    <n v="88"/>
    <n v="684011"/>
    <n v="6333"/>
    <n v="684011"/>
    <n v="626091"/>
    <n v="565144"/>
    <x v="0"/>
    <n v="0.08"/>
    <n v="45211.520000000004"/>
    <n v="0.91532299919153348"/>
    <n v="7772.852272727273"/>
    <n v="0.14007491895870786"/>
  </r>
  <r>
    <s v="PROVIDENCE BANK &amp; TRUST"/>
    <s v="South Holland"/>
    <x v="1"/>
    <n v="60473"/>
    <d v="2019-09-30T00:00:00"/>
    <x v="0"/>
    <n v="192"/>
    <n v="1035130"/>
    <n v="90407"/>
    <n v="1035130"/>
    <n v="907197"/>
    <n v="886326"/>
    <x v="1"/>
    <n v="7.4999999999999997E-2"/>
    <n v="66474.45"/>
    <n v="0.87640876025233549"/>
    <n v="5391.302083333333"/>
    <n v="1.3600262958174156"/>
  </r>
  <r>
    <s v="PROVIDENCE BANK &amp; TRUST"/>
    <s v="South Holland"/>
    <x v="1"/>
    <n v="60473"/>
    <d v="2020-09-30T00:00:00"/>
    <x v="1"/>
    <n v="189"/>
    <n v="1199517"/>
    <n v="84215"/>
    <n v="1199517"/>
    <n v="1064383"/>
    <n v="1039756"/>
    <x v="1"/>
    <n v="7.4999999999999997E-2"/>
    <n v="77981.7"/>
    <n v="0.8873429888863601"/>
    <n v="6346.6507936507933"/>
    <n v="1.0799328560418662"/>
  </r>
  <r>
    <s v="PROVIDENCE BANK &amp; TRUST"/>
    <s v="South Holland"/>
    <x v="1"/>
    <n v="60473"/>
    <d v="2021-09-30T00:00:00"/>
    <x v="2"/>
    <n v="188"/>
    <n v="1330720"/>
    <n v="81044"/>
    <n v="1330720"/>
    <n v="1184469"/>
    <n v="1165552"/>
    <x v="1"/>
    <n v="7.4999999999999997E-2"/>
    <n v="87416.4"/>
    <n v="0.89009633882409522"/>
    <n v="7078.2978723404258"/>
    <n v="0.92710292347888956"/>
  </r>
  <r>
    <s v="PROVIDENT SAVINGS BANK, F.S.B."/>
    <s v="Riverside"/>
    <x v="0"/>
    <n v="92506"/>
    <d v="2019-09-30T00:00:00"/>
    <x v="0"/>
    <n v="188"/>
    <n v="1105270"/>
    <n v="55317"/>
    <n v="1105270"/>
    <n v="994560"/>
    <n v="848997"/>
    <x v="1"/>
    <n v="0.08"/>
    <n v="67919.759999999995"/>
    <n v="0.89983442959638826"/>
    <n v="5879.0957446808507"/>
    <n v="0.81444634079979084"/>
  </r>
  <r>
    <s v="PROVIDENT SAVINGS BANK, F.S.B."/>
    <s v="Riverside"/>
    <x v="0"/>
    <n v="92506"/>
    <d v="2020-09-30T00:00:00"/>
    <x v="1"/>
    <n v="163"/>
    <n v="1184018"/>
    <n v="67068"/>
    <n v="1184018"/>
    <n v="1069970"/>
    <n v="920683"/>
    <x v="1"/>
    <n v="0.08"/>
    <n v="73654.64"/>
    <n v="0.9036771400434791"/>
    <n v="7263.9141104294476"/>
    <n v="0.91057399778208137"/>
  </r>
  <r>
    <s v="PROVIDENT SAVINGS BANK, F.S.B."/>
    <s v="Riverside"/>
    <x v="0"/>
    <n v="92506"/>
    <d v="2021-09-30T00:00:00"/>
    <x v="2"/>
    <n v="164"/>
    <n v="1192261"/>
    <n v="89053"/>
    <n v="1192261"/>
    <n v="1074963"/>
    <n v="972342"/>
    <x v="1"/>
    <n v="0.08"/>
    <n v="77787.360000000001"/>
    <n v="0.90161717945986664"/>
    <n v="7269.8841463414637"/>
    <n v="1.1448261002815883"/>
  </r>
  <r>
    <s v="PULASKI SAVINGS BANK"/>
    <s v="Chicago"/>
    <x v="1"/>
    <n v="60608"/>
    <d v="2019-09-30T00:00:00"/>
    <x v="0"/>
    <n v="8"/>
    <n v="48960"/>
    <n v="2619"/>
    <n v="48960"/>
    <n v="45540"/>
    <n v="38478"/>
    <x v="2"/>
    <n v="0.09"/>
    <n v="3463.02"/>
    <n v="0.93014705882352944"/>
    <n v="6120"/>
    <n v="0.75627631373772031"/>
  </r>
  <r>
    <s v="PULASKI SAVINGS BANK"/>
    <s v="Chicago"/>
    <x v="1"/>
    <n v="60608"/>
    <d v="2020-09-30T00:00:00"/>
    <x v="1"/>
    <n v="8"/>
    <n v="48528"/>
    <n v="5292"/>
    <n v="48528"/>
    <n v="44962"/>
    <n v="39544"/>
    <x v="2"/>
    <n v="0.09"/>
    <n v="3558.96"/>
    <n v="0.92651665018133866"/>
    <n v="6066"/>
    <n v="1.4869512441836941"/>
  </r>
  <r>
    <s v="PULASKI SAVINGS BANK"/>
    <s v="Chicago"/>
    <x v="1"/>
    <n v="60608"/>
    <d v="2021-09-30T00:00:00"/>
    <x v="2"/>
    <n v="7"/>
    <n v="50177"/>
    <n v="5358"/>
    <n v="50177"/>
    <n v="45520"/>
    <n v="43589"/>
    <x v="2"/>
    <n v="0.09"/>
    <n v="3923.0099999999998"/>
    <n v="0.90718855252406483"/>
    <n v="7168.1428571428569"/>
    <n v="1.3657880046189024"/>
  </r>
  <r>
    <s v="QUONTIC BANK"/>
    <s v="New York"/>
    <x v="2"/>
    <n v="10020"/>
    <d v="2019-09-30T00:00:00"/>
    <x v="0"/>
    <n v="146"/>
    <n v="392656"/>
    <n v="88973"/>
    <n v="392656"/>
    <n v="352595"/>
    <n v="316017"/>
    <x v="0"/>
    <n v="8.5000000000000006E-2"/>
    <n v="26861.445000000003"/>
    <n v="0.89797430830039526"/>
    <n v="2689.4246575342468"/>
    <n v="3.3122938844131427"/>
  </r>
  <r>
    <s v="QUONTIC BANK"/>
    <s v="New York"/>
    <x v="2"/>
    <n v="10020"/>
    <d v="2020-09-30T00:00:00"/>
    <x v="1"/>
    <n v="160"/>
    <n v="1380124"/>
    <n v="117659"/>
    <n v="1380124"/>
    <n v="1328966"/>
    <n v="424649"/>
    <x v="1"/>
    <n v="0.08"/>
    <n v="33971.919999999998"/>
    <n v="0.96293231622665787"/>
    <n v="8625.7749999999996"/>
    <n v="3.4634192003278002"/>
  </r>
  <r>
    <s v="QUONTIC BANK"/>
    <s v="New York"/>
    <x v="2"/>
    <n v="10020"/>
    <d v="2021-09-30T00:00:00"/>
    <x v="2"/>
    <n v="308"/>
    <n v="1048828"/>
    <n v="164050"/>
    <n v="1048828"/>
    <n v="955831"/>
    <n v="557317"/>
    <x v="1"/>
    <n v="0.08"/>
    <n v="44585.36"/>
    <n v="0.91133245870628932"/>
    <n v="3405.2857142857142"/>
    <n v="3.6794589075876027"/>
  </r>
  <r>
    <s v="RADIUS BANK"/>
    <s v="Boston"/>
    <x v="3"/>
    <n v="2210"/>
    <d v="2019-09-30T00:00:00"/>
    <x v="0"/>
    <n v="148"/>
    <n v="1356036"/>
    <n v="74594"/>
    <n v="1356036"/>
    <n v="1229777"/>
    <n v="1193688"/>
    <x v="1"/>
    <n v="0.08"/>
    <n v="95495.040000000008"/>
    <n v="0.90689111498514785"/>
    <n v="9162.405405405405"/>
    <n v="0.78112957489729307"/>
  </r>
  <r>
    <s v="RADIUS BANK"/>
    <s v="Boston"/>
    <x v="3"/>
    <n v="2210"/>
    <d v="2020-09-30T00:00:00"/>
    <x v="1"/>
    <n v="166"/>
    <n v="2186558"/>
    <n v="79319"/>
    <n v="2186558"/>
    <n v="2056281"/>
    <n v="1431046"/>
    <x v="1"/>
    <n v="0.08"/>
    <n v="114483.68000000001"/>
    <n v="0.94041914278057115"/>
    <n v="13172.036144578313"/>
    <n v="0.69284111062816989"/>
  </r>
  <r>
    <s v="RARITAN STATE BANK"/>
    <s v="Raritan"/>
    <x v="1"/>
    <n v="61471"/>
    <d v="2019-09-30T00:00:00"/>
    <x v="0"/>
    <n v="32"/>
    <n v="182237"/>
    <n v="5925"/>
    <n v="182237"/>
    <n v="160926"/>
    <n v="159898"/>
    <x v="0"/>
    <n v="0.08"/>
    <n v="12791.84"/>
    <n v="0.88305887388400817"/>
    <n v="5694.90625"/>
    <n v="0.46318590601508464"/>
  </r>
  <r>
    <s v="RARITAN STATE BANK"/>
    <s v="Raritan"/>
    <x v="1"/>
    <n v="61471"/>
    <d v="2020-09-30T00:00:00"/>
    <x v="1"/>
    <n v="30"/>
    <n v="199062"/>
    <n v="5383"/>
    <n v="199062"/>
    <n v="176399"/>
    <n v="175573"/>
    <x v="0"/>
    <n v="0.08"/>
    <n v="14045.84"/>
    <n v="0.88615104841707604"/>
    <n v="6635.4"/>
    <n v="0.38324514589373082"/>
  </r>
  <r>
    <s v="RARITAN STATE BANK"/>
    <s v="Raritan"/>
    <x v="1"/>
    <n v="61471"/>
    <d v="2021-09-30T00:00:00"/>
    <x v="2"/>
    <n v="33"/>
    <n v="224709"/>
    <n v="7585"/>
    <n v="224709"/>
    <n v="201330"/>
    <n v="200711"/>
    <x v="0"/>
    <n v="0.08"/>
    <n v="16056.880000000001"/>
    <n v="0.89595877334686191"/>
    <n v="6809.363636363636"/>
    <n v="0.47238317780291061"/>
  </r>
  <r>
    <s v="READING CO-OPERATIVE BANK"/>
    <s v="Reading"/>
    <x v="3"/>
    <n v="1867"/>
    <d v="2019-09-30T00:00:00"/>
    <x v="0"/>
    <n v="78"/>
    <n v="591492"/>
    <n v="10155"/>
    <n v="591492"/>
    <n v="537650"/>
    <n v="477958"/>
    <x v="0"/>
    <n v="8.5000000000000006E-2"/>
    <n v="40626.43"/>
    <n v="0.90897256429503692"/>
    <n v="7583.2307692307695"/>
    <n v="0.24996043216201866"/>
  </r>
  <r>
    <s v="READING CO-OPERATIVE BANK"/>
    <s v="Reading"/>
    <x v="3"/>
    <n v="1867"/>
    <d v="2020-09-30T00:00:00"/>
    <x v="1"/>
    <n v="76"/>
    <n v="630668"/>
    <n v="9169"/>
    <n v="630668"/>
    <n v="572646"/>
    <n v="526460"/>
    <x v="0"/>
    <n v="8.5000000000000006E-2"/>
    <n v="44749.100000000006"/>
    <n v="0.90799913742254246"/>
    <n v="8298.2631578947367"/>
    <n v="0.20489797560174391"/>
  </r>
  <r>
    <s v="READING CO-OPERATIVE BANK"/>
    <s v="Reading"/>
    <x v="3"/>
    <n v="1867"/>
    <d v="2021-09-30T00:00:00"/>
    <x v="2"/>
    <n v="83"/>
    <n v="661678"/>
    <n v="5953"/>
    <n v="661678"/>
    <n v="600270"/>
    <n v="578781"/>
    <x v="0"/>
    <n v="8.5000000000000006E-2"/>
    <n v="49196.385000000002"/>
    <n v="0.90719352917884533"/>
    <n v="7972.0240963855422"/>
    <n v="0.12100482586271329"/>
  </r>
  <r>
    <s v="REDWOOD CAPITAL BANK"/>
    <s v="Eureka"/>
    <x v="0"/>
    <n v="95501"/>
    <d v="2019-09-30T00:00:00"/>
    <x v="0"/>
    <n v="72"/>
    <n v="374869"/>
    <n v="22118"/>
    <n v="374869"/>
    <n v="340743"/>
    <n v="338344"/>
    <x v="0"/>
    <n v="0.09"/>
    <n v="30450.959999999999"/>
    <n v="0.90896553195916441"/>
    <n v="5206.5138888888887"/>
    <n v="0.72634820051650262"/>
  </r>
  <r>
    <s v="REDWOOD CAPITAL BANK"/>
    <s v="Eureka"/>
    <x v="0"/>
    <n v="95501"/>
    <d v="2020-09-30T00:00:00"/>
    <x v="1"/>
    <n v="70"/>
    <n v="492194"/>
    <n v="56740"/>
    <n v="492194"/>
    <n v="451171"/>
    <n v="448236"/>
    <x v="0"/>
    <n v="0.09"/>
    <n v="40341.24"/>
    <n v="0.91665278325213229"/>
    <n v="7031.3428571428567"/>
    <n v="1.406501138785025"/>
  </r>
  <r>
    <s v="REDWOOD CAPITAL BANK"/>
    <s v="Eureka"/>
    <x v="0"/>
    <n v="95501"/>
    <d v="2021-09-30T00:00:00"/>
    <x v="2"/>
    <n v="76"/>
    <n v="589935"/>
    <n v="106161"/>
    <n v="589935"/>
    <n v="540608"/>
    <n v="537410"/>
    <x v="0"/>
    <n v="0.09"/>
    <n v="48366.9"/>
    <n v="0.91638570350970872"/>
    <n v="7762.3026315789475"/>
    <n v="2.194910155498905"/>
  </r>
  <r>
    <s v="REPUBLIC BANK OF CHICAGO"/>
    <s v="Oak Brook"/>
    <x v="1"/>
    <n v="60523"/>
    <d v="2019-09-30T00:00:00"/>
    <x v="0"/>
    <n v="271"/>
    <n v="2027559"/>
    <n v="191430"/>
    <n v="2027559"/>
    <n v="1810096"/>
    <n v="1689313"/>
    <x v="1"/>
    <n v="7.4999999999999997E-2"/>
    <n v="126698.47499999999"/>
    <n v="0.89274640096786329"/>
    <n v="7481.7675276752771"/>
    <n v="1.5109100563365108"/>
  </r>
  <r>
    <s v="REPUBLIC BANK OF CHICAGO"/>
    <s v="Oak Brook"/>
    <x v="1"/>
    <n v="60523"/>
    <d v="2020-09-30T00:00:00"/>
    <x v="1"/>
    <n v="268"/>
    <n v="2267629"/>
    <n v="342533"/>
    <n v="2267629"/>
    <n v="2034913"/>
    <n v="1890355"/>
    <x v="1"/>
    <n v="7.4999999999999997E-2"/>
    <n v="141776.625"/>
    <n v="0.89737474692729724"/>
    <n v="8461.3022388059708"/>
    <n v="2.4160047539571492"/>
  </r>
  <r>
    <s v="REPUBLIC BANK OF CHICAGO"/>
    <s v="Oak Brook"/>
    <x v="1"/>
    <n v="60523"/>
    <d v="2021-09-30T00:00:00"/>
    <x v="2"/>
    <n v="259"/>
    <n v="2526150"/>
    <n v="528474"/>
    <n v="2526150"/>
    <n v="2265369"/>
    <n v="2130379"/>
    <x v="1"/>
    <n v="7.4999999999999997E-2"/>
    <n v="159778.42499999999"/>
    <n v="0.89676741286146899"/>
    <n v="9753.4749034749038"/>
    <n v="3.3075429301546815"/>
  </r>
  <r>
    <s v="RESOURCE BANK, NATIONAL ASSOCIATION"/>
    <s v="Dekalb"/>
    <x v="1"/>
    <n v="60115"/>
    <d v="2019-09-30T00:00:00"/>
    <x v="0"/>
    <n v="159"/>
    <n v="526851"/>
    <n v="42243"/>
    <n v="526851"/>
    <n v="476816"/>
    <n v="474884"/>
    <x v="0"/>
    <n v="0.08"/>
    <n v="37990.720000000001"/>
    <n v="0.90503007491681708"/>
    <n v="3313.5283018867926"/>
    <n v="1.1119294396105153"/>
  </r>
  <r>
    <s v="RESOURCE BANK, NATIONAL ASSOCIATION"/>
    <s v="Dekalb"/>
    <x v="1"/>
    <n v="60115"/>
    <d v="2020-09-30T00:00:00"/>
    <x v="1"/>
    <n v="159"/>
    <n v="624607"/>
    <n v="49678"/>
    <n v="624607"/>
    <n v="568433"/>
    <n v="566413"/>
    <x v="0"/>
    <n v="0.08"/>
    <n v="45313.04"/>
    <n v="0.91006504890275008"/>
    <n v="3928.3459119496856"/>
    <n v="1.0963290037481483"/>
  </r>
  <r>
    <s v="RESOURCE BANK, NATIONAL ASSOCIATION"/>
    <s v="Dekalb"/>
    <x v="1"/>
    <n v="60115"/>
    <d v="2021-09-30T00:00:00"/>
    <x v="2"/>
    <n v="160"/>
    <n v="729347"/>
    <n v="74193"/>
    <n v="729347"/>
    <n v="669384"/>
    <n v="666903"/>
    <x v="0"/>
    <n v="0.08"/>
    <n v="53352.24"/>
    <n v="0.91778536142604272"/>
    <n v="4558.4187499999998"/>
    <n v="1.3906257731634135"/>
  </r>
  <r>
    <s v="REYNOLDS STATE BANK"/>
    <s v="Reynolds"/>
    <x v="1"/>
    <n v="61279"/>
    <d v="2019-09-30T00:00:00"/>
    <x v="0"/>
    <n v="6"/>
    <n v="106715"/>
    <n v="15353"/>
    <n v="106715"/>
    <n v="80246"/>
    <n v="79619"/>
    <x v="0"/>
    <n v="0.08"/>
    <n v="6369.52"/>
    <n v="0.75196551562573211"/>
    <n v="17785.833333333332"/>
    <n v="2.4103857119531766"/>
  </r>
  <r>
    <s v="REYNOLDS STATE BANK"/>
    <s v="Reynolds"/>
    <x v="1"/>
    <n v="61279"/>
    <d v="2020-09-30T00:00:00"/>
    <x v="1"/>
    <n v="5"/>
    <n v="107678"/>
    <n v="31129"/>
    <n v="107678"/>
    <n v="85697"/>
    <n v="84911"/>
    <x v="0"/>
    <n v="0.08"/>
    <n v="6792.88"/>
    <n v="0.79586359330596779"/>
    <n v="21535.599999999999"/>
    <n v="4.5825923614137158"/>
  </r>
  <r>
    <s v="RHINEBECK BANK"/>
    <s v="Rhinebeck"/>
    <x v="2"/>
    <n v="12572"/>
    <d v="2019-09-30T00:00:00"/>
    <x v="0"/>
    <n v="164"/>
    <n v="945872"/>
    <n v="18357"/>
    <n v="945872"/>
    <n v="845947"/>
    <n v="788638"/>
    <x v="0"/>
    <n v="8.5000000000000006E-2"/>
    <n v="67034.23000000001"/>
    <n v="0.89435674171558099"/>
    <n v="5767.5121951219517"/>
    <n v="0.27384516835652467"/>
  </r>
  <r>
    <s v="RHINEBECK BANK"/>
    <s v="Rhinebeck"/>
    <x v="2"/>
    <n v="12572"/>
    <d v="2020-09-30T00:00:00"/>
    <x v="1"/>
    <n v="166"/>
    <n v="1112403"/>
    <n v="51580"/>
    <n v="1112403"/>
    <n v="1005043"/>
    <n v="934259"/>
    <x v="1"/>
    <n v="0.08"/>
    <n v="74740.72"/>
    <n v="0.90348821425328774"/>
    <n v="6701.2228915662654"/>
    <n v="0.69011912114306628"/>
  </r>
  <r>
    <s v="RHINEBECK BANK"/>
    <s v="Rhinebeck"/>
    <x v="2"/>
    <n v="12572"/>
    <d v="2021-09-30T00:00:00"/>
    <x v="2"/>
    <n v="199"/>
    <n v="1262594"/>
    <n v="114586"/>
    <n v="1262594"/>
    <n v="1145631"/>
    <n v="1105016"/>
    <x v="1"/>
    <n v="0.08"/>
    <n v="88401.279999999999"/>
    <n v="0.9073629369377646"/>
    <n v="6344.6934673366832"/>
    <n v="1.2962029509074982"/>
  </r>
  <r>
    <s v="RIDGEWOOD SAVINGS BANK"/>
    <s v="Ridgewood"/>
    <x v="2"/>
    <n v="11385"/>
    <d v="2019-09-30T00:00:00"/>
    <x v="0"/>
    <n v="574"/>
    <n v="5737288"/>
    <n v="238728"/>
    <n v="5737288"/>
    <n v="4962810"/>
    <n v="4450614"/>
    <x v="1"/>
    <n v="0.08"/>
    <n v="356049.12"/>
    <n v="0.86500973979343554"/>
    <n v="9995.2752613240409"/>
    <n v="0.67049175686770413"/>
  </r>
  <r>
    <s v="RIDGEWOOD SAVINGS BANK"/>
    <s v="Ridgewood"/>
    <x v="2"/>
    <n v="11385"/>
    <d v="2020-09-30T00:00:00"/>
    <x v="1"/>
    <n v="543"/>
    <n v="6256834"/>
    <n v="179064"/>
    <n v="6256834"/>
    <n v="5445802"/>
    <n v="4920693"/>
    <x v="1"/>
    <n v="0.08"/>
    <n v="393655.44"/>
    <n v="0.87037661539366395"/>
    <n v="11522.714548802947"/>
    <n v="0.45487495358885427"/>
  </r>
  <r>
    <s v="RIDGEWOOD SAVINGS BANK"/>
    <s v="Ridgewood"/>
    <x v="2"/>
    <n v="11385"/>
    <d v="2021-09-30T00:00:00"/>
    <x v="2"/>
    <n v="512"/>
    <n v="6704553"/>
    <n v="375651"/>
    <n v="6704553"/>
    <n v="5865377"/>
    <n v="5356971"/>
    <x v="1"/>
    <n v="0.08"/>
    <n v="428557.68"/>
    <n v="0.87483490696546062"/>
    <n v="13094.830078125"/>
    <n v="0.87654711963159782"/>
  </r>
  <r>
    <s v="RIVER CITY BANK"/>
    <s v="Sacramento"/>
    <x v="0"/>
    <n v="95833"/>
    <d v="2019-09-30T00:00:00"/>
    <x v="0"/>
    <n v="141"/>
    <n v="2460749"/>
    <n v="67601"/>
    <n v="2460749"/>
    <n v="2229717"/>
    <n v="2037744"/>
    <x v="1"/>
    <n v="0.08"/>
    <n v="163019.51999999999"/>
    <n v="0.90611313872320987"/>
    <n v="17452.120567375885"/>
    <n v="0.41468040146357937"/>
  </r>
  <r>
    <s v="RIVER CITY BANK"/>
    <s v="Sacramento"/>
    <x v="0"/>
    <n v="95833"/>
    <d v="2020-09-30T00:00:00"/>
    <x v="1"/>
    <n v="135"/>
    <n v="3147300"/>
    <n v="167005"/>
    <n v="3147300"/>
    <n v="2887069"/>
    <n v="2836260"/>
    <x v="1"/>
    <n v="0.08"/>
    <n v="226900.80000000002"/>
    <n v="0.91731611222317544"/>
    <n v="23313.333333333332"/>
    <n v="0.73602649263466668"/>
  </r>
  <r>
    <s v="RIVER CITY BANK"/>
    <s v="Sacramento"/>
    <x v="0"/>
    <n v="95833"/>
    <d v="2021-09-30T00:00:00"/>
    <x v="2"/>
    <n v="126"/>
    <n v="3563336"/>
    <n v="265575"/>
    <n v="3563336"/>
    <n v="3262792"/>
    <n v="3236533"/>
    <x v="1"/>
    <n v="0.08"/>
    <n v="258922.64"/>
    <n v="0.91565656452268329"/>
    <n v="28280.444444444445"/>
    <n v="1.0256924616557284"/>
  </r>
  <r>
    <s v="RIVER VALLEY COMMUNITY BANK"/>
    <s v="Yuba City"/>
    <x v="0"/>
    <n v="95993"/>
    <d v="2019-09-30T00:00:00"/>
    <x v="0"/>
    <n v="52"/>
    <n v="419262"/>
    <n v="43957"/>
    <n v="419262"/>
    <n v="381557"/>
    <n v="314381"/>
    <x v="0"/>
    <n v="0.09"/>
    <n v="28294.289999999997"/>
    <n v="0.91006816739890573"/>
    <n v="8062.7307692307695"/>
    <n v="1.5535643410737645"/>
  </r>
  <r>
    <s v="RIVER VALLEY COMMUNITY BANK"/>
    <s v="Yuba City"/>
    <x v="0"/>
    <n v="95993"/>
    <d v="2020-09-30T00:00:00"/>
    <x v="1"/>
    <n v="51"/>
    <n v="531019"/>
    <n v="69770"/>
    <n v="531019"/>
    <n v="485702"/>
    <n v="401143"/>
    <x v="0"/>
    <n v="0.09"/>
    <n v="36102.869999999995"/>
    <n v="0.91466030405691701"/>
    <n v="10412.137254901962"/>
    <n v="1.9325333415321277"/>
  </r>
  <r>
    <s v="RIVER VALLEY COMMUNITY BANK"/>
    <s v="Yuba City"/>
    <x v="0"/>
    <n v="95993"/>
    <d v="2021-09-30T00:00:00"/>
    <x v="2"/>
    <n v="54"/>
    <n v="527556"/>
    <n v="69156"/>
    <n v="527556"/>
    <n v="479391"/>
    <n v="475761"/>
    <x v="0"/>
    <n v="0.09"/>
    <n v="42818.49"/>
    <n v="0.90870163546618743"/>
    <n v="9769.5555555555547"/>
    <n v="1.6150966556737523"/>
  </r>
  <r>
    <s v="ROCHESTER STATE BANK"/>
    <s v="Rochester"/>
    <x v="1"/>
    <n v="62563"/>
    <d v="2019-09-30T00:00:00"/>
    <x v="0"/>
    <n v="13"/>
    <n v="95110"/>
    <n v="6457"/>
    <n v="95110"/>
    <n v="84021"/>
    <n v="83890"/>
    <x v="2"/>
    <n v="0.09"/>
    <n v="7550.0999999999995"/>
    <n v="0.88340868468089584"/>
    <n v="7316.1538461538457"/>
    <n v="0.85522046065615032"/>
  </r>
  <r>
    <s v="ROCHESTER STATE BANK"/>
    <s v="Rochester"/>
    <x v="1"/>
    <n v="62563"/>
    <d v="2020-09-30T00:00:00"/>
    <x v="1"/>
    <n v="12"/>
    <n v="108795"/>
    <n v="10991"/>
    <n v="108795"/>
    <n v="94632"/>
    <n v="94484"/>
    <x v="0"/>
    <n v="0.08"/>
    <n v="7558.72"/>
    <n v="0.86981938508203505"/>
    <n v="9066.25"/>
    <n v="1.4540821726429871"/>
  </r>
  <r>
    <s v="ROCKFORD BANK AND TRUST COMPANY"/>
    <s v="Rockford"/>
    <x v="1"/>
    <n v="61107"/>
    <d v="2019-09-30T00:00:00"/>
    <x v="0"/>
    <n v="70"/>
    <n v="519461"/>
    <n v="13722"/>
    <n v="519461"/>
    <n v="473278"/>
    <n v="451514"/>
    <x v="0"/>
    <n v="0.08"/>
    <n v="36121.120000000003"/>
    <n v="0.9110943843714927"/>
    <n v="7420.8714285714286"/>
    <n v="0.37988855273590627"/>
  </r>
  <r>
    <s v="ROCKLAND TRUST COMPANY"/>
    <s v="Rockland"/>
    <x v="3"/>
    <n v="2370"/>
    <d v="2019-09-30T00:00:00"/>
    <x v="0"/>
    <n v="1340"/>
    <n v="11540305"/>
    <n v="219438"/>
    <n v="11540305"/>
    <n v="9749966"/>
    <n v="9422739"/>
    <x v="1"/>
    <n v="0.08"/>
    <n v="753819.12"/>
    <n v="0.84486207253621115"/>
    <n v="8612.1679104477607"/>
    <n v="0.2911016637519091"/>
  </r>
  <r>
    <s v="ROCKLAND TRUST COMPANY"/>
    <s v="Rockland"/>
    <x v="3"/>
    <n v="2370"/>
    <d v="2020-09-30T00:00:00"/>
    <x v="1"/>
    <n v="1375"/>
    <n v="13161845"/>
    <n v="1268519"/>
    <n v="13161845"/>
    <n v="11434419"/>
    <n v="10953447"/>
    <x v="1"/>
    <n v="0.08"/>
    <n v="876275.76"/>
    <n v="0.86875502636598445"/>
    <n v="9572.2509090909098"/>
    <n v="1.4476253457016772"/>
  </r>
  <r>
    <s v="ROCKLAND TRUST COMPANY"/>
    <s v="Rockland"/>
    <x v="3"/>
    <n v="2370"/>
    <d v="2021-09-30T00:00:00"/>
    <x v="2"/>
    <n v="1335"/>
    <n v="14535939"/>
    <n v="2007960"/>
    <n v="14535939"/>
    <n v="12712363"/>
    <n v="12336518"/>
    <x v="1"/>
    <n v="0.08"/>
    <n v="986921.44000000006"/>
    <n v="0.87454707948347887"/>
    <n v="10888.34382022472"/>
    <n v="2.0345692358248897"/>
  </r>
  <r>
    <s v="ROLLSTONE BANK &amp; TRUST"/>
    <s v="Fitchburg"/>
    <x v="3"/>
    <n v="1420"/>
    <d v="2019-09-30T00:00:00"/>
    <x v="0"/>
    <n v="96"/>
    <n v="690761"/>
    <n v="10120"/>
    <n v="690761"/>
    <n v="615543"/>
    <n v="469680"/>
    <x v="0"/>
    <n v="8.5000000000000006E-2"/>
    <n v="39922.800000000003"/>
    <n v="0.89110850207235204"/>
    <n v="7195.427083333333"/>
    <n v="0.25348923422204855"/>
  </r>
  <r>
    <s v="ROLLSTONE BANK &amp; TRUST"/>
    <s v="Fitchburg"/>
    <x v="3"/>
    <n v="1420"/>
    <d v="2020-09-30T00:00:00"/>
    <x v="1"/>
    <n v="95"/>
    <n v="764491"/>
    <n v="8555"/>
    <n v="764491"/>
    <n v="686515"/>
    <n v="551266"/>
    <x v="0"/>
    <n v="8.5000000000000006E-2"/>
    <n v="46857.61"/>
    <n v="0.89800272338065457"/>
    <n v="8047.273684210526"/>
    <n v="0.18257439933449443"/>
  </r>
  <r>
    <s v="ROLLSTONE BANK &amp; TRUST"/>
    <s v="Fitchburg"/>
    <x v="3"/>
    <n v="1420"/>
    <d v="2021-09-30T00:00:00"/>
    <x v="2"/>
    <n v="103"/>
    <n v="861811"/>
    <n v="50699"/>
    <n v="861811"/>
    <n v="776938"/>
    <n v="738342"/>
    <x v="0"/>
    <n v="8.5000000000000006E-2"/>
    <n v="62759.070000000007"/>
    <n v="0.90151785020149433"/>
    <n v="8367.0970873786409"/>
    <n v="0.80783542522220286"/>
  </r>
  <r>
    <s v="RONDOUT SAVINGS BANK"/>
    <s v="Kingston"/>
    <x v="2"/>
    <n v="12401"/>
    <d v="2019-09-30T00:00:00"/>
    <x v="0"/>
    <n v="78"/>
    <n v="389701"/>
    <n v="26345"/>
    <n v="389701"/>
    <n v="350071"/>
    <n v="332324"/>
    <x v="0"/>
    <n v="8.5000000000000006E-2"/>
    <n v="28247.54"/>
    <n v="0.89830665048331926"/>
    <n v="4996.166666666667"/>
    <n v="0.93264758630309041"/>
  </r>
  <r>
    <s v="RONDOUT SAVINGS BANK"/>
    <s v="Kingston"/>
    <x v="2"/>
    <n v="12401"/>
    <d v="2020-09-30T00:00:00"/>
    <x v="1"/>
    <n v="79"/>
    <n v="428291"/>
    <n v="41119"/>
    <n v="428292"/>
    <n v="386603"/>
    <n v="373854"/>
    <x v="0"/>
    <n v="8.5000000000000006E-2"/>
    <n v="31777.590000000004"/>
    <n v="0.90266431001351888"/>
    <n v="5421.4050632911394"/>
    <n v="1.2939621915947683"/>
  </r>
  <r>
    <s v="RONDOUT SAVINGS BANK"/>
    <s v="Kingston"/>
    <x v="2"/>
    <n v="12401"/>
    <d v="2021-09-30T00:00:00"/>
    <x v="2"/>
    <n v="82"/>
    <n v="469289"/>
    <n v="69201"/>
    <n v="469289"/>
    <n v="425066"/>
    <n v="412658"/>
    <x v="0"/>
    <n v="8.5000000000000006E-2"/>
    <n v="35075.93"/>
    <n v="0.90576595658538772"/>
    <n v="5723.0365853658541"/>
    <n v="1.972891381639774"/>
  </r>
  <r>
    <s v="ROYAL BUSINESS BANK"/>
    <s v="Los Angeles"/>
    <x v="0"/>
    <n v="90017"/>
    <d v="2019-09-30T00:00:00"/>
    <x v="0"/>
    <n v="360"/>
    <n v="2815705"/>
    <n v="137025"/>
    <n v="2815705"/>
    <n v="2347182"/>
    <n v="2293238"/>
    <x v="1"/>
    <n v="0.08"/>
    <n v="183459.04"/>
    <n v="0.83360366231547689"/>
    <n v="7821.4027777777774"/>
    <n v="0.74689696403077221"/>
  </r>
  <r>
    <s v="ROYAL BUSINESS BANK"/>
    <s v="Los Angeles"/>
    <x v="0"/>
    <n v="90017"/>
    <d v="2020-09-30T00:00:00"/>
    <x v="1"/>
    <n v="341"/>
    <n v="3357964"/>
    <n v="122229"/>
    <n v="3357964"/>
    <n v="2837909"/>
    <n v="2628116"/>
    <x v="1"/>
    <n v="0.08"/>
    <n v="210249.28"/>
    <n v="0.84512788106126213"/>
    <n v="9847.4017595307923"/>
    <n v="0.58135276372884603"/>
  </r>
  <r>
    <s v="ROYAL BUSINESS BANK"/>
    <s v="Los Angeles"/>
    <x v="0"/>
    <n v="90017"/>
    <d v="2021-09-30T00:00:00"/>
    <x v="2"/>
    <n v="371"/>
    <n v="3796557"/>
    <n v="207527"/>
    <n v="3796557"/>
    <n v="3242761"/>
    <n v="3053361"/>
    <x v="1"/>
    <n v="0.08"/>
    <n v="244268.88"/>
    <n v="0.85413204648316887"/>
    <n v="10233.307277628031"/>
    <n v="0.8495842777843825"/>
  </r>
  <r>
    <s v="ROYAL SAVINGS BANK"/>
    <s v="Chicago"/>
    <x v="1"/>
    <n v="60617"/>
    <d v="2019-09-30T00:00:00"/>
    <x v="0"/>
    <n v="57"/>
    <n v="394528"/>
    <n v="25436"/>
    <n v="394528"/>
    <n v="347298"/>
    <n v="345519"/>
    <x v="0"/>
    <n v="0.08"/>
    <n v="27641.52"/>
    <n v="0.88028733068375375"/>
    <n v="6921.5438596491231"/>
    <n v="0.92020988715526497"/>
  </r>
  <r>
    <s v="ROYAL SAVINGS BANK"/>
    <s v="Chicago"/>
    <x v="1"/>
    <n v="60617"/>
    <d v="2020-09-30T00:00:00"/>
    <x v="1"/>
    <n v="56"/>
    <n v="511957"/>
    <n v="21020"/>
    <n v="511957"/>
    <n v="462993"/>
    <n v="457548"/>
    <x v="0"/>
    <n v="0.08"/>
    <n v="36603.840000000004"/>
    <n v="0.90435915516342191"/>
    <n v="9142.0892857142862"/>
    <n v="0.5742566900084799"/>
  </r>
  <r>
    <s v="ROYAL SAVINGS BANK"/>
    <s v="Chicago"/>
    <x v="1"/>
    <n v="60617"/>
    <d v="2021-09-30T00:00:00"/>
    <x v="2"/>
    <n v="56"/>
    <n v="554859"/>
    <n v="29847"/>
    <n v="554859"/>
    <n v="499984"/>
    <n v="493616"/>
    <x v="0"/>
    <n v="0.08"/>
    <n v="39489.279999999999"/>
    <n v="0.9011010004343446"/>
    <n v="9908.1964285714294"/>
    <n v="0.75582537843181752"/>
  </r>
  <r>
    <s v="RUSHVILLE STATE BANK"/>
    <s v="Rushville"/>
    <x v="1"/>
    <n v="62681"/>
    <d v="2019-09-30T00:00:00"/>
    <x v="0"/>
    <n v="16"/>
    <n v="105233"/>
    <n v="8236"/>
    <n v="105233"/>
    <n v="89865"/>
    <n v="88229"/>
    <x v="0"/>
    <n v="0.08"/>
    <n v="7058.32"/>
    <n v="0.85396216015888549"/>
    <n v="6577.0625"/>
    <n v="1.1668499019596732"/>
  </r>
  <r>
    <s v="RUSHVILLE STATE BANK"/>
    <s v="Rushville"/>
    <x v="1"/>
    <n v="62681"/>
    <d v="2020-09-30T00:00:00"/>
    <x v="1"/>
    <n v="14"/>
    <n v="116387"/>
    <n v="9186"/>
    <n v="116387"/>
    <n v="99587"/>
    <n v="93933"/>
    <x v="0"/>
    <n v="0.08"/>
    <n v="7514.64"/>
    <n v="0.85565398197393183"/>
    <n v="8313.3571428571431"/>
    <n v="1.2224138481683753"/>
  </r>
  <r>
    <s v="RUSHVILLE STATE BANK"/>
    <s v="Rushville"/>
    <x v="1"/>
    <n v="62681"/>
    <d v="2021-09-30T00:00:00"/>
    <x v="2"/>
    <n v="13"/>
    <n v="123496"/>
    <n v="15265"/>
    <n v="123496"/>
    <n v="106839"/>
    <n v="105184"/>
    <x v="0"/>
    <n v="0.08"/>
    <n v="8414.7199999999993"/>
    <n v="0.86512113752672148"/>
    <n v="9499.6923076923085"/>
    <n v="1.8140829403711594"/>
  </r>
  <r>
    <s v="SAFRA NATIONAL BANK OF NEW YORK"/>
    <s v="New York"/>
    <x v="2"/>
    <n v="10036"/>
    <d v="2019-09-30T00:00:00"/>
    <x v="0"/>
    <n v="256"/>
    <n v="7706952"/>
    <n v="960274"/>
    <n v="7706952"/>
    <n v="6780129"/>
    <n v="6449408"/>
    <x v="1"/>
    <n v="0.08"/>
    <n v="515952.64000000001"/>
    <n v="0.87974195246058362"/>
    <n v="30105.28125"/>
    <n v="1.8611669474159489"/>
  </r>
  <r>
    <s v="SAFRA NATIONAL BANK OF NEW YORK"/>
    <s v="New York"/>
    <x v="2"/>
    <n v="10036"/>
    <d v="2020-09-30T00:00:00"/>
    <x v="1"/>
    <n v="253"/>
    <n v="9512486"/>
    <n v="1300821"/>
    <n v="9512486"/>
    <n v="8476442"/>
    <n v="7682440"/>
    <x v="1"/>
    <n v="0.08"/>
    <n v="614595.20000000007"/>
    <n v="0.89108588438395597"/>
    <n v="37598.758893280632"/>
    <n v="2.116549234357834"/>
  </r>
  <r>
    <s v="SAFRA NATIONAL BANK OF NEW YORK"/>
    <s v="New York"/>
    <x v="2"/>
    <n v="10036"/>
    <d v="2021-09-30T00:00:00"/>
    <x v="2"/>
    <n v="256"/>
    <n v="9504524"/>
    <n v="1885196"/>
    <n v="9504524"/>
    <n v="8397248"/>
    <n v="7820363"/>
    <x v="1"/>
    <n v="0.08"/>
    <n v="625629.04"/>
    <n v="0.88350011005285478"/>
    <n v="37127.046875"/>
    <n v="3.0132808413113303"/>
  </r>
  <r>
    <s v="SAINTE MARIE STATE BANK"/>
    <s v="Sainte Marie"/>
    <x v="1"/>
    <n v="62459"/>
    <d v="2019-09-30T00:00:00"/>
    <x v="0"/>
    <n v="4"/>
    <n v="17123"/>
    <n v="950"/>
    <n v="17123"/>
    <n v="13145"/>
    <n v="13111"/>
    <x v="2"/>
    <n v="0.09"/>
    <n v="1179.99"/>
    <n v="0.76768089703907028"/>
    <n v="4280.75"/>
    <n v="0.80509156857261499"/>
  </r>
  <r>
    <s v="SAINTE MARIE STATE BANK"/>
    <s v="Sainte Marie"/>
    <x v="1"/>
    <n v="62459"/>
    <d v="2020-09-30T00:00:00"/>
    <x v="1"/>
    <n v="4"/>
    <n v="16422"/>
    <n v="1937"/>
    <n v="16422"/>
    <n v="12656"/>
    <n v="12622"/>
    <x v="2"/>
    <n v="0.09"/>
    <n v="1135.98"/>
    <n v="0.77067348678601877"/>
    <n v="4105.5"/>
    <n v="1.7051356537967217"/>
  </r>
  <r>
    <s v="SAINTE MARIE STATE BANK"/>
    <s v="Sainte Marie"/>
    <x v="1"/>
    <n v="62459"/>
    <d v="2021-09-30T00:00:00"/>
    <x v="2"/>
    <n v="4"/>
    <n v="16170"/>
    <n v="4219"/>
    <n v="16170"/>
    <n v="12956"/>
    <n v="12888"/>
    <x v="2"/>
    <n v="0.09"/>
    <n v="1159.9199999999998"/>
    <n v="0.80123685837971548"/>
    <n v="4042.5"/>
    <n v="3.6373198151596666"/>
  </r>
  <r>
    <s v="SALEM FIVE CENTS SAVINGS BANK"/>
    <s v="Salem"/>
    <x v="3"/>
    <n v="1970"/>
    <d v="2019-09-30T00:00:00"/>
    <x v="0"/>
    <n v="581"/>
    <n v="5242974"/>
    <n v="55358"/>
    <n v="5242974"/>
    <n v="4689430"/>
    <n v="4004438"/>
    <x v="1"/>
    <n v="0.08"/>
    <n v="320355.03999999998"/>
    <n v="0.89442175376036581"/>
    <n v="9024.0516351118767"/>
    <n v="0.17280202615198439"/>
  </r>
  <r>
    <s v="SALEM FIVE CENTS SAVINGS BANK"/>
    <s v="Salem"/>
    <x v="3"/>
    <n v="1970"/>
    <d v="2020-09-30T00:00:00"/>
    <x v="1"/>
    <n v="607"/>
    <n v="5524552"/>
    <n v="177673"/>
    <n v="5524552"/>
    <n v="4924883"/>
    <n v="4027211"/>
    <x v="1"/>
    <n v="0.08"/>
    <n v="322176.88"/>
    <n v="0.89145382286201669"/>
    <n v="9101.4036243822084"/>
    <n v="0.55147656777854448"/>
  </r>
  <r>
    <s v="SALEM FIVE CENTS SAVINGS BANK"/>
    <s v="Salem"/>
    <x v="3"/>
    <n v="1970"/>
    <d v="2021-09-30T00:00:00"/>
    <x v="2"/>
    <n v="612"/>
    <n v="5807733"/>
    <n v="251418"/>
    <n v="5807733"/>
    <n v="5129729"/>
    <n v="4394101"/>
    <x v="1"/>
    <n v="0.08"/>
    <n v="351528.08"/>
    <n v="0.88325840736824501"/>
    <n v="9489.7598039215682"/>
    <n v="0.71521455697081149"/>
  </r>
  <r>
    <s v="SANTA CRUZ COUNTY BANK"/>
    <s v="Santa Cruz"/>
    <x v="0"/>
    <n v="95060"/>
    <d v="2019-09-30T00:00:00"/>
    <x v="0"/>
    <n v="87"/>
    <n v="722872"/>
    <n v="120476"/>
    <n v="722872"/>
    <n v="645064"/>
    <n v="631411"/>
    <x v="0"/>
    <n v="0.09"/>
    <n v="56826.99"/>
    <n v="0.8923626866167178"/>
    <n v="8308.8735632183907"/>
    <n v="2.1200489415328878"/>
  </r>
  <r>
    <s v="SANTA CRUZ COUNTY BANK"/>
    <s v="Santa Cruz"/>
    <x v="0"/>
    <n v="95060"/>
    <d v="2020-09-30T00:00:00"/>
    <x v="1"/>
    <n v="134"/>
    <n v="1448697"/>
    <n v="85852"/>
    <n v="1448697"/>
    <n v="1283750"/>
    <n v="1179709"/>
    <x v="1"/>
    <n v="0.08"/>
    <n v="94376.72"/>
    <n v="0.88614113234168357"/>
    <n v="10811.171641791045"/>
    <n v="0.90967348727525177"/>
  </r>
  <r>
    <s v="SANTA CRUZ COUNTY BANK"/>
    <s v="Santa Cruz"/>
    <x v="0"/>
    <n v="95060"/>
    <d v="2021-09-30T00:00:00"/>
    <x v="2"/>
    <n v="149"/>
    <n v="1699550"/>
    <n v="193525"/>
    <n v="1699550"/>
    <n v="1516505"/>
    <n v="1498744"/>
    <x v="1"/>
    <n v="0.08"/>
    <n v="119899.52"/>
    <n v="0.89229796122503013"/>
    <n v="11406.375838926175"/>
    <n v="1.6140598394388901"/>
  </r>
  <r>
    <s v="SARATOGA NATIONAL BANK AND TRUST"/>
    <s v="Saratoga Springs"/>
    <x v="2"/>
    <n v="12866"/>
    <d v="2019-09-30T00:00:00"/>
    <x v="0"/>
    <n v="55"/>
    <n v="603505"/>
    <n v="18380"/>
    <n v="603505"/>
    <n v="544118"/>
    <n v="512565"/>
    <x v="0"/>
    <n v="8.5000000000000006E-2"/>
    <n v="43568.025000000001"/>
    <n v="0.90159650707119243"/>
    <n v="10972.818181818182"/>
    <n v="0.42186901976851143"/>
  </r>
  <r>
    <s v="SARATOGA NATIONAL BANK AND TRUST"/>
    <s v="Saratoga Springs"/>
    <x v="2"/>
    <n v="12866"/>
    <d v="2020-09-30T00:00:00"/>
    <x v="1"/>
    <n v="56"/>
    <n v="799359"/>
    <n v="65434"/>
    <n v="799359"/>
    <n v="730143"/>
    <n v="699114"/>
    <x v="0"/>
    <n v="8.5000000000000006E-2"/>
    <n v="59424.69"/>
    <n v="0.91341062025948294"/>
    <n v="14274.267857142857"/>
    <n v="1.1011248018290041"/>
  </r>
  <r>
    <s v="SARATOGA NATIONAL BANK AND TRUST"/>
    <s v="Saratoga Springs"/>
    <x v="2"/>
    <n v="12866"/>
    <d v="2021-09-30T00:00:00"/>
    <x v="2"/>
    <n v="55"/>
    <n v="847957"/>
    <n v="55191"/>
    <n v="847957"/>
    <n v="767014"/>
    <n v="740672"/>
    <x v="0"/>
    <n v="8.5000000000000006E-2"/>
    <n v="62957.120000000003"/>
    <n v="0.90454350869206812"/>
    <n v="15417.4"/>
    <n v="0.87664429376693209"/>
  </r>
  <r>
    <s v="SAUK VALLEY BANK &amp; TRUST COMPANY"/>
    <s v="Sterling"/>
    <x v="1"/>
    <n v="61081"/>
    <d v="2019-09-30T00:00:00"/>
    <x v="0"/>
    <n v="105"/>
    <n v="450181"/>
    <n v="22314"/>
    <n v="450181"/>
    <n v="406936"/>
    <n v="392926"/>
    <x v="0"/>
    <n v="0.08"/>
    <n v="31434.080000000002"/>
    <n v="0.90393863801448748"/>
    <n v="4287.4380952380952"/>
    <n v="0.70986648885540782"/>
  </r>
  <r>
    <s v="SAUK VALLEY BANK &amp; TRUST COMPANY"/>
    <s v="Sterling"/>
    <x v="1"/>
    <n v="61081"/>
    <d v="2020-09-30T00:00:00"/>
    <x v="1"/>
    <n v="105"/>
    <n v="569635"/>
    <n v="34799"/>
    <n v="569635"/>
    <n v="521114"/>
    <n v="467455"/>
    <x v="0"/>
    <n v="0.08"/>
    <n v="37396.400000000001"/>
    <n v="0.91482089408129763"/>
    <n v="5425.0952380952385"/>
    <n v="0.93054411654597768"/>
  </r>
  <r>
    <s v="SAUK VALLEY BANK &amp; TRUST COMPANY"/>
    <s v="Sterling"/>
    <x v="1"/>
    <n v="61081"/>
    <d v="2021-09-30T00:00:00"/>
    <x v="2"/>
    <n v="110"/>
    <n v="602485"/>
    <n v="23638"/>
    <n v="602485"/>
    <n v="550522"/>
    <n v="524796"/>
    <x v="0"/>
    <n v="0.08"/>
    <n v="41983.68"/>
    <n v="0.91375220959857917"/>
    <n v="5477.136363636364"/>
    <n v="0.56302830052058328"/>
  </r>
  <r>
    <s v="SAVANNAH BANK NATIONAL ASSOCIATION"/>
    <s v="Savannah"/>
    <x v="2"/>
    <n v="13146"/>
    <d v="2019-09-30T00:00:00"/>
    <x v="0"/>
    <n v="40"/>
    <n v="146391"/>
    <n v="17475"/>
    <n v="146391"/>
    <n v="133320"/>
    <n v="131613"/>
    <x v="0"/>
    <n v="8.5000000000000006E-2"/>
    <n v="11187.105000000001"/>
    <n v="0.91071172408139844"/>
    <n v="3659.7750000000001"/>
    <n v="1.5620663254702623"/>
  </r>
  <r>
    <s v="SAVANNAH BANK NATIONAL ASSOCIATION"/>
    <s v="Savannah"/>
    <x v="2"/>
    <n v="13146"/>
    <d v="2020-09-30T00:00:00"/>
    <x v="1"/>
    <n v="38"/>
    <n v="156987"/>
    <n v="18599"/>
    <n v="156987"/>
    <n v="143055"/>
    <n v="140952"/>
    <x v="0"/>
    <n v="8.5000000000000006E-2"/>
    <n v="11980.92"/>
    <n v="0.9112537980851918"/>
    <n v="4131.2368421052633"/>
    <n v="1.552384958751081"/>
  </r>
  <r>
    <s v="SAVANNAH BANK NATIONAL ASSOCIATION"/>
    <s v="Savannah"/>
    <x v="2"/>
    <n v="13146"/>
    <d v="2021-09-30T00:00:00"/>
    <x v="2"/>
    <n v="37"/>
    <n v="166143"/>
    <n v="24634"/>
    <n v="166143"/>
    <n v="152619"/>
    <n v="150050"/>
    <x v="0"/>
    <n v="8.5000000000000006E-2"/>
    <n v="12754.250000000002"/>
    <n v="0.91860024196023904"/>
    <n v="4490.3513513513517"/>
    <n v="1.9314346198326044"/>
  </r>
  <r>
    <s v="SAVANNA-THOMSON STATE BANK"/>
    <s v="Thomson"/>
    <x v="1"/>
    <n v="61285"/>
    <d v="2019-09-30T00:00:00"/>
    <x v="0"/>
    <n v="21"/>
    <n v="93929"/>
    <n v="8020"/>
    <n v="93929"/>
    <n v="80066"/>
    <n v="79900"/>
    <x v="2"/>
    <n v="0.09"/>
    <n v="7191"/>
    <n v="0.85240979889065149"/>
    <n v="4472.8095238095239"/>
    <n v="1.1152829926296759"/>
  </r>
  <r>
    <s v="SAVANNA-THOMSON STATE BANK"/>
    <s v="Thomson"/>
    <x v="1"/>
    <n v="61285"/>
    <d v="2020-09-30T00:00:00"/>
    <x v="1"/>
    <n v="21"/>
    <n v="105004"/>
    <n v="14071"/>
    <n v="105004"/>
    <n v="90663"/>
    <n v="86549"/>
    <x v="0"/>
    <n v="0.08"/>
    <n v="6923.92"/>
    <n v="0.8634242505047427"/>
    <n v="5000.1904761904761"/>
    <n v="2.0322302972882413"/>
  </r>
  <r>
    <s v="SAVANNA-THOMSON STATE BANK"/>
    <s v="Thomson"/>
    <x v="1"/>
    <n v="61285"/>
    <d v="2021-09-30T00:00:00"/>
    <x v="2"/>
    <n v="20"/>
    <n v="122602"/>
    <n v="12006"/>
    <n v="122602"/>
    <n v="108510"/>
    <n v="103365"/>
    <x v="0"/>
    <n v="0.08"/>
    <n v="8269.2000000000007"/>
    <n v="0.88505897130552524"/>
    <n v="6130.1"/>
    <n v="1.451893774488463"/>
  </r>
  <r>
    <s v="SAVERS CO-OPERATIVE BANK"/>
    <s v="Southbridge"/>
    <x v="3"/>
    <n v="1550"/>
    <d v="2019-09-30T00:00:00"/>
    <x v="0"/>
    <n v="93"/>
    <n v="581369"/>
    <n v="30880"/>
    <n v="581369"/>
    <n v="517261"/>
    <n v="422091"/>
    <x v="0"/>
    <n v="8.5000000000000006E-2"/>
    <n v="35877.735000000001"/>
    <n v="0.88972924252927144"/>
    <n v="6251.2795698924729"/>
    <n v="0.86070093332257458"/>
  </r>
  <r>
    <s v="SAVERS CO-OPERATIVE BANK"/>
    <s v="Southbridge"/>
    <x v="3"/>
    <n v="1550"/>
    <d v="2020-09-30T00:00:00"/>
    <x v="1"/>
    <n v="86"/>
    <n v="653390"/>
    <n v="68299"/>
    <n v="653390"/>
    <n v="584585"/>
    <n v="500238"/>
    <x v="0"/>
    <n v="8.5000000000000006E-2"/>
    <n v="42520.23"/>
    <n v="0.89469535805567879"/>
    <n v="7597.5581395348836"/>
    <n v="1.6062707092600392"/>
  </r>
  <r>
    <s v="SAVERS CO-OPERATIVE BANK"/>
    <s v="Southbridge"/>
    <x v="3"/>
    <n v="1550"/>
    <d v="2021-09-30T00:00:00"/>
    <x v="2"/>
    <n v="89"/>
    <n v="673307"/>
    <n v="113534"/>
    <n v="673307"/>
    <n v="601218"/>
    <n v="525171"/>
    <x v="0"/>
    <n v="8.5000000000000006E-2"/>
    <n v="44639.535000000003"/>
    <n v="0.89293294143681856"/>
    <n v="7565.2471910112363"/>
    <n v="2.5433508659980437"/>
  </r>
  <r>
    <s v="SAVINGS BANK OF MENDOCINO COUNTY"/>
    <s v="Ukiah"/>
    <x v="0"/>
    <n v="95482"/>
    <d v="2019-09-30T00:00:00"/>
    <x v="0"/>
    <n v="196"/>
    <n v="1109400"/>
    <n v="26791"/>
    <n v="1109400"/>
    <n v="922562"/>
    <n v="917453"/>
    <x v="1"/>
    <n v="0.08"/>
    <n v="73396.240000000005"/>
    <n v="0.83158644312240848"/>
    <n v="5660.2040816326535"/>
    <n v="0.36501869850553648"/>
  </r>
  <r>
    <s v="SAVINGS BANK OF MENDOCINO COUNTY"/>
    <s v="Ukiah"/>
    <x v="0"/>
    <n v="95482"/>
    <d v="2020-09-30T00:00:00"/>
    <x v="1"/>
    <n v="182"/>
    <n v="1286022"/>
    <n v="125232"/>
    <n v="1286022"/>
    <n v="1084096"/>
    <n v="1080076"/>
    <x v="1"/>
    <n v="0.08"/>
    <n v="86406.080000000002"/>
    <n v="0.84298402360146252"/>
    <n v="7066.0549450549452"/>
    <n v="1.4493424536791855"/>
  </r>
  <r>
    <s v="SAVINGS BANK OF MENDOCINO COUNTY"/>
    <s v="Ukiah"/>
    <x v="0"/>
    <n v="95482"/>
    <d v="2021-09-30T00:00:00"/>
    <x v="2"/>
    <n v="184"/>
    <n v="1430740"/>
    <n v="80385"/>
    <n v="1430740"/>
    <n v="1224445"/>
    <n v="1219955"/>
    <x v="1"/>
    <n v="0.08"/>
    <n v="97596.400000000009"/>
    <n v="0.8558123768119994"/>
    <n v="7775.760869565217"/>
    <n v="0.82364718370759571"/>
  </r>
  <r>
    <s v="SAVOY BANK"/>
    <s v="New York"/>
    <x v="2"/>
    <n v="10020"/>
    <d v="2019-09-30T00:00:00"/>
    <x v="0"/>
    <n v="40"/>
    <n v="381689"/>
    <n v="48899"/>
    <n v="381689"/>
    <n v="342389"/>
    <n v="324333"/>
    <x v="0"/>
    <n v="8.5000000000000006E-2"/>
    <n v="27568.305"/>
    <n v="0.89703659261859792"/>
    <n v="9542.2250000000004"/>
    <n v="1.7737398073621138"/>
  </r>
  <r>
    <s v="SAVOY BANK"/>
    <s v="New York"/>
    <x v="2"/>
    <n v="10020"/>
    <d v="2020-09-30T00:00:00"/>
    <x v="1"/>
    <n v="45"/>
    <n v="587889"/>
    <n v="36676"/>
    <n v="587889"/>
    <n v="544135"/>
    <n v="333853"/>
    <x v="0"/>
    <n v="8.5000000000000006E-2"/>
    <n v="28377.505000000001"/>
    <n v="0.92557438564082672"/>
    <n v="13064.2"/>
    <n v="1.292432157090625"/>
  </r>
  <r>
    <s v="SAWYER SAVINGS BANK"/>
    <s v="Saugerties"/>
    <x v="2"/>
    <n v="12477"/>
    <d v="2019-09-30T00:00:00"/>
    <x v="0"/>
    <n v="43"/>
    <n v="251030"/>
    <n v="5548"/>
    <n v="251030"/>
    <n v="224533"/>
    <n v="201929"/>
    <x v="0"/>
    <n v="8.5000000000000006E-2"/>
    <n v="17163.965"/>
    <n v="0.89444687885910046"/>
    <n v="5837.9069767441861"/>
    <n v="0.32323533635730439"/>
  </r>
  <r>
    <s v="SAWYER SAVINGS BANK"/>
    <s v="Saugerties"/>
    <x v="2"/>
    <n v="12477"/>
    <d v="2020-09-30T00:00:00"/>
    <x v="1"/>
    <n v="44"/>
    <n v="255983"/>
    <n v="8450"/>
    <n v="255983"/>
    <n v="228643"/>
    <n v="204683"/>
    <x v="0"/>
    <n v="8.5000000000000006E-2"/>
    <n v="17398.055"/>
    <n v="0.89319603254903646"/>
    <n v="5817.795454545455"/>
    <n v="0.48568647472375504"/>
  </r>
  <r>
    <s v="SAWYER SAVINGS BANK"/>
    <s v="Saugerties"/>
    <x v="2"/>
    <n v="12477"/>
    <d v="2021-09-30T00:00:00"/>
    <x v="2"/>
    <n v="44"/>
    <n v="273166"/>
    <n v="12727"/>
    <n v="273166"/>
    <n v="244614"/>
    <n v="227746"/>
    <x v="0"/>
    <n v="8.5000000000000006E-2"/>
    <n v="19358.41"/>
    <n v="0.89547747523483889"/>
    <n v="6208.318181818182"/>
    <n v="0.65744035796328315"/>
  </r>
  <r>
    <s v="SCHAUMBURG BANK &amp; TRUST COMPANY, NATIONAL ASSOCIATION"/>
    <s v="Schaumburg"/>
    <x v="1"/>
    <n v="60173"/>
    <d v="2019-09-30T00:00:00"/>
    <x v="0"/>
    <n v="67"/>
    <n v="1219958"/>
    <n v="54471"/>
    <n v="1219958"/>
    <n v="1086492"/>
    <n v="1040637"/>
    <x v="1"/>
    <n v="7.4999999999999997E-2"/>
    <n v="78047.774999999994"/>
    <n v="0.89059787304153093"/>
    <n v="18208.328358208953"/>
    <n v="0.69791867865547741"/>
  </r>
  <r>
    <s v="SCHAUMBURG BANK &amp; TRUST COMPANY, NATIONAL ASSOCIATION"/>
    <s v="Schaumburg"/>
    <x v="1"/>
    <n v="60173"/>
    <d v="2020-09-30T00:00:00"/>
    <x v="1"/>
    <n v="66"/>
    <n v="1430023"/>
    <n v="221864"/>
    <n v="1430023"/>
    <n v="1303121"/>
    <n v="1245313"/>
    <x v="1"/>
    <n v="7.4999999999999997E-2"/>
    <n v="93398.474999999991"/>
    <n v="0.9112587699638397"/>
    <n v="21667.015151515152"/>
    <n v="2.3754563444424548"/>
  </r>
  <r>
    <s v="SCHAUMBURG BANK &amp; TRUST COMPANY, NATIONAL ASSOCIATION"/>
    <s v="Schaumburg"/>
    <x v="1"/>
    <n v="60173"/>
    <d v="2021-09-30T00:00:00"/>
    <x v="2"/>
    <n v="60"/>
    <n v="1559896"/>
    <n v="125528"/>
    <n v="1559896"/>
    <n v="1407714"/>
    <n v="1355657"/>
    <x v="1"/>
    <n v="7.4999999999999997E-2"/>
    <n v="101674.27499999999"/>
    <n v="0.90244093195956654"/>
    <n v="25998.266666666666"/>
    <n v="1.2346092460457674"/>
  </r>
  <r>
    <s v="SCOTT STATE BANK"/>
    <s v="Bethany"/>
    <x v="1"/>
    <n v="61914"/>
    <d v="2019-09-30T00:00:00"/>
    <x v="0"/>
    <n v="48"/>
    <n v="162935"/>
    <n v="20177"/>
    <n v="162935"/>
    <n v="137954"/>
    <n v="137598"/>
    <x v="0"/>
    <n v="0.08"/>
    <n v="11007.84"/>
    <n v="0.84668119188633506"/>
    <n v="3394.4791666666665"/>
    <n v="1.8329663221849155"/>
  </r>
  <r>
    <s v="SCOTT STATE BANK"/>
    <s v="Bethany"/>
    <x v="1"/>
    <n v="61914"/>
    <d v="2020-09-30T00:00:00"/>
    <x v="1"/>
    <n v="46"/>
    <n v="182005"/>
    <n v="26928"/>
    <n v="182005"/>
    <n v="154964"/>
    <n v="151464"/>
    <x v="0"/>
    <n v="0.08"/>
    <n v="12117.12"/>
    <n v="0.8514271585945441"/>
    <n v="3956.6304347826085"/>
    <n v="2.2223102519410554"/>
  </r>
  <r>
    <s v="SCOTT STATE BANK"/>
    <s v="Bethany"/>
    <x v="1"/>
    <n v="61914"/>
    <d v="2021-09-30T00:00:00"/>
    <x v="2"/>
    <n v="43"/>
    <n v="197631"/>
    <n v="23443"/>
    <n v="197631"/>
    <n v="170911"/>
    <n v="170565"/>
    <x v="0"/>
    <n v="0.08"/>
    <n v="13645.2"/>
    <n v="0.86479853869079248"/>
    <n v="4596.0697674418607"/>
    <n v="1.7180400433852197"/>
  </r>
  <r>
    <s v="SEACOAST COMMERCE BANK"/>
    <s v="San Diego"/>
    <x v="0"/>
    <n v="92128"/>
    <d v="2019-09-30T00:00:00"/>
    <x v="0"/>
    <n v="154"/>
    <n v="1082517"/>
    <n v="35894"/>
    <n v="1082517"/>
    <n v="953118"/>
    <n v="852331"/>
    <x v="1"/>
    <n v="0.08"/>
    <n v="68186.48"/>
    <n v="0.88046469478077483"/>
    <n v="7029.3311688311687"/>
    <n v="0.52640934097199332"/>
  </r>
  <r>
    <s v="SEACOAST COMMERCE BANK"/>
    <s v="San Diego"/>
    <x v="0"/>
    <n v="92128"/>
    <d v="2020-09-30T00:00:00"/>
    <x v="1"/>
    <n v="152"/>
    <n v="1327398"/>
    <n v="67311"/>
    <n v="1327398"/>
    <n v="1187778"/>
    <n v="1005544"/>
    <x v="1"/>
    <n v="0.08"/>
    <n v="80443.520000000004"/>
    <n v="0.89481677688229155"/>
    <n v="8732.8815789473683"/>
    <n v="0.83674856595037106"/>
  </r>
  <r>
    <s v="SEAMEN'S BANK"/>
    <s v="Provincetown"/>
    <x v="3"/>
    <n v="2657"/>
    <d v="2019-09-30T00:00:00"/>
    <x v="0"/>
    <n v="68"/>
    <n v="401673"/>
    <n v="41084"/>
    <n v="401673"/>
    <n v="358500"/>
    <n v="355170"/>
    <x v="0"/>
    <n v="8.5000000000000006E-2"/>
    <n v="30189.45"/>
    <n v="0.89251704744904437"/>
    <n v="5906.9558823529414"/>
    <n v="1.3608727552174684"/>
  </r>
  <r>
    <s v="SEAMEN'S BANK"/>
    <s v="Provincetown"/>
    <x v="3"/>
    <n v="2657"/>
    <d v="2020-09-30T00:00:00"/>
    <x v="1"/>
    <n v="71"/>
    <n v="472022"/>
    <n v="110995"/>
    <n v="472022"/>
    <n v="426518"/>
    <n v="423178"/>
    <x v="0"/>
    <n v="8.5000000000000006E-2"/>
    <n v="35970.130000000005"/>
    <n v="0.90359771366588848"/>
    <n v="6648.1971830985913"/>
    <n v="3.0857547637442506"/>
  </r>
  <r>
    <s v="SEAMEN'S BANK"/>
    <s v="Provincetown"/>
    <x v="3"/>
    <n v="2657"/>
    <d v="2021-09-30T00:00:00"/>
    <x v="2"/>
    <n v="71"/>
    <n v="568051"/>
    <n v="226247"/>
    <n v="568051"/>
    <n v="521838"/>
    <n v="521456"/>
    <x v="0"/>
    <n v="8.5000000000000006E-2"/>
    <n v="44323.76"/>
    <n v="0.9186463891446367"/>
    <n v="8000.7183098591549"/>
    <n v="5.1044180367369556"/>
  </r>
  <r>
    <s v="SECURITY BANK, S.B."/>
    <s v="Springfield"/>
    <x v="1"/>
    <n v="62701"/>
    <d v="2019-09-30T00:00:00"/>
    <x v="0"/>
    <n v="37"/>
    <n v="196347"/>
    <n v="18779"/>
    <n v="196347"/>
    <n v="180211"/>
    <n v="179832"/>
    <x v="0"/>
    <n v="0.08"/>
    <n v="14386.56"/>
    <n v="0.91781896336587776"/>
    <n v="5306.6756756756758"/>
    <n v="1.3053155167044799"/>
  </r>
  <r>
    <s v="SECURITY BANK, S.B."/>
    <s v="Springfield"/>
    <x v="1"/>
    <n v="62701"/>
    <d v="2020-09-30T00:00:00"/>
    <x v="1"/>
    <n v="41"/>
    <n v="183227"/>
    <n v="35629"/>
    <n v="183227"/>
    <n v="166579"/>
    <n v="161776"/>
    <x v="0"/>
    <n v="0.08"/>
    <n v="12942.08"/>
    <n v="0.90914002848925102"/>
    <n v="4468.9512195121952"/>
    <n v="2.7529577934922362"/>
  </r>
  <r>
    <s v="SECURITY BANK, S.B."/>
    <s v="Springfield"/>
    <x v="1"/>
    <n v="62701"/>
    <d v="2021-09-30T00:00:00"/>
    <x v="2"/>
    <n v="49"/>
    <n v="257525"/>
    <n v="42765"/>
    <n v="257525"/>
    <n v="240538"/>
    <n v="239840"/>
    <x v="0"/>
    <n v="0.08"/>
    <n v="19187.2"/>
    <n v="0.93403747209008836"/>
    <n v="5255.6122448979595"/>
    <n v="2.2288296364242828"/>
  </r>
  <r>
    <s v="SECURITY NATIONAL BANK"/>
    <s v="Witt"/>
    <x v="1"/>
    <n v="62094"/>
    <d v="2019-09-30T00:00:00"/>
    <x v="0"/>
    <n v="23"/>
    <n v="81604"/>
    <n v="12681"/>
    <n v="81604"/>
    <n v="73017"/>
    <n v="67972"/>
    <x v="2"/>
    <n v="0.09"/>
    <n v="6117.48"/>
    <n v="0.89477231508259403"/>
    <n v="3548"/>
    <n v="2.0729123756841052"/>
  </r>
  <r>
    <s v="SECURITY NATIONAL BANK"/>
    <s v="Witt"/>
    <x v="1"/>
    <n v="62094"/>
    <d v="2020-09-30T00:00:00"/>
    <x v="1"/>
    <n v="23"/>
    <n v="90458"/>
    <n v="23015"/>
    <n v="90458"/>
    <n v="81770"/>
    <n v="73702"/>
    <x v="2"/>
    <n v="0.09"/>
    <n v="6633.1799999999994"/>
    <n v="0.90395542682792018"/>
    <n v="3932.9565217391305"/>
    <n v="3.4696781935662839"/>
  </r>
  <r>
    <s v="SECURITY NATIONAL BANK"/>
    <s v="Witt"/>
    <x v="1"/>
    <n v="62094"/>
    <d v="2021-09-30T00:00:00"/>
    <x v="2"/>
    <n v="23"/>
    <n v="98489"/>
    <n v="16108"/>
    <n v="98489"/>
    <n v="89381"/>
    <n v="81185"/>
    <x v="2"/>
    <n v="0.09"/>
    <n v="7306.65"/>
    <n v="0.90752266750601585"/>
    <n v="4282.130434782609"/>
    <n v="2.2045670724613879"/>
  </r>
  <r>
    <s v="SECURITY SAVINGS BANK"/>
    <s v="Monmouth"/>
    <x v="1"/>
    <n v="61462"/>
    <d v="2019-09-30T00:00:00"/>
    <x v="0"/>
    <n v="39"/>
    <n v="198426"/>
    <n v="18674"/>
    <n v="198426"/>
    <n v="176305"/>
    <n v="175243"/>
    <x v="0"/>
    <n v="0.08"/>
    <n v="14019.44"/>
    <n v="0.88851763377783155"/>
    <n v="5087.8461538461543"/>
    <n v="1.3320075552233184"/>
  </r>
  <r>
    <s v="SECURITY SAVINGS BANK"/>
    <s v="Monmouth"/>
    <x v="1"/>
    <n v="61462"/>
    <d v="2020-09-30T00:00:00"/>
    <x v="1"/>
    <n v="40"/>
    <n v="212108"/>
    <n v="32907"/>
    <n v="212108"/>
    <n v="188492"/>
    <n v="187315"/>
    <x v="0"/>
    <n v="0.08"/>
    <n v="14985.2"/>
    <n v="0.88866049371075118"/>
    <n v="5302.7"/>
    <n v="2.1959666871313028"/>
  </r>
  <r>
    <s v="SECURITY SAVINGS BANK"/>
    <s v="Monmouth"/>
    <x v="1"/>
    <n v="61462"/>
    <d v="2021-09-30T00:00:00"/>
    <x v="2"/>
    <n v="39"/>
    <n v="243081"/>
    <n v="5733"/>
    <n v="243081"/>
    <n v="218639"/>
    <n v="212550"/>
    <x v="0"/>
    <n v="0.08"/>
    <n v="17004"/>
    <n v="0.89944915480847942"/>
    <n v="6232.8461538461543"/>
    <n v="0.33715596330275227"/>
  </r>
  <r>
    <s v="SENB BANK"/>
    <s v="Moline"/>
    <x v="1"/>
    <n v="61265"/>
    <d v="2019-09-30T00:00:00"/>
    <x v="0"/>
    <n v="74"/>
    <n v="297376"/>
    <n v="8547"/>
    <n v="297376"/>
    <n v="267190"/>
    <n v="227622"/>
    <x v="0"/>
    <n v="0.08"/>
    <n v="18209.760000000002"/>
    <n v="0.8984921446249865"/>
    <n v="4018.5945945945946"/>
    <n v="0.46936368189366579"/>
  </r>
  <r>
    <s v="SENB BANK"/>
    <s v="Moline"/>
    <x v="1"/>
    <n v="61265"/>
    <d v="2020-09-30T00:00:00"/>
    <x v="1"/>
    <n v="76"/>
    <n v="339791"/>
    <n v="20328"/>
    <n v="339790"/>
    <n v="306793"/>
    <n v="256175"/>
    <x v="0"/>
    <n v="0.08"/>
    <n v="20494"/>
    <n v="0.902887363114385"/>
    <n v="4470.9342105263158"/>
    <n v="0.99190006831267685"/>
  </r>
  <r>
    <s v="SENB BANK"/>
    <s v="Moline"/>
    <x v="1"/>
    <n v="61265"/>
    <d v="2021-09-30T00:00:00"/>
    <x v="2"/>
    <n v="73"/>
    <n v="360589"/>
    <n v="43911"/>
    <n v="360589"/>
    <n v="325660"/>
    <n v="281472"/>
    <x v="0"/>
    <n v="0.08"/>
    <n v="22517.760000000002"/>
    <n v="0.90313348438249641"/>
    <n v="4939.5753424657532"/>
    <n v="1.9500607520463846"/>
  </r>
  <r>
    <s v="SENECA SAVINGS"/>
    <s v="Baldwinsville"/>
    <x v="2"/>
    <n v="13027"/>
    <d v="2019-09-30T00:00:00"/>
    <x v="0"/>
    <n v="41"/>
    <n v="210508"/>
    <n v="2943"/>
    <n v="210508"/>
    <n v="192181"/>
    <n v="149554"/>
    <x v="0"/>
    <n v="8.5000000000000006E-2"/>
    <n v="12712.09"/>
    <n v="0.91293917570828664"/>
    <n v="5134.3414634146338"/>
    <n v="0.23151189143563333"/>
  </r>
  <r>
    <s v="SENECA SAVINGS"/>
    <s v="Baldwinsville"/>
    <x v="2"/>
    <n v="13027"/>
    <d v="2020-09-30T00:00:00"/>
    <x v="1"/>
    <n v="43"/>
    <n v="231184"/>
    <n v="2594"/>
    <n v="231184"/>
    <n v="210812"/>
    <n v="163481"/>
    <x v="0"/>
    <n v="8.5000000000000006E-2"/>
    <n v="13895.885"/>
    <n v="0.91187971485915975"/>
    <n v="5376.3720930232557"/>
    <n v="0.18667396858854257"/>
  </r>
  <r>
    <s v="SENECA SAVINGS"/>
    <s v="Baldwinsville"/>
    <x v="2"/>
    <n v="13027"/>
    <d v="2021-09-30T00:00:00"/>
    <x v="2"/>
    <n v="47"/>
    <n v="217311"/>
    <n v="6568"/>
    <n v="217311"/>
    <n v="195080"/>
    <n v="167185"/>
    <x v="0"/>
    <n v="8.5000000000000006E-2"/>
    <n v="14210.725"/>
    <n v="0.89769961023602118"/>
    <n v="4623.6382978723404"/>
    <n v="0.46218613054576735"/>
  </r>
  <r>
    <s v="SHELBY COUNTY STATE BANK"/>
    <s v="Shelbyville"/>
    <x v="1"/>
    <n v="62565"/>
    <d v="2019-09-30T00:00:00"/>
    <x v="0"/>
    <n v="52"/>
    <n v="257423"/>
    <n v="15744"/>
    <n v="257423"/>
    <n v="231810"/>
    <n v="216274"/>
    <x v="0"/>
    <n v="0.08"/>
    <n v="17301.920000000002"/>
    <n v="0.90050228612050986"/>
    <n v="4950.4423076923076"/>
    <n v="0.90995681404144735"/>
  </r>
  <r>
    <s v="SHELBY COUNTY STATE BANK"/>
    <s v="Shelbyville"/>
    <x v="1"/>
    <n v="62565"/>
    <d v="2020-09-30T00:00:00"/>
    <x v="1"/>
    <n v="52"/>
    <n v="270231"/>
    <n v="4632"/>
    <n v="270231"/>
    <n v="242646"/>
    <n v="228103"/>
    <x v="0"/>
    <n v="0.08"/>
    <n v="18248.240000000002"/>
    <n v="0.89792066787304192"/>
    <n v="5196.75"/>
    <n v="0.25383269838625533"/>
  </r>
  <r>
    <s v="SHELBY COUNTY STATE BANK"/>
    <s v="Shelbyville"/>
    <x v="1"/>
    <n v="62565"/>
    <d v="2021-09-30T00:00:00"/>
    <x v="2"/>
    <n v="54"/>
    <n v="287903"/>
    <n v="10484"/>
    <n v="287903"/>
    <n v="260156"/>
    <n v="257624"/>
    <x v="0"/>
    <n v="0.08"/>
    <n v="20609.920000000002"/>
    <n v="0.90362378995703418"/>
    <n v="5331.5370370370374"/>
    <n v="0.50868707884358599"/>
  </r>
  <r>
    <s v="SHINHAN BANK AMERICA"/>
    <s v="New York"/>
    <x v="2"/>
    <n v="10001"/>
    <d v="2019-09-30T00:00:00"/>
    <x v="0"/>
    <n v="285"/>
    <n v="1581500"/>
    <n v="126322"/>
    <n v="1581500"/>
    <n v="1366927"/>
    <n v="1353617"/>
    <x v="1"/>
    <n v="0.08"/>
    <n v="108289.36"/>
    <n v="0.86432311097059755"/>
    <n v="5549.1228070175439"/>
    <n v="1.1665227313191249"/>
  </r>
  <r>
    <s v="SHINHAN BANK AMERICA"/>
    <s v="New York"/>
    <x v="2"/>
    <n v="10016"/>
    <d v="2020-09-30T00:00:00"/>
    <x v="1"/>
    <n v="244"/>
    <n v="1820875"/>
    <n v="196031"/>
    <n v="1820875"/>
    <n v="1605371"/>
    <n v="1533649"/>
    <x v="1"/>
    <n v="0.08"/>
    <n v="122691.92"/>
    <n v="0.88164810873893051"/>
    <n v="7462.6024590163934"/>
    <n v="1.5977498762754712"/>
  </r>
  <r>
    <s v="SHINHAN BANK AMERICA"/>
    <s v="New York"/>
    <x v="2"/>
    <n v="10016"/>
    <d v="2021-09-30T00:00:00"/>
    <x v="2"/>
    <n v="237"/>
    <n v="1885300"/>
    <n v="217175"/>
    <n v="1885300"/>
    <n v="1666330"/>
    <n v="1651149"/>
    <x v="1"/>
    <n v="0.08"/>
    <n v="132091.92000000001"/>
    <n v="0.88385402853657247"/>
    <n v="7954.8523206751051"/>
    <n v="1.6441202459620541"/>
  </r>
  <r>
    <s v="SIGNATURE BANK"/>
    <s v="New York"/>
    <x v="2"/>
    <n v="10017"/>
    <d v="2019-09-30T00:00:00"/>
    <x v="0"/>
    <n v="1495"/>
    <n v="49424934"/>
    <n v="991936"/>
    <n v="49424935"/>
    <n v="44683077"/>
    <n v="39060980"/>
    <x v="1"/>
    <n v="0.08"/>
    <n v="3124878.4"/>
    <n v="0.90405941664990386"/>
    <n v="33060.156521739133"/>
    <n v="0.31743187190899974"/>
  </r>
  <r>
    <s v="SIGNATURE BANK"/>
    <s v="Rosemont"/>
    <x v="1"/>
    <n v="60018"/>
    <d v="2019-09-30T00:00:00"/>
    <x v="0"/>
    <n v="81"/>
    <n v="891205"/>
    <n v="129037"/>
    <n v="891205"/>
    <n v="798084"/>
    <n v="786945"/>
    <x v="0"/>
    <n v="0.08"/>
    <n v="62955.6"/>
    <n v="0.89551113380198721"/>
    <n v="11002.530864197532"/>
    <n v="2.0496508650541019"/>
  </r>
  <r>
    <s v="SIGNATURE BANK"/>
    <s v="New York"/>
    <x v="2"/>
    <n v="10017"/>
    <d v="2020-09-30T00:00:00"/>
    <x v="1"/>
    <n v="1619"/>
    <n v="63760313"/>
    <n v="6509063"/>
    <n v="63760313"/>
    <n v="58777115"/>
    <n v="54346906"/>
    <x v="1"/>
    <n v="0.08"/>
    <n v="4347752.4800000004"/>
    <n v="0.92184483159610586"/>
    <n v="39382.528103767756"/>
    <n v="1.4971098354706704"/>
  </r>
  <r>
    <s v="SIGNATURE BANK"/>
    <s v="Rosemont"/>
    <x v="1"/>
    <n v="60018"/>
    <d v="2020-09-30T00:00:00"/>
    <x v="1"/>
    <n v="82"/>
    <n v="1204763"/>
    <n v="156185"/>
    <n v="1204764"/>
    <n v="1094446"/>
    <n v="1077842"/>
    <x v="1"/>
    <n v="7.4999999999999997E-2"/>
    <n v="80838.149999999994"/>
    <n v="0.908432612887348"/>
    <n v="14692.231707317073"/>
    <n v="1.9320704395140167"/>
  </r>
  <r>
    <s v="SIGNATURE BANK"/>
    <s v="New York"/>
    <x v="2"/>
    <n v="10017"/>
    <d v="2021-09-30T00:00:00"/>
    <x v="2"/>
    <n v="1847"/>
    <n v="107850739"/>
    <n v="28960213"/>
    <n v="107850739"/>
    <n v="100171600"/>
    <n v="95586660"/>
    <x v="1"/>
    <n v="0.08"/>
    <n v="7646932.7999999998"/>
    <n v="0.92879845728270805"/>
    <n v="58392.387114239304"/>
    <n v="3.7871671894383589"/>
  </r>
  <r>
    <s v="SIGNATURE BANK"/>
    <s v="Rosemont"/>
    <x v="1"/>
    <n v="60018"/>
    <d v="2021-09-30T00:00:00"/>
    <x v="2"/>
    <n v="81"/>
    <n v="1501249"/>
    <n v="368956"/>
    <n v="1501249"/>
    <n v="1373171"/>
    <n v="1357444"/>
    <x v="1"/>
    <n v="7.4999999999999997E-2"/>
    <n v="101808.3"/>
    <n v="0.91468570503627311"/>
    <n v="18533.938271604937"/>
    <n v="3.6240267247365883"/>
  </r>
  <r>
    <s v="SILICON VALLEY BANK"/>
    <s v="Santa Clara"/>
    <x v="0"/>
    <n v="95054"/>
    <d v="2019-09-30T00:00:00"/>
    <x v="0"/>
    <n v="3068"/>
    <n v="67059614"/>
    <n v="6319589"/>
    <n v="67059614"/>
    <n v="62140847"/>
    <n v="60432256"/>
    <x v="1"/>
    <n v="0.08"/>
    <n v="4834580.4800000004"/>
    <n v="0.92665083040889562"/>
    <n v="21857.762059973924"/>
    <n v="1.3071638844659381"/>
  </r>
  <r>
    <s v="SILICON VALLEY BANK"/>
    <s v="Santa Clara"/>
    <x v="0"/>
    <n v="95054"/>
    <d v="2020-09-30T00:00:00"/>
    <x v="1"/>
    <n v="3693"/>
    <n v="95182370"/>
    <n v="14920167"/>
    <n v="95182370"/>
    <n v="89078008"/>
    <n v="86264581"/>
    <x v="1"/>
    <n v="0.08"/>
    <n v="6901166.4800000004"/>
    <n v="0.93586667362874032"/>
    <n v="25773.725968047656"/>
    <n v="2.1619775502068457"/>
  </r>
  <r>
    <s v="SILICON VALLEY BANK"/>
    <s v="Santa Clara"/>
    <x v="0"/>
    <n v="95054"/>
    <d v="2021-09-30T00:00:00"/>
    <x v="2"/>
    <n v="5554"/>
    <n v="188327020"/>
    <n v="17975157"/>
    <n v="188327020"/>
    <n v="174926861"/>
    <n v="172286882"/>
    <x v="1"/>
    <n v="0.08"/>
    <n v="13782950.560000001"/>
    <n v="0.92884632805212974"/>
    <n v="33908.357940223264"/>
    <n v="1.3041588534871738"/>
  </r>
  <r>
    <s v="SILVERGATE BANK"/>
    <s v="La Jolla"/>
    <x v="0"/>
    <n v="92037"/>
    <d v="2019-09-30T00:00:00"/>
    <x v="0"/>
    <n v="207"/>
    <n v="2133337"/>
    <n v="159818"/>
    <n v="2133337"/>
    <n v="1896386"/>
    <n v="1859087"/>
    <x v="1"/>
    <n v="0.08"/>
    <n v="148726.96"/>
    <n v="0.88892940965257716"/>
    <n v="10305.975845410629"/>
    <n v="1.0745731641391716"/>
  </r>
  <r>
    <s v="SILVERGATE BANK"/>
    <s v="La Jolla"/>
    <x v="0"/>
    <n v="92037"/>
    <d v="2020-09-30T00:00:00"/>
    <x v="1"/>
    <n v="215"/>
    <n v="2620425"/>
    <n v="197473"/>
    <n v="2620425"/>
    <n v="2333693"/>
    <n v="2293714"/>
    <x v="1"/>
    <n v="0.08"/>
    <n v="183497.12"/>
    <n v="0.89057805508648402"/>
    <n v="12188.023255813954"/>
    <n v="1.0761640291684142"/>
  </r>
  <r>
    <s v="SILVERGATE BANK"/>
    <s v="La Jolla"/>
    <x v="0"/>
    <n v="92037"/>
    <d v="2021-09-30T00:00:00"/>
    <x v="2"/>
    <n v="245"/>
    <n v="12775983"/>
    <n v="3784488"/>
    <n v="12775983"/>
    <n v="11747362"/>
    <n v="11721885"/>
    <x v="1"/>
    <n v="0.08"/>
    <n v="937750.8"/>
    <n v="0.9194879172898085"/>
    <n v="52146.869387755105"/>
    <n v="4.0357075675115395"/>
  </r>
  <r>
    <s v="SOLUTIONS BANK"/>
    <s v="Forreston"/>
    <x v="1"/>
    <n v="61030"/>
    <d v="2020-09-30T00:00:00"/>
    <x v="1"/>
    <n v="43"/>
    <n v="335645"/>
    <n v="5371"/>
    <n v="335645"/>
    <n v="300216"/>
    <n v="260030"/>
    <x v="0"/>
    <n v="0.08"/>
    <n v="20802.400000000001"/>
    <n v="0.89444502376022283"/>
    <n v="7805.6976744186049"/>
    <n v="0.25819136253509206"/>
  </r>
  <r>
    <s v="SOLUTIONS BANK"/>
    <s v="Forreston"/>
    <x v="1"/>
    <n v="61030"/>
    <d v="2021-09-30T00:00:00"/>
    <x v="2"/>
    <n v="43"/>
    <n v="319280"/>
    <n v="3910"/>
    <n v="319280"/>
    <n v="285095"/>
    <n v="284987"/>
    <x v="0"/>
    <n v="0.08"/>
    <n v="22798.959999999999"/>
    <n v="0.89293096968178398"/>
    <n v="7425.1162790697672"/>
    <n v="0.17149905083389769"/>
  </r>
  <r>
    <s v="SOLVAY BANK"/>
    <s v="Solvay"/>
    <x v="2"/>
    <n v="13209"/>
    <d v="2019-09-30T00:00:00"/>
    <x v="0"/>
    <n v="158"/>
    <n v="969583"/>
    <n v="46638"/>
    <n v="969583"/>
    <n v="879026"/>
    <n v="841525"/>
    <x v="0"/>
    <n v="8.5000000000000006E-2"/>
    <n v="71529.625"/>
    <n v="0.90660211658001433"/>
    <n v="6136.6012658227846"/>
    <n v="0.65200956946160415"/>
  </r>
  <r>
    <s v="SOLVAY BANK"/>
    <s v="Solvay"/>
    <x v="2"/>
    <n v="13209"/>
    <d v="2020-09-30T00:00:00"/>
    <x v="1"/>
    <n v="153"/>
    <n v="1065997"/>
    <n v="97449"/>
    <n v="1065997"/>
    <n v="967862"/>
    <n v="923865"/>
    <x v="1"/>
    <n v="0.08"/>
    <n v="73909.2"/>
    <n v="0.90794064148398168"/>
    <n v="6967.3006535947716"/>
    <n v="1.3184962088616843"/>
  </r>
  <r>
    <s v="SOLVAY BANK"/>
    <s v="Solvay"/>
    <x v="2"/>
    <n v="13209"/>
    <d v="2021-09-30T00:00:00"/>
    <x v="2"/>
    <n v="155"/>
    <n v="1123635"/>
    <n v="45298"/>
    <n v="1123635"/>
    <n v="1023934"/>
    <n v="998732"/>
    <x v="1"/>
    <n v="0.08"/>
    <n v="79898.559999999998"/>
    <n v="0.91126922888660467"/>
    <n v="7249.2580645161288"/>
    <n v="0.56694388484598468"/>
  </r>
  <r>
    <s v="SOUTH CENTRAL BANK, NATIONAL ASSOCIATION"/>
    <s v="Chicago"/>
    <x v="1"/>
    <n v="60607"/>
    <d v="2019-09-30T00:00:00"/>
    <x v="0"/>
    <n v="41"/>
    <n v="292161"/>
    <n v="3419"/>
    <n v="292161"/>
    <n v="266966"/>
    <n v="236757"/>
    <x v="0"/>
    <n v="0.08"/>
    <n v="18940.560000000001"/>
    <n v="0.91376330174116327"/>
    <n v="7125.8780487804879"/>
    <n v="0.18051208623187487"/>
  </r>
  <r>
    <s v="SOUTH PORTE BANK"/>
    <s v="Marion"/>
    <x v="1"/>
    <n v="62959"/>
    <d v="2019-09-30T00:00:00"/>
    <x v="0"/>
    <n v="17"/>
    <n v="105414"/>
    <n v="8255"/>
    <n v="105414"/>
    <n v="95227"/>
    <n v="86623"/>
    <x v="0"/>
    <n v="0.08"/>
    <n v="6929.84"/>
    <n v="0.90336198227939368"/>
    <n v="6200.8235294117649"/>
    <n v="1.1912251942324787"/>
  </r>
  <r>
    <s v="SOUTH SHORE BANK"/>
    <s v="South Weymouth"/>
    <x v="3"/>
    <n v="2190"/>
    <d v="2019-09-30T00:00:00"/>
    <x v="0"/>
    <n v="206"/>
    <n v="1540426"/>
    <n v="114284"/>
    <n v="1540426"/>
    <n v="1377679"/>
    <n v="1286099"/>
    <x v="1"/>
    <n v="0.08"/>
    <n v="102887.92"/>
    <n v="0.89434935530820692"/>
    <n v="7477.7961165048546"/>
    <n v="1.1107620797465825"/>
  </r>
  <r>
    <s v="SOUTH SHORE BANK"/>
    <s v="South Weymouth"/>
    <x v="3"/>
    <n v="2190"/>
    <d v="2020-09-30T00:00:00"/>
    <x v="1"/>
    <n v="201"/>
    <n v="1847048"/>
    <n v="121304"/>
    <n v="1847048"/>
    <n v="1672770"/>
    <n v="1521176"/>
    <x v="1"/>
    <n v="0.08"/>
    <n v="121694.08"/>
    <n v="0.90564511588220775"/>
    <n v="9189.2935323383081"/>
    <n v="0.99679458524194442"/>
  </r>
  <r>
    <s v="SOUTH SHORE BANK"/>
    <s v="South Weymouth"/>
    <x v="3"/>
    <n v="2190"/>
    <d v="2021-09-30T00:00:00"/>
    <x v="2"/>
    <n v="209"/>
    <n v="2050074"/>
    <n v="290588"/>
    <n v="2050074"/>
    <n v="1862708"/>
    <n v="1765801"/>
    <x v="1"/>
    <n v="0.08"/>
    <n v="141264.08000000002"/>
    <n v="0.90860525034706063"/>
    <n v="9808.9665071770341"/>
    <n v="2.0570551268234638"/>
  </r>
  <r>
    <s v="SOUTHERN ILLINOIS BANK"/>
    <s v="Johnston City"/>
    <x v="1"/>
    <n v="62951"/>
    <d v="2019-09-30T00:00:00"/>
    <x v="0"/>
    <n v="28"/>
    <n v="117144"/>
    <n v="12149"/>
    <n v="117144"/>
    <n v="102674"/>
    <n v="101975"/>
    <x v="0"/>
    <n v="0.08"/>
    <n v="8158"/>
    <n v="0.87647681486034279"/>
    <n v="4183.7142857142853"/>
    <n v="1.489213042412356"/>
  </r>
  <r>
    <s v="SOUTHERN ILLINOIS BANK"/>
    <s v="Johnston City"/>
    <x v="1"/>
    <n v="62951"/>
    <d v="2020-09-30T00:00:00"/>
    <x v="1"/>
    <n v="25"/>
    <n v="135662"/>
    <n v="17097"/>
    <n v="135662"/>
    <n v="119641"/>
    <n v="114678"/>
    <x v="0"/>
    <n v="0.08"/>
    <n v="9174.24"/>
    <n v="0.88190502867420506"/>
    <n v="5426.48"/>
    <n v="1.8635876105268665"/>
  </r>
  <r>
    <s v="SOUTHERN ILLINOIS BANK"/>
    <s v="Johnston City"/>
    <x v="1"/>
    <n v="62951"/>
    <d v="2021-09-30T00:00:00"/>
    <x v="2"/>
    <n v="26"/>
    <n v="161550"/>
    <n v="28978"/>
    <n v="161550"/>
    <n v="144363"/>
    <n v="138585"/>
    <x v="0"/>
    <n v="0.08"/>
    <n v="11086.800000000001"/>
    <n v="0.8936118848653668"/>
    <n v="6213.4615384615381"/>
    <n v="2.6137388606270515"/>
  </r>
  <r>
    <s v="SOUTHERNTRUST BANK"/>
    <s v="Goreville"/>
    <x v="1"/>
    <n v="62939"/>
    <d v="2019-09-30T00:00:00"/>
    <x v="0"/>
    <n v="16"/>
    <n v="56041"/>
    <n v="8550"/>
    <n v="56040"/>
    <n v="50373"/>
    <n v="50212"/>
    <x v="2"/>
    <n v="0.09"/>
    <n v="4519.08"/>
    <n v="0.89885976338751983"/>
    <n v="3502.5625"/>
    <n v="1.8919780132239306"/>
  </r>
  <r>
    <s v="SOUTHERNTRUST BANK"/>
    <s v="Marion"/>
    <x v="1"/>
    <n v="62959"/>
    <d v="2020-09-30T00:00:00"/>
    <x v="1"/>
    <n v="38"/>
    <n v="192955"/>
    <n v="19844"/>
    <n v="192955"/>
    <n v="173422"/>
    <n v="136190"/>
    <x v="0"/>
    <n v="0.08"/>
    <n v="10895.2"/>
    <n v="0.89876914306444511"/>
    <n v="5077.7631578947367"/>
    <n v="1.821352522211616"/>
  </r>
  <r>
    <s v="SOUTHERNTRUST BANK"/>
    <s v="Marion"/>
    <x v="1"/>
    <n v="62959"/>
    <d v="2021-09-30T00:00:00"/>
    <x v="2"/>
    <n v="40"/>
    <n v="214299"/>
    <n v="20337"/>
    <n v="214299"/>
    <n v="192056"/>
    <n v="142108"/>
    <x v="0"/>
    <n v="0.08"/>
    <n v="11368.64"/>
    <n v="0.89620576857568168"/>
    <n v="5357.4750000000004"/>
    <n v="1.7888683254989164"/>
  </r>
  <r>
    <s v="SPRING BANK"/>
    <s v="Bronx"/>
    <x v="2"/>
    <n v="10452"/>
    <d v="2019-09-30T00:00:00"/>
    <x v="0"/>
    <n v="37"/>
    <n v="193202"/>
    <n v="9797"/>
    <n v="193202"/>
    <n v="168803"/>
    <n v="168074"/>
    <x v="0"/>
    <n v="8.5000000000000006E-2"/>
    <n v="14286.29"/>
    <n v="0.87371248744837005"/>
    <n v="5221.6756756756758"/>
    <n v="0.68576236377673971"/>
  </r>
  <r>
    <s v="SPRING BANK"/>
    <s v="Bronx"/>
    <x v="2"/>
    <n v="10452"/>
    <d v="2020-09-30T00:00:00"/>
    <x v="1"/>
    <n v="33"/>
    <n v="324966"/>
    <n v="50648"/>
    <n v="324966"/>
    <n v="298074"/>
    <n v="205353"/>
    <x v="0"/>
    <n v="8.5000000000000006E-2"/>
    <n v="17455.005000000001"/>
    <n v="0.91724672734993817"/>
    <n v="9847.454545454546"/>
    <n v="2.9016319388049445"/>
  </r>
  <r>
    <s v="SPRING BANK"/>
    <s v="Bronx"/>
    <x v="2"/>
    <n v="10452"/>
    <d v="2021-09-30T00:00:00"/>
    <x v="2"/>
    <n v="34"/>
    <n v="336177"/>
    <n v="42117"/>
    <n v="336177"/>
    <n v="305559"/>
    <n v="233537"/>
    <x v="0"/>
    <n v="8.5000000000000006E-2"/>
    <n v="19850.645"/>
    <n v="0.90892297807405031"/>
    <n v="9887.5588235294126"/>
    <n v="2.121694282477975"/>
  </r>
  <r>
    <s v="SPRING VALLEY CITY BANK"/>
    <s v="Spring Valley"/>
    <x v="1"/>
    <n v="61362"/>
    <d v="2019-09-30T00:00:00"/>
    <x v="0"/>
    <n v="32"/>
    <n v="189744"/>
    <n v="15700"/>
    <n v="189744"/>
    <n v="160538"/>
    <n v="158810"/>
    <x v="0"/>
    <n v="0.08"/>
    <n v="12704.800000000001"/>
    <n v="0.84607681929336365"/>
    <n v="5929.5"/>
    <n v="1.2357534160317358"/>
  </r>
  <r>
    <s v="SPRING VALLEY CITY BANK"/>
    <s v="Spring Valley"/>
    <x v="1"/>
    <n v="61362"/>
    <d v="2020-09-30T00:00:00"/>
    <x v="1"/>
    <n v="29"/>
    <n v="208262"/>
    <n v="14587"/>
    <n v="208262"/>
    <n v="177136"/>
    <n v="171703"/>
    <x v="0"/>
    <n v="0.08"/>
    <n v="13736.24"/>
    <n v="0.85054402627459647"/>
    <n v="7181.4482758620688"/>
    <n v="1.0619354350244317"/>
  </r>
  <r>
    <s v="SPRING VALLEY CITY BANK"/>
    <s v="Spring Valley"/>
    <x v="1"/>
    <n v="61362"/>
    <d v="2021-09-30T00:00:00"/>
    <x v="2"/>
    <n v="27"/>
    <n v="238650"/>
    <n v="21595"/>
    <n v="238650"/>
    <n v="207618"/>
    <n v="197175"/>
    <x v="0"/>
    <n v="0.08"/>
    <n v="15774"/>
    <n v="0.86996857322438714"/>
    <n v="8838.8888888888887"/>
    <n v="1.3690249778115886"/>
  </r>
  <r>
    <s v="ST. CHARLES BANK &amp; TRUST COMPANY"/>
    <s v="Saint Charles"/>
    <x v="1"/>
    <n v="60174"/>
    <d v="2019-09-30T00:00:00"/>
    <x v="0"/>
    <n v="75"/>
    <n v="1273072"/>
    <n v="98440"/>
    <n v="1273072"/>
    <n v="1128285"/>
    <n v="1071058"/>
    <x v="1"/>
    <n v="7.4999999999999997E-2"/>
    <n v="80329.349999999991"/>
    <n v="0.88626959040808373"/>
    <n v="16974.293333333335"/>
    <n v="1.2254549551315927"/>
  </r>
  <r>
    <s v="ST. CHARLES BANK &amp; TRUST COMPANY, NATIONAL ASSOCIATION"/>
    <s v="Saint Charles"/>
    <x v="1"/>
    <n v="60174"/>
    <d v="2020-09-30T00:00:00"/>
    <x v="1"/>
    <n v="88"/>
    <n v="1784996"/>
    <n v="165981"/>
    <n v="1784996"/>
    <n v="1595740"/>
    <n v="1526161"/>
    <x v="1"/>
    <n v="7.4999999999999997E-2"/>
    <n v="114462.075"/>
    <n v="0.89397399209858175"/>
    <n v="20284.045454545456"/>
    <n v="1.4500960252555268"/>
  </r>
  <r>
    <s v="ST. CHARLES BANK &amp; TRUST COMPANY, NATIONAL ASSOCIATION"/>
    <s v="Saint Charles"/>
    <x v="1"/>
    <n v="60174"/>
    <d v="2021-09-30T00:00:00"/>
    <x v="2"/>
    <n v="78"/>
    <n v="1909559"/>
    <n v="206164"/>
    <n v="1909559"/>
    <n v="1697094"/>
    <n v="1634333"/>
    <x v="1"/>
    <n v="7.4999999999999997E-2"/>
    <n v="122574.97499999999"/>
    <n v="0.8887360903747934"/>
    <n v="24481.525641025641"/>
    <n v="1.6819420114097516"/>
  </r>
  <r>
    <s v="STATE BANK"/>
    <s v="Wonder Lake"/>
    <x v="1"/>
    <n v="60097"/>
    <d v="2019-09-30T00:00:00"/>
    <x v="0"/>
    <n v="72"/>
    <n v="224044"/>
    <n v="20233"/>
    <n v="224044"/>
    <n v="197321"/>
    <n v="194795"/>
    <x v="0"/>
    <n v="0.08"/>
    <n v="15583.6"/>
    <n v="0.88072432200817696"/>
    <n v="3111.7222222222222"/>
    <n v="1.2983521137606202"/>
  </r>
  <r>
    <s v="STATE BANK"/>
    <s v="Freeport"/>
    <x v="1"/>
    <n v="61032"/>
    <d v="2019-09-30T00:00:00"/>
    <x v="0"/>
    <n v="32"/>
    <n v="262659"/>
    <n v="10394"/>
    <n v="262659"/>
    <n v="233025"/>
    <n v="210550"/>
    <x v="0"/>
    <n v="0.08"/>
    <n v="16844"/>
    <n v="0.88717690998595133"/>
    <n v="8208.09375"/>
    <n v="0.617074329137972"/>
  </r>
  <r>
    <s v="STATE BANK"/>
    <s v="Waterloo"/>
    <x v="1"/>
    <n v="62298"/>
    <d v="2020-09-30T00:00:00"/>
    <x v="1"/>
    <n v="46"/>
    <n v="229085"/>
    <n v="26193"/>
    <n v="229085"/>
    <n v="209144"/>
    <n v="177125"/>
    <x v="0"/>
    <n v="0.08"/>
    <n v="14170"/>
    <n v="0.91295370713927149"/>
    <n v="4980.108695652174"/>
    <n v="1.8484827099505998"/>
  </r>
  <r>
    <s v="STATE BANK"/>
    <s v="Wonder Lake"/>
    <x v="1"/>
    <n v="60097"/>
    <d v="2020-09-30T00:00:00"/>
    <x v="1"/>
    <n v="62"/>
    <n v="258381"/>
    <n v="17588"/>
    <n v="258381"/>
    <n v="231050"/>
    <n v="225743"/>
    <x v="0"/>
    <n v="0.08"/>
    <n v="18059.439999999999"/>
    <n v="0.89422209837410649"/>
    <n v="4167.4354838709678"/>
    <n v="0.9738950930925877"/>
  </r>
  <r>
    <s v="STATE BANK"/>
    <s v="Freeport"/>
    <x v="1"/>
    <n v="61032"/>
    <d v="2020-09-30T00:00:00"/>
    <x v="1"/>
    <n v="33"/>
    <n v="301505"/>
    <n v="23636"/>
    <n v="301505"/>
    <n v="270057"/>
    <n v="231957"/>
    <x v="0"/>
    <n v="0.08"/>
    <n v="18556.560000000001"/>
    <n v="0.89569658877962222"/>
    <n v="9136.515151515152"/>
    <n v="1.2737274581064593"/>
  </r>
  <r>
    <s v="STATE BANK"/>
    <s v="Waterloo"/>
    <x v="1"/>
    <n v="62298"/>
    <d v="2021-09-30T00:00:00"/>
    <x v="2"/>
    <n v="52"/>
    <n v="296797"/>
    <n v="49120"/>
    <n v="296797"/>
    <n v="272518"/>
    <n v="229126"/>
    <x v="0"/>
    <n v="0.08"/>
    <n v="18330.080000000002"/>
    <n v="0.9181966124994525"/>
    <n v="5707.6346153846152"/>
    <n v="2.6797482607822767"/>
  </r>
  <r>
    <s v="STATE BANK"/>
    <s v="Wonder Lake"/>
    <x v="1"/>
    <n v="60097"/>
    <d v="2021-09-30T00:00:00"/>
    <x v="2"/>
    <n v="44"/>
    <n v="284362"/>
    <n v="87414"/>
    <n v="284362"/>
    <n v="256579"/>
    <n v="250249"/>
    <x v="0"/>
    <n v="0.08"/>
    <n v="20019.920000000002"/>
    <n v="0.90229707204197462"/>
    <n v="6462.772727272727"/>
    <n v="4.3663511142901665"/>
  </r>
  <r>
    <s v="STATE BANK"/>
    <s v="Freeport"/>
    <x v="1"/>
    <n v="61032"/>
    <d v="2021-09-30T00:00:00"/>
    <x v="2"/>
    <n v="32"/>
    <n v="334741"/>
    <n v="58257"/>
    <n v="334741"/>
    <n v="301427"/>
    <n v="263513"/>
    <x v="0"/>
    <n v="0.08"/>
    <n v="21081.040000000001"/>
    <n v="0.90047828022261989"/>
    <n v="10460.65625"/>
    <n v="2.7634784621631567"/>
  </r>
  <r>
    <s v="STATE BANK OF BEMENT"/>
    <s v="Bement"/>
    <x v="1"/>
    <n v="61813"/>
    <d v="2019-09-30T00:00:00"/>
    <x v="0"/>
    <n v="39"/>
    <n v="104323"/>
    <n v="5337"/>
    <n v="104323"/>
    <n v="91831"/>
    <n v="86445"/>
    <x v="0"/>
    <n v="0.08"/>
    <n v="6915.6"/>
    <n v="0.88025651102824876"/>
    <n v="2674.9487179487178"/>
    <n v="0.77173347214992183"/>
  </r>
  <r>
    <s v="STATE BANK OF BEMENT"/>
    <s v="Bement"/>
    <x v="1"/>
    <n v="61813"/>
    <d v="2020-09-30T00:00:00"/>
    <x v="1"/>
    <n v="29"/>
    <n v="119910"/>
    <n v="22568"/>
    <n v="119910"/>
    <n v="107077"/>
    <n v="102495"/>
    <x v="0"/>
    <n v="0.08"/>
    <n v="8199.6"/>
    <n v="0.8929780668834959"/>
    <n v="4134.8275862068967"/>
    <n v="2.752329381921069"/>
  </r>
  <r>
    <s v="STATE BANK OF BEMENT"/>
    <s v="Bement"/>
    <x v="1"/>
    <n v="61813"/>
    <d v="2021-09-30T00:00:00"/>
    <x v="2"/>
    <n v="28"/>
    <n v="126340"/>
    <n v="32870"/>
    <n v="126340"/>
    <n v="113329"/>
    <n v="107813"/>
    <x v="0"/>
    <n v="0.08"/>
    <n v="8625.0400000000009"/>
    <n v="0.89701598860218457"/>
    <n v="4512.1428571428569"/>
    <n v="3.8109968185654788"/>
  </r>
  <r>
    <s v="STATE BANK OF CERRO GORDO"/>
    <s v="Cerro Gordo"/>
    <x v="1"/>
    <n v="61818"/>
    <d v="2019-09-30T00:00:00"/>
    <x v="0"/>
    <n v="7"/>
    <n v="31074"/>
    <n v="8113"/>
    <n v="31074"/>
    <n v="26820"/>
    <n v="26689"/>
    <x v="2"/>
    <n v="0.09"/>
    <n v="2402.0099999999998"/>
    <n v="0.86310098474608998"/>
    <n v="4439.1428571428569"/>
    <n v="3.3775879367696224"/>
  </r>
  <r>
    <s v="STATE BANK OF CERRO GORDO"/>
    <s v="Cerro Gordo"/>
    <x v="1"/>
    <n v="61818"/>
    <d v="2020-09-30T00:00:00"/>
    <x v="1"/>
    <n v="6"/>
    <n v="39383"/>
    <n v="11811"/>
    <n v="39383"/>
    <n v="34999"/>
    <n v="30777"/>
    <x v="2"/>
    <n v="0.09"/>
    <n v="2769.93"/>
    <n v="0.88868293426097555"/>
    <n v="6563.833333333333"/>
    <n v="4.2640066716487421"/>
  </r>
  <r>
    <s v="STATE BANK OF CERRO GORDO"/>
    <s v="Cerro Gordo"/>
    <x v="1"/>
    <n v="61818"/>
    <d v="2021-09-30T00:00:00"/>
    <x v="2"/>
    <n v="5"/>
    <n v="37922"/>
    <n v="6974"/>
    <n v="37922"/>
    <n v="33549"/>
    <n v="33363"/>
    <x v="2"/>
    <n v="0.09"/>
    <n v="3002.67"/>
    <n v="0.88468435209113438"/>
    <n v="7584.4"/>
    <n v="2.3225995530644394"/>
  </r>
  <r>
    <s v="STATE BANK OF CHERRY"/>
    <s v="Cherry"/>
    <x v="1"/>
    <n v="61317"/>
    <d v="2019-09-30T00:00:00"/>
    <x v="0"/>
    <n v="12"/>
    <n v="90673"/>
    <n v="12784"/>
    <n v="90673"/>
    <n v="77823"/>
    <n v="77638"/>
    <x v="2"/>
    <n v="0.09"/>
    <n v="6987.42"/>
    <n v="0.85828195824556375"/>
    <n v="7556.083333333333"/>
    <n v="1.8295737196275592"/>
  </r>
  <r>
    <s v="STATE BANK OF CHERRY"/>
    <s v="Cherry"/>
    <x v="1"/>
    <n v="61317"/>
    <d v="2020-09-30T00:00:00"/>
    <x v="1"/>
    <n v="12"/>
    <n v="104319"/>
    <n v="15176"/>
    <n v="104319"/>
    <n v="90783"/>
    <n v="89717"/>
    <x v="0"/>
    <n v="0.08"/>
    <n v="7177.3600000000006"/>
    <n v="0.87024415494780438"/>
    <n v="8693.25"/>
    <n v="2.1144264743582597"/>
  </r>
  <r>
    <s v="STATE BANK OF CHERRY"/>
    <s v="Cherry"/>
    <x v="1"/>
    <n v="61317"/>
    <d v="2021-09-30T00:00:00"/>
    <x v="2"/>
    <n v="12"/>
    <n v="117070"/>
    <n v="10465"/>
    <n v="117070"/>
    <n v="103237"/>
    <n v="102106"/>
    <x v="0"/>
    <n v="0.08"/>
    <n v="8168.4800000000005"/>
    <n v="0.88183992483129747"/>
    <n v="9755.8333333333339"/>
    <n v="1.2811441051456329"/>
  </r>
  <r>
    <s v="STATE BANK OF DAVIS"/>
    <s v="Davis"/>
    <x v="1"/>
    <n v="61019"/>
    <d v="2019-09-30T00:00:00"/>
    <x v="0"/>
    <n v="15"/>
    <n v="161243"/>
    <n v="13756"/>
    <n v="161243"/>
    <n v="142389"/>
    <n v="125405"/>
    <x v="0"/>
    <n v="0.08"/>
    <n v="10032.4"/>
    <n v="0.88307089300000619"/>
    <n v="10749.533333333333"/>
    <n v="1.3711574498624457"/>
  </r>
  <r>
    <s v="STATE BANK OF DAVIS"/>
    <s v="Davis"/>
    <x v="1"/>
    <n v="61019"/>
    <d v="2020-09-30T00:00:00"/>
    <x v="1"/>
    <n v="18"/>
    <n v="176462"/>
    <n v="11849"/>
    <n v="176462"/>
    <n v="156580"/>
    <n v="134253"/>
    <x v="0"/>
    <n v="0.08"/>
    <n v="10740.24"/>
    <n v="0.8873298500527026"/>
    <n v="9803.4444444444453"/>
    <n v="1.1032341921595794"/>
  </r>
  <r>
    <s v="STATE BANK OF DAVIS"/>
    <s v="Davis"/>
    <x v="1"/>
    <n v="61019"/>
    <d v="2021-09-30T00:00:00"/>
    <x v="2"/>
    <n v="18"/>
    <n v="170488"/>
    <n v="19084"/>
    <n v="170488"/>
    <n v="149963"/>
    <n v="148412"/>
    <x v="0"/>
    <n v="0.08"/>
    <n v="11872.960000000001"/>
    <n v="0.87961029515273803"/>
    <n v="9471.5555555555547"/>
    <n v="1.6073498099884105"/>
  </r>
  <r>
    <s v="STATE BANK OF GRAYMONT"/>
    <s v="Graymont"/>
    <x v="1"/>
    <n v="61743"/>
    <d v="2019-09-30T00:00:00"/>
    <x v="0"/>
    <n v="40"/>
    <n v="211812"/>
    <n v="12221"/>
    <n v="211812"/>
    <n v="185677"/>
    <n v="184258"/>
    <x v="0"/>
    <n v="0.08"/>
    <n v="14740.64"/>
    <n v="0.87661227881328729"/>
    <n v="5295.3"/>
    <n v="0.82906848006599443"/>
  </r>
  <r>
    <s v="STATE BANK OF GRAYMONT"/>
    <s v="Graymont"/>
    <x v="1"/>
    <n v="61743"/>
    <d v="2020-09-30T00:00:00"/>
    <x v="1"/>
    <n v="42"/>
    <n v="234828"/>
    <n v="13627"/>
    <n v="234828"/>
    <n v="207244"/>
    <n v="200963"/>
    <x v="0"/>
    <n v="0.08"/>
    <n v="16077.04"/>
    <n v="0.88253530243412204"/>
    <n v="5591.1428571428569"/>
    <n v="0.84760627578210912"/>
  </r>
  <r>
    <s v="STATE BANK OF GRAYMONT"/>
    <s v="Graymont"/>
    <x v="1"/>
    <n v="61743"/>
    <d v="2021-09-30T00:00:00"/>
    <x v="2"/>
    <n v="38"/>
    <n v="260439"/>
    <n v="14622"/>
    <n v="260439"/>
    <n v="230195"/>
    <n v="222616"/>
    <x v="0"/>
    <n v="0.08"/>
    <n v="17809.28"/>
    <n v="0.88387299905160133"/>
    <n v="6853.6578947368425"/>
    <n v="0.82103263017932226"/>
  </r>
  <r>
    <s v="STATE BANK OF HERSCHER"/>
    <s v="Herscher"/>
    <x v="1"/>
    <n v="60941"/>
    <d v="2019-09-30T00:00:00"/>
    <x v="0"/>
    <n v="27"/>
    <n v="146236"/>
    <n v="11016"/>
    <n v="146236"/>
    <n v="126053"/>
    <n v="125196"/>
    <x v="0"/>
    <n v="0.08"/>
    <n v="10015.68"/>
    <n v="0.86198336934817688"/>
    <n v="5416.1481481481478"/>
    <n v="1.099875395380044"/>
  </r>
  <r>
    <s v="STATE BANK OF HERSCHER"/>
    <s v="Herscher"/>
    <x v="1"/>
    <n v="60941"/>
    <d v="2020-09-30T00:00:00"/>
    <x v="1"/>
    <n v="26"/>
    <n v="164325"/>
    <n v="20361"/>
    <n v="164324"/>
    <n v="144198"/>
    <n v="139234"/>
    <x v="0"/>
    <n v="0.08"/>
    <n v="11138.72"/>
    <n v="0.87751711547238709"/>
    <n v="6320.1923076923076"/>
    <n v="1.8279479150207565"/>
  </r>
  <r>
    <s v="STATE BANK OF HERSCHER"/>
    <s v="Herscher"/>
    <x v="1"/>
    <n v="60941"/>
    <d v="2021-09-30T00:00:00"/>
    <x v="2"/>
    <n v="24"/>
    <n v="168892"/>
    <n v="20087"/>
    <n v="168892"/>
    <n v="148571"/>
    <n v="147673"/>
    <x v="0"/>
    <n v="0.08"/>
    <n v="11813.84"/>
    <n v="0.87968050588541791"/>
    <n v="7037.166666666667"/>
    <n v="1.7002938925869997"/>
  </r>
  <r>
    <s v="STATE BANK OF INDIA"/>
    <s v="Chicago"/>
    <x v="1"/>
    <n v="60603"/>
    <d v="2019-09-30T00:00:00"/>
    <x v="0"/>
    <n v="200"/>
    <n v="2084538"/>
    <n v="145821"/>
    <n v="2084538"/>
    <n v="2084538"/>
    <n v="1483155"/>
    <x v="1"/>
    <n v="7.4999999999999997E-2"/>
    <n v="111236.625"/>
    <n v="1"/>
    <n v="10422.69"/>
    <n v="1.3109081653637011"/>
  </r>
  <r>
    <s v="STATE BANK OF INDIA"/>
    <s v="New York"/>
    <x v="2"/>
    <n v="10022"/>
    <d v="2019-09-30T00:00:00"/>
    <x v="0"/>
    <n v="356"/>
    <n v="9619142"/>
    <n v="552625"/>
    <n v="9619142"/>
    <n v="9619142"/>
    <n v="6594021"/>
    <x v="1"/>
    <n v="0.08"/>
    <n v="527521.68000000005"/>
    <n v="1"/>
    <n v="27020.061797752809"/>
    <n v="1.0475872764129808"/>
  </r>
  <r>
    <s v="STATE BANK OF INDIA"/>
    <s v="Chicago"/>
    <x v="1"/>
    <n v="60603"/>
    <d v="2020-09-30T00:00:00"/>
    <x v="1"/>
    <n v="30"/>
    <n v="1794345"/>
    <n v="48867"/>
    <n v="1794345"/>
    <n v="1794345"/>
    <n v="1045947"/>
    <x v="1"/>
    <n v="7.4999999999999997E-2"/>
    <n v="78446.024999999994"/>
    <n v="1"/>
    <n v="59811.5"/>
    <n v="0.62293787352514041"/>
  </r>
  <r>
    <s v="STATE BANK OF INDIA"/>
    <s v="New York"/>
    <x v="2"/>
    <n v="10022"/>
    <d v="2020-09-30T00:00:00"/>
    <x v="1"/>
    <n v="760"/>
    <n v="10025197"/>
    <n v="917083"/>
    <n v="10025197"/>
    <n v="10025197"/>
    <n v="7521063"/>
    <x v="1"/>
    <n v="0.08"/>
    <n v="601685.04"/>
    <n v="1"/>
    <n v="13191.048684210526"/>
    <n v="1.5241911283019434"/>
  </r>
  <r>
    <s v="STATE BANK OF INDIA"/>
    <s v="Chicago"/>
    <x v="1"/>
    <n v="60603"/>
    <d v="2021-09-30T00:00:00"/>
    <x v="2"/>
    <n v="167"/>
    <n v="2175115"/>
    <n v="6132"/>
    <n v="2175115"/>
    <n v="2175115"/>
    <n v="1091081"/>
    <x v="1"/>
    <n v="7.4999999999999997E-2"/>
    <n v="81831.074999999997"/>
    <n v="1"/>
    <n v="13024.640718562874"/>
    <n v="7.4934858181931505E-2"/>
  </r>
  <r>
    <s v="STATE BANK OF INDIA"/>
    <s v="New York"/>
    <x v="2"/>
    <n v="10022"/>
    <d v="2021-09-30T00:00:00"/>
    <x v="2"/>
    <n v="418"/>
    <n v="12544226"/>
    <n v="1621938"/>
    <n v="12544226"/>
    <n v="12544226"/>
    <n v="8666982"/>
    <x v="1"/>
    <n v="0.08"/>
    <n v="693358.56"/>
    <n v="1"/>
    <n v="30010.110047846891"/>
    <n v="2.3392485411876933"/>
  </r>
  <r>
    <s v="STATE BANK OF INDIA (CALIFORNIA)"/>
    <s v="Los Angeles"/>
    <x v="0"/>
    <n v="90017"/>
    <d v="2019-09-30T00:00:00"/>
    <x v="0"/>
    <n v="89"/>
    <n v="839421"/>
    <n v="54988"/>
    <n v="839421"/>
    <n v="697515"/>
    <n v="687278"/>
    <x v="0"/>
    <n v="0.09"/>
    <n v="61855.02"/>
    <n v="0.83094776042057561"/>
    <n v="9431.6966292134839"/>
    <n v="0.88898200986759046"/>
  </r>
  <r>
    <s v="STATE BANK OF INDIA (CALIFORNIA)"/>
    <s v="Los Angeles"/>
    <x v="0"/>
    <n v="90017"/>
    <d v="2020-09-30T00:00:00"/>
    <x v="1"/>
    <n v="90"/>
    <n v="886657"/>
    <n v="50874"/>
    <n v="886657"/>
    <n v="735529"/>
    <n v="689529"/>
    <x v="0"/>
    <n v="0.09"/>
    <n v="62057.61"/>
    <n v="0.829553028961594"/>
    <n v="9851.7444444444445"/>
    <n v="0.81978664663366829"/>
  </r>
  <r>
    <s v="STATE BANK OF INDIA (CALIFORNIA)"/>
    <s v="Los Angeles"/>
    <x v="0"/>
    <n v="90017"/>
    <d v="2021-09-30T00:00:00"/>
    <x v="2"/>
    <n v="89"/>
    <n v="891941"/>
    <n v="52862"/>
    <n v="891941"/>
    <n v="737575"/>
    <n v="734949"/>
    <x v="0"/>
    <n v="0.09"/>
    <n v="66145.41"/>
    <n v="0.82693249889846976"/>
    <n v="10021.808988764045"/>
    <n v="0.79917865805049815"/>
  </r>
  <r>
    <s v="STATE BANK OF INDUSTRY"/>
    <s v="Industry"/>
    <x v="1"/>
    <n v="61440"/>
    <d v="2019-09-30T00:00:00"/>
    <x v="0"/>
    <n v="8"/>
    <n v="51494"/>
    <n v="5490"/>
    <n v="51494"/>
    <n v="43490"/>
    <n v="43135"/>
    <x v="2"/>
    <n v="0.09"/>
    <n v="3882.1499999999996"/>
    <n v="0.84456441527168213"/>
    <n v="6436.75"/>
    <n v="1.4141648313434567"/>
  </r>
  <r>
    <s v="STATE BANK OF INDUSTRY"/>
    <s v="Industry"/>
    <x v="1"/>
    <n v="61440"/>
    <d v="2020-09-30T00:00:00"/>
    <x v="1"/>
    <n v="8"/>
    <n v="54891"/>
    <n v="8294"/>
    <n v="54891"/>
    <n v="46516"/>
    <n v="46202"/>
    <x v="2"/>
    <n v="0.09"/>
    <n v="4158.18"/>
    <n v="0.84742489661328813"/>
    <n v="6861.375"/>
    <n v="1.9946226474082409"/>
  </r>
  <r>
    <s v="STATE BANK OF INDUSTRY"/>
    <s v="Industry"/>
    <x v="1"/>
    <n v="61440"/>
    <d v="2021-09-30T00:00:00"/>
    <x v="2"/>
    <n v="8"/>
    <n v="53660"/>
    <n v="8376"/>
    <n v="53660"/>
    <n v="44965"/>
    <n v="44691"/>
    <x v="2"/>
    <n v="0.09"/>
    <n v="4022.19"/>
    <n v="0.83796123742079764"/>
    <n v="6707.5"/>
    <n v="2.0824476218179648"/>
  </r>
  <r>
    <s v="STATE BANK OF LINCOLN"/>
    <s v="Lincoln"/>
    <x v="1"/>
    <n v="62656"/>
    <d v="2019-09-30T00:00:00"/>
    <x v="0"/>
    <n v="81"/>
    <n v="344730"/>
    <n v="46576"/>
    <n v="344730"/>
    <n v="307557"/>
    <n v="306152"/>
    <x v="0"/>
    <n v="0.08"/>
    <n v="24492.16"/>
    <n v="0.89216778348272563"/>
    <n v="4255.9259259259261"/>
    <n v="1.9016697588126159"/>
  </r>
  <r>
    <s v="STATE BANK OF LINCOLN"/>
    <s v="Lincoln"/>
    <x v="1"/>
    <n v="62656"/>
    <d v="2020-09-30T00:00:00"/>
    <x v="1"/>
    <n v="77"/>
    <n v="349362"/>
    <n v="45980"/>
    <n v="349362"/>
    <n v="312634"/>
    <n v="310034"/>
    <x v="0"/>
    <n v="0.08"/>
    <n v="24802.720000000001"/>
    <n v="0.89487122239968853"/>
    <n v="4537.1688311688313"/>
    <n v="1.853828934891012"/>
  </r>
  <r>
    <s v="STATE BANK OF NAUVOO"/>
    <s v="Nauvoo"/>
    <x v="1"/>
    <n v="62354"/>
    <d v="2019-09-30T00:00:00"/>
    <x v="0"/>
    <n v="8"/>
    <n v="33356"/>
    <n v="8112"/>
    <n v="33356"/>
    <n v="30498"/>
    <n v="30470"/>
    <x v="2"/>
    <n v="0.09"/>
    <n v="2742.2999999999997"/>
    <n v="0.91431826358076507"/>
    <n v="4169.5"/>
    <n v="2.9581008642380486"/>
  </r>
  <r>
    <s v="STATE BANK OF NAUVOO"/>
    <s v="Nauvoo"/>
    <x v="1"/>
    <n v="62354"/>
    <d v="2020-09-30T00:00:00"/>
    <x v="1"/>
    <n v="7"/>
    <n v="33195"/>
    <n v="8011"/>
    <n v="33195"/>
    <n v="30150"/>
    <n v="30121"/>
    <x v="2"/>
    <n v="0.09"/>
    <n v="2710.89"/>
    <n v="0.90826931766832353"/>
    <n v="4742.1428571428569"/>
    <n v="2.9551180608582421"/>
  </r>
  <r>
    <s v="STATE BANK OF NAUVOO"/>
    <s v="Nauvoo"/>
    <x v="1"/>
    <n v="62354"/>
    <d v="2021-09-30T00:00:00"/>
    <x v="2"/>
    <n v="8"/>
    <n v="36944"/>
    <n v="13381"/>
    <n v="36944"/>
    <n v="33877"/>
    <n v="33847"/>
    <x v="2"/>
    <n v="0.09"/>
    <n v="3046.23"/>
    <n v="0.91698245993936767"/>
    <n v="4618"/>
    <n v="4.3926427091847957"/>
  </r>
  <r>
    <s v="STATE BANK OF SAUNEMIN"/>
    <s v="Saunemin"/>
    <x v="1"/>
    <n v="61769"/>
    <d v="2019-09-30T00:00:00"/>
    <x v="0"/>
    <n v="7"/>
    <n v="35240"/>
    <n v="4766"/>
    <n v="35240"/>
    <n v="31069"/>
    <n v="31001"/>
    <x v="2"/>
    <n v="0.09"/>
    <n v="2790.0899999999997"/>
    <n v="0.8816401816118048"/>
    <n v="5034.2857142857147"/>
    <n v="1.708188624739704"/>
  </r>
  <r>
    <s v="STATE BANK OF SAUNEMIN"/>
    <s v="Saunemin"/>
    <x v="1"/>
    <n v="61769"/>
    <d v="2020-09-30T00:00:00"/>
    <x v="1"/>
    <n v="7"/>
    <n v="38152"/>
    <n v="6369"/>
    <n v="38152"/>
    <n v="33458"/>
    <n v="33380"/>
    <x v="2"/>
    <n v="0.09"/>
    <n v="3004.2"/>
    <n v="0.87696582092681907"/>
    <n v="5450.2857142857147"/>
    <n v="2.1200319552626326"/>
  </r>
  <r>
    <s v="STATE BANK OF SAUNEMIN"/>
    <s v="Saunemin"/>
    <x v="1"/>
    <n v="61769"/>
    <d v="2021-09-30T00:00:00"/>
    <x v="2"/>
    <n v="7"/>
    <n v="40174"/>
    <n v="6001"/>
    <n v="40174"/>
    <n v="35213"/>
    <n v="35182"/>
    <x v="2"/>
    <n v="0.09"/>
    <n v="3166.38"/>
    <n v="0.87651217205157561"/>
    <n v="5739.1428571428569"/>
    <n v="1.8952241992432999"/>
  </r>
  <r>
    <s v="STATE BANK OF ST. JACOB"/>
    <s v="Saint Jacob"/>
    <x v="1"/>
    <n v="62281"/>
    <d v="2019-09-30T00:00:00"/>
    <x v="0"/>
    <n v="10"/>
    <n v="65080"/>
    <n v="11855"/>
    <n v="65080"/>
    <n v="54261"/>
    <n v="54017"/>
    <x v="2"/>
    <n v="0.09"/>
    <n v="4861.53"/>
    <n v="0.83375845113706204"/>
    <n v="6508"/>
    <n v="2.4385327252943005"/>
  </r>
  <r>
    <s v="STATE BANK OF ST. JACOB"/>
    <s v="Saint Jacob"/>
    <x v="1"/>
    <n v="62281"/>
    <d v="2020-09-30T00:00:00"/>
    <x v="1"/>
    <n v="11"/>
    <n v="71303"/>
    <n v="14253"/>
    <n v="71303"/>
    <n v="59758"/>
    <n v="59568"/>
    <x v="2"/>
    <n v="0.09"/>
    <n v="5361.12"/>
    <n v="0.83808535405242413"/>
    <n v="6482.090909090909"/>
    <n v="2.6585862655564512"/>
  </r>
  <r>
    <s v="STATE BANK OF ST. JACOB"/>
    <s v="Saint Jacob"/>
    <x v="1"/>
    <n v="62281"/>
    <d v="2021-09-30T00:00:00"/>
    <x v="2"/>
    <n v="10"/>
    <n v="81571"/>
    <n v="12052"/>
    <n v="81571"/>
    <n v="70072"/>
    <n v="69919"/>
    <x v="2"/>
    <n v="0.09"/>
    <n v="6292.71"/>
    <n v="0.85903078299885993"/>
    <n v="8157.1"/>
    <n v="1.9152320701255898"/>
  </r>
  <r>
    <s v="STATE BANK OF THE LAKES"/>
    <s v="Antioch"/>
    <x v="1"/>
    <n v="60002"/>
    <d v="2019-09-30T00:00:00"/>
    <x v="0"/>
    <n v="90"/>
    <n v="1321022"/>
    <n v="92691"/>
    <n v="1321022"/>
    <n v="1148132"/>
    <n v="1115388"/>
    <x v="1"/>
    <n v="7.4999999999999997E-2"/>
    <n v="83654.099999999991"/>
    <n v="0.86912405698012596"/>
    <n v="14678.022222222222"/>
    <n v="1.1080269825388118"/>
  </r>
  <r>
    <s v="STATE BANK OF THE LAKES, NATIONAL ASSOCIATION"/>
    <s v="Antioch"/>
    <x v="1"/>
    <n v="60002"/>
    <d v="2020-09-30T00:00:00"/>
    <x v="1"/>
    <n v="89"/>
    <n v="1538380"/>
    <n v="212671"/>
    <n v="1538380"/>
    <n v="1361574"/>
    <n v="1323596"/>
    <x v="1"/>
    <n v="7.4999999999999997E-2"/>
    <n v="99269.7"/>
    <n v="0.88507000871046171"/>
    <n v="17285.168539325841"/>
    <n v="2.1423556231156136"/>
  </r>
  <r>
    <s v="STATE BANK OF THE LAKES, NATIONAL ASSOCIATION"/>
    <s v="Antioch"/>
    <x v="1"/>
    <n v="60002"/>
    <d v="2021-09-30T00:00:00"/>
    <x v="2"/>
    <n v="88"/>
    <n v="1669504"/>
    <n v="267212"/>
    <n v="1669504"/>
    <n v="1479229"/>
    <n v="1442333"/>
    <x v="1"/>
    <n v="7.4999999999999997E-2"/>
    <n v="108174.97499999999"/>
    <n v="0.88602902418922025"/>
    <n v="18971.636363636364"/>
    <n v="2.4701831454086309"/>
  </r>
  <r>
    <s v="STATE BANK OF TOULON"/>
    <s v="Toulon"/>
    <x v="1"/>
    <n v="61483"/>
    <d v="2019-09-30T00:00:00"/>
    <x v="0"/>
    <n v="42"/>
    <n v="229145"/>
    <n v="12325"/>
    <n v="229145"/>
    <n v="202186"/>
    <n v="189484"/>
    <x v="0"/>
    <n v="0.08"/>
    <n v="15158.720000000001"/>
    <n v="0.88234960396255646"/>
    <n v="5455.833333333333"/>
    <n v="0.81306337210529644"/>
  </r>
  <r>
    <s v="STATE BANK OF TOULON"/>
    <s v="Toulon"/>
    <x v="1"/>
    <n v="61483"/>
    <d v="2020-09-30T00:00:00"/>
    <x v="1"/>
    <n v="42"/>
    <n v="262645"/>
    <n v="10298"/>
    <n v="262645"/>
    <n v="232544"/>
    <n v="216055"/>
    <x v="0"/>
    <n v="0.08"/>
    <n v="17284.400000000001"/>
    <n v="0.88539283062689178"/>
    <n v="6253.4523809523807"/>
    <n v="0.59579736641133041"/>
  </r>
  <r>
    <s v="STATE BANK OF TOULON"/>
    <s v="Toulon"/>
    <x v="1"/>
    <n v="61483"/>
    <d v="2021-09-30T00:00:00"/>
    <x v="2"/>
    <n v="43"/>
    <n v="299485"/>
    <n v="12605"/>
    <n v="299485"/>
    <n v="267502"/>
    <n v="254669"/>
    <x v="0"/>
    <n v="0.08"/>
    <n v="20373.52"/>
    <n v="0.89320667145266042"/>
    <n v="6964.7674418604647"/>
    <n v="0.6186952475566323"/>
  </r>
  <r>
    <s v="STATE BANK OF WATERLOO"/>
    <s v="Waterloo"/>
    <x v="1"/>
    <n v="62298"/>
    <d v="2019-09-30T00:00:00"/>
    <x v="0"/>
    <n v="41"/>
    <n v="190275"/>
    <n v="27982"/>
    <n v="190275"/>
    <n v="174088"/>
    <n v="145709"/>
    <x v="0"/>
    <n v="0.08"/>
    <n v="11656.72"/>
    <n v="0.914928393115228"/>
    <n v="4640.8536585365855"/>
    <n v="2.4005037437632541"/>
  </r>
  <r>
    <s v="STATE BANK OF WHITTINGTON"/>
    <s v="Benton"/>
    <x v="1"/>
    <n v="62812"/>
    <d v="2019-09-30T00:00:00"/>
    <x v="0"/>
    <n v="41"/>
    <n v="132991"/>
    <n v="8304"/>
    <n v="132991"/>
    <n v="118320"/>
    <n v="117367"/>
    <x v="0"/>
    <n v="0.08"/>
    <n v="9389.36"/>
    <n v="0.88968426434871528"/>
    <n v="3243.6829268292681"/>
    <n v="0.88440532688063933"/>
  </r>
  <r>
    <s v="STATE BANK OF WHITTINGTON"/>
    <s v="Benton"/>
    <x v="1"/>
    <n v="62812"/>
    <d v="2020-09-30T00:00:00"/>
    <x v="1"/>
    <n v="45"/>
    <n v="146091"/>
    <n v="13411"/>
    <n v="146091"/>
    <n v="129888"/>
    <n v="128821"/>
    <x v="0"/>
    <n v="0.08"/>
    <n v="10305.68"/>
    <n v="0.88908967698215491"/>
    <n v="3246.4666666666667"/>
    <n v="1.3013212131562399"/>
  </r>
  <r>
    <s v="STATE BANK OF WHITTINGTON"/>
    <s v="Benton"/>
    <x v="1"/>
    <n v="62812"/>
    <d v="2021-09-30T00:00:00"/>
    <x v="2"/>
    <n v="45"/>
    <n v="163586"/>
    <n v="16396"/>
    <n v="163586"/>
    <n v="147119"/>
    <n v="146185"/>
    <x v="0"/>
    <n v="0.08"/>
    <n v="11694.800000000001"/>
    <n v="0.89933735160710571"/>
    <n v="3635.2444444444445"/>
    <n v="1.4019906283134382"/>
  </r>
  <r>
    <s v="STATE FARM BANK, F.S.B."/>
    <s v="Bloomington"/>
    <x v="1"/>
    <n v="61710"/>
    <d v="2019-09-30T00:00:00"/>
    <x v="0"/>
    <n v="1589"/>
    <n v="15959138"/>
    <n v="354064"/>
    <n v="15959138"/>
    <n v="14023768"/>
    <n v="11014830"/>
    <x v="1"/>
    <n v="7.4999999999999997E-2"/>
    <n v="826112.25"/>
    <n v="0.87872966572505362"/>
    <n v="10043.510383889239"/>
    <n v="0.42859066670419182"/>
  </r>
  <r>
    <s v="STATE FARM BANK, F.S.B."/>
    <s v="Bloomington"/>
    <x v="1"/>
    <n v="61710"/>
    <d v="2020-09-30T00:00:00"/>
    <x v="1"/>
    <n v="892"/>
    <n v="12285312"/>
    <n v="10309195"/>
    <n v="12285312"/>
    <n v="10544522"/>
    <n v="10144754"/>
    <x v="1"/>
    <n v="7.4999999999999997E-2"/>
    <n v="760856.54999999993"/>
    <n v="0.8583031509496869"/>
    <n v="13772.77130044843"/>
    <n v="13.549459487468434"/>
  </r>
  <r>
    <s v="STATE STREET BANK AND TRUST COMPANY"/>
    <s v="Boston"/>
    <x v="3"/>
    <n v="2111"/>
    <d v="2019-09-30T00:00:00"/>
    <x v="0"/>
    <n v="30915"/>
    <n v="241364000"/>
    <n v="65283000"/>
    <n v="241364000"/>
    <n v="215039000"/>
    <n v="176022000"/>
    <x v="1"/>
    <n v="0.08"/>
    <n v="14081760"/>
    <n v="0.89093236771018047"/>
    <n v="7807.3427138929319"/>
    <n v="4.635997204894843"/>
  </r>
  <r>
    <s v="STATE STREET BANK AND TRUST COMPANY"/>
    <s v="Quincy"/>
    <x v="1"/>
    <n v="62301"/>
    <d v="2019-09-30T00:00:00"/>
    <x v="0"/>
    <n v="62"/>
    <n v="224381"/>
    <n v="13793"/>
    <n v="224381"/>
    <n v="202734"/>
    <n v="202136"/>
    <x v="0"/>
    <n v="0.08"/>
    <n v="16170.880000000001"/>
    <n v="0.90352569959132012"/>
    <n v="3619.0483870967741"/>
    <n v="0.85295296236197404"/>
  </r>
  <r>
    <s v="STATE STREET BANK AND TRUST COMPANY"/>
    <s v="Boston"/>
    <x v="3"/>
    <n v="2111"/>
    <d v="2020-09-30T00:00:00"/>
    <x v="1"/>
    <n v="30040"/>
    <n v="268733000"/>
    <n v="83710000"/>
    <n v="268733000"/>
    <n v="242327000"/>
    <n v="203511000"/>
    <x v="1"/>
    <n v="0.08"/>
    <n v="16280880"/>
    <n v="0.90173890069325313"/>
    <n v="8945.8388814913451"/>
    <n v="5.1416139668126046"/>
  </r>
  <r>
    <s v="STATE STREET BANK AND TRUST COMPANY"/>
    <s v="Quincy"/>
    <x v="1"/>
    <n v="62301"/>
    <d v="2020-09-30T00:00:00"/>
    <x v="1"/>
    <n v="64"/>
    <n v="266360"/>
    <n v="33225"/>
    <n v="266360"/>
    <n v="241814"/>
    <n v="236455"/>
    <x v="0"/>
    <n v="0.08"/>
    <n v="18916.400000000001"/>
    <n v="0.90784652350202732"/>
    <n v="4161.875"/>
    <n v="1.7564124251971833"/>
  </r>
  <r>
    <s v="STATE STREET BANK AND TRUST COMPANY"/>
    <s v="Boston"/>
    <x v="3"/>
    <n v="2111"/>
    <d v="2021-09-30T00:00:00"/>
    <x v="2"/>
    <n v="29444"/>
    <n v="319439000"/>
    <n v="111439000"/>
    <n v="319439000"/>
    <n v="292099000"/>
    <n v="265086000"/>
    <x v="1"/>
    <n v="0.08"/>
    <n v="21206880"/>
    <n v="0.91441245433400431"/>
    <n v="10849.035457138976"/>
    <n v="5.254851255818866"/>
  </r>
  <r>
    <s v="STATE STREET BANK AND TRUST COMPANY"/>
    <s v="Quincy"/>
    <x v="1"/>
    <n v="62301"/>
    <d v="2021-09-30T00:00:00"/>
    <x v="2"/>
    <n v="65"/>
    <n v="289517"/>
    <n v="17217"/>
    <n v="289517"/>
    <n v="263632"/>
    <n v="262208"/>
    <x v="0"/>
    <n v="0.08"/>
    <n v="20976.639999999999"/>
    <n v="0.91059246952683259"/>
    <n v="4454.1076923076926"/>
    <n v="0.82077015194044423"/>
  </r>
  <r>
    <s v="STC CAPITAL BANK"/>
    <s v="Saint Charles"/>
    <x v="1"/>
    <n v="60174"/>
    <d v="2019-09-30T00:00:00"/>
    <x v="0"/>
    <n v="46"/>
    <n v="239526"/>
    <n v="31333"/>
    <n v="239526"/>
    <n v="209319"/>
    <n v="208132"/>
    <x v="0"/>
    <n v="0.08"/>
    <n v="16650.560000000001"/>
    <n v="0.87388842964855595"/>
    <n v="5207.086956521739"/>
    <n v="1.8817985701381814"/>
  </r>
  <r>
    <s v="STERLING FEDERAL BANK, F.S.B."/>
    <s v="Sterling"/>
    <x v="1"/>
    <n v="61081"/>
    <d v="2019-09-30T00:00:00"/>
    <x v="0"/>
    <n v="112"/>
    <n v="454001"/>
    <n v="14011"/>
    <n v="454000"/>
    <n v="412582"/>
    <n v="364099"/>
    <x v="0"/>
    <n v="0.08"/>
    <n v="29127.920000000002"/>
    <n v="0.9087689234164682"/>
    <n v="4053.5803571428573"/>
    <n v="0.48101615220036303"/>
  </r>
  <r>
    <s v="STERLING FEDERAL BANK, F.S.B."/>
    <s v="Sterling"/>
    <x v="1"/>
    <n v="61081"/>
    <d v="2020-09-30T00:00:00"/>
    <x v="1"/>
    <n v="103"/>
    <n v="487500"/>
    <n v="23546"/>
    <n v="487500"/>
    <n v="444364"/>
    <n v="390654"/>
    <x v="0"/>
    <n v="0.08"/>
    <n v="31252.32"/>
    <n v="0.91151589743589745"/>
    <n v="4733.0097087378645"/>
    <n v="0.75341606639123115"/>
  </r>
  <r>
    <s v="STERLING FEDERAL BANK, F.S.B."/>
    <s v="Sterling"/>
    <x v="1"/>
    <n v="61081"/>
    <d v="2021-09-30T00:00:00"/>
    <x v="2"/>
    <n v="101"/>
    <n v="482451"/>
    <n v="15795"/>
    <n v="482451"/>
    <n v="440189"/>
    <n v="427149"/>
    <x v="0"/>
    <n v="0.08"/>
    <n v="34171.919999999998"/>
    <n v="0.91240146667744493"/>
    <n v="4776.742574257426"/>
    <n v="0.46222161353532376"/>
  </r>
  <r>
    <s v="STERLING NATIONAL BANK"/>
    <s v="Montebello"/>
    <x v="2"/>
    <n v="10901"/>
    <d v="2019-09-30T00:00:00"/>
    <x v="0"/>
    <n v="1689"/>
    <n v="30019454"/>
    <n v="545603"/>
    <n v="30019454"/>
    <n v="25458846"/>
    <n v="21734461"/>
    <x v="1"/>
    <n v="0.08"/>
    <n v="1738756.8800000001"/>
    <n v="0.84807824952445843"/>
    <n v="17773.507400828894"/>
    <n v="0.31378912502131978"/>
  </r>
  <r>
    <s v="STERLING NATIONAL BANK"/>
    <s v="Pearl River"/>
    <x v="2"/>
    <n v="10965"/>
    <d v="2020-09-30T00:00:00"/>
    <x v="1"/>
    <n v="1466"/>
    <n v="30539176"/>
    <n v="437558"/>
    <n v="30539176"/>
    <n v="25873909"/>
    <n v="24432505"/>
    <x v="1"/>
    <n v="0.08"/>
    <n v="1954600.4000000001"/>
    <n v="0.84723664449885616"/>
    <n v="20831.634379263302"/>
    <n v="0.22386059063530325"/>
  </r>
  <r>
    <s v="STERLING NATIONAL BANK"/>
    <s v="Pearl River"/>
    <x v="2"/>
    <n v="10965"/>
    <d v="2021-09-30T00:00:00"/>
    <x v="2"/>
    <n v="1460"/>
    <n v="29938002"/>
    <n v="929320"/>
    <n v="29938002"/>
    <n v="24840845"/>
    <n v="24130341"/>
    <x v="1"/>
    <n v="0.08"/>
    <n v="1930427.28"/>
    <n v="0.82974291337144013"/>
    <n v="20505.480821917808"/>
    <n v="0.48140637548387732"/>
  </r>
  <r>
    <s v="STEUBEN TRUST COMPANY"/>
    <s v="Hornell"/>
    <x v="2"/>
    <n v="14843"/>
    <d v="2019-09-30T00:00:00"/>
    <x v="0"/>
    <n v="126"/>
    <n v="575985"/>
    <n v="22411"/>
    <n v="575985"/>
    <n v="508989"/>
    <n v="483762"/>
    <x v="0"/>
    <n v="8.5000000000000006E-2"/>
    <n v="41119.770000000004"/>
    <n v="0.88368447094976432"/>
    <n v="4571.3095238095239"/>
    <n v="0.54501763993329722"/>
  </r>
  <r>
    <s v="STILLMAN BANCCORP N.A."/>
    <s v="Stillman Valley"/>
    <x v="1"/>
    <n v="61084"/>
    <d v="2019-09-30T00:00:00"/>
    <x v="0"/>
    <n v="96"/>
    <n v="464215"/>
    <n v="35013"/>
    <n v="464215"/>
    <n v="419411"/>
    <n v="389121"/>
    <x v="0"/>
    <n v="0.08"/>
    <n v="31129.68"/>
    <n v="0.9034843768512435"/>
    <n v="4835.572916666667"/>
    <n v="1.1247465441340869"/>
  </r>
  <r>
    <s v="STILLMAN BANCCORP N.A."/>
    <s v="Stillman Valley"/>
    <x v="1"/>
    <n v="61084"/>
    <d v="2020-09-30T00:00:00"/>
    <x v="1"/>
    <n v="99"/>
    <n v="534987"/>
    <n v="41544"/>
    <n v="534987"/>
    <n v="478914"/>
    <n v="443285"/>
    <x v="0"/>
    <n v="0.08"/>
    <n v="35462.800000000003"/>
    <n v="0.89518810737457177"/>
    <n v="5403.909090909091"/>
    <n v="1.1714811013230766"/>
  </r>
  <r>
    <s v="STILLMAN BANCCORP N.A."/>
    <s v="Stillman Valley"/>
    <x v="1"/>
    <n v="61084"/>
    <d v="2021-09-30T00:00:00"/>
    <x v="2"/>
    <n v="103"/>
    <n v="628533"/>
    <n v="61027"/>
    <n v="628533"/>
    <n v="570443"/>
    <n v="525189"/>
    <x v="0"/>
    <n v="0.08"/>
    <n v="42015.12"/>
    <n v="0.90757844059102699"/>
    <n v="6102.2621359223303"/>
    <n v="1.4525009091964987"/>
  </r>
  <r>
    <s v="STONEHAMBANK, A CO-OPERATIVE BANK"/>
    <s v="Stoneham"/>
    <x v="3"/>
    <n v="2180"/>
    <d v="2019-09-30T00:00:00"/>
    <x v="0"/>
    <n v="86"/>
    <n v="615560"/>
    <n v="28722"/>
    <n v="615560"/>
    <n v="553271"/>
    <n v="466866"/>
    <x v="0"/>
    <n v="8.5000000000000006E-2"/>
    <n v="39683.61"/>
    <n v="0.89880921437390349"/>
    <n v="7157.6744186046508"/>
    <n v="0.72377487834398124"/>
  </r>
  <r>
    <s v="STONEHAMBANK, A CO-OPERATIVE BANK"/>
    <s v="Stoneham"/>
    <x v="3"/>
    <n v="2180"/>
    <d v="2020-09-30T00:00:00"/>
    <x v="1"/>
    <n v="84"/>
    <n v="678853"/>
    <n v="81489"/>
    <n v="678853"/>
    <n v="612905"/>
    <n v="513212"/>
    <x v="0"/>
    <n v="8.5000000000000006E-2"/>
    <n v="43623.020000000004"/>
    <n v="0.90285378425078777"/>
    <n v="8081.583333333333"/>
    <n v="1.8680274772356429"/>
  </r>
  <r>
    <s v="STONEHAMBANK, A CO-OPERATIVE BANK"/>
    <s v="Stoneham"/>
    <x v="3"/>
    <n v="2180"/>
    <d v="2021-09-30T00:00:00"/>
    <x v="2"/>
    <n v="82"/>
    <n v="689579"/>
    <n v="56365"/>
    <n v="689579"/>
    <n v="621290"/>
    <n v="559371"/>
    <x v="0"/>
    <n v="8.5000000000000006E-2"/>
    <n v="47546.535000000003"/>
    <n v="0.90097001213784067"/>
    <n v="8409.5"/>
    <n v="1.1854701925177091"/>
  </r>
  <r>
    <s v="STOUGHTON CO-OPERATIVE BANK"/>
    <s v="Stoughton"/>
    <x v="3"/>
    <n v="2072"/>
    <d v="2019-09-30T00:00:00"/>
    <x v="0"/>
    <n v="20"/>
    <n v="119071"/>
    <n v="4220"/>
    <n v="119071"/>
    <n v="108965"/>
    <n v="108429"/>
    <x v="0"/>
    <n v="8.5000000000000006E-2"/>
    <n v="9216.4650000000001"/>
    <n v="0.91512626920072893"/>
    <n v="5953.55"/>
    <n v="0.4578762030778612"/>
  </r>
  <r>
    <s v="STOUGHTON CO-OPERATIVE BANK"/>
    <s v="Stoughton"/>
    <x v="3"/>
    <n v="2072"/>
    <d v="2020-09-30T00:00:00"/>
    <x v="1"/>
    <n v="21"/>
    <n v="122455"/>
    <n v="10779"/>
    <n v="122455"/>
    <n v="111435"/>
    <n v="111012"/>
    <x v="0"/>
    <n v="8.5000000000000006E-2"/>
    <n v="9436.02"/>
    <n v="0.9100077579519007"/>
    <n v="5831.1904761904761"/>
    <n v="1.1423248361067484"/>
  </r>
  <r>
    <s v="STOUGHTON CO-OPERATIVE BANK"/>
    <s v="Stoughton"/>
    <x v="3"/>
    <n v="2072"/>
    <d v="2021-09-30T00:00:00"/>
    <x v="2"/>
    <n v="21"/>
    <n v="125786"/>
    <n v="10465"/>
    <n v="125786"/>
    <n v="114347"/>
    <n v="113977"/>
    <x v="0"/>
    <n v="8.5000000000000006E-2"/>
    <n v="9688.0450000000001"/>
    <n v="0.90905983177778127"/>
    <n v="5989.8095238095239"/>
    <n v="1.0801972947070333"/>
  </r>
  <r>
    <s v="STREATOR HOME SAVINGS BANK"/>
    <s v="Streator"/>
    <x v="1"/>
    <n v="61364"/>
    <d v="2019-09-30T00:00:00"/>
    <x v="0"/>
    <n v="18"/>
    <n v="162931"/>
    <n v="10245"/>
    <n v="162931"/>
    <n v="120977"/>
    <n v="119304"/>
    <x v="0"/>
    <n v="0.08"/>
    <n v="9544.32"/>
    <n v="0.74250449576814725"/>
    <n v="9051.7222222222226"/>
    <n v="1.0734132971233152"/>
  </r>
  <r>
    <s v="STREATOR HOME SAVINGS BANK"/>
    <s v="Streator"/>
    <x v="1"/>
    <n v="61364"/>
    <d v="2020-09-30T00:00:00"/>
    <x v="1"/>
    <n v="15"/>
    <n v="166688"/>
    <n v="9978"/>
    <n v="166688"/>
    <n v="124200"/>
    <n v="118409"/>
    <x v="0"/>
    <n v="0.08"/>
    <n v="9472.7199999999993"/>
    <n v="0.7451046266077942"/>
    <n v="11112.533333333333"/>
    <n v="1.0533405399927371"/>
  </r>
  <r>
    <s v="STREATOR HOME SAVINGS BANK"/>
    <s v="Streator"/>
    <x v="1"/>
    <n v="61364"/>
    <d v="2021-09-30T00:00:00"/>
    <x v="2"/>
    <n v="17"/>
    <n v="170632"/>
    <n v="10833"/>
    <n v="170632"/>
    <n v="127751"/>
    <n v="120704"/>
    <x v="0"/>
    <n v="0.08"/>
    <n v="9656.32"/>
    <n v="0.7486930939097004"/>
    <n v="10037.176470588236"/>
    <n v="1.1218559451219512"/>
  </r>
  <r>
    <s v="SUMMIT BANK"/>
    <s v="Oakland"/>
    <x v="0"/>
    <n v="94611"/>
    <d v="2019-09-30T00:00:00"/>
    <x v="0"/>
    <n v="39"/>
    <n v="250919"/>
    <n v="64267"/>
    <n v="250919"/>
    <n v="217459"/>
    <n v="210042"/>
    <x v="0"/>
    <n v="0.09"/>
    <n v="18903.78"/>
    <n v="0.86665019388727038"/>
    <n v="6433.8205128205127"/>
    <n v="3.3996904322839137"/>
  </r>
  <r>
    <s v="SUMMIT BANK"/>
    <s v="Oakland"/>
    <x v="0"/>
    <n v="94611"/>
    <d v="2020-09-30T00:00:00"/>
    <x v="1"/>
    <n v="33"/>
    <n v="317370"/>
    <n v="87701"/>
    <n v="317371"/>
    <n v="281384"/>
    <n v="273859"/>
    <x v="0"/>
    <n v="0.09"/>
    <n v="24647.309999999998"/>
    <n v="0.8866118410687841"/>
    <n v="9617.2727272727279"/>
    <n v="3.5582382012479257"/>
  </r>
  <r>
    <s v="SUMMIT BANK"/>
    <s v="Oakland"/>
    <x v="0"/>
    <n v="94611"/>
    <d v="2021-09-30T00:00:00"/>
    <x v="2"/>
    <n v="36"/>
    <n v="371428"/>
    <n v="164416"/>
    <n v="371428"/>
    <n v="333284"/>
    <n v="325663"/>
    <x v="0"/>
    <n v="0.09"/>
    <n v="29309.67"/>
    <n v="0.89730445739147291"/>
    <n v="10317.444444444445"/>
    <n v="5.6096162119873751"/>
  </r>
  <r>
    <s v="SUMMIT STATE BANK"/>
    <s v="Santa Rosa"/>
    <x v="0"/>
    <n v="95403"/>
    <d v="2019-09-30T00:00:00"/>
    <x v="0"/>
    <n v="89"/>
    <n v="680840"/>
    <n v="36979"/>
    <n v="680840"/>
    <n v="614336"/>
    <n v="605130"/>
    <x v="0"/>
    <n v="0.09"/>
    <n v="54461.7"/>
    <n v="0.90232066271076905"/>
    <n v="7649.8876404494385"/>
    <n v="0.67899092389697713"/>
  </r>
  <r>
    <s v="SUMMIT STATE BANK"/>
    <s v="Santa Rosa"/>
    <x v="0"/>
    <n v="95403"/>
    <d v="2020-09-30T00:00:00"/>
    <x v="1"/>
    <n v="96"/>
    <n v="833806"/>
    <n v="24256"/>
    <n v="833806"/>
    <n v="760382"/>
    <n v="688026"/>
    <x v="0"/>
    <n v="0.09"/>
    <n v="61922.34"/>
    <n v="0.91194114698143214"/>
    <n v="8685.4791666666661"/>
    <n v="0.39171646291144685"/>
  </r>
  <r>
    <s v="SUMMIT STATE BANK"/>
    <s v="Santa Rosa"/>
    <x v="0"/>
    <n v="95403"/>
    <d v="2021-09-30T00:00:00"/>
    <x v="2"/>
    <n v="100"/>
    <n v="922592"/>
    <n v="37773"/>
    <n v="922592"/>
    <n v="840609"/>
    <n v="749007"/>
    <x v="0"/>
    <n v="0.09"/>
    <n v="67410.63"/>
    <n v="0.91113840137352153"/>
    <n v="9225.92"/>
    <n v="0.56034189266588963"/>
  </r>
  <r>
    <s v="SUNCREST BANK"/>
    <s v="Visalia"/>
    <x v="0"/>
    <n v="93291"/>
    <d v="2019-09-30T00:00:00"/>
    <x v="0"/>
    <n v="111"/>
    <n v="997413"/>
    <n v="35955"/>
    <n v="997413"/>
    <n v="851687"/>
    <n v="843326"/>
    <x v="0"/>
    <n v="0.09"/>
    <n v="75899.34"/>
    <n v="0.85389602902709305"/>
    <n v="8985.7027027027034"/>
    <n v="0.47371953432006131"/>
  </r>
  <r>
    <s v="SUNCREST BANK"/>
    <s v="Visalia"/>
    <x v="0"/>
    <n v="93291"/>
    <d v="2020-09-30T00:00:00"/>
    <x v="1"/>
    <n v="120"/>
    <n v="1290368"/>
    <n v="44893"/>
    <n v="1290368"/>
    <n v="1126766"/>
    <n v="1050620"/>
    <x v="1"/>
    <n v="0.08"/>
    <n v="84049.600000000006"/>
    <n v="0.87321291290546577"/>
    <n v="10753.066666666668"/>
    <n v="0.53412508804325065"/>
  </r>
  <r>
    <s v="SUNCREST BANK"/>
    <s v="Visalia"/>
    <x v="0"/>
    <n v="93291"/>
    <d v="2021-09-30T00:00:00"/>
    <x v="2"/>
    <n v="111"/>
    <n v="1416159"/>
    <n v="22721"/>
    <n v="1416159"/>
    <n v="1241372"/>
    <n v="1233088"/>
    <x v="1"/>
    <n v="0.08"/>
    <n v="98647.040000000008"/>
    <n v="0.87657671207823418"/>
    <n v="12758.18918918919"/>
    <n v="0.23032622164841438"/>
  </r>
  <r>
    <s v="SUNNYSIDE FEDERAL SAVINGS AND LOAN ASSOCIATION OF IRVINGTON"/>
    <s v="Irvington"/>
    <x v="2"/>
    <n v="10533"/>
    <d v="2019-09-30T00:00:00"/>
    <x v="0"/>
    <n v="11"/>
    <n v="87938"/>
    <n v="1863"/>
    <n v="87938"/>
    <n v="77239"/>
    <n v="74163"/>
    <x v="2"/>
    <n v="0.09"/>
    <n v="6674.67"/>
    <n v="0.87833473583661215"/>
    <n v="7994.363636363636"/>
    <n v="0.27911492253549613"/>
  </r>
  <r>
    <s v="SUNNYSIDE FEDERAL SAVINGS AND LOAN ASSOCIATION OF IRVINGTON"/>
    <s v="Irvington"/>
    <x v="2"/>
    <n v="10533"/>
    <d v="2020-09-30T00:00:00"/>
    <x v="1"/>
    <n v="10"/>
    <n v="97024"/>
    <n v="2595"/>
    <n v="97024"/>
    <n v="85813"/>
    <n v="77420"/>
    <x v="2"/>
    <n v="0.09"/>
    <n v="6967.8"/>
    <n v="0.88445126978891819"/>
    <n v="9702.4"/>
    <n v="0.37242745199345562"/>
  </r>
  <r>
    <s v="SUNNYSIDE FEDERAL SAVINGS AND LOAN ASSOCIATION OF IRVINGTON"/>
    <s v="Irvington"/>
    <x v="2"/>
    <n v="10533"/>
    <d v="2021-09-30T00:00:00"/>
    <x v="2"/>
    <n v="10"/>
    <n v="93926"/>
    <n v="2899"/>
    <n v="93926"/>
    <n v="84704"/>
    <n v="82611"/>
    <x v="2"/>
    <n v="0.09"/>
    <n v="7434.99"/>
    <n v="0.90181632348870389"/>
    <n v="9392.6"/>
    <n v="0.38991310008486901"/>
  </r>
  <r>
    <s v="SUNWEST BANK"/>
    <s v="Irvine"/>
    <x v="0"/>
    <n v="92614"/>
    <d v="2019-09-30T00:00:00"/>
    <x v="0"/>
    <n v="176"/>
    <n v="1346571"/>
    <n v="114295"/>
    <n v="1346571"/>
    <n v="1172783"/>
    <n v="1033354"/>
    <x v="1"/>
    <n v="0.08"/>
    <n v="82668.320000000007"/>
    <n v="0.87094033660312009"/>
    <n v="7650.971590909091"/>
    <n v="1.382573154988513"/>
  </r>
  <r>
    <s v="SUNWEST BANK"/>
    <s v="Irvine"/>
    <x v="0"/>
    <n v="92614"/>
    <d v="2020-09-30T00:00:00"/>
    <x v="1"/>
    <n v="191"/>
    <n v="1976181"/>
    <n v="107447"/>
    <n v="1976181"/>
    <n v="1778887"/>
    <n v="1501614"/>
    <x v="1"/>
    <n v="0.08"/>
    <n v="120129.12"/>
    <n v="0.90016400319606349"/>
    <n v="10346.497382198953"/>
    <n v="0.89442926078206519"/>
  </r>
  <r>
    <s v="SUNWEST BANK"/>
    <s v="Irvine"/>
    <x v="0"/>
    <n v="92614"/>
    <d v="2021-09-30T00:00:00"/>
    <x v="2"/>
    <n v="194"/>
    <n v="2153412"/>
    <n v="485018"/>
    <n v="2153412"/>
    <n v="1928229"/>
    <n v="1914972"/>
    <x v="1"/>
    <n v="0.08"/>
    <n v="153197.76000000001"/>
    <n v="0.89542967160952014"/>
    <n v="11100.061855670103"/>
    <n v="3.1659601289209447"/>
  </r>
  <r>
    <s v="TABLE GROVE STATE BANK"/>
    <s v="Table Grove"/>
    <x v="1"/>
    <n v="61482"/>
    <d v="2019-09-30T00:00:00"/>
    <x v="0"/>
    <n v="10"/>
    <n v="46308"/>
    <n v="2199"/>
    <n v="46308"/>
    <n v="40551"/>
    <n v="37847"/>
    <x v="2"/>
    <n v="0.09"/>
    <n v="3406.23"/>
    <n v="0.87568022803835188"/>
    <n v="4630.8"/>
    <n v="0.64558177222324975"/>
  </r>
  <r>
    <s v="TABLE GROVE STATE BANK"/>
    <s v="Table Grove"/>
    <x v="1"/>
    <n v="61482"/>
    <d v="2020-09-30T00:00:00"/>
    <x v="1"/>
    <n v="10"/>
    <n v="44745"/>
    <n v="1654"/>
    <n v="44745"/>
    <n v="38615"/>
    <n v="37363"/>
    <x v="2"/>
    <n v="0.09"/>
    <n v="3362.67"/>
    <n v="0.8630014526762767"/>
    <n v="4474.5"/>
    <n v="0.49187104295098832"/>
  </r>
  <r>
    <s v="TABLE GROVE STATE BANK"/>
    <s v="Table Grove"/>
    <x v="1"/>
    <n v="61482"/>
    <d v="2021-09-30T00:00:00"/>
    <x v="2"/>
    <n v="11"/>
    <n v="50275"/>
    <n v="5428"/>
    <n v="50275"/>
    <n v="44118"/>
    <n v="43909"/>
    <x v="2"/>
    <n v="0.09"/>
    <n v="3951.81"/>
    <n v="0.8775335653903531"/>
    <n v="4570.454545454545"/>
    <n v="1.3735478173292746"/>
  </r>
  <r>
    <s v="TEMPO BANK, A FEDERAL SAVINGS BANK"/>
    <s v="Trenton"/>
    <x v="1"/>
    <n v="62293"/>
    <d v="2019-09-30T00:00:00"/>
    <x v="0"/>
    <n v="17"/>
    <n v="94936"/>
    <n v="1528"/>
    <n v="94936"/>
    <n v="83946"/>
    <n v="73727"/>
    <x v="2"/>
    <n v="0.09"/>
    <n v="6635.4299999999994"/>
    <n v="0.8842378023089239"/>
    <n v="5584.4705882352937"/>
    <n v="0.23027897212388648"/>
  </r>
  <r>
    <s v="TEMPO BANK, A FEDERAL SAVINGS BANK"/>
    <s v="Trenton"/>
    <x v="1"/>
    <n v="62293"/>
    <d v="2020-09-30T00:00:00"/>
    <x v="1"/>
    <n v="17"/>
    <n v="102140"/>
    <n v="2232"/>
    <n v="102140"/>
    <n v="93148"/>
    <n v="79352"/>
    <x v="0"/>
    <n v="0.08"/>
    <n v="6348.16"/>
    <n v="0.91196397102016835"/>
    <n v="6008.2352941176468"/>
    <n v="0.35159794334106259"/>
  </r>
  <r>
    <s v="TEMPO BANK, A FEDERAL SAVINGS BANK"/>
    <s v="Trenton"/>
    <x v="1"/>
    <n v="62293"/>
    <d v="2021-09-30T00:00:00"/>
    <x v="2"/>
    <n v="16"/>
    <n v="90664"/>
    <n v="1730"/>
    <n v="90664"/>
    <n v="80593"/>
    <n v="74775"/>
    <x v="2"/>
    <n v="0.09"/>
    <n v="6729.75"/>
    <n v="0.88891952704491306"/>
    <n v="5666.5"/>
    <n v="0.25706749879267432"/>
  </r>
  <r>
    <s v="TEUTOPOLIS STATE BANK"/>
    <s v="Teutopolis"/>
    <x v="1"/>
    <n v="62467"/>
    <d v="2019-09-30T00:00:00"/>
    <x v="0"/>
    <n v="39"/>
    <n v="246484"/>
    <n v="29344"/>
    <n v="246484"/>
    <n v="212456"/>
    <n v="211981"/>
    <x v="0"/>
    <n v="0.08"/>
    <n v="16958.48"/>
    <n v="0.86194641437172392"/>
    <n v="6320.1025641025644"/>
    <n v="1.7303437572235247"/>
  </r>
  <r>
    <s v="TEUTOPOLIS STATE BANK"/>
    <s v="Teutopolis"/>
    <x v="1"/>
    <n v="62467"/>
    <d v="2020-09-30T00:00:00"/>
    <x v="1"/>
    <n v="41"/>
    <n v="277895"/>
    <n v="35724"/>
    <n v="277895"/>
    <n v="240060"/>
    <n v="239470"/>
    <x v="0"/>
    <n v="0.08"/>
    <n v="19157.600000000002"/>
    <n v="0.86385145468612246"/>
    <n v="6777.9268292682927"/>
    <n v="1.8647429740677326"/>
  </r>
  <r>
    <s v="TEUTOPOLIS STATE BANK"/>
    <s v="Teutopolis"/>
    <x v="1"/>
    <n v="62467"/>
    <d v="2021-09-30T00:00:00"/>
    <x v="2"/>
    <n v="35"/>
    <n v="311062"/>
    <n v="51975"/>
    <n v="311062"/>
    <n v="271116"/>
    <n v="270672"/>
    <x v="0"/>
    <n v="0.08"/>
    <n v="21653.760000000002"/>
    <n v="0.87158187113822971"/>
    <n v="8887.4857142857145"/>
    <n v="2.4002759797836495"/>
  </r>
  <r>
    <s v="TEXICO STATE BANK"/>
    <s v="Texico"/>
    <x v="1"/>
    <n v="62889"/>
    <d v="2019-09-30T00:00:00"/>
    <x v="0"/>
    <n v="2"/>
    <n v="8184"/>
    <n v="4253"/>
    <n v="8184"/>
    <n v="7474"/>
    <n v="7439"/>
    <x v="2"/>
    <n v="0.09"/>
    <n v="669.51"/>
    <n v="0.91324535679374386"/>
    <n v="4092"/>
    <n v="6.3524069842123341"/>
  </r>
  <r>
    <s v="TEXICO STATE BANK"/>
    <s v="Texico"/>
    <x v="1"/>
    <n v="62889"/>
    <d v="2020-09-30T00:00:00"/>
    <x v="1"/>
    <n v="3"/>
    <n v="11297"/>
    <n v="3988"/>
    <n v="11297"/>
    <n v="10546"/>
    <n v="8201"/>
    <x v="2"/>
    <n v="0.09"/>
    <n v="738.08999999999992"/>
    <n v="0.93352217402850313"/>
    <n v="3765.6666666666665"/>
    <n v="5.4031351190234256"/>
  </r>
  <r>
    <s v="TEXICO STATE BANK"/>
    <s v="Texico"/>
    <x v="1"/>
    <n v="62889"/>
    <d v="2021-09-30T00:00:00"/>
    <x v="2"/>
    <n v="2"/>
    <n v="10263"/>
    <n v="5599"/>
    <n v="10263"/>
    <n v="9800"/>
    <n v="9774"/>
    <x v="2"/>
    <n v="0.09"/>
    <n v="879.66"/>
    <n v="0.95488648543310928"/>
    <n v="5131.5"/>
    <n v="6.3649591887774823"/>
  </r>
  <r>
    <s v="THE ADIRONDACK TRUST COMPANY"/>
    <s v="Saratoga Springs"/>
    <x v="2"/>
    <n v="12866"/>
    <d v="2019-09-30T00:00:00"/>
    <x v="0"/>
    <n v="236"/>
    <n v="1204350"/>
    <n v="121539"/>
    <n v="1204350"/>
    <n v="1071270"/>
    <n v="1040057"/>
    <x v="1"/>
    <n v="0.08"/>
    <n v="83204.56"/>
    <n v="0.88950056046830239"/>
    <n v="5103.1779661016953"/>
    <n v="1.460725229482615"/>
  </r>
  <r>
    <s v="THE ADIRONDACK TRUST COMPANY"/>
    <s v="Saratoga Springs"/>
    <x v="2"/>
    <n v="12866"/>
    <d v="2020-09-30T00:00:00"/>
    <x v="1"/>
    <n v="235"/>
    <n v="1460006"/>
    <n v="317755"/>
    <n v="1460006"/>
    <n v="1316895"/>
    <n v="1288992"/>
    <x v="1"/>
    <n v="0.08"/>
    <n v="103119.36"/>
    <n v="0.9019791699486166"/>
    <n v="6212.7914893617017"/>
    <n v="3.0814291322211464"/>
  </r>
  <r>
    <s v="THE ADIRONDACK TRUST COMPANY"/>
    <s v="Saratoga Springs"/>
    <x v="2"/>
    <n v="12866"/>
    <d v="2021-09-30T00:00:00"/>
    <x v="2"/>
    <n v="249"/>
    <n v="1617518"/>
    <n v="334204"/>
    <n v="1617518"/>
    <n v="1469759"/>
    <n v="1433803"/>
    <x v="1"/>
    <n v="0.08"/>
    <n v="114704.24"/>
    <n v="0.90865078472078831"/>
    <n v="6496.0562248995984"/>
    <n v="2.9136150503242075"/>
  </r>
  <r>
    <s v="THE ANNA -JONESBORO NATIONAL BANK"/>
    <s v="Anna"/>
    <x v="1"/>
    <n v="62906"/>
    <d v="2019-09-30T00:00:00"/>
    <x v="0"/>
    <n v="50"/>
    <n v="219665"/>
    <n v="18700"/>
    <n v="219665"/>
    <n v="187633"/>
    <n v="186784"/>
    <x v="0"/>
    <n v="0.08"/>
    <n v="14942.720000000001"/>
    <n v="0.85417795279175113"/>
    <n v="4393.3"/>
    <n v="1.251445519958883"/>
  </r>
  <r>
    <s v="THE ANNA -JONESBORO NATIONAL BANK"/>
    <s v="Anna"/>
    <x v="1"/>
    <n v="62906"/>
    <d v="2020-09-30T00:00:00"/>
    <x v="1"/>
    <n v="46"/>
    <n v="239590"/>
    <n v="19952"/>
    <n v="239590"/>
    <n v="205795"/>
    <n v="202658"/>
    <x v="0"/>
    <n v="0.08"/>
    <n v="16212.640000000001"/>
    <n v="0.85894653366167206"/>
    <n v="5208.478260869565"/>
    <n v="1.2306447315181241"/>
  </r>
  <r>
    <s v="THE ANNA -JONESBORO NATIONAL BANK"/>
    <s v="Anna"/>
    <x v="1"/>
    <n v="62906"/>
    <d v="2021-09-30T00:00:00"/>
    <x v="2"/>
    <n v="44"/>
    <n v="271406"/>
    <n v="15131"/>
    <n v="271406"/>
    <n v="237342"/>
    <n v="231072"/>
    <x v="0"/>
    <n v="0.08"/>
    <n v="18485.760000000002"/>
    <n v="0.8744906155353972"/>
    <n v="6168.318181818182"/>
    <n v="0.81852193255781736"/>
  </r>
  <r>
    <s v="THE ATLANTA NATIONAL BANK"/>
    <s v="Atlanta"/>
    <x v="1"/>
    <n v="61723"/>
    <d v="2019-09-30T00:00:00"/>
    <x v="0"/>
    <n v="14"/>
    <n v="59349"/>
    <n v="4030"/>
    <n v="59349"/>
    <n v="51010"/>
    <n v="50574"/>
    <x v="2"/>
    <n v="0.09"/>
    <n v="4551.66"/>
    <n v="0.85949215656540123"/>
    <n v="4239.2142857142853"/>
    <n v="0.88539126384659661"/>
  </r>
  <r>
    <s v="THE ATLANTA NATIONAL BANK"/>
    <s v="Atlanta"/>
    <x v="1"/>
    <n v="61723"/>
    <d v="2020-09-30T00:00:00"/>
    <x v="1"/>
    <n v="14"/>
    <n v="70918"/>
    <n v="5519"/>
    <n v="70917"/>
    <n v="61991"/>
    <n v="58006"/>
    <x v="2"/>
    <n v="0.09"/>
    <n v="5220.54"/>
    <n v="0.8741222256690826"/>
    <n v="5065.5714285714284"/>
    <n v="1.0571703310385516"/>
  </r>
  <r>
    <s v="THE ATLANTA NATIONAL BANK"/>
    <s v="Atlanta"/>
    <x v="1"/>
    <n v="61723"/>
    <d v="2021-09-30T00:00:00"/>
    <x v="2"/>
    <n v="13"/>
    <n v="71707"/>
    <n v="3363"/>
    <n v="71707"/>
    <n v="62460"/>
    <n v="61070"/>
    <x v="2"/>
    <n v="0.09"/>
    <n v="5496.3"/>
    <n v="0.8710446678845859"/>
    <n v="5515.9230769230771"/>
    <n v="0.61186616451067077"/>
  </r>
  <r>
    <s v="THE BANK OF BOURBONNAIS"/>
    <s v="Bourbonnais"/>
    <x v="1"/>
    <n v="60914"/>
    <d v="2019-09-30T00:00:00"/>
    <x v="0"/>
    <n v="11"/>
    <n v="68071"/>
    <n v="2761"/>
    <n v="68071"/>
    <n v="59605"/>
    <n v="51608"/>
    <x v="2"/>
    <n v="0.09"/>
    <n v="4644.72"/>
    <n v="0.87562985706100982"/>
    <n v="6188.272727272727"/>
    <n v="0.5944384160939733"/>
  </r>
  <r>
    <s v="THE BANK OF BOURBONNAIS"/>
    <s v="Bourbonnais"/>
    <x v="1"/>
    <n v="60914"/>
    <d v="2020-09-30T00:00:00"/>
    <x v="1"/>
    <n v="10"/>
    <n v="80313"/>
    <n v="2457"/>
    <n v="80313"/>
    <n v="71838"/>
    <n v="63508"/>
    <x v="2"/>
    <n v="0.09"/>
    <n v="5715.7199999999993"/>
    <n v="0.89447536513391357"/>
    <n v="8031.3"/>
    <n v="0.42986710335705741"/>
  </r>
  <r>
    <s v="THE BANK OF BOURBONNAIS"/>
    <s v="Bourbonnais"/>
    <x v="1"/>
    <n v="60914"/>
    <d v="2021-09-30T00:00:00"/>
    <x v="2"/>
    <n v="10"/>
    <n v="90327"/>
    <n v="23456"/>
    <n v="90327"/>
    <n v="82351"/>
    <n v="71803"/>
    <x v="2"/>
    <n v="0.09"/>
    <n v="6462.2699999999995"/>
    <n v="0.91169860617534071"/>
    <n v="9032.7000000000007"/>
    <n v="3.6296843059791684"/>
  </r>
  <r>
    <s v="THE BANK OF CANTON"/>
    <s v="Canton"/>
    <x v="3"/>
    <n v="2021"/>
    <d v="2019-09-30T00:00:00"/>
    <x v="0"/>
    <n v="106"/>
    <n v="643963"/>
    <n v="35294"/>
    <n v="643963"/>
    <n v="570454"/>
    <n v="537702"/>
    <x v="0"/>
    <n v="8.5000000000000006E-2"/>
    <n v="45704.670000000006"/>
    <n v="0.88584903169902618"/>
    <n v="6075.1226415094343"/>
    <n v="0.77221868137326"/>
  </r>
  <r>
    <s v="THE BANK OF CANTON"/>
    <s v="Canton"/>
    <x v="3"/>
    <n v="2021"/>
    <d v="2020-09-30T00:00:00"/>
    <x v="1"/>
    <n v="110"/>
    <n v="721782"/>
    <n v="52307"/>
    <n v="721782"/>
    <n v="647055"/>
    <n v="611200"/>
    <x v="0"/>
    <n v="8.5000000000000006E-2"/>
    <n v="51952.000000000007"/>
    <n v="0.89646873986882469"/>
    <n v="6561.6545454545458"/>
    <n v="1.0068332306744685"/>
  </r>
  <r>
    <s v="THE BANK OF CANTON"/>
    <s v="Canton"/>
    <x v="3"/>
    <n v="2021"/>
    <d v="2021-09-30T00:00:00"/>
    <x v="2"/>
    <n v="108"/>
    <n v="816707"/>
    <n v="227219"/>
    <n v="816707"/>
    <n v="732793"/>
    <n v="725043"/>
    <x v="0"/>
    <n v="8.5000000000000006E-2"/>
    <n v="61628.655000000006"/>
    <n v="0.8972532376972403"/>
    <n v="7562.1018518518522"/>
    <n v="3.6869050606410276"/>
  </r>
  <r>
    <s v="THE BANK OF CARBONDALE"/>
    <s v="Carbondale"/>
    <x v="1"/>
    <n v="62901"/>
    <d v="2019-09-30T00:00:00"/>
    <x v="0"/>
    <n v="54"/>
    <n v="246160"/>
    <n v="40152"/>
    <n v="246160"/>
    <n v="215246"/>
    <n v="214264"/>
    <x v="0"/>
    <n v="0.08"/>
    <n v="17141.12"/>
    <n v="0.87441501462463433"/>
    <n v="4558.5185185185182"/>
    <n v="2.3424373669865215"/>
  </r>
  <r>
    <s v="THE BANK OF CARBONDALE"/>
    <s v="Carbondale"/>
    <x v="1"/>
    <n v="62901"/>
    <d v="2020-09-30T00:00:00"/>
    <x v="1"/>
    <n v="49"/>
    <n v="261571"/>
    <n v="29835"/>
    <n v="261571"/>
    <n v="227860"/>
    <n v="222166"/>
    <x v="0"/>
    <n v="0.08"/>
    <n v="17773.28"/>
    <n v="0.87112103405958607"/>
    <n v="5338.1836734693879"/>
    <n v="1.6786434467920386"/>
  </r>
  <r>
    <s v="THE BANK OF CARBONDALE"/>
    <s v="Carbondale"/>
    <x v="1"/>
    <n v="62901"/>
    <d v="2021-09-30T00:00:00"/>
    <x v="2"/>
    <n v="43"/>
    <n v="282425"/>
    <n v="24411"/>
    <n v="282425"/>
    <n v="246641"/>
    <n v="241221"/>
    <x v="0"/>
    <n v="0.08"/>
    <n v="19297.68"/>
    <n v="0.87329733557581657"/>
    <n v="6568.0232558139533"/>
    <n v="1.2649707115052171"/>
  </r>
  <r>
    <s v="THE BANK OF CASTILE"/>
    <s v="Castile"/>
    <x v="2"/>
    <n v="14427"/>
    <d v="2019-09-30T00:00:00"/>
    <x v="0"/>
    <n v="129"/>
    <n v="1483140"/>
    <n v="29926"/>
    <n v="1483140"/>
    <n v="1353487"/>
    <n v="1264907"/>
    <x v="1"/>
    <n v="0.08"/>
    <n v="101192.56"/>
    <n v="0.91258208935097163"/>
    <n v="11497.209302325582"/>
    <n v="0.2957332041011711"/>
  </r>
  <r>
    <s v="THE BANK OF CASTILE"/>
    <s v="Castile"/>
    <x v="2"/>
    <n v="14427"/>
    <d v="2020-09-30T00:00:00"/>
    <x v="1"/>
    <n v="127"/>
    <n v="1782679"/>
    <n v="103864"/>
    <n v="1782679"/>
    <n v="1641033"/>
    <n v="1579981"/>
    <x v="1"/>
    <n v="0.08"/>
    <n v="126398.48"/>
    <n v="0.92054318247985201"/>
    <n v="14036.842519685038"/>
    <n v="0.82171874218740604"/>
  </r>
  <r>
    <s v="THE BANK OF CASTILE"/>
    <s v="Castile"/>
    <x v="2"/>
    <n v="14427"/>
    <d v="2021-09-30T00:00:00"/>
    <x v="2"/>
    <n v="127"/>
    <n v="1932677"/>
    <n v="97443"/>
    <n v="1932677"/>
    <n v="1789695"/>
    <n v="1741726"/>
    <x v="1"/>
    <n v="0.08"/>
    <n v="139338.08000000002"/>
    <n v="0.92601867772007429"/>
    <n v="15217.929133858268"/>
    <n v="0.69932785064929837"/>
  </r>
  <r>
    <s v="THE BANK OF EAST ASIA LTD."/>
    <s v="New York"/>
    <x v="2"/>
    <n v="10022"/>
    <d v="2019-09-30T00:00:00"/>
    <x v="0"/>
    <n v="301"/>
    <n v="2789917"/>
    <n v="297786"/>
    <n v="2789917"/>
    <n v="2789917"/>
    <n v="2378558"/>
    <x v="1"/>
    <n v="0.08"/>
    <n v="190284.64"/>
    <n v="1"/>
    <n v="9268.8272425249161"/>
    <n v="1.564950276596156"/>
  </r>
  <r>
    <s v="THE BANK OF EAST ASIA LTD."/>
    <s v="New York"/>
    <x v="2"/>
    <n v="10022"/>
    <d v="2020-09-30T00:00:00"/>
    <x v="1"/>
    <n v="432"/>
    <n v="3059158"/>
    <n v="616901"/>
    <n v="3059158"/>
    <n v="3059158"/>
    <n v="2810359"/>
    <x v="1"/>
    <n v="0.08"/>
    <n v="224828.72"/>
    <n v="1"/>
    <n v="7081.3842592592591"/>
    <n v="2.7438709787610764"/>
  </r>
  <r>
    <s v="THE BANK OF EAST ASIA LTD."/>
    <s v="New York"/>
    <x v="2"/>
    <n v="10022"/>
    <d v="2021-09-30T00:00:00"/>
    <x v="2"/>
    <n v="433"/>
    <n v="3216565"/>
    <n v="806426"/>
    <n v="3216565"/>
    <n v="3216565"/>
    <n v="2846161"/>
    <x v="1"/>
    <n v="0.08"/>
    <n v="227692.88"/>
    <n v="1"/>
    <n v="7428.5565819861431"/>
    <n v="3.5417269086323646"/>
  </r>
  <r>
    <s v="THE BANK OF EDWARDSVILLE"/>
    <s v="Edwardsville"/>
    <x v="1"/>
    <n v="62025"/>
    <d v="2019-09-30T00:00:00"/>
    <x v="0"/>
    <n v="293"/>
    <n v="1943295"/>
    <n v="339078"/>
    <n v="1943295"/>
    <n v="1670234"/>
    <n v="1573132"/>
    <x v="1"/>
    <n v="7.4999999999999997E-2"/>
    <n v="117984.9"/>
    <n v="0.85948556446653745"/>
    <n v="6632.4061433447096"/>
    <n v="2.8739101359580763"/>
  </r>
  <r>
    <s v="THE BANK OF GREENE COUNTY"/>
    <s v="Catskill"/>
    <x v="2"/>
    <n v="12414"/>
    <d v="2019-09-30T00:00:00"/>
    <x v="0"/>
    <n v="169"/>
    <n v="1406753"/>
    <n v="111077"/>
    <n v="1406753"/>
    <n v="1294634"/>
    <n v="1265307"/>
    <x v="1"/>
    <n v="0.08"/>
    <n v="101224.56"/>
    <n v="0.92029944133760511"/>
    <n v="8323.9822485207096"/>
    <n v="1.0973325050758433"/>
  </r>
  <r>
    <s v="THE BANK OF GREENE COUNTY"/>
    <s v="Catskill"/>
    <x v="2"/>
    <n v="12414"/>
    <d v="2020-09-30T00:00:00"/>
    <x v="1"/>
    <n v="189"/>
    <n v="1796065"/>
    <n v="76493"/>
    <n v="1796065"/>
    <n v="1655668"/>
    <n v="1629143"/>
    <x v="1"/>
    <n v="0.08"/>
    <n v="130331.44"/>
    <n v="0.92183078006642294"/>
    <n v="9502.9894179894181"/>
    <n v="0.58691133927469841"/>
  </r>
  <r>
    <s v="THE BANK OF GREENE COUNTY"/>
    <s v="Catskill"/>
    <x v="2"/>
    <n v="12414"/>
    <d v="2021-09-30T00:00:00"/>
    <x v="2"/>
    <n v="187"/>
    <n v="2279557"/>
    <n v="113586"/>
    <n v="2279557"/>
    <n v="2101531"/>
    <n v="2080482"/>
    <x v="1"/>
    <n v="0.08"/>
    <n v="166438.56"/>
    <n v="0.92190324699053372"/>
    <n v="12190.144385026739"/>
    <n v="0.68245002840687885"/>
  </r>
  <r>
    <s v="THE BANK OF HEMET"/>
    <s v="Riverside"/>
    <x v="0"/>
    <n v="92506"/>
    <d v="2019-09-30T00:00:00"/>
    <x v="0"/>
    <n v="88"/>
    <n v="722266"/>
    <n v="83412"/>
    <n v="722266"/>
    <n v="641251"/>
    <n v="636386"/>
    <x v="0"/>
    <n v="0.09"/>
    <n v="57274.74"/>
    <n v="0.88783218371071049"/>
    <n v="8207.568181818182"/>
    <n v="1.4563488197414778"/>
  </r>
  <r>
    <s v="THE BANK OF HEMET"/>
    <s v="Riverside"/>
    <x v="0"/>
    <n v="92506"/>
    <d v="2020-09-30T00:00:00"/>
    <x v="1"/>
    <n v="88"/>
    <n v="854584"/>
    <n v="185409"/>
    <n v="854584"/>
    <n v="766884"/>
    <n v="751647"/>
    <x v="0"/>
    <n v="0.09"/>
    <n v="67648.23"/>
    <n v="0.89737696937925349"/>
    <n v="9711.181818181818"/>
    <n v="2.7407812443873256"/>
  </r>
  <r>
    <s v="THE BANK OF HEMET"/>
    <s v="Riverside"/>
    <x v="0"/>
    <n v="92506"/>
    <d v="2021-09-30T00:00:00"/>
    <x v="2"/>
    <n v="87"/>
    <n v="1021411"/>
    <n v="242018"/>
    <n v="1021411"/>
    <n v="929040"/>
    <n v="923338"/>
    <x v="1"/>
    <n v="0.08"/>
    <n v="73867.040000000008"/>
    <n v="0.90956529741700454"/>
    <n v="11740.356321839081"/>
    <n v="3.2764004080845797"/>
  </r>
  <r>
    <s v="THE BANK OF HERRIN"/>
    <s v="Herrin"/>
    <x v="1"/>
    <n v="62948"/>
    <d v="2019-09-30T00:00:00"/>
    <x v="0"/>
    <n v="60"/>
    <n v="250381"/>
    <n v="12283"/>
    <n v="250381"/>
    <n v="223065"/>
    <n v="222870"/>
    <x v="0"/>
    <n v="0.08"/>
    <n v="17829.600000000002"/>
    <n v="0.89090226494821889"/>
    <n v="4173.0166666666664"/>
    <n v="0.68891057567191627"/>
  </r>
  <r>
    <s v="THE BANK OF HERRIN"/>
    <s v="Herrin"/>
    <x v="1"/>
    <n v="62948"/>
    <d v="2020-09-30T00:00:00"/>
    <x v="1"/>
    <n v="59"/>
    <n v="277395"/>
    <n v="28319"/>
    <n v="277395"/>
    <n v="251689"/>
    <n v="251422"/>
    <x v="0"/>
    <n v="0.08"/>
    <n v="20113.760000000002"/>
    <n v="0.90733070170695218"/>
    <n v="4701.6101694915251"/>
    <n v="1.4079416280198231"/>
  </r>
  <r>
    <s v="THE BANK OF HERRIN"/>
    <s v="Herrin"/>
    <x v="1"/>
    <n v="62948"/>
    <d v="2021-09-30T00:00:00"/>
    <x v="2"/>
    <n v="58"/>
    <n v="309223"/>
    <n v="31278"/>
    <n v="309223"/>
    <n v="282969"/>
    <n v="282788"/>
    <x v="0"/>
    <n v="0.08"/>
    <n v="22623.040000000001"/>
    <n v="0.91509687183682975"/>
    <n v="5331.4310344827591"/>
    <n v="1.3825728107274706"/>
  </r>
  <r>
    <s v="THE BANK OF NEW YORK MELLON"/>
    <s v="New York"/>
    <x v="2"/>
    <n v="10286"/>
    <d v="2019-09-30T00:00:00"/>
    <x v="0"/>
    <n v="38520"/>
    <n v="304096000"/>
    <n v="97459000"/>
    <n v="304096000"/>
    <n v="278093000"/>
    <n v="255504000"/>
    <x v="1"/>
    <n v="0.08"/>
    <n v="20440320"/>
    <n v="0.91449081868883508"/>
    <n v="7894.4963655244028"/>
    <n v="4.7679781921222366"/>
  </r>
  <r>
    <s v="THE BANK OF NEW YORK MELLON"/>
    <s v="New York"/>
    <x v="2"/>
    <n v="10286"/>
    <d v="2020-09-30T00:00:00"/>
    <x v="1"/>
    <n v="39108"/>
    <n v="349432000"/>
    <n v="128562000"/>
    <n v="349432000"/>
    <n v="320352000"/>
    <n v="300672000"/>
    <x v="1"/>
    <n v="0.08"/>
    <n v="24053760"/>
    <n v="0.91677923029373387"/>
    <n v="8935.0516518359418"/>
    <n v="5.3447776979565775"/>
  </r>
  <r>
    <s v="THE BANK OF NEW YORK MELLON"/>
    <s v="New York"/>
    <x v="2"/>
    <n v="10286"/>
    <d v="2021-09-30T00:00:00"/>
    <x v="2"/>
    <n v="39711"/>
    <n v="385830000"/>
    <n v="148509000"/>
    <n v="385830000"/>
    <n v="357319000"/>
    <n v="341915000"/>
    <x v="1"/>
    <n v="0.08"/>
    <n v="27353200"/>
    <n v="0.92610476116424334"/>
    <n v="9715.9477222935711"/>
    <n v="5.4293099162072442"/>
  </r>
  <r>
    <s v="THE BANK OF NEW YORK MELLON TRUST COMPANY, NATIONAL ASSOCIATION"/>
    <s v="Los Angeles"/>
    <x v="0"/>
    <n v="90071"/>
    <d v="2019-09-30T00:00:00"/>
    <x v="0"/>
    <n v="1194"/>
    <n v="1360505"/>
    <n v="211851"/>
    <n v="1360505"/>
    <n v="251620"/>
    <n v="2897"/>
    <x v="1"/>
    <n v="0.08"/>
    <n v="231.76"/>
    <n v="0.18494603106934557"/>
    <n v="1139.4514237855947"/>
    <n v="914.09647911632726"/>
  </r>
  <r>
    <s v="THE BANK OF NEW YORK MELLON TRUST COMPANY, NATIONAL ASSOCIATION"/>
    <s v="Los Angeles"/>
    <x v="0"/>
    <n v="90071"/>
    <d v="2020-09-30T00:00:00"/>
    <x v="1"/>
    <n v="880"/>
    <n v="1478507"/>
    <n v="353022"/>
    <n v="1478507"/>
    <n v="260014"/>
    <n v="2258"/>
    <x v="1"/>
    <n v="0.08"/>
    <n v="180.64000000000001"/>
    <n v="0.17586254241609947"/>
    <n v="1680.1215909090909"/>
    <n v="1954.2847652790078"/>
  </r>
  <r>
    <s v="THE BANK OF NEW YORK MELLON TRUST COMPANY, NATIONAL ASSOCIATION"/>
    <s v="Los Angeles"/>
    <x v="0"/>
    <n v="90071"/>
    <d v="2021-09-30T00:00:00"/>
    <x v="2"/>
    <n v="804"/>
    <n v="1422604"/>
    <n v="404688"/>
    <n v="1422604"/>
    <n v="270055"/>
    <n v="749"/>
    <x v="1"/>
    <n v="0.08"/>
    <n v="59.92"/>
    <n v="0.18983146399138481"/>
    <n v="1769.4079601990049"/>
    <n v="6753.8050734312419"/>
  </r>
  <r>
    <s v="THE BERKSHIRE BANK"/>
    <s v="New York"/>
    <x v="2"/>
    <n v="10016"/>
    <d v="2019-09-30T00:00:00"/>
    <x v="0"/>
    <n v="93"/>
    <n v="642882"/>
    <n v="92442"/>
    <n v="642882"/>
    <n v="522005"/>
    <n v="512462"/>
    <x v="0"/>
    <n v="8.5000000000000006E-2"/>
    <n v="43559.270000000004"/>
    <n v="0.81197638135769856"/>
    <n v="6912.7096774193551"/>
    <n v="2.1222118736149618"/>
  </r>
  <r>
    <s v="THE BERKSHIRE BANK"/>
    <s v="New York"/>
    <x v="2"/>
    <n v="10016"/>
    <d v="2020-09-30T00:00:00"/>
    <x v="1"/>
    <n v="89"/>
    <n v="686442"/>
    <n v="262852"/>
    <n v="686442"/>
    <n v="564120"/>
    <n v="557111"/>
    <x v="0"/>
    <n v="8.5000000000000006E-2"/>
    <n v="47354.435000000005"/>
    <n v="0.82180286171300709"/>
    <n v="7712.8314606741569"/>
    <n v="5.5507366944616692"/>
  </r>
  <r>
    <s v="THE BERKSHIRE BANK"/>
    <s v="New York"/>
    <x v="2"/>
    <n v="10016"/>
    <d v="2021-09-30T00:00:00"/>
    <x v="2"/>
    <n v="79"/>
    <n v="665807"/>
    <n v="233015"/>
    <n v="665807"/>
    <n v="541995"/>
    <n v="533877"/>
    <x v="0"/>
    <n v="8.5000000000000006E-2"/>
    <n v="45379.545000000006"/>
    <n v="0.81404220742647648"/>
    <n v="8427.9367088607596"/>
    <n v="5.1348024754324877"/>
  </r>
  <r>
    <s v="THE BRADFORD NATIONAL BANK OF GREENVILLE"/>
    <s v="Greenville"/>
    <x v="1"/>
    <n v="62246"/>
    <d v="2019-09-30T00:00:00"/>
    <x v="0"/>
    <n v="48"/>
    <n v="318318"/>
    <n v="9382"/>
    <n v="318318"/>
    <n v="276463"/>
    <n v="259937"/>
    <x v="0"/>
    <n v="0.08"/>
    <n v="20794.96"/>
    <n v="0.86851199115350064"/>
    <n v="6631.625"/>
    <n v="0.45116701354558991"/>
  </r>
  <r>
    <s v="THE BRADFORD NATIONAL BANK OF GREENVILLE"/>
    <s v="Greenville"/>
    <x v="1"/>
    <n v="62246"/>
    <d v="2020-09-30T00:00:00"/>
    <x v="1"/>
    <n v="49"/>
    <n v="406648"/>
    <n v="5388"/>
    <n v="406648"/>
    <n v="349299"/>
    <n v="324401"/>
    <x v="0"/>
    <n v="0.08"/>
    <n v="25952.080000000002"/>
    <n v="0.8589713954083138"/>
    <n v="8298.9387755102034"/>
    <n v="0.20761341672806186"/>
  </r>
  <r>
    <s v="THE BRADFORD NATIONAL BANK OF GREENVILLE"/>
    <s v="Greenville"/>
    <x v="1"/>
    <n v="62246"/>
    <d v="2021-09-30T00:00:00"/>
    <x v="2"/>
    <n v="50"/>
    <n v="469614"/>
    <n v="6513"/>
    <n v="469614"/>
    <n v="403098"/>
    <n v="333993"/>
    <x v="0"/>
    <n v="0.08"/>
    <n v="26719.440000000002"/>
    <n v="0.85836027034969142"/>
    <n v="9392.2800000000007"/>
    <n v="0.24375510864000141"/>
  </r>
  <r>
    <s v="THE CANANDAIGUA NATIONAL BANK AND TRUST COMPANY"/>
    <s v="Canandaigua"/>
    <x v="2"/>
    <n v="14424"/>
    <d v="2019-09-30T00:00:00"/>
    <x v="0"/>
    <n v="507"/>
    <n v="2978215"/>
    <n v="82157"/>
    <n v="2978215"/>
    <n v="2688301"/>
    <n v="2396881"/>
    <x v="1"/>
    <n v="0.08"/>
    <n v="191750.48"/>
    <n v="0.9026551138853306"/>
    <n v="5874.1913214990136"/>
    <n v="0.42845785835842493"/>
  </r>
  <r>
    <s v="THE CANANDAIGUA NATIONAL BANK AND TRUST COMPANY"/>
    <s v="Canandaigua"/>
    <x v="2"/>
    <n v="14424"/>
    <d v="2020-09-30T00:00:00"/>
    <x v="1"/>
    <n v="540"/>
    <n v="3598624"/>
    <n v="78169"/>
    <n v="3598624"/>
    <n v="3280717"/>
    <n v="2935991"/>
    <x v="1"/>
    <n v="0.08"/>
    <n v="234879.28"/>
    <n v="0.91165873400499742"/>
    <n v="6664.1185185185186"/>
    <n v="0.33280500519245459"/>
  </r>
  <r>
    <s v="THE CANANDAIGUA NATIONAL BANK AND TRUST COMPANY"/>
    <s v="Canandaigua"/>
    <x v="2"/>
    <n v="14424"/>
    <d v="2021-09-30T00:00:00"/>
    <x v="2"/>
    <n v="577"/>
    <n v="4057834"/>
    <n v="95579"/>
    <n v="4057834"/>
    <n v="3715167"/>
    <n v="3449977"/>
    <x v="1"/>
    <n v="0.08"/>
    <n v="275998.16000000003"/>
    <n v="0.91555420946248667"/>
    <n v="7032.6412478336224"/>
    <n v="0.34630303332456996"/>
  </r>
  <r>
    <s v="THE CAPE COD FIVE CENTS SAVINGS BANK"/>
    <s v="Harwich Port"/>
    <x v="3"/>
    <n v="2646"/>
    <d v="2019-09-30T00:00:00"/>
    <x v="0"/>
    <n v="533"/>
    <n v="3617824"/>
    <n v="46055"/>
    <n v="3617824"/>
    <n v="3269035"/>
    <n v="3031387"/>
    <x v="1"/>
    <n v="0.08"/>
    <n v="242510.96"/>
    <n v="0.9035914958826079"/>
    <n v="6787.6622889305818"/>
    <n v="0.18990894267211678"/>
  </r>
  <r>
    <s v="THE CAPE COD FIVE CENTS SAVINGS BANK"/>
    <s v="Hyannis"/>
    <x v="3"/>
    <n v="2601"/>
    <d v="2020-09-30T00:00:00"/>
    <x v="1"/>
    <n v="529"/>
    <n v="4172702"/>
    <n v="335573"/>
    <n v="4172702"/>
    <n v="3790591"/>
    <n v="3696173"/>
    <x v="1"/>
    <n v="0.08"/>
    <n v="295693.84000000003"/>
    <n v="0.90842600310302535"/>
    <n v="7887.9054820415877"/>
    <n v="1.1348663874769931"/>
  </r>
  <r>
    <s v="THE CAPE COD FIVE CENTS SAVINGS BANK"/>
    <s v="Hyannis"/>
    <x v="3"/>
    <n v="2601"/>
    <d v="2021-09-30T00:00:00"/>
    <x v="2"/>
    <n v="527"/>
    <n v="4792923"/>
    <n v="761865"/>
    <n v="4792923"/>
    <n v="4324502"/>
    <n v="4302241"/>
    <x v="1"/>
    <n v="0.08"/>
    <n v="344179.28"/>
    <n v="0.90226819834159655"/>
    <n v="9094.7305502846302"/>
    <n v="2.2135702067829297"/>
  </r>
  <r>
    <s v="THE CITIZENS NATIONAL BANK OF HAMMOND"/>
    <s v="Hammond"/>
    <x v="2"/>
    <n v="13646"/>
    <d v="2019-09-30T00:00:00"/>
    <x v="0"/>
    <n v="7"/>
    <n v="25217"/>
    <n v="3661"/>
    <n v="25217"/>
    <n v="22931"/>
    <n v="22864"/>
    <x v="2"/>
    <n v="0.09"/>
    <n v="2057.7599999999998"/>
    <n v="0.90934686917555618"/>
    <n v="3602.4285714285716"/>
    <n v="1.7791190420651584"/>
  </r>
  <r>
    <s v="THE CITIZENS NATIONAL BANK OF HAMMOND"/>
    <s v="Hammond"/>
    <x v="2"/>
    <n v="13646"/>
    <d v="2020-09-30T00:00:00"/>
    <x v="1"/>
    <n v="7"/>
    <n v="26184"/>
    <n v="5239"/>
    <n v="26184"/>
    <n v="23693"/>
    <n v="23627"/>
    <x v="2"/>
    <n v="0.09"/>
    <n v="2126.4299999999998"/>
    <n v="0.90486556675832575"/>
    <n v="3740.5714285714284"/>
    <n v="2.4637538033229407"/>
  </r>
  <r>
    <s v="THE CITIZENS NATIONAL BANK OF HAMMOND"/>
    <s v="Hammond"/>
    <x v="2"/>
    <n v="13646"/>
    <d v="2021-09-30T00:00:00"/>
    <x v="2"/>
    <n v="7"/>
    <n v="26520"/>
    <n v="4233"/>
    <n v="26520"/>
    <n v="24022"/>
    <n v="23955"/>
    <x v="2"/>
    <n v="0.09"/>
    <n v="2155.9499999999998"/>
    <n v="0.90580693815987934"/>
    <n v="3788.5714285714284"/>
    <n v="1.9634036039796843"/>
  </r>
  <r>
    <s v="THE CITY NATIONAL BANK OF METROPOLIS"/>
    <s v="Metropolis"/>
    <x v="1"/>
    <n v="62960"/>
    <d v="2019-09-30T00:00:00"/>
    <x v="0"/>
    <n v="49"/>
    <n v="388746"/>
    <n v="33899"/>
    <n v="388746"/>
    <n v="336153"/>
    <n v="302137"/>
    <x v="0"/>
    <n v="0.08"/>
    <n v="24170.959999999999"/>
    <n v="0.86471114815329286"/>
    <n v="7933.591836734694"/>
    <n v="1.4024680856697458"/>
  </r>
  <r>
    <s v="THE CITY NATIONAL BANK OF METROPOLIS"/>
    <s v="Metropolis"/>
    <x v="1"/>
    <n v="62960"/>
    <d v="2020-09-30T00:00:00"/>
    <x v="1"/>
    <n v="50"/>
    <n v="446930"/>
    <n v="19495"/>
    <n v="446930"/>
    <n v="389768"/>
    <n v="340647"/>
    <x v="0"/>
    <n v="0.08"/>
    <n v="27251.760000000002"/>
    <n v="0.87210077640793859"/>
    <n v="8938.6"/>
    <n v="0.71536664053991372"/>
  </r>
  <r>
    <s v="THE CITY NATIONAL BANK OF METROPOLIS"/>
    <s v="Metropolis"/>
    <x v="1"/>
    <n v="62960"/>
    <d v="2021-09-30T00:00:00"/>
    <x v="2"/>
    <n v="50"/>
    <n v="477297"/>
    <n v="69724"/>
    <n v="477297"/>
    <n v="419444"/>
    <n v="375610"/>
    <x v="0"/>
    <n v="0.08"/>
    <n v="30048.799999999999"/>
    <n v="0.8787903548524294"/>
    <n v="9545.94"/>
    <n v="2.3203588828838422"/>
  </r>
  <r>
    <s v="THE CLAY CITY BANKING CO."/>
    <s v="Clay City"/>
    <x v="1"/>
    <n v="62824"/>
    <d v="2019-09-30T00:00:00"/>
    <x v="0"/>
    <n v="35"/>
    <n v="149516"/>
    <n v="4837"/>
    <n v="149516"/>
    <n v="134893"/>
    <n v="130668"/>
    <x v="0"/>
    <n v="0.08"/>
    <n v="10453.44"/>
    <n v="0.90219775809946756"/>
    <n v="4271.8857142857141"/>
    <n v="0.46271849266844212"/>
  </r>
  <r>
    <s v="THE CLAY CITY BANKING CO."/>
    <s v="Clay City"/>
    <x v="1"/>
    <n v="62824"/>
    <d v="2020-09-30T00:00:00"/>
    <x v="1"/>
    <n v="35"/>
    <n v="169881"/>
    <n v="8406"/>
    <n v="169881"/>
    <n v="154013"/>
    <n v="149600"/>
    <x v="0"/>
    <n v="0.08"/>
    <n v="11968"/>
    <n v="0.90659343893666744"/>
    <n v="4853.7428571428572"/>
    <n v="0.70237299465240643"/>
  </r>
  <r>
    <s v="THE CLAY CITY BANKING CO."/>
    <s v="Clay City"/>
    <x v="1"/>
    <n v="62824"/>
    <d v="2021-09-30T00:00:00"/>
    <x v="2"/>
    <n v="33"/>
    <n v="192378"/>
    <n v="6565"/>
    <n v="192378"/>
    <n v="175254"/>
    <n v="170652"/>
    <x v="0"/>
    <n v="0.08"/>
    <n v="13652.16"/>
    <n v="0.91098774288120266"/>
    <n v="5829.636363636364"/>
    <n v="0.48087628624334905"/>
  </r>
  <r>
    <s v="THE COOPERATIVE BANK"/>
    <s v="Roslindale"/>
    <x v="3"/>
    <n v="2131"/>
    <d v="2019-09-30T00:00:00"/>
    <x v="0"/>
    <n v="66"/>
    <n v="439192"/>
    <n v="14624"/>
    <n v="439192"/>
    <n v="396402"/>
    <n v="350862"/>
    <x v="0"/>
    <n v="8.5000000000000006E-2"/>
    <n v="29823.27"/>
    <n v="0.90257108508351702"/>
    <n v="6654.424242424242"/>
    <n v="0.49035535003371528"/>
  </r>
  <r>
    <s v="THE COOPERATIVE BANK"/>
    <s v="Roslindale"/>
    <x v="3"/>
    <n v="2131"/>
    <d v="2020-09-30T00:00:00"/>
    <x v="1"/>
    <n v="71"/>
    <n v="472403"/>
    <n v="27293"/>
    <n v="472403"/>
    <n v="426894"/>
    <n v="391163"/>
    <x v="0"/>
    <n v="8.5000000000000006E-2"/>
    <n v="33248.855000000003"/>
    <n v="0.90366487935089324"/>
    <n v="6653.5633802816901"/>
    <n v="0.82087037282938002"/>
  </r>
  <r>
    <s v="THE COOPERATIVE BANK"/>
    <s v="Roslindale"/>
    <x v="3"/>
    <n v="2131"/>
    <d v="2021-09-30T00:00:00"/>
    <x v="2"/>
    <n v="78"/>
    <n v="483441"/>
    <n v="15209"/>
    <n v="483441"/>
    <n v="435810"/>
    <n v="423036"/>
    <x v="0"/>
    <n v="8.5000000000000006E-2"/>
    <n v="35958.060000000005"/>
    <n v="0.90147505073007872"/>
    <n v="6197.9615384615381"/>
    <n v="0.42296497641975117"/>
  </r>
  <r>
    <s v="THE DELAWARE NATIONAL BANK OF DELHI"/>
    <s v="Delhi"/>
    <x v="2"/>
    <n v="13753"/>
    <d v="2019-09-30T00:00:00"/>
    <x v="0"/>
    <n v="49"/>
    <n v="304811"/>
    <n v="39965"/>
    <n v="304811"/>
    <n v="273769"/>
    <n v="269741"/>
    <x v="0"/>
    <n v="8.5000000000000006E-2"/>
    <n v="22927.985000000001"/>
    <n v="0.89815984331274135"/>
    <n v="6220.6326530612241"/>
    <n v="1.7430663880842558"/>
  </r>
  <r>
    <s v="THE DELAWARE NATIONAL BANK OF DELHI"/>
    <s v="Delhi"/>
    <x v="2"/>
    <n v="13753"/>
    <d v="2020-09-30T00:00:00"/>
    <x v="1"/>
    <n v="51"/>
    <n v="336613"/>
    <n v="44233"/>
    <n v="336614"/>
    <n v="302711"/>
    <n v="298725"/>
    <x v="0"/>
    <n v="8.5000000000000006E-2"/>
    <n v="25391.625000000004"/>
    <n v="0.89928493551942434"/>
    <n v="6600.2549019607841"/>
    <n v="1.7420310830834969"/>
  </r>
  <r>
    <s v="THE DELAWARE NATIONAL BANK OF DELHI"/>
    <s v="Delhi"/>
    <x v="2"/>
    <n v="13753"/>
    <d v="2021-09-30T00:00:00"/>
    <x v="2"/>
    <n v="49"/>
    <n v="376835"/>
    <n v="50416"/>
    <n v="376835"/>
    <n v="342139"/>
    <n v="338116"/>
    <x v="0"/>
    <n v="8.5000000000000006E-2"/>
    <n v="28739.86"/>
    <n v="0.90792787294173838"/>
    <n v="7690.5102040816328"/>
    <n v="1.7542187053103251"/>
  </r>
  <r>
    <s v="THE FAIRFIELD NATIONAL BANK"/>
    <s v="Fairfield"/>
    <x v="1"/>
    <n v="62837"/>
    <d v="2019-09-30T00:00:00"/>
    <x v="0"/>
    <n v="59"/>
    <n v="551260"/>
    <n v="16014"/>
    <n v="551260"/>
    <n v="479126"/>
    <n v="329217"/>
    <x v="0"/>
    <n v="0.08"/>
    <n v="26337.360000000001"/>
    <n v="0.86914704495156547"/>
    <n v="9343.3898305084749"/>
    <n v="0.60803360701300357"/>
  </r>
  <r>
    <s v="THE FAIRFIELD NATIONAL BANK"/>
    <s v="Fairfield"/>
    <x v="1"/>
    <n v="62837"/>
    <d v="2020-09-30T00:00:00"/>
    <x v="1"/>
    <n v="60"/>
    <n v="582433"/>
    <n v="9932"/>
    <n v="582433"/>
    <n v="502050"/>
    <n v="340256"/>
    <x v="0"/>
    <n v="0.08"/>
    <n v="27220.48"/>
    <n v="0.86198755908404912"/>
    <n v="9707.2166666666672"/>
    <n v="0.36487233142104769"/>
  </r>
  <r>
    <s v="THE FAIRFIELD NATIONAL BANK"/>
    <s v="Fairfield"/>
    <x v="1"/>
    <n v="62837"/>
    <d v="2021-09-30T00:00:00"/>
    <x v="2"/>
    <n v="59"/>
    <n v="661486"/>
    <n v="14272"/>
    <n v="661486"/>
    <n v="580582"/>
    <n v="401762"/>
    <x v="0"/>
    <n v="0.08"/>
    <n v="32140.959999999999"/>
    <n v="0.87769355662856052"/>
    <n v="11211.627118644068"/>
    <n v="0.44404398624061014"/>
  </r>
  <r>
    <s v="THE FARMERS AND MERCHANTS NATIONAL BANK OF NASHVILLE"/>
    <s v="Nashville"/>
    <x v="1"/>
    <n v="62263"/>
    <d v="2019-09-30T00:00:00"/>
    <x v="0"/>
    <n v="45"/>
    <n v="183440"/>
    <n v="10169"/>
    <n v="183440"/>
    <n v="160808"/>
    <n v="160382"/>
    <x v="0"/>
    <n v="0.08"/>
    <n v="12830.56"/>
    <n v="0.87662450937636283"/>
    <n v="4076.4444444444443"/>
    <n v="0.79256088588494966"/>
  </r>
  <r>
    <s v="THE FARMERS AND MERCHANTS NATIONAL BANK OF NASHVILLE"/>
    <s v="Nashville"/>
    <x v="1"/>
    <n v="62263"/>
    <d v="2020-09-30T00:00:00"/>
    <x v="1"/>
    <n v="46"/>
    <n v="215562"/>
    <n v="15211"/>
    <n v="215562"/>
    <n v="190804"/>
    <n v="190080"/>
    <x v="0"/>
    <n v="0.08"/>
    <n v="15206.4"/>
    <n v="0.88514673272654731"/>
    <n v="4686.130434782609"/>
    <n v="1.0003025042087543"/>
  </r>
  <r>
    <s v="THE FARMERS AND MERCHANTS NATIONAL BANK OF NASHVILLE"/>
    <s v="Nashville"/>
    <x v="1"/>
    <n v="62263"/>
    <d v="2021-09-30T00:00:00"/>
    <x v="2"/>
    <n v="44"/>
    <n v="238493"/>
    <n v="23939"/>
    <n v="238493"/>
    <n v="211692"/>
    <n v="211186"/>
    <x v="0"/>
    <n v="0.08"/>
    <n v="16894.88"/>
    <n v="0.887623536120557"/>
    <n v="5420.295454545455"/>
    <n v="1.4169381493091397"/>
  </r>
  <r>
    <s v="THE FARMERS BANK OF MT. PULASKI"/>
    <s v="Mount Pulaski"/>
    <x v="1"/>
    <n v="62548"/>
    <d v="2019-09-30T00:00:00"/>
    <x v="0"/>
    <n v="12"/>
    <n v="57018"/>
    <n v="16318"/>
    <n v="57018"/>
    <n v="50163"/>
    <n v="50090"/>
    <x v="2"/>
    <n v="0.09"/>
    <n v="4508.0999999999995"/>
    <n v="0.87977480795538254"/>
    <n v="4751.5"/>
    <n v="3.6197067500720927"/>
  </r>
  <r>
    <s v="THE FARMERS BANK OF MT. PULASKI"/>
    <s v="Mount Pulaski"/>
    <x v="1"/>
    <n v="62548"/>
    <d v="2020-09-30T00:00:00"/>
    <x v="1"/>
    <n v="10"/>
    <n v="57895"/>
    <n v="25606"/>
    <n v="57895"/>
    <n v="50760"/>
    <n v="46668"/>
    <x v="2"/>
    <n v="0.09"/>
    <n v="4200.12"/>
    <n v="0.87675965109249498"/>
    <n v="5789.5"/>
    <n v="6.0964924811672052"/>
  </r>
  <r>
    <s v="THE FARMERS BANK OF MT. PULASKI"/>
    <s v="Mount Pulaski"/>
    <x v="1"/>
    <n v="62548"/>
    <d v="2021-09-30T00:00:00"/>
    <x v="2"/>
    <n v="10"/>
    <n v="60356"/>
    <n v="12090"/>
    <n v="60356"/>
    <n v="53166"/>
    <n v="53110"/>
    <x v="2"/>
    <n v="0.09"/>
    <n v="4779.8999999999996"/>
    <n v="0.88087348399496324"/>
    <n v="6035.6"/>
    <n v="2.529341618025482"/>
  </r>
  <r>
    <s v="THE FARMERS NATIONAL BANK"/>
    <s v="Prophetstown"/>
    <x v="1"/>
    <n v="61277"/>
    <d v="2019-09-30T00:00:00"/>
    <x v="0"/>
    <n v="49"/>
    <n v="726119"/>
    <n v="33905"/>
    <n v="726119"/>
    <n v="620535"/>
    <n v="484282"/>
    <x v="0"/>
    <n v="0.08"/>
    <n v="38742.559999999998"/>
    <n v="0.85459132731687226"/>
    <n v="14818.755102040815"/>
    <n v="0.87513576800294046"/>
  </r>
  <r>
    <s v="THE FARMERS STATE BANK AND TRUST COMPANY"/>
    <s v="Jacksonville"/>
    <x v="1"/>
    <n v="62650"/>
    <d v="2019-09-30T00:00:00"/>
    <x v="0"/>
    <n v="54"/>
    <n v="196711"/>
    <n v="5437"/>
    <n v="196711"/>
    <n v="172079"/>
    <n v="168977"/>
    <x v="0"/>
    <n v="0.08"/>
    <n v="13518.16"/>
    <n v="0.87478076975868146"/>
    <n v="3642.7962962962961"/>
    <n v="0.40219970765252078"/>
  </r>
  <r>
    <s v="THE FARMERS STATE BANK AND TRUST COMPANY"/>
    <s v="Jacksonville"/>
    <x v="1"/>
    <n v="62650"/>
    <d v="2020-09-30T00:00:00"/>
    <x v="1"/>
    <n v="55"/>
    <n v="217103"/>
    <n v="4469"/>
    <n v="217103"/>
    <n v="190522"/>
    <n v="186661"/>
    <x v="0"/>
    <n v="0.08"/>
    <n v="14932.880000000001"/>
    <n v="0.8775650267384606"/>
    <n v="3947.3272727272729"/>
    <n v="0.29927247791450812"/>
  </r>
  <r>
    <s v="THE FARMERS STATE BANK AND TRUST COMPANY"/>
    <s v="Jacksonville"/>
    <x v="1"/>
    <n v="62650"/>
    <d v="2021-09-30T00:00:00"/>
    <x v="2"/>
    <n v="48"/>
    <n v="238156"/>
    <n v="11683"/>
    <n v="238156"/>
    <n v="210996"/>
    <n v="210725"/>
    <x v="0"/>
    <n v="0.08"/>
    <n v="16858"/>
    <n v="0.88595710374712378"/>
    <n v="4961.583333333333"/>
    <n v="0.69302408352117684"/>
  </r>
  <r>
    <s v="THE FEDERAL SAVINGS BANK"/>
    <s v="Chicago"/>
    <x v="1"/>
    <n v="60607"/>
    <d v="2019-09-30T00:00:00"/>
    <x v="0"/>
    <n v="1090"/>
    <n v="756162"/>
    <n v="63500"/>
    <n v="756162"/>
    <n v="655057"/>
    <n v="621830"/>
    <x v="0"/>
    <n v="0.08"/>
    <n v="49746.400000000001"/>
    <n v="0.86629187925338746"/>
    <n v="693.72660550458716"/>
    <n v="1.2764742775356608"/>
  </r>
  <r>
    <s v="THE FEDERAL SAVINGS BANK"/>
    <s v="Chicago"/>
    <x v="1"/>
    <n v="60607"/>
    <d v="2020-09-30T00:00:00"/>
    <x v="1"/>
    <n v="1514"/>
    <n v="1360504"/>
    <n v="206307"/>
    <n v="1360504"/>
    <n v="1203486"/>
    <n v="1137811"/>
    <x v="1"/>
    <n v="7.4999999999999997E-2"/>
    <n v="85335.824999999997"/>
    <n v="0.88458835843187522"/>
    <n v="898.61558784676356"/>
    <n v="2.4175895645234577"/>
  </r>
  <r>
    <s v="THE FEDERAL SAVINGS BANK"/>
    <s v="Chicago"/>
    <x v="1"/>
    <n v="60639"/>
    <d v="2021-09-30T00:00:00"/>
    <x v="2"/>
    <n v="1710"/>
    <n v="861090"/>
    <n v="22695"/>
    <n v="861090"/>
    <n v="700732"/>
    <n v="599496"/>
    <x v="0"/>
    <n v="0.08"/>
    <n v="47959.68"/>
    <n v="0.81377324089235736"/>
    <n v="503.56140350877195"/>
    <n v="0.47320999639697348"/>
  </r>
  <r>
    <s v="THE FIRST BANK AND TRUST COMPANY OF MURPHYSBORO"/>
    <s v="Murphysboro"/>
    <x v="1"/>
    <n v="62966"/>
    <d v="2019-09-30T00:00:00"/>
    <x v="0"/>
    <n v="28"/>
    <n v="79165"/>
    <n v="5284"/>
    <n v="79165"/>
    <n v="72174"/>
    <n v="70306"/>
    <x v="2"/>
    <n v="0.09"/>
    <n v="6327.54"/>
    <n v="0.91169077243731445"/>
    <n v="2827.3214285714284"/>
    <n v="0.83507966761174168"/>
  </r>
  <r>
    <s v="THE FIRST BANK AND TRUST COMPANY OF MURPHYSBORO"/>
    <s v="Murphysboro"/>
    <x v="1"/>
    <n v="62966"/>
    <d v="2020-09-30T00:00:00"/>
    <x v="1"/>
    <n v="26"/>
    <n v="84607"/>
    <n v="8024"/>
    <n v="84607"/>
    <n v="77260"/>
    <n v="74504"/>
    <x v="2"/>
    <n v="0.09"/>
    <n v="6705.36"/>
    <n v="0.91316321344569595"/>
    <n v="3254.1153846153848"/>
    <n v="1.1966546166052234"/>
  </r>
  <r>
    <s v="THE FIRST BANK AND TRUST COMPANY OF MURPHYSBORO"/>
    <s v="Murphysboro"/>
    <x v="1"/>
    <n v="62966"/>
    <d v="2021-09-30T00:00:00"/>
    <x v="2"/>
    <n v="28"/>
    <n v="88872"/>
    <n v="8887"/>
    <n v="88872"/>
    <n v="81112"/>
    <n v="80438"/>
    <x v="2"/>
    <n v="0.09"/>
    <n v="7239.42"/>
    <n v="0.91268340984787111"/>
    <n v="3174"/>
    <n v="1.2275845302524235"/>
  </r>
  <r>
    <s v="THE FIRST NATIONAL BANK"/>
    <s v="Mattoon"/>
    <x v="1"/>
    <n v="61938"/>
    <d v="2019-09-30T00:00:00"/>
    <x v="0"/>
    <n v="22"/>
    <n v="92080"/>
    <n v="5884"/>
    <n v="92080"/>
    <n v="83825"/>
    <n v="79587"/>
    <x v="2"/>
    <n v="0.09"/>
    <n v="7162.83"/>
    <n v="0.91034969591659431"/>
    <n v="4185.454545454545"/>
    <n v="0.82146302508924551"/>
  </r>
  <r>
    <s v="THE FIRST NATIONAL BANK"/>
    <s v="Mattoon"/>
    <x v="1"/>
    <n v="61938"/>
    <d v="2020-09-30T00:00:00"/>
    <x v="1"/>
    <n v="22"/>
    <n v="101569"/>
    <n v="15784"/>
    <n v="101569"/>
    <n v="92397"/>
    <n v="84022"/>
    <x v="0"/>
    <n v="0.08"/>
    <n v="6721.76"/>
    <n v="0.90969685632427222"/>
    <n v="4616.772727272727"/>
    <n v="2.3481945204827306"/>
  </r>
  <r>
    <s v="THE FIRST NATIONAL BANK IN AMBOY"/>
    <s v="Amboy"/>
    <x v="1"/>
    <n v="61310"/>
    <d v="2019-09-30T00:00:00"/>
    <x v="0"/>
    <n v="60"/>
    <n v="206310"/>
    <n v="14905"/>
    <n v="206310"/>
    <n v="181763"/>
    <n v="177397"/>
    <x v="0"/>
    <n v="0.08"/>
    <n v="14191.76"/>
    <n v="0.88101885512093447"/>
    <n v="3438.5"/>
    <n v="1.0502573324238853"/>
  </r>
  <r>
    <s v="THE FIRST NATIONAL BANK IN AMBOY"/>
    <s v="Amboy"/>
    <x v="1"/>
    <n v="61310"/>
    <d v="2020-09-30T00:00:00"/>
    <x v="1"/>
    <n v="59"/>
    <n v="231527"/>
    <n v="14276"/>
    <n v="231527"/>
    <n v="204371"/>
    <n v="197280"/>
    <x v="0"/>
    <n v="0.08"/>
    <n v="15782.4"/>
    <n v="0.88270914407390932"/>
    <n v="3924.1864406779659"/>
    <n v="0.90455190592051904"/>
  </r>
  <r>
    <s v="THE FIRST NATIONAL BANK IN AMBOY"/>
    <s v="Amboy"/>
    <x v="1"/>
    <n v="61310"/>
    <d v="2021-09-30T00:00:00"/>
    <x v="2"/>
    <n v="56"/>
    <n v="273527"/>
    <n v="32214"/>
    <n v="273527"/>
    <n v="244685"/>
    <n v="237451"/>
    <x v="0"/>
    <n v="0.08"/>
    <n v="18996.080000000002"/>
    <n v="0.89455519930390781"/>
    <n v="4884.4107142857147"/>
    <n v="1.6958235593869893"/>
  </r>
  <r>
    <s v="THE FIRST NATIONAL BANK IN CARLYLE"/>
    <s v="Carlyle"/>
    <x v="1"/>
    <n v="62231"/>
    <d v="2019-09-30T00:00:00"/>
    <x v="0"/>
    <n v="33"/>
    <n v="196892"/>
    <n v="13712"/>
    <n v="196892"/>
    <n v="174293"/>
    <n v="156778"/>
    <x v="0"/>
    <n v="0.08"/>
    <n v="12542.24"/>
    <n v="0.88522133961765836"/>
    <n v="5966.424242424242"/>
    <n v="1.0932656367602598"/>
  </r>
  <r>
    <s v="THE FIRST NATIONAL BANK IN CARLYLE"/>
    <s v="Carlyle"/>
    <x v="1"/>
    <n v="62231"/>
    <d v="2020-09-30T00:00:00"/>
    <x v="1"/>
    <n v="30"/>
    <n v="228500"/>
    <n v="16347"/>
    <n v="228500"/>
    <n v="204539"/>
    <n v="176686"/>
    <x v="0"/>
    <n v="0.08"/>
    <n v="14134.880000000001"/>
    <n v="0.89513785557986869"/>
    <n v="7616.666666666667"/>
    <n v="1.1565007980258764"/>
  </r>
  <r>
    <s v="THE FIRST NATIONAL BANK IN CARLYLE"/>
    <s v="Carlyle"/>
    <x v="1"/>
    <n v="62231"/>
    <d v="2021-09-30T00:00:00"/>
    <x v="2"/>
    <n v="31"/>
    <n v="259072"/>
    <n v="13188"/>
    <n v="259072"/>
    <n v="234068"/>
    <n v="207532"/>
    <x v="0"/>
    <n v="0.08"/>
    <n v="16602.560000000001"/>
    <n v="0.90348628952569165"/>
    <n v="8357.1612903225814"/>
    <n v="0.79433533141876911"/>
  </r>
  <r>
    <s v="THE FIRST NATIONAL BANK IN STAUNTON"/>
    <s v="Staunton"/>
    <x v="1"/>
    <n v="62088"/>
    <d v="2019-09-30T00:00:00"/>
    <x v="0"/>
    <n v="123"/>
    <n v="543284"/>
    <n v="44530"/>
    <n v="543285"/>
    <n v="477153"/>
    <n v="435780"/>
    <x v="0"/>
    <n v="0.08"/>
    <n v="34862.400000000001"/>
    <n v="0.87827545077712577"/>
    <n v="4416.9430894308944"/>
    <n v="1.2773073569232181"/>
  </r>
  <r>
    <s v="THE FIRST NATIONAL BANK IN TREMONT"/>
    <s v="Tremont"/>
    <x v="1"/>
    <n v="61568"/>
    <d v="2019-09-30T00:00:00"/>
    <x v="0"/>
    <n v="30"/>
    <n v="122698"/>
    <n v="7552"/>
    <n v="122698"/>
    <n v="107248"/>
    <n v="106410"/>
    <x v="0"/>
    <n v="0.08"/>
    <n v="8512.7999999999993"/>
    <n v="0.87408107711617145"/>
    <n v="4089.9333333333334"/>
    <n v="0.88713466779438033"/>
  </r>
  <r>
    <s v="THE FIRST NATIONAL BANK IN TREMONT"/>
    <s v="Tremont"/>
    <x v="1"/>
    <n v="61568"/>
    <d v="2020-09-30T00:00:00"/>
    <x v="1"/>
    <n v="31"/>
    <n v="135550"/>
    <n v="12965"/>
    <n v="135550"/>
    <n v="118825"/>
    <n v="113600"/>
    <x v="0"/>
    <n v="0.08"/>
    <n v="9088"/>
    <n v="0.87661379564736264"/>
    <n v="4372.5806451612907"/>
    <n v="1.426606514084507"/>
  </r>
  <r>
    <s v="THE FIRST NATIONAL BANK IN TREMONT"/>
    <s v="Tremont"/>
    <x v="1"/>
    <n v="61568"/>
    <d v="2021-09-30T00:00:00"/>
    <x v="2"/>
    <n v="31"/>
    <n v="152624"/>
    <n v="29537"/>
    <n v="152624"/>
    <n v="135520"/>
    <n v="129366"/>
    <x v="0"/>
    <n v="0.08"/>
    <n v="10349.280000000001"/>
    <n v="0.88793374567564731"/>
    <n v="4923.3548387096771"/>
    <n v="2.8540149652922713"/>
  </r>
  <r>
    <s v="THE FIRST NATIONAL BANK OF ALLENDALE"/>
    <s v="Allendale"/>
    <x v="1"/>
    <n v="62410"/>
    <d v="2019-09-30T00:00:00"/>
    <x v="0"/>
    <n v="43"/>
    <n v="239993"/>
    <n v="12906"/>
    <n v="239993"/>
    <n v="213365"/>
    <n v="205703"/>
    <x v="0"/>
    <n v="0.08"/>
    <n v="16456.240000000002"/>
    <n v="0.88904676386394599"/>
    <n v="5581.2325581395353"/>
    <n v="0.78426177547240428"/>
  </r>
  <r>
    <s v="THE FIRST NATIONAL BANK OF ALLENDALE"/>
    <s v="Allendale"/>
    <x v="1"/>
    <n v="62410"/>
    <d v="2020-09-30T00:00:00"/>
    <x v="1"/>
    <n v="45"/>
    <n v="284578"/>
    <n v="21141"/>
    <n v="284579"/>
    <n v="254949"/>
    <n v="237711"/>
    <x v="0"/>
    <n v="0.08"/>
    <n v="19016.88"/>
    <n v="0.89588443238760551"/>
    <n v="6323.9555555555553"/>
    <n v="1.1116965559019145"/>
  </r>
  <r>
    <s v="THE FIRST NATIONAL BANK OF ALLENDALE"/>
    <s v="Allendale"/>
    <x v="1"/>
    <n v="62410"/>
    <d v="2021-09-30T00:00:00"/>
    <x v="2"/>
    <n v="46"/>
    <n v="319317"/>
    <n v="17471"/>
    <n v="319317"/>
    <n v="287653"/>
    <n v="281787"/>
    <x v="0"/>
    <n v="0.08"/>
    <n v="22542.959999999999"/>
    <n v="0.90083835185724526"/>
    <n v="6941.673913043478"/>
    <n v="0.77500913810786165"/>
  </r>
  <r>
    <s v="THE FIRST NATIONAL BANK OF ARENZVILLE"/>
    <s v="Arenzville"/>
    <x v="1"/>
    <n v="62611"/>
    <d v="2019-09-30T00:00:00"/>
    <x v="0"/>
    <n v="21"/>
    <n v="86888"/>
    <n v="8793"/>
    <n v="86888"/>
    <n v="77836"/>
    <n v="77610"/>
    <x v="2"/>
    <n v="0.09"/>
    <n v="6984.9"/>
    <n v="0.89581990608599571"/>
    <n v="4137.5238095238092"/>
    <n v="1.2588583945367866"/>
  </r>
  <r>
    <s v="THE FIRST NATIONAL BANK OF ARENZVILLE"/>
    <s v="Arenzville"/>
    <x v="1"/>
    <n v="62611"/>
    <d v="2020-09-30T00:00:00"/>
    <x v="1"/>
    <n v="20"/>
    <n v="101156"/>
    <n v="19906"/>
    <n v="101156"/>
    <n v="91310"/>
    <n v="91047"/>
    <x v="0"/>
    <n v="0.08"/>
    <n v="7283.76"/>
    <n v="0.90266519039898774"/>
    <n v="5057.8"/>
    <n v="2.7329291464847825"/>
  </r>
  <r>
    <s v="THE FIRST NATIONAL BANK OF ARENZVILLE"/>
    <s v="Arenzville"/>
    <x v="1"/>
    <n v="62611"/>
    <d v="2021-09-30T00:00:00"/>
    <x v="2"/>
    <n v="21"/>
    <n v="109838"/>
    <n v="22565"/>
    <n v="109838"/>
    <n v="99585"/>
    <n v="99254"/>
    <x v="0"/>
    <n v="0.08"/>
    <n v="7940.3200000000006"/>
    <n v="0.90665343505890494"/>
    <n v="5230.3809523809523"/>
    <n v="2.841825014608983"/>
  </r>
  <r>
    <s v="THE FIRST NATIONAL BANK OF ASSUMPTION"/>
    <s v="Assumption"/>
    <x v="1"/>
    <n v="62510"/>
    <d v="2019-09-30T00:00:00"/>
    <x v="0"/>
    <n v="4"/>
    <n v="20868"/>
    <n v="6673"/>
    <n v="20868"/>
    <n v="18652"/>
    <n v="18579"/>
    <x v="2"/>
    <n v="0.09"/>
    <n v="1672.11"/>
    <n v="0.89380870231934062"/>
    <n v="5217"/>
    <n v="3.9907661577288578"/>
  </r>
  <r>
    <s v="THE FIRST NATIONAL BANK OF ASSUMPTION"/>
    <s v="Assumption"/>
    <x v="1"/>
    <n v="62510"/>
    <d v="2020-09-30T00:00:00"/>
    <x v="1"/>
    <n v="4"/>
    <n v="24080"/>
    <n v="7792"/>
    <n v="24080"/>
    <n v="21792"/>
    <n v="21735"/>
    <x v="2"/>
    <n v="0.09"/>
    <n v="1956.1499999999999"/>
    <n v="0.90498338870431894"/>
    <n v="6020"/>
    <n v="3.9833346113539352"/>
  </r>
  <r>
    <s v="THE FIRST NATIONAL BANK OF ASSUMPTION"/>
    <s v="Assumption"/>
    <x v="1"/>
    <n v="62510"/>
    <d v="2021-09-30T00:00:00"/>
    <x v="2"/>
    <n v="4"/>
    <n v="23212"/>
    <n v="6588"/>
    <n v="23212"/>
    <n v="20923"/>
    <n v="20872"/>
    <x v="2"/>
    <n v="0.09"/>
    <n v="1878.48"/>
    <n v="0.9013872135102533"/>
    <n v="5803"/>
    <n v="3.5070908394020699"/>
  </r>
  <r>
    <s v="THE FIRST NATIONAL BANK OF AVA"/>
    <s v="Ava"/>
    <x v="1"/>
    <n v="62907"/>
    <d v="2019-09-30T00:00:00"/>
    <x v="0"/>
    <n v="18"/>
    <n v="63576"/>
    <n v="1814"/>
    <n v="63576"/>
    <n v="54631"/>
    <n v="54231"/>
    <x v="2"/>
    <n v="0.09"/>
    <n v="4880.79"/>
    <n v="0.85930225242229774"/>
    <n v="3532"/>
    <n v="0.37166114501955627"/>
  </r>
  <r>
    <s v="THE FIRST NATIONAL BANK OF AVA"/>
    <s v="Ava"/>
    <x v="1"/>
    <n v="62907"/>
    <d v="2020-09-30T00:00:00"/>
    <x v="1"/>
    <n v="18"/>
    <n v="72862"/>
    <n v="2525"/>
    <n v="72862"/>
    <n v="63332"/>
    <n v="58790"/>
    <x v="2"/>
    <n v="0.09"/>
    <n v="5291.0999999999995"/>
    <n v="0.86920479811149842"/>
    <n v="4047.8888888888887"/>
    <n v="0.47721645782540495"/>
  </r>
  <r>
    <s v="THE FIRST NATIONAL BANK OF AVA"/>
    <s v="Ava"/>
    <x v="1"/>
    <n v="62907"/>
    <d v="2021-09-30T00:00:00"/>
    <x v="2"/>
    <n v="16"/>
    <n v="79624"/>
    <n v="2799"/>
    <n v="79624"/>
    <n v="69571"/>
    <n v="64081"/>
    <x v="2"/>
    <n v="0.09"/>
    <n v="5767.29"/>
    <n v="0.87374409725710844"/>
    <n v="4976.5"/>
    <n v="0.48532326274558762"/>
  </r>
  <r>
    <s v="THE FIRST NATIONAL BANK OF BEARDSTOWN"/>
    <s v="Beardstown"/>
    <x v="1"/>
    <n v="62618"/>
    <d v="2019-09-30T00:00:00"/>
    <x v="0"/>
    <n v="32"/>
    <n v="128799"/>
    <n v="20769"/>
    <n v="128799"/>
    <n v="113067"/>
    <n v="112806"/>
    <x v="0"/>
    <n v="0.08"/>
    <n v="9024.48"/>
    <n v="0.87785619453567187"/>
    <n v="4024.96875"/>
    <n v="2.3014068400616989"/>
  </r>
  <r>
    <s v="THE FIRST NATIONAL BANK OF BEARDSTOWN"/>
    <s v="Beardstown"/>
    <x v="1"/>
    <n v="62618"/>
    <d v="2020-09-30T00:00:00"/>
    <x v="1"/>
    <n v="37"/>
    <n v="141253"/>
    <n v="26831"/>
    <n v="141253"/>
    <n v="124359"/>
    <n v="124135"/>
    <x v="0"/>
    <n v="0.08"/>
    <n v="9930.8000000000011"/>
    <n v="0.88039900037521324"/>
    <n v="3817.6486486486488"/>
    <n v="2.7017964313046279"/>
  </r>
  <r>
    <s v="THE FIRST NATIONAL BANK OF BEARDSTOWN"/>
    <s v="Beardstown"/>
    <x v="1"/>
    <n v="62618"/>
    <d v="2021-09-30T00:00:00"/>
    <x v="2"/>
    <n v="37"/>
    <n v="156379"/>
    <n v="35358"/>
    <n v="156379"/>
    <n v="138796"/>
    <n v="138599"/>
    <x v="0"/>
    <n v="0.08"/>
    <n v="11087.92"/>
    <n v="0.88756162911899938"/>
    <n v="4226.4594594594591"/>
    <n v="3.1888758216148747"/>
  </r>
  <r>
    <s v="THE FIRST NATIONAL BANK OF BROWNSTOWN"/>
    <s v="Brownstown"/>
    <x v="1"/>
    <n v="62418"/>
    <d v="2019-09-30T00:00:00"/>
    <x v="0"/>
    <n v="8"/>
    <n v="39184"/>
    <n v="7661"/>
    <n v="39184"/>
    <n v="34634"/>
    <n v="34258"/>
    <x v="2"/>
    <n v="0.09"/>
    <n v="3083.22"/>
    <n v="0.88388117599020011"/>
    <n v="4898"/>
    <n v="2.484739979631684"/>
  </r>
  <r>
    <s v="THE FIRST NATIONAL BANK OF BROWNSTOWN"/>
    <s v="Brownstown"/>
    <x v="1"/>
    <n v="62418"/>
    <d v="2020-09-30T00:00:00"/>
    <x v="1"/>
    <n v="8"/>
    <n v="43738"/>
    <n v="7827"/>
    <n v="43738"/>
    <n v="38752"/>
    <n v="38301"/>
    <x v="2"/>
    <n v="0.09"/>
    <n v="3447.0899999999997"/>
    <n v="0.8860030179706434"/>
    <n v="5467.25"/>
    <n v="2.2706108630758122"/>
  </r>
  <r>
    <s v="THE FIRST NATIONAL BANK OF BROWNSTOWN"/>
    <s v="Brownstown"/>
    <x v="1"/>
    <n v="62418"/>
    <d v="2021-09-30T00:00:00"/>
    <x v="2"/>
    <n v="8"/>
    <n v="45835"/>
    <n v="6594"/>
    <n v="45835"/>
    <n v="40673"/>
    <n v="40364"/>
    <x v="2"/>
    <n v="0.09"/>
    <n v="3632.7599999999998"/>
    <n v="0.88737864077669903"/>
    <n v="5729.375"/>
    <n v="1.815148812473161"/>
  </r>
  <r>
    <s v="THE FIRST NATIONAL BANK OF CARMI"/>
    <s v="Carmi"/>
    <x v="1"/>
    <n v="62821"/>
    <d v="2019-09-30T00:00:00"/>
    <x v="0"/>
    <n v="97"/>
    <n v="414962"/>
    <n v="66389"/>
    <n v="414963"/>
    <n v="373772"/>
    <n v="371661"/>
    <x v="0"/>
    <n v="0.08"/>
    <n v="29732.880000000001"/>
    <n v="0.90073789889194678"/>
    <n v="4277.9587628865984"/>
    <n v="2.232847944766871"/>
  </r>
  <r>
    <s v="THE FIRST NATIONAL BANK OF CARMI"/>
    <s v="Carmi"/>
    <x v="1"/>
    <n v="62821"/>
    <d v="2020-09-30T00:00:00"/>
    <x v="1"/>
    <n v="97"/>
    <n v="467381"/>
    <n v="83170"/>
    <n v="467381"/>
    <n v="424239"/>
    <n v="420872"/>
    <x v="0"/>
    <n v="0.08"/>
    <n v="33669.760000000002"/>
    <n v="0.90769415102453888"/>
    <n v="4818.3608247422681"/>
    <n v="2.470169077534262"/>
  </r>
  <r>
    <s v="THE FIRST NATIONAL BANK OF CARMI"/>
    <s v="Carmi"/>
    <x v="1"/>
    <n v="62821"/>
    <d v="2021-09-30T00:00:00"/>
    <x v="2"/>
    <n v="104"/>
    <n v="610373"/>
    <n v="162910"/>
    <n v="610373"/>
    <n v="552879"/>
    <n v="550337"/>
    <x v="0"/>
    <n v="0.08"/>
    <n v="44026.96"/>
    <n v="0.90580513882494806"/>
    <n v="5868.9711538461543"/>
    <n v="3.7002327664685457"/>
  </r>
  <r>
    <s v="THE FIRST NATIONAL BANK OF DRYDEN"/>
    <s v="Dryden"/>
    <x v="2"/>
    <n v="13053"/>
    <d v="2019-09-30T00:00:00"/>
    <x v="0"/>
    <n v="36"/>
    <n v="187098"/>
    <n v="43955"/>
    <n v="187098"/>
    <n v="167460"/>
    <n v="167156"/>
    <x v="0"/>
    <n v="8.5000000000000006E-2"/>
    <n v="14208.26"/>
    <n v="0.89503896353782508"/>
    <n v="5197.166666666667"/>
    <n v="3.0936230052096456"/>
  </r>
  <r>
    <s v="THE FIRST NATIONAL BANK OF DRYDEN"/>
    <s v="Dryden"/>
    <x v="2"/>
    <n v="13053"/>
    <d v="2020-09-30T00:00:00"/>
    <x v="1"/>
    <n v="35"/>
    <n v="201670"/>
    <n v="54724"/>
    <n v="201670"/>
    <n v="180962"/>
    <n v="180309"/>
    <x v="0"/>
    <n v="8.5000000000000006E-2"/>
    <n v="15326.265000000001"/>
    <n v="0.89731739971240143"/>
    <n v="5762"/>
    <n v="3.570602491866087"/>
  </r>
  <r>
    <s v="THE FIRST NATIONAL BANK OF DRYDEN"/>
    <s v="Dryden"/>
    <x v="2"/>
    <n v="13053"/>
    <d v="2021-09-30T00:00:00"/>
    <x v="2"/>
    <n v="34"/>
    <n v="224329"/>
    <n v="72070"/>
    <n v="224329"/>
    <n v="203039"/>
    <n v="202773"/>
    <x v="0"/>
    <n v="8.5000000000000006E-2"/>
    <n v="17235.705000000002"/>
    <n v="0.90509474922992572"/>
    <n v="6597.911764705882"/>
    <n v="4.1814361524521333"/>
  </r>
  <r>
    <s v="THE FIRST NATIONAL BANK OF GROTON"/>
    <s v="Groton"/>
    <x v="2"/>
    <n v="13073"/>
    <d v="2019-09-30T00:00:00"/>
    <x v="0"/>
    <n v="37"/>
    <n v="180813"/>
    <n v="6255"/>
    <n v="180813"/>
    <n v="153424"/>
    <n v="152775"/>
    <x v="0"/>
    <n v="8.5000000000000006E-2"/>
    <n v="12985.875000000002"/>
    <n v="0.84852305973574904"/>
    <n v="4886.8378378378375"/>
    <n v="0.48167720696526029"/>
  </r>
  <r>
    <s v="THE FIRST NATIONAL BANK OF GROTON"/>
    <s v="Groton"/>
    <x v="2"/>
    <n v="13073"/>
    <d v="2020-09-30T00:00:00"/>
    <x v="1"/>
    <n v="36"/>
    <n v="195736"/>
    <n v="8823"/>
    <n v="195736"/>
    <n v="166435"/>
    <n v="165483"/>
    <x v="0"/>
    <n v="8.5000000000000006E-2"/>
    <n v="14066.055"/>
    <n v="0.85030346997997297"/>
    <n v="5437.1111111111113"/>
    <n v="0.62725476332916374"/>
  </r>
  <r>
    <s v="THE FIRST NATIONAL BANK OF GROTON"/>
    <s v="Groton"/>
    <x v="2"/>
    <n v="13073"/>
    <d v="2021-09-30T00:00:00"/>
    <x v="2"/>
    <n v="36"/>
    <n v="216285"/>
    <n v="12209"/>
    <n v="216285"/>
    <n v="186420"/>
    <n v="185755"/>
    <x v="0"/>
    <n v="8.5000000000000006E-2"/>
    <n v="15789.175000000001"/>
    <n v="0.86191830224009991"/>
    <n v="6007.916666666667"/>
    <n v="0.7732512940036449"/>
  </r>
  <r>
    <s v="THE FIRST NATIONAL BANK OF LACON"/>
    <s v="Lacon"/>
    <x v="1"/>
    <n v="61540"/>
    <d v="2019-09-30T00:00:00"/>
    <x v="0"/>
    <n v="12"/>
    <n v="59916"/>
    <n v="6407"/>
    <n v="59916"/>
    <n v="54011"/>
    <n v="52852"/>
    <x v="2"/>
    <n v="0.09"/>
    <n v="4756.6799999999994"/>
    <n v="0.90144535683289939"/>
    <n v="4993"/>
    <n v="1.3469478712042855"/>
  </r>
  <r>
    <s v="THE FIRST NATIONAL BANK OF LACON"/>
    <s v="Lacon"/>
    <x v="1"/>
    <n v="61540"/>
    <d v="2020-09-30T00:00:00"/>
    <x v="1"/>
    <n v="12"/>
    <n v="65298"/>
    <n v="12350"/>
    <n v="65298"/>
    <n v="59277"/>
    <n v="58133"/>
    <x v="2"/>
    <n v="0.09"/>
    <n v="5231.97"/>
    <n v="0.90779196912616011"/>
    <n v="5441.5"/>
    <n v="2.3604875410218331"/>
  </r>
  <r>
    <s v="THE FIRST NATIONAL BANK OF LACON"/>
    <s v="Lacon"/>
    <x v="1"/>
    <n v="61540"/>
    <d v="2021-09-30T00:00:00"/>
    <x v="2"/>
    <n v="13"/>
    <n v="80256"/>
    <n v="16777"/>
    <n v="80256"/>
    <n v="74205"/>
    <n v="73022"/>
    <x v="2"/>
    <n v="0.09"/>
    <n v="6571.98"/>
    <n v="0.9246037679425837"/>
    <n v="6173.5384615384619"/>
    <n v="2.5528075252815743"/>
  </r>
  <r>
    <s v="THE FIRST NATIONAL BANK OF LITCHFIELD"/>
    <s v="Litchfield"/>
    <x v="1"/>
    <n v="62056"/>
    <d v="2019-09-30T00:00:00"/>
    <x v="0"/>
    <n v="25"/>
    <n v="96696"/>
    <n v="1764"/>
    <n v="96696"/>
    <n v="83805"/>
    <n v="75066"/>
    <x v="2"/>
    <n v="0.09"/>
    <n v="6755.94"/>
    <n v="0.86668528170761971"/>
    <n v="3867.84"/>
    <n v="0.26110356219859859"/>
  </r>
  <r>
    <s v="THE FIRST NATIONAL BANK OF LITCHFIELD"/>
    <s v="Litchfield"/>
    <x v="1"/>
    <n v="62056"/>
    <d v="2020-09-30T00:00:00"/>
    <x v="1"/>
    <n v="26"/>
    <n v="106581"/>
    <n v="3653"/>
    <n v="106582"/>
    <n v="92854"/>
    <n v="88498"/>
    <x v="0"/>
    <n v="0.08"/>
    <n v="7079.84"/>
    <n v="0.8712059372683687"/>
    <n v="4099.2692307692305"/>
    <n v="0.51597211236412122"/>
  </r>
  <r>
    <s v="THE FIRST NATIONAL BANK OF LITCHFIELD"/>
    <s v="Litchfield"/>
    <x v="1"/>
    <n v="62056"/>
    <d v="2021-09-30T00:00:00"/>
    <x v="2"/>
    <n v="26"/>
    <n v="122501"/>
    <n v="2157"/>
    <n v="122501"/>
    <n v="108131"/>
    <n v="104868"/>
    <x v="0"/>
    <n v="0.08"/>
    <n v="8389.44"/>
    <n v="0.88269483514420288"/>
    <n v="4711.5769230769229"/>
    <n v="0.2571089369493077"/>
  </r>
  <r>
    <s v="THE FIRST NATIONAL BANK OF LONG ISLAND"/>
    <s v="Glen Head"/>
    <x v="2"/>
    <n v="11545"/>
    <d v="2019-09-30T00:00:00"/>
    <x v="0"/>
    <n v="344"/>
    <n v="4160695"/>
    <n v="62870"/>
    <n v="4160695"/>
    <n v="3772643"/>
    <n v="3227698"/>
    <x v="1"/>
    <n v="0.08"/>
    <n v="258215.84"/>
    <n v="0.90673385095518899"/>
    <n v="12095.043604651162"/>
    <n v="0.24347847908943154"/>
  </r>
  <r>
    <s v="THE FIRST NATIONAL BANK OF LONG ISLAND"/>
    <s v="Glen Head"/>
    <x v="2"/>
    <n v="11545"/>
    <d v="2020-09-30T00:00:00"/>
    <x v="1"/>
    <n v="350"/>
    <n v="4009635"/>
    <n v="163768"/>
    <n v="4009635"/>
    <n v="3611649"/>
    <n v="3249974"/>
    <x v="1"/>
    <n v="0.08"/>
    <n v="259997.92"/>
    <n v="0.90074258629526127"/>
    <n v="11456.1"/>
    <n v="0.62988196213262015"/>
  </r>
  <r>
    <s v="THE FIRST NATIONAL BANK OF LONG ISLAND"/>
    <s v="Glen Head"/>
    <x v="2"/>
    <n v="11545"/>
    <d v="2021-09-30T00:00:00"/>
    <x v="2"/>
    <n v="323"/>
    <n v="4095377"/>
    <n v="258980"/>
    <n v="4095377"/>
    <n v="3675351"/>
    <n v="3371672"/>
    <x v="1"/>
    <n v="0.08"/>
    <n v="269733.76000000001"/>
    <n v="0.89743899035424579"/>
    <n v="12679.185758513931"/>
    <n v="0.96013194640522559"/>
  </r>
  <r>
    <s v="THE FIRST NATIONAL BANK OF OKAWVILLE"/>
    <s v="Okawville"/>
    <x v="1"/>
    <n v="62271"/>
    <d v="2019-09-30T00:00:00"/>
    <x v="0"/>
    <n v="15"/>
    <n v="59846"/>
    <n v="8494"/>
    <n v="59846"/>
    <n v="51985"/>
    <n v="51473"/>
    <x v="2"/>
    <n v="0.09"/>
    <n v="4632.57"/>
    <n v="0.86864619189252412"/>
    <n v="3989.7333333333331"/>
    <n v="1.8335394824039357"/>
  </r>
  <r>
    <s v="THE FIRST NATIONAL BANK OF OKAWVILLE"/>
    <s v="Okawville"/>
    <x v="1"/>
    <n v="62271"/>
    <d v="2020-09-30T00:00:00"/>
    <x v="1"/>
    <n v="15"/>
    <n v="70693"/>
    <n v="7721"/>
    <n v="70693"/>
    <n v="62707"/>
    <n v="62502"/>
    <x v="2"/>
    <n v="0.09"/>
    <n v="5625.1799999999994"/>
    <n v="0.88703266235695188"/>
    <n v="4712.8666666666668"/>
    <n v="1.3725782997166314"/>
  </r>
  <r>
    <s v="THE FIRST NATIONAL BANK OF OKAWVILLE"/>
    <s v="Okawville"/>
    <x v="1"/>
    <n v="62271"/>
    <d v="2021-09-30T00:00:00"/>
    <x v="2"/>
    <n v="15"/>
    <n v="75121"/>
    <n v="6402"/>
    <n v="75121"/>
    <n v="67100"/>
    <n v="66949"/>
    <x v="2"/>
    <n v="0.09"/>
    <n v="6025.41"/>
    <n v="0.89322559603839136"/>
    <n v="5008.0666666666666"/>
    <n v="1.0625003111821436"/>
  </r>
  <r>
    <s v="THE FIRST NATIONAL BANK OF OTTAWA"/>
    <s v="Ottawa"/>
    <x v="1"/>
    <n v="61350"/>
    <d v="2019-09-30T00:00:00"/>
    <x v="0"/>
    <n v="109"/>
    <n v="378859"/>
    <n v="9577"/>
    <n v="378859"/>
    <n v="330504"/>
    <n v="312069"/>
    <x v="0"/>
    <n v="0.08"/>
    <n v="24965.52"/>
    <n v="0.87236676441631322"/>
    <n v="3475.770642201835"/>
    <n v="0.38360907363435648"/>
  </r>
  <r>
    <s v="THE FIRST NATIONAL BANK OF OTTAWA"/>
    <s v="Ottawa"/>
    <x v="1"/>
    <n v="61350"/>
    <d v="2020-09-30T00:00:00"/>
    <x v="1"/>
    <n v="132"/>
    <n v="859412"/>
    <n v="34788"/>
    <n v="859412"/>
    <n v="781850"/>
    <n v="708290"/>
    <x v="0"/>
    <n v="0.08"/>
    <n v="56663.200000000004"/>
    <n v="0.90974992203972016"/>
    <n v="6510.69696969697"/>
    <n v="0.61394344124581735"/>
  </r>
  <r>
    <s v="THE FIRST NATIONAL BANK OF RAYMOND"/>
    <s v="Raymond"/>
    <x v="1"/>
    <n v="62560"/>
    <d v="2019-09-30T00:00:00"/>
    <x v="0"/>
    <n v="40"/>
    <n v="149590"/>
    <n v="6494"/>
    <n v="149590"/>
    <n v="132716"/>
    <n v="132561"/>
    <x v="0"/>
    <n v="0.08"/>
    <n v="10604.880000000001"/>
    <n v="0.88719834213516946"/>
    <n v="3739.75"/>
    <n v="0.61235959294211717"/>
  </r>
  <r>
    <s v="THE FIRST NATIONAL BANK OF RAYMOND"/>
    <s v="Raymond"/>
    <x v="1"/>
    <n v="62560"/>
    <d v="2020-09-30T00:00:00"/>
    <x v="1"/>
    <n v="35"/>
    <n v="166649"/>
    <n v="6357"/>
    <n v="166649"/>
    <n v="147799"/>
    <n v="143604"/>
    <x v="0"/>
    <n v="0.08"/>
    <n v="11488.32"/>
    <n v="0.8868880101290737"/>
    <n v="4761.3999999999996"/>
    <n v="0.55334461435614613"/>
  </r>
  <r>
    <s v="THE FIRST NATIONAL BANK OF RAYMOND"/>
    <s v="Raymond"/>
    <x v="1"/>
    <n v="62560"/>
    <d v="2021-09-30T00:00:00"/>
    <x v="2"/>
    <n v="36"/>
    <n v="178937"/>
    <n v="3899"/>
    <n v="178937"/>
    <n v="159543"/>
    <n v="159363"/>
    <x v="0"/>
    <n v="0.08"/>
    <n v="12749.04"/>
    <n v="0.89161548477955932"/>
    <n v="4970.4722222222226"/>
    <n v="0.30582694853887038"/>
  </r>
  <r>
    <s v="THE FIRST NATIONAL BANK OF SANDOVAL"/>
    <s v="Sandoval"/>
    <x v="1"/>
    <n v="62882"/>
    <d v="2019-09-30T00:00:00"/>
    <x v="0"/>
    <n v="14"/>
    <n v="53731"/>
    <n v="3448"/>
    <n v="53731"/>
    <n v="47346"/>
    <n v="46970"/>
    <x v="2"/>
    <n v="0.09"/>
    <n v="4227.3"/>
    <n v="0.8811672963466155"/>
    <n v="3837.9285714285716"/>
    <n v="0.81565065171622542"/>
  </r>
  <r>
    <s v="THE FIRST NATIONAL BANK OF SANDOVAL"/>
    <s v="Sandoval"/>
    <x v="1"/>
    <n v="62882"/>
    <d v="2020-09-30T00:00:00"/>
    <x v="1"/>
    <n v="14"/>
    <n v="64554"/>
    <n v="4665"/>
    <n v="64554"/>
    <n v="57084"/>
    <n v="52644"/>
    <x v="2"/>
    <n v="0.09"/>
    <n v="4737.96"/>
    <n v="0.88428292592248348"/>
    <n v="4611"/>
    <n v="0.98460096750500214"/>
  </r>
  <r>
    <s v="THE FIRST NATIONAL BANK OF SANDOVAL"/>
    <s v="Sandoval"/>
    <x v="1"/>
    <n v="62882"/>
    <d v="2021-09-30T00:00:00"/>
    <x v="2"/>
    <n v="14"/>
    <n v="71265"/>
    <n v="3322"/>
    <n v="71265"/>
    <n v="63047"/>
    <n v="57650"/>
    <x v="2"/>
    <n v="0.09"/>
    <n v="5188.5"/>
    <n v="0.88468392619097735"/>
    <n v="5090.3571428571431"/>
    <n v="0.64026211814589962"/>
  </r>
  <r>
    <s v="THE FIRST NATIONAL BANK OF SPARTA"/>
    <s v="Sparta"/>
    <x v="1"/>
    <n v="62286"/>
    <d v="2019-09-30T00:00:00"/>
    <x v="0"/>
    <n v="21"/>
    <n v="78758"/>
    <n v="6830"/>
    <n v="78758"/>
    <n v="67555"/>
    <n v="63236"/>
    <x v="2"/>
    <n v="0.09"/>
    <n v="5691.24"/>
    <n v="0.85775413291348179"/>
    <n v="3750.3809523809523"/>
    <n v="1.2000899628200534"/>
  </r>
  <r>
    <s v="THE FIRST NATIONAL BANK OF SPARTA"/>
    <s v="Sparta"/>
    <x v="1"/>
    <n v="62286"/>
    <d v="2020-09-30T00:00:00"/>
    <x v="1"/>
    <n v="21"/>
    <n v="90684"/>
    <n v="8989"/>
    <n v="90684"/>
    <n v="78672"/>
    <n v="70101"/>
    <x v="2"/>
    <n v="0.09"/>
    <n v="6309.09"/>
    <n v="0.8675400291120815"/>
    <n v="4318.2857142857147"/>
    <n v="1.4247696577477893"/>
  </r>
  <r>
    <s v="THE FIRST NATIONAL BANK OF SPARTA"/>
    <s v="Sparta"/>
    <x v="1"/>
    <n v="62286"/>
    <d v="2021-09-30T00:00:00"/>
    <x v="2"/>
    <n v="21"/>
    <n v="105041"/>
    <n v="8921"/>
    <n v="105041"/>
    <n v="93182"/>
    <n v="86875"/>
    <x v="0"/>
    <n v="0.08"/>
    <n v="6950"/>
    <n v="0.88710122713987871"/>
    <n v="5001.9523809523807"/>
    <n v="1.2835971223021583"/>
  </r>
  <r>
    <s v="THE FIRST STATE BANK OF DONGOLA"/>
    <s v="Dongola"/>
    <x v="1"/>
    <n v="62926"/>
    <d v="2019-09-30T00:00:00"/>
    <x v="0"/>
    <n v="8"/>
    <n v="25099"/>
    <n v="7199"/>
    <n v="25099"/>
    <n v="22288"/>
    <n v="22208"/>
    <x v="2"/>
    <n v="0.09"/>
    <n v="1998.72"/>
    <n v="0.88800350611578149"/>
    <n v="3137.375"/>
    <n v="3.6018051552993917"/>
  </r>
  <r>
    <s v="THE FIRST STATE BANK OF DONGOLA"/>
    <s v="Dongola"/>
    <x v="1"/>
    <n v="62926"/>
    <d v="2020-09-30T00:00:00"/>
    <x v="1"/>
    <n v="9"/>
    <n v="28609"/>
    <n v="7508"/>
    <n v="28609"/>
    <n v="25641"/>
    <n v="24547"/>
    <x v="2"/>
    <n v="0.09"/>
    <n v="2209.23"/>
    <n v="0.89625642280401274"/>
    <n v="3178.7777777777778"/>
    <n v="3.3984691498848014"/>
  </r>
  <r>
    <s v="THE FIRST STATE BANK OF DONGOLA"/>
    <s v="Dongola"/>
    <x v="1"/>
    <n v="62926"/>
    <d v="2021-09-30T00:00:00"/>
    <x v="2"/>
    <n v="8"/>
    <n v="30698"/>
    <n v="9358"/>
    <n v="30698"/>
    <n v="27565"/>
    <n v="25998"/>
    <x v="2"/>
    <n v="0.09"/>
    <n v="2339.8199999999997"/>
    <n v="0.89794123395660952"/>
    <n v="3837.25"/>
    <n v="3.9994529493721744"/>
  </r>
  <r>
    <s v="THE FIRST TRUST AND SAVINGS BANK OF WATSEKA, ILLINOIS"/>
    <s v="Watseka"/>
    <x v="1"/>
    <n v="60970"/>
    <d v="2019-09-30T00:00:00"/>
    <x v="0"/>
    <n v="32"/>
    <n v="255964"/>
    <n v="48148"/>
    <n v="255964"/>
    <n v="215474"/>
    <n v="214567"/>
    <x v="0"/>
    <n v="0.08"/>
    <n v="17165.36"/>
    <n v="0.84181369255051497"/>
    <n v="7998.875"/>
    <n v="2.8049513671720256"/>
  </r>
  <r>
    <s v="THE FIRST TRUST AND SAVINGS BANK OF WATSEKA, ILLINOIS"/>
    <s v="Watseka"/>
    <x v="1"/>
    <n v="60970"/>
    <d v="2020-09-30T00:00:00"/>
    <x v="1"/>
    <n v="31"/>
    <n v="270860"/>
    <n v="46780"/>
    <n v="270860"/>
    <n v="228341"/>
    <n v="227130"/>
    <x v="0"/>
    <n v="0.08"/>
    <n v="18170.400000000001"/>
    <n v="0.84302222550395034"/>
    <n v="8737.4193548387102"/>
    <n v="2.5745167965482323"/>
  </r>
  <r>
    <s v="THE FIRST TRUST AND SAVINGS BANK OF WATSEKA, ILLINOIS"/>
    <s v="Watseka"/>
    <x v="1"/>
    <n v="60970"/>
    <d v="2021-09-30T00:00:00"/>
    <x v="2"/>
    <n v="33"/>
    <n v="296937"/>
    <n v="98618"/>
    <n v="296937"/>
    <n v="253365"/>
    <n v="252646"/>
    <x v="0"/>
    <n v="0.08"/>
    <n v="20211.68"/>
    <n v="0.85326180300871901"/>
    <n v="8998.0909090909099"/>
    <n v="4.8792579340262661"/>
  </r>
  <r>
    <s v="THE FISHER NATIONAL BANK"/>
    <s v="Fisher"/>
    <x v="1"/>
    <n v="61843"/>
    <d v="2019-09-30T00:00:00"/>
    <x v="0"/>
    <n v="27"/>
    <n v="127820"/>
    <n v="5997"/>
    <n v="127820"/>
    <n v="110570"/>
    <n v="108416"/>
    <x v="0"/>
    <n v="0.08"/>
    <n v="8673.2800000000007"/>
    <n v="0.86504459396025657"/>
    <n v="4734.0740740740739"/>
    <n v="0.69143392119244385"/>
  </r>
  <r>
    <s v="THE FISHER NATIONAL BANK"/>
    <s v="Fisher"/>
    <x v="1"/>
    <n v="61843"/>
    <d v="2020-09-30T00:00:00"/>
    <x v="1"/>
    <n v="30"/>
    <n v="149729"/>
    <n v="10623"/>
    <n v="149729"/>
    <n v="130168"/>
    <n v="128723"/>
    <x v="0"/>
    <n v="0.08"/>
    <n v="10297.84"/>
    <n v="0.86935730553199442"/>
    <n v="4990.9666666666662"/>
    <n v="1.0315755537083504"/>
  </r>
  <r>
    <s v="THE FISHER NATIONAL BANK"/>
    <s v="Fisher"/>
    <x v="1"/>
    <n v="61843"/>
    <d v="2021-09-30T00:00:00"/>
    <x v="2"/>
    <n v="40"/>
    <n v="187307"/>
    <n v="3331"/>
    <n v="187307"/>
    <n v="166661"/>
    <n v="148327"/>
    <x v="0"/>
    <n v="0.08"/>
    <n v="11866.16"/>
    <n v="0.88977454126113809"/>
    <n v="4682.6750000000002"/>
    <n v="0.28071423274252161"/>
  </r>
  <r>
    <s v="THE FNB COMMUNITY BANK"/>
    <s v="Vandalia"/>
    <x v="1"/>
    <n v="62471"/>
    <d v="2019-09-30T00:00:00"/>
    <x v="0"/>
    <n v="86"/>
    <n v="351272"/>
    <n v="24197"/>
    <n v="351272"/>
    <n v="301693"/>
    <n v="293160"/>
    <x v="0"/>
    <n v="0.08"/>
    <n v="23452.799999999999"/>
    <n v="0.85885866223325513"/>
    <n v="4084.5581395348836"/>
    <n v="1.0317318188020195"/>
  </r>
  <r>
    <s v="THE FNB COMMUNITY BANK"/>
    <s v="Vandalia"/>
    <x v="1"/>
    <n v="62471"/>
    <d v="2020-09-30T00:00:00"/>
    <x v="1"/>
    <n v="82"/>
    <n v="395270"/>
    <n v="22816"/>
    <n v="395270"/>
    <n v="340293"/>
    <n v="325652"/>
    <x v="0"/>
    <n v="0.08"/>
    <n v="26052.16"/>
    <n v="0.86091279378652563"/>
    <n v="4820.3658536585363"/>
    <n v="0.87578150909559904"/>
  </r>
  <r>
    <s v="THE FNB COMMUNITY BANK"/>
    <s v="Vandalia"/>
    <x v="1"/>
    <n v="62471"/>
    <d v="2021-09-30T00:00:00"/>
    <x v="2"/>
    <n v="81"/>
    <n v="438020"/>
    <n v="12710"/>
    <n v="438020"/>
    <n v="380340"/>
    <n v="370925"/>
    <x v="0"/>
    <n v="0.08"/>
    <n v="29674"/>
    <n v="0.86831651522761522"/>
    <n v="5407.6543209876545"/>
    <n v="0.42832108916896949"/>
  </r>
  <r>
    <s v="THE GERBER STATE BANK"/>
    <s v="Argenta"/>
    <x v="1"/>
    <n v="62501"/>
    <d v="2019-09-30T00:00:00"/>
    <x v="0"/>
    <n v="19"/>
    <n v="77258"/>
    <n v="5610"/>
    <n v="77258"/>
    <n v="67528"/>
    <n v="66478"/>
    <x v="2"/>
    <n v="0.09"/>
    <n v="5983.0199999999995"/>
    <n v="0.87405834994434228"/>
    <n v="4066.2105263157896"/>
    <n v="0.93765355957359331"/>
  </r>
  <r>
    <s v="THE GERBER STATE BANK"/>
    <s v="Argenta"/>
    <x v="1"/>
    <n v="62501"/>
    <d v="2020-09-30T00:00:00"/>
    <x v="1"/>
    <n v="17"/>
    <n v="84112"/>
    <n v="5585"/>
    <n v="84112"/>
    <n v="73075"/>
    <n v="68844"/>
    <x v="2"/>
    <n v="0.09"/>
    <n v="6195.96"/>
    <n v="0.8687821000570668"/>
    <n v="4947.7647058823532"/>
    <n v="0.90139381145133279"/>
  </r>
  <r>
    <s v="THE GERBER STATE BANK"/>
    <s v="Argenta"/>
    <x v="1"/>
    <n v="62501"/>
    <d v="2021-09-30T00:00:00"/>
    <x v="2"/>
    <n v="16"/>
    <n v="94487"/>
    <n v="3683"/>
    <n v="94487"/>
    <n v="83300"/>
    <n v="83168"/>
    <x v="2"/>
    <n v="0.09"/>
    <n v="7485.12"/>
    <n v="0.88160276016806549"/>
    <n v="5905.4375"/>
    <n v="0.49204287974007099"/>
  </r>
  <r>
    <s v="THE GIFFORD STATE BANK"/>
    <s v="Gifford"/>
    <x v="1"/>
    <n v="61847"/>
    <d v="2019-09-30T00:00:00"/>
    <x v="0"/>
    <n v="40"/>
    <n v="155119"/>
    <n v="3600"/>
    <n v="155119"/>
    <n v="139760"/>
    <n v="131222"/>
    <x v="0"/>
    <n v="0.08"/>
    <n v="10497.76"/>
    <n v="0.90098569485362845"/>
    <n v="3877.9749999999999"/>
    <n v="0.34293030132142477"/>
  </r>
  <r>
    <s v="THE GIFFORD STATE BANK"/>
    <s v="Gifford"/>
    <x v="1"/>
    <n v="61847"/>
    <d v="2020-09-30T00:00:00"/>
    <x v="1"/>
    <n v="40"/>
    <n v="166035"/>
    <n v="5673"/>
    <n v="166035"/>
    <n v="150542"/>
    <n v="149313"/>
    <x v="0"/>
    <n v="0.08"/>
    <n v="11945.04"/>
    <n v="0.90668834884211158"/>
    <n v="4150.875"/>
    <n v="0.4749251572200679"/>
  </r>
  <r>
    <s v="THE GIFFORD STATE BANK"/>
    <s v="Gifford"/>
    <x v="1"/>
    <n v="61847"/>
    <d v="2021-09-30T00:00:00"/>
    <x v="2"/>
    <n v="40"/>
    <n v="178767"/>
    <n v="53142"/>
    <n v="178767"/>
    <n v="163270"/>
    <n v="161899"/>
    <x v="0"/>
    <n v="0.08"/>
    <n v="12951.92"/>
    <n v="0.91331174098127732"/>
    <n v="4469.1750000000002"/>
    <n v="4.1030210192774508"/>
  </r>
  <r>
    <s v="THE GRANVILLE NATIONAL BANK"/>
    <s v="Granville"/>
    <x v="1"/>
    <n v="61326"/>
    <d v="2019-09-30T00:00:00"/>
    <x v="0"/>
    <n v="15"/>
    <n v="88723"/>
    <n v="16321"/>
    <n v="88723"/>
    <n v="77956"/>
    <n v="77513"/>
    <x v="2"/>
    <n v="0.09"/>
    <n v="6976.17"/>
    <n v="0.87864477080351211"/>
    <n v="5914.8666666666668"/>
    <n v="2.3395358771360217"/>
  </r>
  <r>
    <s v="THE GRANVILLE NATIONAL BANK"/>
    <s v="Granville"/>
    <x v="1"/>
    <n v="61326"/>
    <d v="2020-09-30T00:00:00"/>
    <x v="1"/>
    <n v="13"/>
    <n v="101379"/>
    <n v="22520"/>
    <n v="101379"/>
    <n v="89276"/>
    <n v="88587"/>
    <x v="0"/>
    <n v="0.08"/>
    <n v="7086.96"/>
    <n v="0.88061630120636425"/>
    <n v="7798.3846153846152"/>
    <n v="3.1776671520652013"/>
  </r>
  <r>
    <s v="THE GRANVILLE NATIONAL BANK"/>
    <s v="Granville"/>
    <x v="1"/>
    <n v="61326"/>
    <d v="2021-09-30T00:00:00"/>
    <x v="2"/>
    <n v="13"/>
    <n v="111813"/>
    <n v="20401"/>
    <n v="111813"/>
    <n v="99781"/>
    <n v="99162"/>
    <x v="0"/>
    <n v="0.08"/>
    <n v="7932.96"/>
    <n v="0.89239176124422026"/>
    <n v="8601"/>
    <n v="2.5716756418789455"/>
  </r>
  <r>
    <s v="THE HARVARD STATE BANK"/>
    <s v="Harvard"/>
    <x v="1"/>
    <n v="60033"/>
    <d v="2019-09-30T00:00:00"/>
    <x v="0"/>
    <n v="54"/>
    <n v="254234"/>
    <n v="10551"/>
    <n v="254234"/>
    <n v="228063"/>
    <n v="224370"/>
    <x v="0"/>
    <n v="0.08"/>
    <n v="17949.600000000002"/>
    <n v="0.8970594019682655"/>
    <n v="4708.0370370370374"/>
    <n v="0.58781254178366082"/>
  </r>
  <r>
    <s v="THE HARVARD STATE BANK"/>
    <s v="Harvard"/>
    <x v="1"/>
    <n v="60033"/>
    <d v="2020-09-30T00:00:00"/>
    <x v="1"/>
    <n v="54"/>
    <n v="296788"/>
    <n v="6548"/>
    <n v="296788"/>
    <n v="266371"/>
    <n v="262677"/>
    <x v="0"/>
    <n v="0.08"/>
    <n v="21014.16"/>
    <n v="0.89751270266991923"/>
    <n v="5496.0740740740739"/>
    <n v="0.31159941677421321"/>
  </r>
  <r>
    <s v="THE HARVARD STATE BANK"/>
    <s v="Harvard"/>
    <x v="1"/>
    <n v="60033"/>
    <d v="2021-09-30T00:00:00"/>
    <x v="2"/>
    <n v="43"/>
    <n v="330211"/>
    <n v="7767"/>
    <n v="330211"/>
    <n v="299574"/>
    <n v="295451"/>
    <x v="0"/>
    <n v="0.08"/>
    <n v="23636.080000000002"/>
    <n v="0.90721992907565163"/>
    <n v="7679.3255813953492"/>
    <n v="0.3286077894473195"/>
  </r>
  <r>
    <s v="THE HAVANA NATIONAL BANK"/>
    <s v="Havana"/>
    <x v="1"/>
    <n v="62644"/>
    <d v="2019-09-30T00:00:00"/>
    <x v="0"/>
    <n v="54"/>
    <n v="254207"/>
    <n v="8444"/>
    <n v="254207"/>
    <n v="225383"/>
    <n v="189335"/>
    <x v="0"/>
    <n v="0.08"/>
    <n v="15146.800000000001"/>
    <n v="0.88661209172052702"/>
    <n v="4707.5370370370374"/>
    <n v="0.5574774869939525"/>
  </r>
  <r>
    <s v="THE HAVANA NATIONAL BANK"/>
    <s v="Havana"/>
    <x v="1"/>
    <n v="62644"/>
    <d v="2020-09-30T00:00:00"/>
    <x v="1"/>
    <n v="52"/>
    <n v="297931"/>
    <n v="54623"/>
    <n v="297931"/>
    <n v="267569"/>
    <n v="216973"/>
    <x v="0"/>
    <n v="0.08"/>
    <n v="17357.84"/>
    <n v="0.89809049746417791"/>
    <n v="5729.4423076923076"/>
    <n v="3.1468777221128894"/>
  </r>
  <r>
    <s v="THE HAVANA NATIONAL BANK"/>
    <s v="Havana"/>
    <x v="1"/>
    <n v="62644"/>
    <d v="2021-09-30T00:00:00"/>
    <x v="2"/>
    <n v="53"/>
    <n v="322740"/>
    <n v="69623"/>
    <n v="322740"/>
    <n v="292128"/>
    <n v="246683"/>
    <x v="0"/>
    <n v="0.08"/>
    <n v="19734.64"/>
    <n v="0.9051496560699015"/>
    <n v="6089.433962264151"/>
    <n v="3.5279589594743053"/>
  </r>
  <r>
    <s v="THE HILL-DODGE BANKING COMPANY"/>
    <s v="Warsaw"/>
    <x v="1"/>
    <n v="62379"/>
    <d v="2019-09-30T00:00:00"/>
    <x v="0"/>
    <n v="8"/>
    <n v="41506"/>
    <n v="14328"/>
    <n v="41506"/>
    <n v="35107"/>
    <n v="34974"/>
    <x v="2"/>
    <n v="0.09"/>
    <n v="3147.66"/>
    <n v="0.84582951862381339"/>
    <n v="5188.25"/>
    <n v="4.5519528792817523"/>
  </r>
  <r>
    <s v="THE HILL-DODGE BANKING COMPANY"/>
    <s v="Warsaw"/>
    <x v="1"/>
    <n v="62379"/>
    <d v="2020-09-30T00:00:00"/>
    <x v="1"/>
    <n v="6"/>
    <n v="44951"/>
    <n v="20122"/>
    <n v="44951"/>
    <n v="38923"/>
    <n v="38803"/>
    <x v="2"/>
    <n v="0.09"/>
    <n v="3492.27"/>
    <n v="0.86589842272696937"/>
    <n v="7491.833333333333"/>
    <n v="5.7618683549668264"/>
  </r>
  <r>
    <s v="THE HILL-DODGE BANKING COMPANY"/>
    <s v="Warsaw"/>
    <x v="1"/>
    <n v="62379"/>
    <d v="2021-09-30T00:00:00"/>
    <x v="2"/>
    <n v="6"/>
    <n v="51074"/>
    <n v="26780"/>
    <n v="51074"/>
    <n v="44483"/>
    <n v="44449"/>
    <x v="2"/>
    <n v="0.09"/>
    <n v="4000.41"/>
    <n v="0.87095195206954612"/>
    <n v="8512.3333333333339"/>
    <n v="6.694313832832135"/>
  </r>
  <r>
    <s v="THE IUKA STATE BANK"/>
    <s v="Salem"/>
    <x v="1"/>
    <n v="62881"/>
    <d v="2019-09-30T00:00:00"/>
    <x v="0"/>
    <n v="20"/>
    <n v="97572"/>
    <n v="6372"/>
    <n v="97573"/>
    <n v="87918"/>
    <n v="83042"/>
    <x v="2"/>
    <n v="0.09"/>
    <n v="7473.78"/>
    <n v="0.90105768048210555"/>
    <n v="4878.6000000000004"/>
    <n v="0.85258062185400163"/>
  </r>
  <r>
    <s v="THE IUKA STATE BANK"/>
    <s v="Salem"/>
    <x v="1"/>
    <n v="62881"/>
    <d v="2020-09-30T00:00:00"/>
    <x v="1"/>
    <n v="27"/>
    <n v="112427"/>
    <n v="18741"/>
    <n v="112428"/>
    <n v="102036"/>
    <n v="96487"/>
    <x v="0"/>
    <n v="0.08"/>
    <n v="7718.96"/>
    <n v="0.90757558237789859"/>
    <n v="4163.9629629629626"/>
    <n v="2.427917750577798"/>
  </r>
  <r>
    <s v="THE IUKA STATE BANK"/>
    <s v="Salem"/>
    <x v="1"/>
    <n v="62881"/>
    <d v="2021-09-30T00:00:00"/>
    <x v="2"/>
    <n v="25"/>
    <n v="117549"/>
    <n v="19524"/>
    <n v="117549"/>
    <n v="106731"/>
    <n v="101199"/>
    <x v="0"/>
    <n v="0.08"/>
    <n v="8095.92"/>
    <n v="0.90797029323941503"/>
    <n v="4701.96"/>
    <n v="2.4115850947143747"/>
  </r>
  <r>
    <s v="THE LEADERS BANK"/>
    <s v="Oak Brook"/>
    <x v="1"/>
    <n v="60523"/>
    <d v="2019-09-30T00:00:00"/>
    <x v="0"/>
    <n v="37"/>
    <n v="335661"/>
    <n v="30800"/>
    <n v="335661"/>
    <n v="292519"/>
    <n v="272660"/>
    <x v="0"/>
    <n v="0.08"/>
    <n v="21812.799999999999"/>
    <n v="0.87147151441484116"/>
    <n v="9071.9189189189183"/>
    <n v="1.4120149636910437"/>
  </r>
  <r>
    <s v="THE LEADERS BANK"/>
    <s v="Oak Brook"/>
    <x v="1"/>
    <n v="60523"/>
    <d v="2020-09-30T00:00:00"/>
    <x v="1"/>
    <n v="38"/>
    <n v="361726"/>
    <n v="49915"/>
    <n v="361726"/>
    <n v="316991"/>
    <n v="292856"/>
    <x v="0"/>
    <n v="0.08"/>
    <n v="23428.48"/>
    <n v="0.87632904463599515"/>
    <n v="9519.105263157895"/>
    <n v="2.1305266069331004"/>
  </r>
  <r>
    <s v="THE LEADERS BANK"/>
    <s v="Oak Brook"/>
    <x v="1"/>
    <n v="60523"/>
    <d v="2021-09-30T00:00:00"/>
    <x v="2"/>
    <n v="37"/>
    <n v="358771"/>
    <n v="96383"/>
    <n v="358771"/>
    <n v="313048"/>
    <n v="291743"/>
    <x v="0"/>
    <n v="0.08"/>
    <n v="23339.439999999999"/>
    <n v="0.87255658902196664"/>
    <n v="9696.5135135135133"/>
    <n v="4.1296192196556563"/>
  </r>
  <r>
    <s v="THE LEMONT NATIONAL BANK"/>
    <s v="Lemont"/>
    <x v="1"/>
    <n v="60439"/>
    <d v="2019-09-30T00:00:00"/>
    <x v="0"/>
    <n v="16"/>
    <n v="51892"/>
    <n v="8833"/>
    <n v="51892"/>
    <n v="48150"/>
    <n v="47791"/>
    <x v="2"/>
    <n v="0.09"/>
    <n v="4301.1899999999996"/>
    <n v="0.92788869189855849"/>
    <n v="3243.25"/>
    <n v="2.0536177197473258"/>
  </r>
  <r>
    <s v="THE LEMONT NATIONAL BANK"/>
    <s v="Lemont"/>
    <x v="1"/>
    <n v="60439"/>
    <d v="2020-09-30T00:00:00"/>
    <x v="1"/>
    <n v="12"/>
    <n v="57773"/>
    <n v="23322"/>
    <n v="57773"/>
    <n v="54060"/>
    <n v="53752"/>
    <x v="2"/>
    <n v="0.09"/>
    <n v="4837.6799999999994"/>
    <n v="0.93573122392813257"/>
    <n v="4814.416666666667"/>
    <n v="4.8209058887731313"/>
  </r>
  <r>
    <s v="THE LEMONT NATIONAL BANK"/>
    <s v="Lemont"/>
    <x v="1"/>
    <n v="60439"/>
    <d v="2021-09-30T00:00:00"/>
    <x v="2"/>
    <n v="12"/>
    <n v="59313"/>
    <n v="21350"/>
    <n v="59313"/>
    <n v="55796"/>
    <n v="55621"/>
    <x v="2"/>
    <n v="0.09"/>
    <n v="5005.8899999999994"/>
    <n v="0.94070439869843037"/>
    <n v="4942.75"/>
    <n v="4.2649758584387598"/>
  </r>
  <r>
    <s v="THE LITCHFIELD NATIONAL BANK"/>
    <s v="Litchfield"/>
    <x v="1"/>
    <n v="62056"/>
    <d v="2019-09-30T00:00:00"/>
    <x v="0"/>
    <n v="31"/>
    <n v="107303"/>
    <n v="12192"/>
    <n v="107303"/>
    <n v="97838"/>
    <n v="97304"/>
    <x v="0"/>
    <n v="0.08"/>
    <n v="7784.32"/>
    <n v="0.91179184179379891"/>
    <n v="3461.3870967741937"/>
    <n v="1.5662254378031737"/>
  </r>
  <r>
    <s v="THE LITCHFIELD NATIONAL BANK"/>
    <s v="Litchfield"/>
    <x v="1"/>
    <n v="62056"/>
    <d v="2020-09-30T00:00:00"/>
    <x v="1"/>
    <n v="32"/>
    <n v="123564"/>
    <n v="23519"/>
    <n v="123564"/>
    <n v="113899"/>
    <n v="105598"/>
    <x v="0"/>
    <n v="0.08"/>
    <n v="8447.84"/>
    <n v="0.92178142501052085"/>
    <n v="3861.375"/>
    <n v="2.7840252656300306"/>
  </r>
  <r>
    <s v="THE LITCHFIELD NATIONAL BANK"/>
    <s v="Litchfield"/>
    <x v="1"/>
    <n v="62056"/>
    <d v="2021-09-30T00:00:00"/>
    <x v="2"/>
    <n v="32"/>
    <n v="120504"/>
    <n v="7704"/>
    <n v="120504"/>
    <n v="110768"/>
    <n v="105302"/>
    <x v="0"/>
    <n v="0.08"/>
    <n v="8424.16"/>
    <n v="0.91920600146053244"/>
    <n v="3765.75"/>
    <n v="0.91451254487094269"/>
  </r>
  <r>
    <s v="THE LOWELL FIVE CENT SAVINGS BANK"/>
    <s v="Lowell"/>
    <x v="3"/>
    <n v="1852"/>
    <d v="2019-09-30T00:00:00"/>
    <x v="0"/>
    <n v="210"/>
    <n v="1181248"/>
    <n v="89279"/>
    <n v="1181248"/>
    <n v="1030653"/>
    <n v="1010091"/>
    <x v="1"/>
    <n v="0.08"/>
    <n v="80807.28"/>
    <n v="0.87251195345939214"/>
    <n v="5624.9904761904763"/>
    <n v="1.104838573950268"/>
  </r>
  <r>
    <s v="THE LOWELL FIVE CENT SAVINGS BANK"/>
    <s v="Tewksbury"/>
    <x v="3"/>
    <n v="1876"/>
    <d v="2020-09-30T00:00:00"/>
    <x v="1"/>
    <n v="215"/>
    <n v="1396566"/>
    <n v="171382"/>
    <n v="1396566"/>
    <n v="1237854"/>
    <n v="1219684"/>
    <x v="1"/>
    <n v="0.08"/>
    <n v="97574.720000000001"/>
    <n v="0.8863555320693759"/>
    <n v="6495.6558139534882"/>
    <n v="1.7564180558242954"/>
  </r>
  <r>
    <s v="THE LOWELL FIVE CENT SAVINGS BANK"/>
    <s v="Tewksbury"/>
    <x v="3"/>
    <n v="1876"/>
    <d v="2021-09-30T00:00:00"/>
    <x v="2"/>
    <n v="215"/>
    <n v="1554281"/>
    <n v="281118"/>
    <n v="1554281"/>
    <n v="1387182"/>
    <n v="1367829"/>
    <x v="1"/>
    <n v="0.08"/>
    <n v="109426.32"/>
    <n v="0.89249112612198178"/>
    <n v="7229.2139534883718"/>
    <n v="2.5690163024764057"/>
  </r>
  <r>
    <s v="THE LYONS NATIONAL BANK"/>
    <s v="Lyons"/>
    <x v="2"/>
    <n v="14489"/>
    <d v="2019-09-30T00:00:00"/>
    <x v="0"/>
    <n v="214"/>
    <n v="1152495"/>
    <n v="43989"/>
    <n v="1152495"/>
    <n v="1059642"/>
    <n v="1034895"/>
    <x v="1"/>
    <n v="0.08"/>
    <n v="82791.600000000006"/>
    <n v="0.91943305610870329"/>
    <n v="5385.4906542056078"/>
    <n v="0.53132201817575697"/>
  </r>
  <r>
    <s v="THE LYONS NATIONAL BANK"/>
    <s v="Lyons"/>
    <x v="2"/>
    <n v="14489"/>
    <d v="2020-09-30T00:00:00"/>
    <x v="1"/>
    <n v="224"/>
    <n v="1382958"/>
    <n v="103591"/>
    <n v="1382958"/>
    <n v="1281559"/>
    <n v="1263613"/>
    <x v="1"/>
    <n v="0.08"/>
    <n v="101089.04000000001"/>
    <n v="0.92667962439929485"/>
    <n v="6173.9196428571431"/>
    <n v="1.0247500619256054"/>
  </r>
  <r>
    <s v="THE LYONS NATIONAL BANK"/>
    <s v="Lyons"/>
    <x v="2"/>
    <n v="14489"/>
    <d v="2021-09-30T00:00:00"/>
    <x v="2"/>
    <n v="228"/>
    <n v="1641929"/>
    <n v="109267"/>
    <n v="1641929"/>
    <n v="1514039"/>
    <n v="1489693"/>
    <x v="1"/>
    <n v="0.08"/>
    <n v="119175.44"/>
    <n v="0.92210990852832253"/>
    <n v="7201.4429824561403"/>
    <n v="0.91685837283252314"/>
  </r>
  <r>
    <s v="THE NATIONAL BANK OF COXSACKIE"/>
    <s v="Coxsackie"/>
    <x v="2"/>
    <n v="12051"/>
    <d v="2019-09-30T00:00:00"/>
    <x v="0"/>
    <n v="74"/>
    <n v="335472"/>
    <n v="22173"/>
    <n v="335472"/>
    <n v="306845"/>
    <n v="306052"/>
    <x v="0"/>
    <n v="8.5000000000000006E-2"/>
    <n v="26014.420000000002"/>
    <n v="0.91466649973768299"/>
    <n v="4533.405405405405"/>
    <n v="0.85233497421814508"/>
  </r>
  <r>
    <s v="THE NATIONAL BANK OF COXSACKIE"/>
    <s v="Coxsackie"/>
    <x v="2"/>
    <n v="12051"/>
    <d v="2020-09-30T00:00:00"/>
    <x v="1"/>
    <n v="73"/>
    <n v="408758"/>
    <n v="38717"/>
    <n v="408758"/>
    <n v="373990"/>
    <n v="358144"/>
    <x v="0"/>
    <n v="8.5000000000000006E-2"/>
    <n v="30442.240000000002"/>
    <n v="0.91494233751999965"/>
    <n v="5599.4246575342468"/>
    <n v="1.2718183681621325"/>
  </r>
  <r>
    <s v="THE NATIONAL BANK OF COXSACKIE"/>
    <s v="Coxsackie"/>
    <x v="2"/>
    <n v="12051"/>
    <d v="2021-09-30T00:00:00"/>
    <x v="2"/>
    <n v="74"/>
    <n v="474779"/>
    <n v="28767"/>
    <n v="474779"/>
    <n v="436166"/>
    <n v="419927"/>
    <x v="0"/>
    <n v="8.5000000000000006E-2"/>
    <n v="35693.795000000006"/>
    <n v="0.91867163459209444"/>
    <n v="6415.9324324324325"/>
    <n v="0.80593839909709786"/>
  </r>
  <r>
    <s v="THE NATIONAL GRAND BANK OF MARBLEHEAD"/>
    <s v="Marblehead"/>
    <x v="3"/>
    <n v="1945"/>
    <d v="2019-09-30T00:00:00"/>
    <x v="0"/>
    <n v="45"/>
    <n v="340145"/>
    <n v="6320"/>
    <n v="340145"/>
    <n v="299504"/>
    <n v="271923"/>
    <x v="0"/>
    <n v="8.5000000000000006E-2"/>
    <n v="23113.455000000002"/>
    <n v="0.88051860236075796"/>
    <n v="7558.7777777777774"/>
    <n v="0.27343380727805511"/>
  </r>
  <r>
    <s v="THE NATIONAL GRAND BANK OF MARBLEHEAD"/>
    <s v="Marblehead"/>
    <x v="3"/>
    <n v="1945"/>
    <d v="2020-09-30T00:00:00"/>
    <x v="1"/>
    <n v="41"/>
    <n v="408625"/>
    <n v="51585"/>
    <n v="408625"/>
    <n v="366687"/>
    <n v="345324"/>
    <x v="0"/>
    <n v="8.5000000000000006E-2"/>
    <n v="29352.54"/>
    <n v="0.89736800244723158"/>
    <n v="9966.4634146341468"/>
    <n v="1.7574288289872018"/>
  </r>
  <r>
    <s v="THE NATIONAL GRAND BANK OF MARBLEHEAD"/>
    <s v="Marblehead"/>
    <x v="3"/>
    <n v="1945"/>
    <d v="2021-09-30T00:00:00"/>
    <x v="2"/>
    <n v="47"/>
    <n v="417669"/>
    <n v="33559"/>
    <n v="417669"/>
    <n v="375066"/>
    <n v="365261"/>
    <x v="0"/>
    <n v="8.5000000000000006E-2"/>
    <n v="31047.185000000001"/>
    <n v="0.89799817558880357"/>
    <n v="8886.5744680851058"/>
    <n v="1.0809031479021367"/>
  </r>
  <r>
    <s v="THE NORTH COUNTRY SAVINGS BANK"/>
    <s v="Canton"/>
    <x v="2"/>
    <n v="13617"/>
    <d v="2019-09-30T00:00:00"/>
    <x v="0"/>
    <n v="68"/>
    <n v="264829"/>
    <n v="14050"/>
    <n v="264829"/>
    <n v="230847"/>
    <n v="200997"/>
    <x v="0"/>
    <n v="8.5000000000000006E-2"/>
    <n v="17084.745000000003"/>
    <n v="0.87168323710771856"/>
    <n v="3894.544117647059"/>
    <n v="0.82237106845902574"/>
  </r>
  <r>
    <s v="THE NORTH COUNTRY SAVINGS BANK"/>
    <s v="Canton"/>
    <x v="2"/>
    <n v="13617"/>
    <d v="2020-09-30T00:00:00"/>
    <x v="1"/>
    <n v="66"/>
    <n v="295774"/>
    <n v="38616"/>
    <n v="295774"/>
    <n v="260333"/>
    <n v="228100"/>
    <x v="0"/>
    <n v="8.5000000000000006E-2"/>
    <n v="19388.5"/>
    <n v="0.88017540419374252"/>
    <n v="4481.424242424242"/>
    <n v="1.9916961085179359"/>
  </r>
  <r>
    <s v="THE NORTH COUNTRY SAVINGS BANK"/>
    <s v="Canton"/>
    <x v="2"/>
    <n v="13617"/>
    <d v="2021-09-30T00:00:00"/>
    <x v="2"/>
    <n v="68"/>
    <n v="327719"/>
    <n v="58323"/>
    <n v="327719"/>
    <n v="289158"/>
    <n v="267078"/>
    <x v="0"/>
    <n v="8.5000000000000006E-2"/>
    <n v="22701.63"/>
    <n v="0.88233517129003813"/>
    <n v="4819.3970588235297"/>
    <n v="2.5691106761937359"/>
  </r>
  <r>
    <s v="THE NORTHERN TRUST COMPANY"/>
    <s v="Chicago"/>
    <x v="1"/>
    <n v="60603"/>
    <d v="2019-09-30T00:00:00"/>
    <x v="0"/>
    <n v="19371"/>
    <n v="123824257"/>
    <n v="31618917"/>
    <n v="123824257"/>
    <n v="113822992"/>
    <n v="99393651"/>
    <x v="1"/>
    <n v="7.4999999999999997E-2"/>
    <n v="7454523.8250000002"/>
    <n v="0.91923016344043151"/>
    <n v="6392.2490836817924"/>
    <n v="4.2415743436167768"/>
  </r>
  <r>
    <s v="THE NORTHERN TRUST COMPANY"/>
    <s v="Chicago"/>
    <x v="1"/>
    <n v="60603"/>
    <d v="2020-09-30T00:00:00"/>
    <x v="1"/>
    <n v="20511"/>
    <n v="151628924"/>
    <n v="47458911"/>
    <n v="151628924"/>
    <n v="140770325"/>
    <n v="125681969"/>
    <x v="1"/>
    <n v="7.4999999999999997E-2"/>
    <n v="9426147.6749999989"/>
    <n v="0.92838702067159695"/>
    <n v="7392.5661352445031"/>
    <n v="5.034815137245344"/>
  </r>
  <r>
    <s v="THE NORTHERN TRUST COMPANY"/>
    <s v="Chicago"/>
    <x v="1"/>
    <n v="60603"/>
    <d v="2021-09-30T00:00:00"/>
    <x v="2"/>
    <n v="20612"/>
    <n v="168651038"/>
    <n v="57934667"/>
    <n v="168651038"/>
    <n v="157276873"/>
    <n v="142974592"/>
    <x v="1"/>
    <n v="7.4999999999999997E-2"/>
    <n v="10723094.4"/>
    <n v="0.93255798994845207"/>
    <n v="8182.1772753735686"/>
    <n v="5.4027937122329162"/>
  </r>
  <r>
    <s v="THE OLD EXCHANGE NATIONAL BANK OF OKAWVILLE"/>
    <s v="Okawville"/>
    <x v="1"/>
    <n v="62271"/>
    <d v="2019-09-30T00:00:00"/>
    <x v="0"/>
    <n v="13"/>
    <n v="68469"/>
    <n v="8227"/>
    <n v="68469"/>
    <n v="60277"/>
    <n v="59987"/>
    <x v="2"/>
    <n v="0.09"/>
    <n v="5398.83"/>
    <n v="0.88035461303655671"/>
    <n v="5266.8461538461543"/>
    <n v="1.5238486857337608"/>
  </r>
  <r>
    <s v="THE OLD EXCHANGE NATIONAL BANK OF OKAWVILLE"/>
    <s v="Okawville"/>
    <x v="1"/>
    <n v="62271"/>
    <d v="2020-09-30T00:00:00"/>
    <x v="1"/>
    <n v="12"/>
    <n v="83970"/>
    <n v="11680"/>
    <n v="83970"/>
    <n v="74635"/>
    <n v="70211"/>
    <x v="2"/>
    <n v="0.09"/>
    <n v="6318.99"/>
    <n v="0.88882934381326661"/>
    <n v="6997.5"/>
    <n v="1.8483966583267264"/>
  </r>
  <r>
    <s v="THE OLD EXCHANGE NATIONAL BANK OF OKAWVILLE"/>
    <s v="Okawville"/>
    <x v="1"/>
    <n v="62271"/>
    <d v="2021-09-30T00:00:00"/>
    <x v="2"/>
    <n v="12"/>
    <n v="85862"/>
    <n v="6862"/>
    <n v="85862"/>
    <n v="76089"/>
    <n v="75828"/>
    <x v="2"/>
    <n v="0.09"/>
    <n v="6824.5199999999995"/>
    <n v="0.88617782022314873"/>
    <n v="7155.166666666667"/>
    <n v="1.0054919613394055"/>
  </r>
  <r>
    <s v="THE PEOPLES STATE BANK OF NEWTON, ILLINOIS"/>
    <s v="Newton"/>
    <x v="1"/>
    <n v="62448"/>
    <d v="2019-09-30T00:00:00"/>
    <x v="0"/>
    <n v="91"/>
    <n v="461907"/>
    <n v="9879"/>
    <n v="461907"/>
    <n v="409425"/>
    <n v="390357"/>
    <x v="0"/>
    <n v="0.08"/>
    <n v="31228.560000000001"/>
    <n v="0.88637972578895752"/>
    <n v="5075.9010989010985"/>
    <n v="0.31634503800367353"/>
  </r>
  <r>
    <s v="THE PEOPLES STATE BANK OF NEWTON, ILLINOIS"/>
    <s v="Newton"/>
    <x v="1"/>
    <n v="62448"/>
    <d v="2020-09-30T00:00:00"/>
    <x v="1"/>
    <n v="96"/>
    <n v="498199"/>
    <n v="12683"/>
    <n v="498199"/>
    <n v="440761"/>
    <n v="417692"/>
    <x v="0"/>
    <n v="0.08"/>
    <n v="33415.360000000001"/>
    <n v="0.88470872081236618"/>
    <n v="5189.572916666667"/>
    <n v="0.37955598862319601"/>
  </r>
  <r>
    <s v="THE PEOPLES STATE BANK OF NEWTON, ILLINOIS"/>
    <s v="Newton"/>
    <x v="1"/>
    <n v="62448"/>
    <d v="2021-09-30T00:00:00"/>
    <x v="2"/>
    <n v="97"/>
    <n v="578892"/>
    <n v="21229"/>
    <n v="578892"/>
    <n v="518148"/>
    <n v="490501"/>
    <x v="0"/>
    <n v="0.08"/>
    <n v="39240.080000000002"/>
    <n v="0.89506851018842892"/>
    <n v="5967.9587628865984"/>
    <n v="0.54100297450973589"/>
  </r>
  <r>
    <s v="THE PITTSFIELD CO-OPERATIVE BANK"/>
    <s v="Pittsfield"/>
    <x v="3"/>
    <n v="1201"/>
    <d v="2019-09-30T00:00:00"/>
    <x v="0"/>
    <n v="50"/>
    <n v="322619"/>
    <n v="23363"/>
    <n v="322619"/>
    <n v="271534"/>
    <n v="253787"/>
    <x v="0"/>
    <n v="8.5000000000000006E-2"/>
    <n v="21571.895"/>
    <n v="0.84165532718159808"/>
    <n v="6452.38"/>
    <n v="1.0830295623078083"/>
  </r>
  <r>
    <s v="THE PITTSFIELD CO-OPERATIVE BANK"/>
    <s v="Pittsfield"/>
    <x v="3"/>
    <n v="1201"/>
    <d v="2020-09-30T00:00:00"/>
    <x v="1"/>
    <n v="51"/>
    <n v="361280"/>
    <n v="33066"/>
    <n v="361280"/>
    <n v="307514"/>
    <n v="287469"/>
    <x v="0"/>
    <n v="8.5000000000000006E-2"/>
    <n v="24434.865000000002"/>
    <n v="0.85117914083259527"/>
    <n v="7083.9215686274511"/>
    <n v="1.3532303125063305"/>
  </r>
  <r>
    <s v="THE PITTSFIELD CO-OPERATIVE BANK"/>
    <s v="Pittsfield"/>
    <x v="3"/>
    <n v="1201"/>
    <d v="2021-09-30T00:00:00"/>
    <x v="2"/>
    <n v="50"/>
    <n v="386966"/>
    <n v="36901"/>
    <n v="386966"/>
    <n v="332237"/>
    <n v="320720"/>
    <x v="0"/>
    <n v="8.5000000000000006E-2"/>
    <n v="27261.200000000001"/>
    <n v="0.85856896988365905"/>
    <n v="7739.32"/>
    <n v="1.3536087919827446"/>
  </r>
  <r>
    <s v="THE POPLAR GROVE STATE BANK"/>
    <s v="Poplar Grove"/>
    <x v="1"/>
    <n v="61065"/>
    <d v="2019-09-30T00:00:00"/>
    <x v="0"/>
    <n v="12"/>
    <n v="86458"/>
    <n v="11979"/>
    <n v="86457"/>
    <n v="62751"/>
    <n v="61959"/>
    <x v="2"/>
    <n v="0.09"/>
    <n v="5576.3099999999995"/>
    <n v="0.72579749705059105"/>
    <n v="7204.833333333333"/>
    <n v="2.1481947739634277"/>
  </r>
  <r>
    <s v="THE PROVIDENT BANK"/>
    <s v="Amesbury"/>
    <x v="3"/>
    <n v="1913"/>
    <d v="2019-09-30T00:00:00"/>
    <x v="0"/>
    <n v="134"/>
    <n v="1077862"/>
    <n v="38405"/>
    <n v="1077862"/>
    <n v="950019"/>
    <n v="901896"/>
    <x v="1"/>
    <n v="0.08"/>
    <n v="72151.680000000008"/>
    <n v="0.88139205204376814"/>
    <n v="8043.746268656716"/>
    <n v="0.53228143821460561"/>
  </r>
  <r>
    <s v="THE PROVIDENT BANK"/>
    <s v="Amesbury"/>
    <x v="3"/>
    <n v="1913"/>
    <d v="2020-09-30T00:00:00"/>
    <x v="1"/>
    <n v="153"/>
    <n v="1497189"/>
    <n v="46877"/>
    <n v="1497189"/>
    <n v="1319005"/>
    <n v="1218065"/>
    <x v="1"/>
    <n v="0.08"/>
    <n v="97445.2"/>
    <n v="0.88098763749934039"/>
    <n v="9785.5490196078426"/>
    <n v="0.48106012404920923"/>
  </r>
  <r>
    <s v="THE PROVIDENT BANK"/>
    <s v="Amesbury"/>
    <x v="3"/>
    <n v="1913"/>
    <d v="2021-09-30T00:00:00"/>
    <x v="2"/>
    <n v="176"/>
    <n v="1624862"/>
    <n v="190787"/>
    <n v="1624862"/>
    <n v="1426114"/>
    <n v="1383524"/>
    <x v="1"/>
    <n v="0.08"/>
    <n v="110681.92"/>
    <n v="0.87768315093835658"/>
    <n v="9232.170454545454"/>
    <n v="1.723741330110645"/>
  </r>
  <r>
    <s v="THE PUTNAM COUNTY NATIONAL BANK OF CARMEL"/>
    <s v="Carmel"/>
    <x v="2"/>
    <n v="10512"/>
    <d v="2019-09-30T00:00:00"/>
    <x v="0"/>
    <n v="31"/>
    <n v="166707"/>
    <n v="56175"/>
    <n v="166707"/>
    <n v="131208"/>
    <n v="129201"/>
    <x v="0"/>
    <n v="8.5000000000000006E-2"/>
    <n v="10982.085000000001"/>
    <n v="0.78705753207723728"/>
    <n v="5377.6451612903229"/>
    <n v="5.1151488993210306"/>
  </r>
  <r>
    <s v="THE PUTNAM COUNTY NATIONAL BANK OF CARMEL"/>
    <s v="Carmel"/>
    <x v="2"/>
    <n v="10512"/>
    <d v="2020-09-30T00:00:00"/>
    <x v="1"/>
    <n v="31"/>
    <n v="195232"/>
    <n v="84025"/>
    <n v="195232"/>
    <n v="158630"/>
    <n v="156696"/>
    <x v="0"/>
    <n v="8.5000000000000006E-2"/>
    <n v="13319.160000000002"/>
    <n v="0.8125204884445173"/>
    <n v="6297.8064516129034"/>
    <n v="6.3085810216259874"/>
  </r>
  <r>
    <s v="THE PUTNAM COUNTY NATIONAL BANK OF CARMEL"/>
    <s v="Carmel"/>
    <x v="2"/>
    <n v="10512"/>
    <d v="2021-09-30T00:00:00"/>
    <x v="2"/>
    <n v="31"/>
    <n v="208586"/>
    <n v="74535"/>
    <n v="208586"/>
    <n v="171817"/>
    <n v="169714"/>
    <x v="0"/>
    <n v="8.5000000000000006E-2"/>
    <n v="14425.69"/>
    <n v="0.82372258924376518"/>
    <n v="6728.5806451612907"/>
    <n v="5.1668239092896071"/>
  </r>
  <r>
    <s v="THE SAVINGS BANK"/>
    <s v="Wakefield"/>
    <x v="3"/>
    <n v="1880"/>
    <d v="2019-09-30T00:00:00"/>
    <x v="0"/>
    <n v="109"/>
    <n v="615260"/>
    <n v="29328"/>
    <n v="615260"/>
    <n v="537397"/>
    <n v="520145"/>
    <x v="0"/>
    <n v="8.5000000000000006E-2"/>
    <n v="44212.325000000004"/>
    <n v="0.87344699801709846"/>
    <n v="5644.5871559633024"/>
    <n v="0.66334444071873622"/>
  </r>
  <r>
    <s v="THE SAVINGS BANK"/>
    <s v="Wakefield"/>
    <x v="3"/>
    <n v="1880"/>
    <d v="2020-09-30T00:00:00"/>
    <x v="1"/>
    <n v="108"/>
    <n v="655631"/>
    <n v="85396"/>
    <n v="655631"/>
    <n v="575343"/>
    <n v="569902"/>
    <x v="0"/>
    <n v="8.5000000000000006E-2"/>
    <n v="48441.670000000006"/>
    <n v="0.87754087283853266"/>
    <n v="6070.6574074074078"/>
    <n v="1.7628624281532819"/>
  </r>
  <r>
    <s v="THE SAVINGS BANK"/>
    <s v="Wakefield"/>
    <x v="3"/>
    <n v="1880"/>
    <d v="2021-09-30T00:00:00"/>
    <x v="2"/>
    <n v="107"/>
    <n v="707756"/>
    <n v="104501"/>
    <n v="707756"/>
    <n v="625074"/>
    <n v="621328"/>
    <x v="0"/>
    <n v="8.5000000000000006E-2"/>
    <n v="52812.880000000005"/>
    <n v="0.88317725317764884"/>
    <n v="6614.5420560747662"/>
    <n v="1.9787029224689128"/>
  </r>
  <r>
    <s v="THE STATE BANK OF GENEVA"/>
    <s v="Geneva"/>
    <x v="1"/>
    <n v="60134"/>
    <d v="2019-09-30T00:00:00"/>
    <x v="0"/>
    <n v="24"/>
    <n v="80285"/>
    <n v="12140"/>
    <n v="80285"/>
    <n v="72247"/>
    <n v="72017"/>
    <x v="2"/>
    <n v="0.09"/>
    <n v="6481.53"/>
    <n v="0.89988167154512055"/>
    <n v="3345.2083333333335"/>
    <n v="1.873014550576793"/>
  </r>
  <r>
    <s v="THE STATE BANK OF GENEVA"/>
    <s v="Geneva"/>
    <x v="1"/>
    <n v="60134"/>
    <d v="2020-09-30T00:00:00"/>
    <x v="1"/>
    <n v="23"/>
    <n v="96592"/>
    <n v="21924"/>
    <n v="96592"/>
    <n v="87844"/>
    <n v="87446"/>
    <x v="2"/>
    <n v="0.09"/>
    <n v="7870.1399999999994"/>
    <n v="0.90943349345701507"/>
    <n v="4199.652173913043"/>
    <n v="2.7857191866980768"/>
  </r>
  <r>
    <s v="THE STATE BANK OF GENEVA"/>
    <s v="Geneva"/>
    <x v="1"/>
    <n v="60134"/>
    <d v="2021-09-30T00:00:00"/>
    <x v="2"/>
    <n v="23"/>
    <n v="110869"/>
    <n v="18247"/>
    <n v="110869"/>
    <n v="100675"/>
    <n v="97278"/>
    <x v="0"/>
    <n v="0.08"/>
    <n v="7782.24"/>
    <n v="0.90805364890095519"/>
    <n v="4820.391304347826"/>
    <n v="2.3446976705935567"/>
  </r>
  <r>
    <s v="THE STATE BANK OF PEARL CITY"/>
    <s v="Pearl City"/>
    <x v="1"/>
    <n v="61062"/>
    <d v="2019-09-30T00:00:00"/>
    <x v="0"/>
    <n v="18"/>
    <n v="58217"/>
    <n v="12807"/>
    <n v="58218"/>
    <n v="51320"/>
    <n v="51082"/>
    <x v="2"/>
    <n v="0.09"/>
    <n v="4597.38"/>
    <n v="0.88152945016060602"/>
    <n v="3234.2777777777778"/>
    <n v="2.7857170823382011"/>
  </r>
  <r>
    <s v="THE STATE BANK OF PEARL CITY"/>
    <s v="Pearl City"/>
    <x v="1"/>
    <n v="61062"/>
    <d v="2020-09-30T00:00:00"/>
    <x v="1"/>
    <n v="18"/>
    <n v="63822"/>
    <n v="20517"/>
    <n v="63822"/>
    <n v="56684"/>
    <n v="55472"/>
    <x v="2"/>
    <n v="0.09"/>
    <n v="4992.4799999999996"/>
    <n v="0.88815768857133903"/>
    <n v="3545.6666666666665"/>
    <n v="4.1095808095375448"/>
  </r>
  <r>
    <s v="THE STATE BANK OF PEARL CITY"/>
    <s v="Pearl City"/>
    <x v="1"/>
    <n v="61062"/>
    <d v="2021-09-30T00:00:00"/>
    <x v="2"/>
    <n v="15"/>
    <n v="69833"/>
    <n v="25086"/>
    <n v="69833"/>
    <n v="62447"/>
    <n v="62259"/>
    <x v="2"/>
    <n v="0.09"/>
    <n v="5603.3099999999995"/>
    <n v="0.8942333853622213"/>
    <n v="4655.5333333333338"/>
    <n v="4.4769966323476664"/>
  </r>
  <r>
    <s v="THE UPSTATE NATIONAL BANK"/>
    <s v="Ogdensburg"/>
    <x v="2"/>
    <n v="13669"/>
    <d v="2019-09-30T00:00:00"/>
    <x v="0"/>
    <n v="21"/>
    <n v="156763"/>
    <n v="9905"/>
    <n v="156762"/>
    <n v="139653"/>
    <n v="111401"/>
    <x v="0"/>
    <n v="8.5000000000000006E-2"/>
    <n v="9469.0850000000009"/>
    <n v="0.89085434700790367"/>
    <n v="7464.9047619047615"/>
    <n v="1.04603559900455"/>
  </r>
  <r>
    <s v="THE UPSTATE NATIONAL BANK"/>
    <s v="Ogdensburg"/>
    <x v="2"/>
    <n v="13669"/>
    <d v="2020-09-30T00:00:00"/>
    <x v="1"/>
    <n v="22"/>
    <n v="192147"/>
    <n v="9433"/>
    <n v="192147"/>
    <n v="173100"/>
    <n v="149964"/>
    <x v="0"/>
    <n v="8.5000000000000006E-2"/>
    <n v="12746.94"/>
    <n v="0.90087276928601534"/>
    <n v="8733.954545454546"/>
    <n v="0.74002074223303782"/>
  </r>
  <r>
    <s v="THE UPSTATE NATIONAL BANK"/>
    <s v="Ogdensburg"/>
    <x v="2"/>
    <n v="13669"/>
    <d v="2021-09-30T00:00:00"/>
    <x v="2"/>
    <n v="20"/>
    <n v="244137"/>
    <n v="8419"/>
    <n v="244137"/>
    <n v="223202"/>
    <n v="203444"/>
    <x v="0"/>
    <n v="8.5000000000000006E-2"/>
    <n v="17292.740000000002"/>
    <n v="0.91424896676865863"/>
    <n v="12206.85"/>
    <n v="0.48685170771086589"/>
  </r>
  <r>
    <s v="THE VILLAGE BANK"/>
    <s v="Saint Libory"/>
    <x v="1"/>
    <n v="62282"/>
    <d v="2019-09-30T00:00:00"/>
    <x v="0"/>
    <n v="14"/>
    <n v="89244"/>
    <n v="18650"/>
    <n v="89244"/>
    <n v="80648"/>
    <n v="79642"/>
    <x v="2"/>
    <n v="0.09"/>
    <n v="7167.78"/>
    <n v="0.90367979920218722"/>
    <n v="6374.5714285714284"/>
    <n v="2.6019213759350874"/>
  </r>
  <r>
    <s v="THE VILLAGE BANK"/>
    <s v="Auburndale"/>
    <x v="3"/>
    <n v="2466"/>
    <d v="2019-09-30T00:00:00"/>
    <x v="0"/>
    <n v="130"/>
    <n v="1249472"/>
    <n v="11392"/>
    <n v="1249472"/>
    <n v="1113028"/>
    <n v="1045614"/>
    <x v="1"/>
    <n v="0.08"/>
    <n v="83649.119999999995"/>
    <n v="0.89079867335962715"/>
    <n v="9611.3230769230777"/>
    <n v="0.13618792403315183"/>
  </r>
  <r>
    <s v="THE VILLAGE BANK"/>
    <s v="Saint Libory"/>
    <x v="1"/>
    <n v="62282"/>
    <d v="2020-09-30T00:00:00"/>
    <x v="1"/>
    <n v="15"/>
    <n v="98402"/>
    <n v="7651"/>
    <n v="98402"/>
    <n v="89327"/>
    <n v="88314"/>
    <x v="2"/>
    <n v="0.09"/>
    <n v="7948.2599999999993"/>
    <n v="0.90777626471006689"/>
    <n v="6560.1333333333332"/>
    <n v="0.96260061950665943"/>
  </r>
  <r>
    <s v="THE VILLAGE BANK"/>
    <s v="Auburndale"/>
    <x v="3"/>
    <n v="2466"/>
    <d v="2020-09-30T00:00:00"/>
    <x v="1"/>
    <n v="129"/>
    <n v="1455159"/>
    <n v="125165"/>
    <n v="1455159"/>
    <n v="1306562"/>
    <n v="1300110"/>
    <x v="1"/>
    <n v="0.08"/>
    <n v="104008.8"/>
    <n v="0.89788263688023096"/>
    <n v="11280.302325581395"/>
    <n v="1.2034077885717362"/>
  </r>
  <r>
    <s v="THE VILLAGE BANK"/>
    <s v="Saint Libory"/>
    <x v="1"/>
    <n v="62282"/>
    <d v="2021-09-30T00:00:00"/>
    <x v="2"/>
    <n v="16"/>
    <n v="105502"/>
    <n v="12140"/>
    <n v="105502"/>
    <n v="95209"/>
    <n v="94195"/>
    <x v="0"/>
    <n v="0.08"/>
    <n v="7535.6"/>
    <n v="0.90243786847642704"/>
    <n v="6593.875"/>
    <n v="1.6110196931896597"/>
  </r>
  <r>
    <s v="THE VILLAGE BANK"/>
    <s v="Auburndale"/>
    <x v="3"/>
    <n v="2466"/>
    <d v="2021-09-30T00:00:00"/>
    <x v="2"/>
    <n v="128"/>
    <n v="1653262"/>
    <n v="145938"/>
    <n v="1653262"/>
    <n v="1494900"/>
    <n v="1487678"/>
    <x v="1"/>
    <n v="0.08"/>
    <n v="119014.24"/>
    <n v="0.90421239948659071"/>
    <n v="12916.109375"/>
    <n v="1.2262230133133647"/>
  </r>
  <r>
    <s v="THE WESTCHESTER BANK"/>
    <s v="Yonkers"/>
    <x v="2"/>
    <n v="10710"/>
    <d v="2019-09-30T00:00:00"/>
    <x v="0"/>
    <n v="68"/>
    <n v="886217"/>
    <n v="25773"/>
    <n v="886217"/>
    <n v="766682"/>
    <n v="692222"/>
    <x v="0"/>
    <n v="8.5000000000000006E-2"/>
    <n v="58838.87"/>
    <n v="0.86511768562327285"/>
    <n v="13032.60294117647"/>
    <n v="0.43802676699943421"/>
  </r>
  <r>
    <s v="THE WESTCHESTER BANK"/>
    <s v="Yonkers"/>
    <x v="2"/>
    <n v="10710"/>
    <d v="2020-09-30T00:00:00"/>
    <x v="1"/>
    <n v="70"/>
    <n v="1200899"/>
    <n v="220435"/>
    <n v="1200899"/>
    <n v="1075463"/>
    <n v="1005797"/>
    <x v="1"/>
    <n v="0.08"/>
    <n v="80463.759999999995"/>
    <n v="0.89554825176805042"/>
    <n v="17155.7"/>
    <n v="2.739556292174266"/>
  </r>
  <r>
    <s v="THE WESTCHESTER BANK"/>
    <s v="Yonkers"/>
    <x v="2"/>
    <n v="10710"/>
    <d v="2021-09-30T00:00:00"/>
    <x v="2"/>
    <n v="67"/>
    <n v="1280654"/>
    <n v="230620"/>
    <n v="1280654"/>
    <n v="1139721"/>
    <n v="1082870"/>
    <x v="1"/>
    <n v="0.08"/>
    <n v="86629.6"/>
    <n v="0.88995232123586854"/>
    <n v="19114.238805970148"/>
    <n v="2.6621385761910479"/>
  </r>
  <r>
    <s v="TIOGA STATE BANK"/>
    <s v="Spencer"/>
    <x v="2"/>
    <n v="14883"/>
    <d v="2019-09-30T00:00:00"/>
    <x v="0"/>
    <n v="99"/>
    <n v="481885"/>
    <n v="10639"/>
    <n v="481885"/>
    <n v="423101"/>
    <n v="401612"/>
    <x v="0"/>
    <n v="8.5000000000000006E-2"/>
    <n v="34137.020000000004"/>
    <n v="0.87801238884796162"/>
    <n v="4867.5252525252527"/>
    <n v="0.31165579186466769"/>
  </r>
  <r>
    <s v="TIOGA STATE BANK"/>
    <s v="Spencer"/>
    <x v="2"/>
    <n v="14883"/>
    <d v="2020-09-30T00:00:00"/>
    <x v="1"/>
    <n v="101"/>
    <n v="531113"/>
    <n v="9323"/>
    <n v="531113"/>
    <n v="464245"/>
    <n v="441228"/>
    <x v="0"/>
    <n v="8.5000000000000006E-2"/>
    <n v="37504.380000000005"/>
    <n v="0.87409835571714489"/>
    <n v="5258.5445544554459"/>
    <n v="0.24858429868724663"/>
  </r>
  <r>
    <s v="TIOGA STATE BANK NATIONAL ASSOCIATION"/>
    <s v="Spencer"/>
    <x v="2"/>
    <n v="14883"/>
    <d v="2021-09-30T00:00:00"/>
    <x v="2"/>
    <n v="100"/>
    <n v="562945"/>
    <n v="41660"/>
    <n v="562945"/>
    <n v="492420"/>
    <n v="486773"/>
    <x v="0"/>
    <n v="8.5000000000000006E-2"/>
    <n v="41375.705000000002"/>
    <n v="0.87472133156880338"/>
    <n v="5629.45"/>
    <n v="1.0068710611698337"/>
  </r>
  <r>
    <s v="TNB BANK"/>
    <s v="Tuscola"/>
    <x v="1"/>
    <n v="61953"/>
    <d v="2019-09-30T00:00:00"/>
    <x v="0"/>
    <n v="19"/>
    <n v="85899"/>
    <n v="18001"/>
    <n v="85898"/>
    <n v="74597"/>
    <n v="74332"/>
    <x v="2"/>
    <n v="0.09"/>
    <n v="6689.88"/>
    <n v="0.8684268734211108"/>
    <n v="4521"/>
    <n v="2.6907807015970389"/>
  </r>
  <r>
    <s v="TNB BANK"/>
    <s v="Tuscola"/>
    <x v="1"/>
    <n v="61953"/>
    <d v="2020-09-30T00:00:00"/>
    <x v="1"/>
    <n v="22"/>
    <n v="95236"/>
    <n v="29195"/>
    <n v="95236"/>
    <n v="84070"/>
    <n v="83772"/>
    <x v="2"/>
    <n v="0.09"/>
    <n v="7539.48"/>
    <n v="0.88275442059725318"/>
    <n v="4328.909090909091"/>
    <n v="3.8722829691172338"/>
  </r>
  <r>
    <s v="TNB BANK"/>
    <s v="Tuscola"/>
    <x v="1"/>
    <n v="61953"/>
    <d v="2021-09-30T00:00:00"/>
    <x v="2"/>
    <n v="18"/>
    <n v="96031"/>
    <n v="24759"/>
    <n v="96031"/>
    <n v="84952"/>
    <n v="84790"/>
    <x v="2"/>
    <n v="0.09"/>
    <n v="7631.0999999999995"/>
    <n v="0.8846310045714405"/>
    <n v="5335.0555555555557"/>
    <n v="3.2444863781106266"/>
  </r>
  <r>
    <s v="TOMPKINS STATE BANK"/>
    <s v="Avon"/>
    <x v="1"/>
    <n v="61415"/>
    <d v="2019-09-30T00:00:00"/>
    <x v="0"/>
    <n v="45"/>
    <n v="217230"/>
    <n v="4372"/>
    <n v="217230"/>
    <n v="193510"/>
    <n v="183180"/>
    <x v="0"/>
    <n v="0.08"/>
    <n v="14654.4"/>
    <n v="0.89080697877825343"/>
    <n v="4827.333333333333"/>
    <n v="0.29834043017796702"/>
  </r>
  <r>
    <s v="TOMPKINS STATE BANK"/>
    <s v="Avon"/>
    <x v="1"/>
    <n v="61415"/>
    <d v="2020-09-30T00:00:00"/>
    <x v="1"/>
    <n v="48"/>
    <n v="252441"/>
    <n v="4058"/>
    <n v="252441"/>
    <n v="225536"/>
    <n v="211153"/>
    <x v="0"/>
    <n v="0.08"/>
    <n v="16892.240000000002"/>
    <n v="0.89342064086261741"/>
    <n v="5259.1875"/>
    <n v="0.24022864936799379"/>
  </r>
  <r>
    <s v="TOMPKINS STATE BANK"/>
    <s v="Avon"/>
    <x v="1"/>
    <n v="61415"/>
    <d v="2021-09-30T00:00:00"/>
    <x v="2"/>
    <n v="51"/>
    <n v="263634"/>
    <n v="16942"/>
    <n v="263634"/>
    <n v="235725"/>
    <n v="225289"/>
    <x v="0"/>
    <n v="0.08"/>
    <n v="18023.12"/>
    <n v="0.8941373267484467"/>
    <n v="5169.2941176470586"/>
    <n v="0.94001482540203918"/>
  </r>
  <r>
    <s v="TOMPKINS TRUST COMPANY"/>
    <s v="Ithaca"/>
    <x v="2"/>
    <n v="14850"/>
    <d v="2019-09-30T00:00:00"/>
    <x v="0"/>
    <n v="476"/>
    <n v="2048741"/>
    <n v="40264"/>
    <n v="2048741"/>
    <n v="1890972"/>
    <n v="1652306"/>
    <x v="1"/>
    <n v="0.08"/>
    <n v="132184.48000000001"/>
    <n v="0.9229922181476331"/>
    <n v="4304.0777310924368"/>
    <n v="0.3046045950326392"/>
  </r>
  <r>
    <s v="TOMPKINS TRUST COMPANY"/>
    <s v="Ithaca"/>
    <x v="2"/>
    <n v="14850"/>
    <d v="2020-09-30T00:00:00"/>
    <x v="1"/>
    <n v="495"/>
    <n v="2366849"/>
    <n v="64014"/>
    <n v="2366849"/>
    <n v="2197698"/>
    <n v="2014960"/>
    <x v="1"/>
    <n v="0.08"/>
    <n v="161196.80000000002"/>
    <n v="0.92853325243815721"/>
    <n v="4781.5131313131315"/>
    <n v="0.39711706435859767"/>
  </r>
  <r>
    <s v="TOMPKINS TRUST COMPANY"/>
    <s v="Ithaca"/>
    <x v="2"/>
    <n v="14850"/>
    <d v="2021-09-30T00:00:00"/>
    <x v="2"/>
    <n v="488"/>
    <n v="2478349"/>
    <n v="63808"/>
    <n v="2478349"/>
    <n v="2311529"/>
    <n v="2144402"/>
    <x v="1"/>
    <n v="0.08"/>
    <n v="171552.16"/>
    <n v="0.93268906033815258"/>
    <n v="5078.5840163934427"/>
    <n v="0.37194518565082479"/>
  </r>
  <r>
    <s v="TOWN &amp; COUNTRY BANK MIDWEST"/>
    <s v="Quincy"/>
    <x v="1"/>
    <n v="62301"/>
    <d v="2019-09-30T00:00:00"/>
    <x v="0"/>
    <n v="45"/>
    <n v="188276"/>
    <n v="40796"/>
    <n v="188276"/>
    <n v="167074"/>
    <n v="166696"/>
    <x v="0"/>
    <n v="0.08"/>
    <n v="13335.68"/>
    <n v="0.88738872718774564"/>
    <n v="4183.9111111111115"/>
    <n v="3.0591615875605891"/>
  </r>
  <r>
    <s v="TOWN &amp; COUNTRY BANK MIDWEST"/>
    <s v="Quincy"/>
    <x v="1"/>
    <n v="62301"/>
    <d v="2020-09-30T00:00:00"/>
    <x v="1"/>
    <n v="42"/>
    <n v="191392"/>
    <n v="36014"/>
    <n v="191393"/>
    <n v="166734"/>
    <n v="162609"/>
    <x v="0"/>
    <n v="0.08"/>
    <n v="13008.720000000001"/>
    <n v="0.87116493897341585"/>
    <n v="4556.9523809523807"/>
    <n v="2.7684507007607202"/>
  </r>
  <r>
    <s v="TOWN &amp; COUNTRY BANK MIDWEST"/>
    <s v="Quincy"/>
    <x v="1"/>
    <n v="62301"/>
    <d v="2021-09-30T00:00:00"/>
    <x v="2"/>
    <n v="42"/>
    <n v="219335"/>
    <n v="80068"/>
    <n v="219335"/>
    <n v="195053"/>
    <n v="189648"/>
    <x v="0"/>
    <n v="0.08"/>
    <n v="15171.84"/>
    <n v="0.88929263455444862"/>
    <n v="5222.2619047619046"/>
    <n v="5.2774086729098117"/>
  </r>
  <r>
    <s v="TOWN AND COUNTRY BANK"/>
    <s v="Springfield"/>
    <x v="1"/>
    <n v="62704"/>
    <d v="2019-09-30T00:00:00"/>
    <x v="0"/>
    <n v="187"/>
    <n v="826124"/>
    <n v="27943"/>
    <n v="826124"/>
    <n v="742811"/>
    <n v="640651"/>
    <x v="0"/>
    <n v="0.08"/>
    <n v="51252.08"/>
    <n v="0.89915194329180603"/>
    <n v="4417.7754010695189"/>
    <n v="0.54520714086140498"/>
  </r>
  <r>
    <s v="TOWN AND COUNTRY BANK"/>
    <s v="Springfield"/>
    <x v="1"/>
    <n v="62704"/>
    <d v="2020-09-30T00:00:00"/>
    <x v="1"/>
    <n v="189"/>
    <n v="866812"/>
    <n v="17609"/>
    <n v="866812"/>
    <n v="777632"/>
    <n v="704329"/>
    <x v="0"/>
    <n v="0.08"/>
    <n v="56346.32"/>
    <n v="0.8971172526453256"/>
    <n v="4586.3068783068784"/>
    <n v="0.31251375422565308"/>
  </r>
  <r>
    <s v="TOWN AND COUNTRY BANK"/>
    <s v="Springfield"/>
    <x v="1"/>
    <n v="62704"/>
    <d v="2021-09-30T00:00:00"/>
    <x v="2"/>
    <n v="177"/>
    <n v="890685"/>
    <n v="105574"/>
    <n v="890685"/>
    <n v="792363"/>
    <n v="771547"/>
    <x v="0"/>
    <n v="0.08"/>
    <n v="61723.76"/>
    <n v="0.88961080516680979"/>
    <n v="5032.1186440677966"/>
    <n v="1.7104272325600385"/>
  </r>
  <r>
    <s v="TOWN CENTER BANK"/>
    <s v="Frankfort"/>
    <x v="1"/>
    <n v="60423"/>
    <d v="2019-09-30T00:00:00"/>
    <x v="0"/>
    <n v="26"/>
    <n v="101551"/>
    <n v="2353"/>
    <n v="101551"/>
    <n v="89307"/>
    <n v="85875"/>
    <x v="0"/>
    <n v="0.08"/>
    <n v="6870"/>
    <n v="0.87943004007838421"/>
    <n v="3905.8076923076924"/>
    <n v="0.34250363901018921"/>
  </r>
  <r>
    <s v="TOWN CENTER BANK"/>
    <s v="Frankfort"/>
    <x v="1"/>
    <n v="60423"/>
    <d v="2020-09-30T00:00:00"/>
    <x v="1"/>
    <n v="18"/>
    <n v="155697"/>
    <n v="14660"/>
    <n v="155697"/>
    <n v="140514"/>
    <n v="97436"/>
    <x v="0"/>
    <n v="0.08"/>
    <n v="7794.88"/>
    <n v="0.90248367020559161"/>
    <n v="8649.8333333333339"/>
    <n v="1.880721704503469"/>
  </r>
  <r>
    <s v="TOWN CENTER BANK"/>
    <s v="Frankfort"/>
    <x v="1"/>
    <n v="60423"/>
    <d v="2021-09-30T00:00:00"/>
    <x v="2"/>
    <n v="20"/>
    <n v="152832"/>
    <n v="19327"/>
    <n v="152832"/>
    <n v="136608"/>
    <n v="119490"/>
    <x v="0"/>
    <n v="0.08"/>
    <n v="9559.2000000000007"/>
    <n v="0.89384422110552764"/>
    <n v="7641.6"/>
    <n v="2.0218219097832453"/>
  </r>
  <r>
    <s v="TRI COUNTIES BANK"/>
    <s v="Chico"/>
    <x v="0"/>
    <n v="95973"/>
    <d v="2019-09-30T00:00:00"/>
    <x v="0"/>
    <n v="1159"/>
    <n v="6383135"/>
    <n v="259047"/>
    <n v="6383135"/>
    <n v="5435532"/>
    <n v="5300507"/>
    <x v="1"/>
    <n v="0.08"/>
    <n v="424040.56"/>
    <n v="0.85154583131956318"/>
    <n v="5507.4503882657464"/>
    <n v="0.610901466595554"/>
  </r>
  <r>
    <s v="TRI COUNTIES BANK"/>
    <s v="Chico"/>
    <x v="0"/>
    <n v="95973"/>
    <d v="2020-09-30T00:00:00"/>
    <x v="1"/>
    <n v="1093"/>
    <n v="7447929"/>
    <n v="652583"/>
    <n v="7447929"/>
    <n v="6494390"/>
    <n v="6345298"/>
    <x v="1"/>
    <n v="0.08"/>
    <n v="507623.84"/>
    <n v="0.87197259802020133"/>
    <n v="6814.2076852698992"/>
    <n v="1.2855641295333962"/>
  </r>
  <r>
    <s v="TRI COUNTIES BANK"/>
    <s v="Chico"/>
    <x v="0"/>
    <n v="95973"/>
    <d v="2021-09-30T00:00:00"/>
    <x v="2"/>
    <n v="1052"/>
    <n v="8451844"/>
    <n v="740235"/>
    <n v="8451844"/>
    <n v="7422623"/>
    <n v="7241738"/>
    <x v="1"/>
    <n v="0.08"/>
    <n v="579339.04"/>
    <n v="0.87822527249674742"/>
    <n v="8034.0722433460078"/>
    <n v="1.2777233172478761"/>
  </r>
  <r>
    <s v="TRUSTBANK"/>
    <s v="Olney"/>
    <x v="1"/>
    <n v="62450"/>
    <d v="2019-09-30T00:00:00"/>
    <x v="0"/>
    <n v="67"/>
    <n v="234083"/>
    <n v="11977"/>
    <n v="234083"/>
    <n v="205815"/>
    <n v="201845"/>
    <x v="0"/>
    <n v="0.08"/>
    <n v="16147.6"/>
    <n v="0.87923941507926673"/>
    <n v="3493.7761194029849"/>
    <n v="0.74172013178428986"/>
  </r>
  <r>
    <s v="TRUSTBANK"/>
    <s v="Olney"/>
    <x v="1"/>
    <n v="62450"/>
    <d v="2020-09-30T00:00:00"/>
    <x v="1"/>
    <n v="71"/>
    <n v="279556"/>
    <n v="24626"/>
    <n v="279556"/>
    <n v="248561"/>
    <n v="241141"/>
    <x v="0"/>
    <n v="0.08"/>
    <n v="19291.28"/>
    <n v="0.88912775973329139"/>
    <n v="3937.4084507042253"/>
    <n v="1.2765353050704775"/>
  </r>
  <r>
    <s v="TRUSTBANK"/>
    <s v="Olney"/>
    <x v="1"/>
    <n v="62450"/>
    <d v="2021-09-30T00:00:00"/>
    <x v="2"/>
    <n v="72"/>
    <n v="295762"/>
    <n v="17979"/>
    <n v="295762"/>
    <n v="262655"/>
    <n v="259513"/>
    <x v="0"/>
    <n v="0.08"/>
    <n v="20761.04"/>
    <n v="0.88806202284269109"/>
    <n v="4107.8055555555557"/>
    <n v="0.86599707914439739"/>
  </r>
  <r>
    <s v="TRUSTCO BANK"/>
    <s v="Glenville"/>
    <x v="2"/>
    <n v="12302"/>
    <d v="2019-09-30T00:00:00"/>
    <x v="0"/>
    <n v="823"/>
    <n v="5222139"/>
    <n v="450934"/>
    <n v="5222139"/>
    <n v="4712126"/>
    <n v="4461180"/>
    <x v="1"/>
    <n v="0.08"/>
    <n v="356894.4"/>
    <n v="0.90233637978613745"/>
    <n v="6345.2478736330495"/>
    <n v="1.2634941876364549"/>
  </r>
  <r>
    <s v="TRUSTCO BANK"/>
    <s v="Glenville"/>
    <x v="2"/>
    <n v="12302"/>
    <d v="2020-09-30T00:00:00"/>
    <x v="1"/>
    <n v="771"/>
    <n v="5735478"/>
    <n v="956399"/>
    <n v="5735477"/>
    <n v="5189513"/>
    <n v="4899064"/>
    <x v="1"/>
    <n v="0.08"/>
    <n v="391925.12"/>
    <n v="0.90480915452905586"/>
    <n v="7439.011673151751"/>
    <n v="2.4402595067139354"/>
  </r>
  <r>
    <s v="TRUSTCO BANK"/>
    <s v="Glenville"/>
    <x v="2"/>
    <n v="12302"/>
    <d v="2021-09-30T00:00:00"/>
    <x v="2"/>
    <n v="744"/>
    <n v="6134106"/>
    <n v="1193358"/>
    <n v="6134106"/>
    <n v="5564279"/>
    <n v="5241031"/>
    <x v="1"/>
    <n v="0.08"/>
    <n v="419282.48"/>
    <n v="0.9071051266476321"/>
    <n v="8244.7661290322576"/>
    <n v="2.8461909498341074"/>
  </r>
  <r>
    <s v="TUSTIN COMMUNITY BANK"/>
    <s v="Tustin"/>
    <x v="0"/>
    <n v="92780"/>
    <d v="2019-09-30T00:00:00"/>
    <x v="0"/>
    <n v="23"/>
    <n v="74181"/>
    <n v="8743"/>
    <n v="74181"/>
    <n v="63327"/>
    <n v="58346"/>
    <x v="2"/>
    <n v="0.1"/>
    <n v="5834.6"/>
    <n v="0.85368220973025433"/>
    <n v="3225.2608695652175"/>
    <n v="1.4984746169403214"/>
  </r>
  <r>
    <s v="TUSTIN COMMUNITY BANK"/>
    <s v="Tustin"/>
    <x v="0"/>
    <n v="92780"/>
    <d v="2020-09-30T00:00:00"/>
    <x v="1"/>
    <n v="22"/>
    <n v="87582"/>
    <n v="18356"/>
    <n v="87582"/>
    <n v="76626"/>
    <n v="67725"/>
    <x v="2"/>
    <n v="0.1"/>
    <n v="6772.5"/>
    <n v="0.87490580256217032"/>
    <n v="3981"/>
    <n v="2.7103728313030637"/>
  </r>
  <r>
    <s v="TUSTIN COMMUNITY BANK"/>
    <s v="Tustin"/>
    <x v="0"/>
    <n v="92780"/>
    <d v="2021-09-30T00:00:00"/>
    <x v="2"/>
    <n v="22"/>
    <n v="88127"/>
    <n v="23507"/>
    <n v="88127"/>
    <n v="76858"/>
    <n v="75617"/>
    <x v="2"/>
    <n v="0.1"/>
    <n v="7561.7000000000007"/>
    <n v="0.87212772476085654"/>
    <n v="4005.7727272727275"/>
    <n v="3.1086924897840431"/>
  </r>
  <r>
    <s v="ULSTER SAVINGS BANK"/>
    <s v="Kingston"/>
    <x v="2"/>
    <n v="12401"/>
    <d v="2019-09-30T00:00:00"/>
    <x v="0"/>
    <n v="255"/>
    <n v="944797"/>
    <n v="26887"/>
    <n v="944797"/>
    <n v="841930"/>
    <n v="821011"/>
    <x v="0"/>
    <n v="8.5000000000000006E-2"/>
    <n v="69785.935000000012"/>
    <n v="0.89112264327680968"/>
    <n v="3705.0862745098038"/>
    <n v="0.38527820828079462"/>
  </r>
  <r>
    <s v="ULSTER SAVINGS BANK"/>
    <s v="Kingston"/>
    <x v="2"/>
    <n v="12401"/>
    <d v="2020-09-30T00:00:00"/>
    <x v="1"/>
    <n v="245"/>
    <n v="1133556"/>
    <n v="152897"/>
    <n v="1133556"/>
    <n v="1022374"/>
    <n v="1017303"/>
    <x v="1"/>
    <n v="0.08"/>
    <n v="81384.240000000005"/>
    <n v="0.90191750561948414"/>
    <n v="4626.7591836734691"/>
    <n v="1.878705262837129"/>
  </r>
  <r>
    <s v="ULSTER SAVINGS BANK"/>
    <s v="Kingston"/>
    <x v="2"/>
    <n v="12401"/>
    <d v="2021-09-30T00:00:00"/>
    <x v="2"/>
    <n v="249"/>
    <n v="1279748"/>
    <n v="262147"/>
    <n v="1279748"/>
    <n v="1164256"/>
    <n v="1157817"/>
    <x v="1"/>
    <n v="0.08"/>
    <n v="92625.36"/>
    <n v="0.90975410783998101"/>
    <n v="5139.5502008032126"/>
    <n v="2.8301860311258169"/>
  </r>
  <r>
    <s v="UNIBANK FOR SAVINGS"/>
    <s v="Whitinsville"/>
    <x v="3"/>
    <n v="1588"/>
    <d v="2019-09-30T00:00:00"/>
    <x v="0"/>
    <n v="280"/>
    <n v="1763811"/>
    <n v="158242"/>
    <n v="1763811"/>
    <n v="1605610"/>
    <n v="1590356"/>
    <x v="1"/>
    <n v="0.08"/>
    <n v="127228.48"/>
    <n v="0.91030728349012446"/>
    <n v="6299.3249999999998"/>
    <n v="1.2437624028833796"/>
  </r>
  <r>
    <s v="UNIBANK FOR SAVINGS"/>
    <s v="Whitinsville"/>
    <x v="3"/>
    <n v="1588"/>
    <d v="2020-09-30T00:00:00"/>
    <x v="1"/>
    <n v="249"/>
    <n v="2098629"/>
    <n v="418909"/>
    <n v="2098629"/>
    <n v="1917242"/>
    <n v="1886406"/>
    <x v="1"/>
    <n v="0.08"/>
    <n v="150912.48000000001"/>
    <n v="0.91356881087605291"/>
    <n v="8428.2289156626503"/>
    <n v="2.7758406726865794"/>
  </r>
  <r>
    <s v="UNIBANK FOR SAVINGS"/>
    <s v="Whitinsville"/>
    <x v="3"/>
    <n v="1588"/>
    <d v="2021-09-30T00:00:00"/>
    <x v="2"/>
    <n v="263"/>
    <n v="2567352"/>
    <n v="305999"/>
    <n v="2567352"/>
    <n v="2381160"/>
    <n v="2053205"/>
    <x v="1"/>
    <n v="0.08"/>
    <n v="164256.4"/>
    <n v="0.92747702691333322"/>
    <n v="9761.7946768060829"/>
    <n v="1.8629350211011566"/>
  </r>
  <r>
    <s v="UNION FEDERAL SAVINGS AND LOAN ASSOCIATION"/>
    <s v="Kewanee"/>
    <x v="1"/>
    <n v="61443"/>
    <d v="2019-09-30T00:00:00"/>
    <x v="0"/>
    <n v="33"/>
    <n v="150107"/>
    <n v="14298"/>
    <n v="150107"/>
    <n v="127491"/>
    <n v="127143"/>
    <x v="0"/>
    <n v="0.08"/>
    <n v="10171.44"/>
    <n v="0.84933414164562615"/>
    <n v="4548.69696969697"/>
    <n v="1.4057006677520587"/>
  </r>
  <r>
    <s v="UNION FEDERAL SAVINGS AND LOAN ASSOCIATION"/>
    <s v="Kewanee"/>
    <x v="1"/>
    <n v="61443"/>
    <d v="2020-09-30T00:00:00"/>
    <x v="1"/>
    <n v="33"/>
    <n v="159654"/>
    <n v="23551"/>
    <n v="159654"/>
    <n v="136450"/>
    <n v="132100"/>
    <x v="0"/>
    <n v="0.08"/>
    <n v="10568"/>
    <n v="0.85466070377190673"/>
    <n v="4838"/>
    <n v="2.2285200605601818"/>
  </r>
  <r>
    <s v="UNION FEDERAL SAVINGS AND LOAN ASSOCIATION"/>
    <s v="Kewanee"/>
    <x v="1"/>
    <n v="61443"/>
    <d v="2021-09-30T00:00:00"/>
    <x v="2"/>
    <n v="32"/>
    <n v="164399"/>
    <n v="27885"/>
    <n v="164399"/>
    <n v="140335"/>
    <n v="139832"/>
    <x v="0"/>
    <n v="0.08"/>
    <n v="11186.56"/>
    <n v="0.85362441377380638"/>
    <n v="5137.46875"/>
    <n v="2.4927234109502834"/>
  </r>
  <r>
    <s v="UNION NATIONAL BANK AND TRUST COMPANY OF ELGIN"/>
    <s v="Elgin"/>
    <x v="1"/>
    <n v="60120"/>
    <d v="2019-09-30T00:00:00"/>
    <x v="0"/>
    <n v="26"/>
    <n v="314233"/>
    <n v="40774"/>
    <n v="314233"/>
    <n v="275641"/>
    <n v="274956"/>
    <x v="0"/>
    <n v="0.08"/>
    <n v="21996.48"/>
    <n v="0.87718667358297819"/>
    <n v="12085.884615384615"/>
    <n v="1.8536602219991563"/>
  </r>
  <r>
    <s v="UNION NATIONAL BANK AND TRUST COMPANY OF ELGIN"/>
    <s v="Elgin"/>
    <x v="1"/>
    <n v="60120"/>
    <d v="2020-09-30T00:00:00"/>
    <x v="1"/>
    <n v="25"/>
    <n v="444264"/>
    <n v="42077"/>
    <n v="444264"/>
    <n v="404832"/>
    <n v="364573"/>
    <x v="0"/>
    <n v="0.08"/>
    <n v="29165.84"/>
    <n v="0.91124196423748038"/>
    <n v="17770.560000000001"/>
    <n v="1.4426808896983594"/>
  </r>
  <r>
    <s v="UNION NATIONAL BANK AND TRUST COMPANY OF ELGIN"/>
    <s v="Elgin"/>
    <x v="1"/>
    <n v="60120"/>
    <d v="2021-09-30T00:00:00"/>
    <x v="2"/>
    <n v="25"/>
    <n v="433389"/>
    <n v="63363"/>
    <n v="433389"/>
    <n v="391676"/>
    <n v="336873"/>
    <x v="0"/>
    <n v="0.08"/>
    <n v="26949.84"/>
    <n v="0.9037515949874132"/>
    <n v="17335.560000000001"/>
    <n v="2.3511456839817972"/>
  </r>
  <r>
    <s v="UNION SAVINGS BANK"/>
    <s v="Freeport"/>
    <x v="1"/>
    <n v="61032"/>
    <d v="2019-09-30T00:00:00"/>
    <x v="0"/>
    <n v="53"/>
    <n v="151825"/>
    <n v="6080"/>
    <n v="151825"/>
    <n v="135758"/>
    <n v="134557"/>
    <x v="0"/>
    <n v="0.08"/>
    <n v="10764.56"/>
    <n v="0.89417421373291617"/>
    <n v="2864.6226415094338"/>
    <n v="0.56481639751183521"/>
  </r>
  <r>
    <s v="UNION SAVINGS BANK"/>
    <s v="Freeport"/>
    <x v="1"/>
    <n v="61032"/>
    <d v="2020-09-30T00:00:00"/>
    <x v="1"/>
    <n v="54"/>
    <n v="170728"/>
    <n v="12915"/>
    <n v="170728"/>
    <n v="153905"/>
    <n v="152499"/>
    <x v="0"/>
    <n v="0.08"/>
    <n v="12199.92"/>
    <n v="0.90146314605688582"/>
    <n v="3161.6296296296296"/>
    <n v="1.0586134991049121"/>
  </r>
  <r>
    <s v="UNION SAVINGS BANK"/>
    <s v="Freeport"/>
    <x v="1"/>
    <n v="61032"/>
    <d v="2021-09-30T00:00:00"/>
    <x v="2"/>
    <n v="50"/>
    <n v="186847"/>
    <n v="14697"/>
    <n v="186847"/>
    <n v="170533"/>
    <n v="169352"/>
    <x v="0"/>
    <n v="0.08"/>
    <n v="13548.16"/>
    <n v="0.91268792113333364"/>
    <n v="3736.94"/>
    <n v="1.0847967546884596"/>
  </r>
  <r>
    <s v="UNITED BUSINESS BANK"/>
    <s v="Walnut Creek"/>
    <x v="0"/>
    <n v="94596"/>
    <d v="2019-09-30T00:00:00"/>
    <x v="0"/>
    <n v="256"/>
    <n v="1769856"/>
    <n v="332216"/>
    <n v="1769856"/>
    <n v="1525269"/>
    <n v="1501903"/>
    <x v="1"/>
    <n v="0.08"/>
    <n v="120152.24"/>
    <n v="0.86180401117379046"/>
    <n v="6913.5"/>
    <n v="2.7649588555319484"/>
  </r>
  <r>
    <s v="UNITED BUSINESS BANK"/>
    <s v="Walnut Creek"/>
    <x v="0"/>
    <n v="94596"/>
    <d v="2020-09-30T00:00:00"/>
    <x v="1"/>
    <n v="312"/>
    <n v="2270142"/>
    <n v="328549"/>
    <n v="2270142"/>
    <n v="2000431"/>
    <n v="1964578"/>
    <x v="1"/>
    <n v="0.08"/>
    <n v="157166.24"/>
    <n v="0.88119201353924115"/>
    <n v="7276.0961538461543"/>
    <n v="2.0904553038871452"/>
  </r>
  <r>
    <s v="UNITED BUSINESS BANK"/>
    <s v="Walnut Creek"/>
    <x v="0"/>
    <n v="94596"/>
    <d v="2021-09-30T00:00:00"/>
    <x v="2"/>
    <n v="305"/>
    <n v="2347016"/>
    <n v="448133"/>
    <n v="2347016"/>
    <n v="2053898"/>
    <n v="2027200"/>
    <x v="1"/>
    <n v="0.08"/>
    <n v="162176"/>
    <n v="0.8751103528906492"/>
    <n v="7695.1344262295079"/>
    <n v="2.763251035911602"/>
  </r>
  <r>
    <s v="UNITED COMMUNITY BANK"/>
    <s v="Chatham"/>
    <x v="1"/>
    <n v="62629"/>
    <d v="2019-09-30T00:00:00"/>
    <x v="0"/>
    <n v="602"/>
    <n v="2601097"/>
    <n v="279859"/>
    <n v="2601097"/>
    <n v="2351051"/>
    <n v="2144619"/>
    <x v="1"/>
    <n v="7.4999999999999997E-2"/>
    <n v="160846.42499999999"/>
    <n v="0.90386902141673298"/>
    <n v="4320.759136212625"/>
    <n v="1.7399143313256731"/>
  </r>
  <r>
    <s v="UNITED COMMUNITY BANK"/>
    <s v="Chatham"/>
    <x v="1"/>
    <n v="62629"/>
    <d v="2020-09-30T00:00:00"/>
    <x v="1"/>
    <n v="590"/>
    <n v="2999572"/>
    <n v="294397"/>
    <n v="2999572"/>
    <n v="2700433"/>
    <n v="2491516"/>
    <x v="1"/>
    <n v="7.4999999999999997E-2"/>
    <n v="186863.69999999998"/>
    <n v="0.90027277224884084"/>
    <n v="5084.0203389830513"/>
    <n v="1.5754638273779231"/>
  </r>
  <r>
    <s v="UNITED COMMUNITY BANK"/>
    <s v="Chatham"/>
    <x v="1"/>
    <n v="62629"/>
    <d v="2021-09-30T00:00:00"/>
    <x v="2"/>
    <n v="564"/>
    <n v="3437415"/>
    <n v="614292"/>
    <n v="3437415"/>
    <n v="3116448"/>
    <n v="2903164"/>
    <x v="1"/>
    <n v="7.4999999999999997E-2"/>
    <n v="217737.3"/>
    <n v="0.90662547292078499"/>
    <n v="6094.7074468085102"/>
    <n v="2.8212529502294741"/>
  </r>
  <r>
    <s v="UNITED ORIENT BANK"/>
    <s v="New York"/>
    <x v="2"/>
    <n v="10038"/>
    <d v="2019-09-30T00:00:00"/>
    <x v="0"/>
    <n v="33"/>
    <n v="86286"/>
    <n v="13126"/>
    <n v="86286"/>
    <n v="72524"/>
    <n v="67057"/>
    <x v="2"/>
    <n v="0.09"/>
    <n v="6035.13"/>
    <n v="0.84050715063857406"/>
    <n v="2614.7272727272725"/>
    <n v="2.1749324372465879"/>
  </r>
  <r>
    <s v="UNITED ORIENT BANK"/>
    <s v="New York"/>
    <x v="2"/>
    <n v="10038"/>
    <d v="2020-09-30T00:00:00"/>
    <x v="1"/>
    <n v="33"/>
    <n v="83752"/>
    <n v="11671"/>
    <n v="83752"/>
    <n v="70198"/>
    <n v="67855"/>
    <x v="2"/>
    <n v="0.09"/>
    <n v="6106.95"/>
    <n v="0.8381650587448658"/>
    <n v="2537.939393939394"/>
    <n v="1.9111012862394485"/>
  </r>
  <r>
    <s v="UNITED ORIENT BANK"/>
    <s v="New York"/>
    <x v="2"/>
    <n v="10038"/>
    <d v="2021-09-30T00:00:00"/>
    <x v="2"/>
    <n v="34"/>
    <n v="93645"/>
    <n v="14559"/>
    <n v="93645"/>
    <n v="80618"/>
    <n v="79334"/>
    <x v="2"/>
    <n v="0.09"/>
    <n v="7140.0599999999995"/>
    <n v="0.86088952960649257"/>
    <n v="2754.2647058823532"/>
    <n v="2.0390584953067621"/>
  </r>
  <r>
    <s v="UNITED PACIFIC BANK"/>
    <s v="City Of Industry"/>
    <x v="0"/>
    <n v="91748"/>
    <d v="2019-09-30T00:00:00"/>
    <x v="0"/>
    <n v="29"/>
    <n v="143619"/>
    <n v="21606"/>
    <n v="143619"/>
    <n v="119070"/>
    <n v="104567"/>
    <x v="0"/>
    <n v="0.09"/>
    <n v="9411.0299999999988"/>
    <n v="0.8290685772773797"/>
    <n v="4952.3793103448279"/>
    <n v="2.2958167171924861"/>
  </r>
  <r>
    <s v="UNITED PACIFIC BANK"/>
    <s v="City Of Industry"/>
    <x v="0"/>
    <n v="91748"/>
    <d v="2020-09-30T00:00:00"/>
    <x v="1"/>
    <n v="28"/>
    <n v="173334"/>
    <n v="34790"/>
    <n v="173334"/>
    <n v="148002"/>
    <n v="130399"/>
    <x v="0"/>
    <n v="0.09"/>
    <n v="11735.91"/>
    <n v="0.85385440825227599"/>
    <n v="6190.5"/>
    <n v="2.9644058279247201"/>
  </r>
  <r>
    <s v="UNITED PACIFIC BANK"/>
    <s v="City Of Industry"/>
    <x v="0"/>
    <n v="91748"/>
    <d v="2021-09-30T00:00:00"/>
    <x v="2"/>
    <n v="28"/>
    <n v="175957"/>
    <n v="58013"/>
    <n v="175957"/>
    <n v="149207"/>
    <n v="138485"/>
    <x v="0"/>
    <n v="0.09"/>
    <n v="12463.65"/>
    <n v="0.84797422097444264"/>
    <n v="6284.1785714285716"/>
    <n v="4.6545755055701985"/>
  </r>
  <r>
    <s v="UNITED SECURITY BANK"/>
    <s v="Fresno"/>
    <x v="0"/>
    <n v="93711"/>
    <d v="2019-09-30T00:00:00"/>
    <x v="0"/>
    <n v="116"/>
    <n v="956213"/>
    <n v="245943"/>
    <n v="956213"/>
    <n v="832673"/>
    <n v="822904"/>
    <x v="0"/>
    <n v="0.09"/>
    <n v="74061.36"/>
    <n v="0.87080284413619147"/>
    <n v="8243.2155172413786"/>
    <n v="3.3208004821947639"/>
  </r>
  <r>
    <s v="UNITED SECURITY BANK"/>
    <s v="Fresno"/>
    <x v="0"/>
    <n v="93711"/>
    <d v="2020-09-30T00:00:00"/>
    <x v="1"/>
    <n v="121"/>
    <n v="1133063"/>
    <n v="323333"/>
    <n v="1133063"/>
    <n v="1006859"/>
    <n v="997702"/>
    <x v="1"/>
    <n v="0.08"/>
    <n v="79816.160000000003"/>
    <n v="0.88861696128105849"/>
    <n v="9364.1570247933887"/>
    <n v="4.0509716328122023"/>
  </r>
  <r>
    <s v="UNITED SECURITY BANK"/>
    <s v="Fresno"/>
    <x v="0"/>
    <n v="93711"/>
    <d v="2021-09-30T00:00:00"/>
    <x v="2"/>
    <n v="115"/>
    <n v="1291469"/>
    <n v="259428"/>
    <n v="1291469"/>
    <n v="1163422"/>
    <n v="1153652"/>
    <x v="1"/>
    <n v="0.08"/>
    <n v="92292.160000000003"/>
    <n v="0.9008516658162139"/>
    <n v="11230.165217391304"/>
    <n v="2.810942988006782"/>
  </r>
  <r>
    <s v="UNITED TRUST BANK"/>
    <s v="Palos Heights"/>
    <x v="1"/>
    <n v="60463"/>
    <d v="2019-09-30T00:00:00"/>
    <x v="0"/>
    <n v="13"/>
    <n v="26262"/>
    <n v="4815"/>
    <n v="26262"/>
    <n v="23276"/>
    <n v="20225"/>
    <x v="2"/>
    <n v="0.09"/>
    <n v="1820.25"/>
    <n v="0.88629959637499045"/>
    <n v="2020.1538461538462"/>
    <n v="2.6452410383189124"/>
  </r>
  <r>
    <s v="UNITED TRUST BANK"/>
    <s v="Palos Heights"/>
    <x v="1"/>
    <n v="60463"/>
    <d v="2020-09-30T00:00:00"/>
    <x v="1"/>
    <n v="13"/>
    <n v="34162"/>
    <n v="10248"/>
    <n v="34162"/>
    <n v="32288"/>
    <n v="30512"/>
    <x v="2"/>
    <n v="0.09"/>
    <n v="2746.08"/>
    <n v="0.94514372694807092"/>
    <n v="2627.8461538461538"/>
    <n v="3.7318650585561968"/>
  </r>
  <r>
    <s v="UNITED TRUST BANK"/>
    <s v="Palos Heights"/>
    <x v="1"/>
    <n v="60463"/>
    <d v="2021-09-30T00:00:00"/>
    <x v="2"/>
    <n v="131"/>
    <n v="79722"/>
    <n v="30136"/>
    <n v="79722"/>
    <n v="72616"/>
    <n v="67568"/>
    <x v="2"/>
    <n v="0.09"/>
    <n v="6081.12"/>
    <n v="0.91086525676726626"/>
    <n v="608.56488549618325"/>
    <n v="4.9556660615149841"/>
  </r>
  <r>
    <s v="UNIVERSAL BANK"/>
    <s v="West Covina"/>
    <x v="0"/>
    <n v="91792"/>
    <d v="2019-09-30T00:00:00"/>
    <x v="0"/>
    <n v="74"/>
    <n v="406499"/>
    <n v="48584"/>
    <n v="406499"/>
    <n v="348601"/>
    <n v="342826"/>
    <x v="0"/>
    <n v="0.09"/>
    <n v="30854.34"/>
    <n v="0.8575691453115506"/>
    <n v="5493.22972972973"/>
    <n v="1.5746245098744618"/>
  </r>
  <r>
    <s v="UNIVERSAL BANK"/>
    <s v="West Covina"/>
    <x v="0"/>
    <n v="91792"/>
    <d v="2020-09-30T00:00:00"/>
    <x v="1"/>
    <n v="67"/>
    <n v="423819"/>
    <n v="73347"/>
    <n v="423819"/>
    <n v="363056"/>
    <n v="307711"/>
    <x v="0"/>
    <n v="0.09"/>
    <n v="27693.989999999998"/>
    <n v="0.85662983490593858"/>
    <n v="6325.6567164179105"/>
    <n v="2.6484807714598007"/>
  </r>
  <r>
    <s v="UNIVERSAL BANK"/>
    <s v="West Covina"/>
    <x v="0"/>
    <n v="91792"/>
    <d v="2021-09-30T00:00:00"/>
    <x v="2"/>
    <n v="58"/>
    <n v="383865"/>
    <n v="64670"/>
    <n v="383865"/>
    <n v="321787"/>
    <n v="280256"/>
    <x v="0"/>
    <n v="0.09"/>
    <n v="25223.040000000001"/>
    <n v="0.8382816875724538"/>
    <n v="6618.3620689655172"/>
    <n v="2.563925680647535"/>
  </r>
  <r>
    <s v="US METRO BANK"/>
    <s v="Garden Grove"/>
    <x v="0"/>
    <n v="92844"/>
    <d v="2019-09-30T00:00:00"/>
    <x v="0"/>
    <n v="80"/>
    <n v="507248"/>
    <n v="115398"/>
    <n v="507248"/>
    <n v="450738"/>
    <n v="442098"/>
    <x v="0"/>
    <n v="0.09"/>
    <n v="39788.82"/>
    <n v="0.8885949279248021"/>
    <n v="6340.6"/>
    <n v="2.9002619328746113"/>
  </r>
  <r>
    <s v="US METRO BANK"/>
    <s v="Garden Grove"/>
    <x v="0"/>
    <n v="92844"/>
    <d v="2020-09-30T00:00:00"/>
    <x v="1"/>
    <n v="89"/>
    <n v="733656"/>
    <n v="140026"/>
    <n v="733656"/>
    <n v="662755"/>
    <n v="641813"/>
    <x v="0"/>
    <n v="0.09"/>
    <n v="57763.17"/>
    <n v="0.90335934007218643"/>
    <n v="8243.3258426966295"/>
    <n v="2.4241398108864178"/>
  </r>
  <r>
    <s v="US METRO BANK"/>
    <s v="Garden Grove"/>
    <x v="0"/>
    <n v="92844"/>
    <d v="2021-09-30T00:00:00"/>
    <x v="2"/>
    <n v="101"/>
    <n v="991473"/>
    <n v="206585"/>
    <n v="991473"/>
    <n v="893830"/>
    <n v="886629"/>
    <x v="0"/>
    <n v="0.09"/>
    <n v="79796.61"/>
    <n v="0.90151723748402635"/>
    <n v="9816.5643564356433"/>
    <n v="2.5888944405031742"/>
  </r>
  <r>
    <s v="USNY BANK"/>
    <s v="Geneva"/>
    <x v="2"/>
    <n v="14456"/>
    <d v="2019-09-30T00:00:00"/>
    <x v="0"/>
    <n v="49"/>
    <n v="435907"/>
    <n v="25651"/>
    <n v="435907"/>
    <n v="390637"/>
    <n v="387097"/>
    <x v="0"/>
    <n v="8.5000000000000006E-2"/>
    <n v="32903.245000000003"/>
    <n v="0.89614757276208001"/>
    <n v="8896.0612244897966"/>
    <n v="0.77958876092616392"/>
  </r>
  <r>
    <s v="VALLEY REPUBLIC BANK"/>
    <s v="Bakersfield"/>
    <x v="0"/>
    <n v="93309"/>
    <d v="2019-09-30T00:00:00"/>
    <x v="0"/>
    <n v="106"/>
    <n v="915006"/>
    <n v="147275"/>
    <n v="915006"/>
    <n v="821768"/>
    <n v="808567"/>
    <x v="0"/>
    <n v="0.09"/>
    <n v="72771.03"/>
    <n v="0.89810121463684389"/>
    <n v="8632.132075471698"/>
    <n v="2.0238135972515439"/>
  </r>
  <r>
    <s v="VALLEY REPUBLIC BANK"/>
    <s v="Bakersfield"/>
    <x v="0"/>
    <n v="93309"/>
    <d v="2020-09-30T00:00:00"/>
    <x v="1"/>
    <n v="110"/>
    <n v="1193970"/>
    <n v="87548"/>
    <n v="1193970"/>
    <n v="1067626"/>
    <n v="1045141"/>
    <x v="1"/>
    <n v="0.08"/>
    <n v="83611.28"/>
    <n v="0.89418159585249213"/>
    <n v="10854.272727272728"/>
    <n v="1.0470835992464176"/>
  </r>
  <r>
    <s v="VALLEY REPUBLIC BANK"/>
    <s v="Bakersfield"/>
    <x v="0"/>
    <n v="93309"/>
    <d v="2021-09-30T00:00:00"/>
    <x v="2"/>
    <n v="122"/>
    <n v="1410288"/>
    <n v="258658"/>
    <n v="1410288"/>
    <n v="1266787"/>
    <n v="1254908"/>
    <x v="1"/>
    <n v="0.08"/>
    <n v="100392.64"/>
    <n v="0.89824702472119167"/>
    <n v="11559.737704918032"/>
    <n v="2.5764637726430943"/>
  </r>
  <r>
    <s v="VERMILION VALLEY BANK"/>
    <s v="Piper City"/>
    <x v="1"/>
    <n v="60959"/>
    <d v="2019-09-30T00:00:00"/>
    <x v="0"/>
    <n v="21"/>
    <n v="130693"/>
    <n v="9219"/>
    <n v="130692"/>
    <n v="108459"/>
    <n v="108169"/>
    <x v="0"/>
    <n v="0.08"/>
    <n v="8653.52"/>
    <n v="0.82987612190400406"/>
    <n v="6223.4761904761908"/>
    <n v="1.0653468184045336"/>
  </r>
  <r>
    <s v="VERMILION VALLEY BANK"/>
    <s v="Piper City"/>
    <x v="1"/>
    <n v="60959"/>
    <d v="2020-09-30T00:00:00"/>
    <x v="1"/>
    <n v="19"/>
    <n v="147105"/>
    <n v="6730"/>
    <n v="147106"/>
    <n v="122840"/>
    <n v="118558"/>
    <x v="0"/>
    <n v="0.08"/>
    <n v="9484.64"/>
    <n v="0.8350497943645695"/>
    <n v="7742.3684210526317"/>
    <n v="0.70956831255587982"/>
  </r>
  <r>
    <s v="VERMILION VALLEY BANK"/>
    <s v="Piper City"/>
    <x v="1"/>
    <n v="60959"/>
    <d v="2021-09-30T00:00:00"/>
    <x v="2"/>
    <n v="19"/>
    <n v="163730"/>
    <n v="4692"/>
    <n v="163730"/>
    <n v="138222"/>
    <n v="133218"/>
    <x v="0"/>
    <n v="0.08"/>
    <n v="10657.44"/>
    <n v="0.84420692603676784"/>
    <n v="8617.3684210526317"/>
    <n v="0.44025582128541185"/>
  </r>
  <r>
    <s v="VERMONT STATE BANK"/>
    <s v="Vermont"/>
    <x v="1"/>
    <n v="61484"/>
    <d v="2019-09-30T00:00:00"/>
    <x v="0"/>
    <n v="10"/>
    <n v="29932"/>
    <n v="2147"/>
    <n v="29932"/>
    <n v="25849"/>
    <n v="25725"/>
    <x v="2"/>
    <n v="0.09"/>
    <n v="2315.25"/>
    <n v="0.86359080582654013"/>
    <n v="2993.2"/>
    <n v="0.92732966202353961"/>
  </r>
  <r>
    <s v="VERMONT STATE BANK"/>
    <s v="Vermont"/>
    <x v="1"/>
    <n v="61484"/>
    <d v="2020-09-30T00:00:00"/>
    <x v="1"/>
    <n v="7"/>
    <n v="29537"/>
    <n v="2889"/>
    <n v="29537"/>
    <n v="25624"/>
    <n v="25496"/>
    <x v="2"/>
    <n v="0.09"/>
    <n v="2294.64"/>
    <n v="0.86752209093679111"/>
    <n v="4219.5714285714284"/>
    <n v="1.2590210229055538"/>
  </r>
  <r>
    <s v="VERMONT STATE BANK"/>
    <s v="Vermont"/>
    <x v="1"/>
    <n v="61484"/>
    <d v="2021-09-30T00:00:00"/>
    <x v="2"/>
    <n v="9"/>
    <n v="28022"/>
    <n v="3151"/>
    <n v="28022"/>
    <n v="24546"/>
    <n v="24436"/>
    <x v="2"/>
    <n v="0.09"/>
    <n v="2199.2399999999998"/>
    <n v="0.87595460709442585"/>
    <n v="3113.5555555555557"/>
    <n v="1.4327676833815319"/>
  </r>
  <r>
    <s v="VICTORY STATE BANK"/>
    <s v="Staten Island"/>
    <x v="2"/>
    <n v="10308"/>
    <d v="2019-09-30T00:00:00"/>
    <x v="0"/>
    <n v="62"/>
    <n v="378014"/>
    <n v="40759"/>
    <n v="378014"/>
    <n v="340922"/>
    <n v="328554"/>
    <x v="0"/>
    <n v="8.5000000000000006E-2"/>
    <n v="27927.090000000004"/>
    <n v="0.90187665007116136"/>
    <n v="6097"/>
    <n v="1.45947895036683"/>
  </r>
  <r>
    <s v="VILLA GROVE STATE BANK"/>
    <s v="Villa Grove"/>
    <x v="1"/>
    <n v="61956"/>
    <d v="2019-09-30T00:00:00"/>
    <x v="0"/>
    <n v="18"/>
    <n v="72229"/>
    <n v="9276"/>
    <n v="72230"/>
    <n v="63594"/>
    <n v="63063"/>
    <x v="2"/>
    <n v="0.09"/>
    <n v="5675.67"/>
    <n v="0.88044968087610243"/>
    <n v="4012.7222222222222"/>
    <n v="1.6343444914873486"/>
  </r>
  <r>
    <s v="VILLA GROVE STATE BANK"/>
    <s v="Villa Grove"/>
    <x v="1"/>
    <n v="61956"/>
    <d v="2020-09-30T00:00:00"/>
    <x v="1"/>
    <n v="18"/>
    <n v="73805"/>
    <n v="14649"/>
    <n v="73805"/>
    <n v="64967"/>
    <n v="64401"/>
    <x v="2"/>
    <n v="0.09"/>
    <n v="5796.09"/>
    <n v="0.88025201544610798"/>
    <n v="4100.2777777777774"/>
    <n v="2.5273934669751505"/>
  </r>
  <r>
    <s v="VILLA GROVE STATE BANK"/>
    <s v="Villa Grove"/>
    <x v="1"/>
    <n v="61956"/>
    <d v="2021-09-30T00:00:00"/>
    <x v="2"/>
    <n v="18"/>
    <n v="79022"/>
    <n v="15166"/>
    <n v="79022"/>
    <n v="69963"/>
    <n v="69119"/>
    <x v="2"/>
    <n v="0.09"/>
    <n v="6220.71"/>
    <n v="0.88536103869808402"/>
    <n v="4390.1111111111113"/>
    <n v="2.4379853746598057"/>
  </r>
  <r>
    <s v="VILLAGE BANK AND TRUST"/>
    <s v="Arlington Height"/>
    <x v="1"/>
    <n v="60004"/>
    <d v="2019-09-30T00:00:00"/>
    <x v="0"/>
    <n v="106"/>
    <n v="1754822"/>
    <n v="153020"/>
    <n v="1754822"/>
    <n v="1565867"/>
    <n v="1516081"/>
    <x v="1"/>
    <n v="7.4999999999999997E-2"/>
    <n v="113706.075"/>
    <n v="0.89232241218767483"/>
    <n v="16554.924528301886"/>
    <n v="1.3457504359375698"/>
  </r>
  <r>
    <s v="VILLAGE BANK AND TRUST, NATIONAL ASSOCIATION"/>
    <s v="Arlington Height"/>
    <x v="1"/>
    <n v="60004"/>
    <d v="2020-09-30T00:00:00"/>
    <x v="1"/>
    <n v="104"/>
    <n v="2087003"/>
    <n v="88250"/>
    <n v="2087003"/>
    <n v="1882377"/>
    <n v="1776416"/>
    <x v="1"/>
    <n v="7.4999999999999997E-2"/>
    <n v="133231.19999999998"/>
    <n v="0.90195222527231633"/>
    <n v="20067.336538461539"/>
    <n v="0.66238238490683876"/>
  </r>
  <r>
    <s v="VILLAGE BANK AND TRUST, NATIONAL ASSOCIATION"/>
    <s v="Arlington Height"/>
    <x v="1"/>
    <n v="60004"/>
    <d v="2021-09-30T00:00:00"/>
    <x v="2"/>
    <n v="89"/>
    <n v="2279843"/>
    <n v="279061"/>
    <n v="2279843"/>
    <n v="2046818"/>
    <n v="1949434"/>
    <x v="1"/>
    <n v="7.4999999999999997E-2"/>
    <n v="146207.54999999999"/>
    <n v="0.8977890144189753"/>
    <n v="25616.213483146068"/>
    <n v="1.9086634034972887"/>
  </r>
  <r>
    <s v="WABASH SAVINGS BANK"/>
    <s v="Mount Carmel"/>
    <x v="1"/>
    <n v="62863"/>
    <d v="2019-09-30T00:00:00"/>
    <x v="0"/>
    <n v="3"/>
    <n v="9072"/>
    <n v="3964"/>
    <n v="9072"/>
    <n v="7910"/>
    <n v="7870"/>
    <x v="2"/>
    <n v="0.09"/>
    <n v="708.3"/>
    <n v="0.87191358024691357"/>
    <n v="3024"/>
    <n v="5.5964986587604129"/>
  </r>
  <r>
    <s v="WABASH SAVINGS BANK"/>
    <s v="Mount Carmel"/>
    <x v="1"/>
    <n v="62863"/>
    <d v="2020-09-30T00:00:00"/>
    <x v="1"/>
    <n v="3"/>
    <n v="9267"/>
    <n v="4463"/>
    <n v="9267"/>
    <n v="8200"/>
    <n v="8147"/>
    <x v="2"/>
    <n v="0.09"/>
    <n v="733.23"/>
    <n v="0.88486025682529401"/>
    <n v="3089"/>
    <n v="6.0867667716814644"/>
  </r>
  <r>
    <s v="WABASH SAVINGS BANK"/>
    <s v="Mount Carmel"/>
    <x v="1"/>
    <n v="62863"/>
    <d v="2021-09-30T00:00:00"/>
    <x v="2"/>
    <n v="2"/>
    <n v="10168"/>
    <n v="5266"/>
    <n v="10168"/>
    <n v="9210"/>
    <n v="9158"/>
    <x v="2"/>
    <n v="0.09"/>
    <n v="824.21999999999991"/>
    <n v="0.90578284815106214"/>
    <n v="5084"/>
    <n v="6.3890708791342128"/>
  </r>
  <r>
    <s v="WAKEFIELD CO-OPERATIVE BANK"/>
    <s v="Wakefield"/>
    <x v="3"/>
    <n v="1880"/>
    <d v="2019-09-30T00:00:00"/>
    <x v="0"/>
    <n v="39"/>
    <n v="249145"/>
    <n v="4196"/>
    <n v="249145"/>
    <n v="230086"/>
    <n v="213829"/>
    <x v="0"/>
    <n v="8.5000000000000006E-2"/>
    <n v="18175.465"/>
    <n v="0.92350237813321556"/>
    <n v="6388.333333333333"/>
    <n v="0.23086066848908679"/>
  </r>
  <r>
    <s v="WAKEFIELD CO-OPERATIVE BANK"/>
    <s v="Wakefield"/>
    <x v="3"/>
    <n v="1880"/>
    <d v="2020-09-30T00:00:00"/>
    <x v="1"/>
    <n v="39"/>
    <n v="276088"/>
    <n v="20748"/>
    <n v="276088"/>
    <n v="255017"/>
    <n v="244284"/>
    <x v="0"/>
    <n v="8.5000000000000006E-2"/>
    <n v="20764.140000000003"/>
    <n v="0.92368013097273338"/>
    <n v="7079.1794871794873"/>
    <n v="0.99922269836362099"/>
  </r>
  <r>
    <s v="WAKEFIELD CO-OPERATIVE BANK"/>
    <s v="Wakefield"/>
    <x v="3"/>
    <n v="1880"/>
    <d v="2021-09-30T00:00:00"/>
    <x v="2"/>
    <n v="42"/>
    <n v="263738"/>
    <n v="18742"/>
    <n v="263738"/>
    <n v="241440"/>
    <n v="240850"/>
    <x v="0"/>
    <n v="8.5000000000000006E-2"/>
    <n v="20472.25"/>
    <n v="0.9154539732613427"/>
    <n v="6279.4761904761908"/>
    <n v="0.91548315402557123"/>
  </r>
  <r>
    <s v="WALDEN SAVINGS BANK"/>
    <s v="Montgomery"/>
    <x v="2"/>
    <n v="12549"/>
    <d v="2019-09-30T00:00:00"/>
    <x v="0"/>
    <n v="145"/>
    <n v="603357"/>
    <n v="39339"/>
    <n v="603357"/>
    <n v="543864"/>
    <n v="537564"/>
    <x v="0"/>
    <n v="8.5000000000000006E-2"/>
    <n v="45692.94"/>
    <n v="0.90139668554437924"/>
    <n v="4161.0827586206897"/>
    <n v="0.86094263139994931"/>
  </r>
  <r>
    <s v="WALDEN SAVINGS BANK"/>
    <s v="Montgomery"/>
    <x v="2"/>
    <n v="12549"/>
    <d v="2020-09-30T00:00:00"/>
    <x v="1"/>
    <n v="137"/>
    <n v="715447"/>
    <n v="85506"/>
    <n v="715447"/>
    <n v="650710"/>
    <n v="643599"/>
    <x v="0"/>
    <n v="8.5000000000000006E-2"/>
    <n v="54705.915000000001"/>
    <n v="0.90951531000898744"/>
    <n v="5222.2408759124091"/>
    <n v="1.5630119704605983"/>
  </r>
  <r>
    <s v="WALDEN SAVINGS BANK"/>
    <s v="Montgomery"/>
    <x v="2"/>
    <n v="12549"/>
    <d v="2021-09-30T00:00:00"/>
    <x v="2"/>
    <n v="147"/>
    <n v="812912"/>
    <n v="56801"/>
    <n v="812912"/>
    <n v="744862"/>
    <n v="737939"/>
    <x v="0"/>
    <n v="8.5000000000000006E-2"/>
    <n v="62724.815000000002"/>
    <n v="0.91628860196429629"/>
    <n v="5530.0136054421773"/>
    <n v="0.90555866924438111"/>
  </r>
  <r>
    <s v="WALLKILL VALLEY FEDERAL SAVINGS AND LOAN ASSOCIATION"/>
    <s v="Wallkill"/>
    <x v="2"/>
    <n v="12589"/>
    <d v="2019-09-30T00:00:00"/>
    <x v="0"/>
    <n v="74"/>
    <n v="329550"/>
    <n v="6680"/>
    <n v="329550"/>
    <n v="291653"/>
    <n v="267539"/>
    <x v="0"/>
    <n v="8.5000000000000006E-2"/>
    <n v="22740.815000000002"/>
    <n v="0.88500379305113031"/>
    <n v="4453.3783783783783"/>
    <n v="0.29374496912269854"/>
  </r>
  <r>
    <s v="WALLKILL VALLEY FEDERAL SAVINGS AND LOAN ASSOCIATION"/>
    <s v="Wallkill"/>
    <x v="2"/>
    <n v="12589"/>
    <d v="2020-09-30T00:00:00"/>
    <x v="1"/>
    <n v="72"/>
    <n v="351483"/>
    <n v="6473"/>
    <n v="351483"/>
    <n v="311855"/>
    <n v="290762"/>
    <x v="0"/>
    <n v="8.5000000000000006E-2"/>
    <n v="24714.77"/>
    <n v="0.88725486012125765"/>
    <n v="4881.708333333333"/>
    <n v="0.26190816260883676"/>
  </r>
  <r>
    <s v="WALLKILL VALLEY FEDERAL SAVINGS AND LOAN ASSOCIATION"/>
    <s v="Wallkill"/>
    <x v="2"/>
    <n v="12589"/>
    <d v="2021-09-30T00:00:00"/>
    <x v="2"/>
    <n v="72"/>
    <n v="384335"/>
    <n v="7259"/>
    <n v="384335"/>
    <n v="342604"/>
    <n v="327514"/>
    <x v="0"/>
    <n v="8.5000000000000006E-2"/>
    <n v="27838.690000000002"/>
    <n v="0.89142024535886666"/>
    <n v="5337.9861111111113"/>
    <n v="0.26075221211917654"/>
  </r>
  <r>
    <s v="WALPOLE CO-OPERATIVE BANK"/>
    <s v="Walpole"/>
    <x v="3"/>
    <n v="2081"/>
    <d v="2019-09-30T00:00:00"/>
    <x v="0"/>
    <n v="46"/>
    <n v="510281"/>
    <n v="5349"/>
    <n v="510281"/>
    <n v="415384"/>
    <n v="366630"/>
    <x v="0"/>
    <n v="8.5000000000000006E-2"/>
    <n v="31163.550000000003"/>
    <n v="0.81402991684973569"/>
    <n v="11093.065217391304"/>
    <n v="0.17164283273247108"/>
  </r>
  <r>
    <s v="WALPOLE CO-OPERATIVE BANK"/>
    <s v="Walpole"/>
    <x v="3"/>
    <n v="2081"/>
    <d v="2020-09-30T00:00:00"/>
    <x v="1"/>
    <n v="41"/>
    <n v="562093"/>
    <n v="9369"/>
    <n v="562093"/>
    <n v="463242"/>
    <n v="420418"/>
    <x v="0"/>
    <n v="8.5000000000000006E-2"/>
    <n v="35735.530000000006"/>
    <n v="0.82413764270325374"/>
    <n v="13709.585365853658"/>
    <n v="0.26217604720008347"/>
  </r>
  <r>
    <s v="WALPOLE CO-OPERATIVE BANK"/>
    <s v="Walpole"/>
    <x v="3"/>
    <n v="2081"/>
    <d v="2021-09-30T00:00:00"/>
    <x v="2"/>
    <n v="36"/>
    <n v="571231"/>
    <n v="47576"/>
    <n v="571231"/>
    <n v="467607"/>
    <n v="455657"/>
    <x v="0"/>
    <n v="8.5000000000000006E-2"/>
    <n v="38730.845000000001"/>
    <n v="0.81859527931782416"/>
    <n v="15867.527777777777"/>
    <n v="1.2283749554134438"/>
  </r>
  <r>
    <s v="WARREN-BOYNTON STATE BANK"/>
    <s v="New Berlin"/>
    <x v="1"/>
    <n v="62670"/>
    <d v="2019-09-30T00:00:00"/>
    <x v="0"/>
    <n v="34"/>
    <n v="174206"/>
    <n v="8022"/>
    <n v="174205"/>
    <n v="149512"/>
    <n v="141894"/>
    <x v="0"/>
    <n v="0.08"/>
    <n v="11351.52"/>
    <n v="0.85824828077104121"/>
    <n v="5123.7058823529414"/>
    <n v="0.70668950061313374"/>
  </r>
  <r>
    <s v="WARREN-BOYNTON STATE BANK"/>
    <s v="New Berlin"/>
    <x v="1"/>
    <n v="62670"/>
    <d v="2020-09-30T00:00:00"/>
    <x v="1"/>
    <n v="34"/>
    <n v="183086"/>
    <n v="7661"/>
    <n v="183085"/>
    <n v="156486"/>
    <n v="146492"/>
    <x v="0"/>
    <n v="0.08"/>
    <n v="11719.36"/>
    <n v="0.85471308565373649"/>
    <n v="5384.8823529411766"/>
    <n v="0.65370463916118282"/>
  </r>
  <r>
    <s v="WARREN-BOYNTON STATE BANK"/>
    <s v="New Berlin"/>
    <x v="1"/>
    <n v="62670"/>
    <d v="2021-09-30T00:00:00"/>
    <x v="2"/>
    <n v="33"/>
    <n v="197992"/>
    <n v="12797"/>
    <n v="197992"/>
    <n v="170009"/>
    <n v="161477"/>
    <x v="0"/>
    <n v="0.08"/>
    <n v="12918.16"/>
    <n v="0.85866600670734172"/>
    <n v="5999.757575757576"/>
    <n v="0.99062095530632843"/>
  </r>
  <r>
    <s v="WASHINGTON SAVINGS BANK"/>
    <s v="Effingham"/>
    <x v="1"/>
    <n v="62401"/>
    <d v="2019-09-30T00:00:00"/>
    <x v="0"/>
    <n v="61"/>
    <n v="398968"/>
    <n v="41457"/>
    <n v="398968"/>
    <n v="333435"/>
    <n v="322945"/>
    <x v="0"/>
    <n v="0.08"/>
    <n v="25835.600000000002"/>
    <n v="0.83574371879448983"/>
    <n v="6540.4590163934427"/>
    <n v="1.6046463020018886"/>
  </r>
  <r>
    <s v="WASHINGTON SAVINGS BANK"/>
    <s v="Lowell"/>
    <x v="3"/>
    <n v="1852"/>
    <d v="2019-09-30T00:00:00"/>
    <x v="0"/>
    <n v="42"/>
    <n v="252085"/>
    <n v="9923"/>
    <n v="252085"/>
    <n v="229765"/>
    <n v="197211"/>
    <x v="0"/>
    <n v="8.5000000000000006E-2"/>
    <n v="16762.935000000001"/>
    <n v="0.9114584366384354"/>
    <n v="6002.0238095238092"/>
    <n v="0.59196077536541181"/>
  </r>
  <r>
    <s v="WASHINGTON SAVINGS BANK"/>
    <s v="Effingham"/>
    <x v="1"/>
    <n v="62401"/>
    <d v="2020-09-30T00:00:00"/>
    <x v="1"/>
    <n v="62"/>
    <n v="433084"/>
    <n v="20487"/>
    <n v="433084"/>
    <n v="362696"/>
    <n v="349562"/>
    <x v="0"/>
    <n v="0.08"/>
    <n v="27964.959999999999"/>
    <n v="0.83747263810253902"/>
    <n v="6985.2258064516127"/>
    <n v="0.73259536219611976"/>
  </r>
  <r>
    <s v="WASHINGTON SAVINGS BANK"/>
    <s v="Lowell"/>
    <x v="3"/>
    <n v="1852"/>
    <d v="2020-09-30T00:00:00"/>
    <x v="1"/>
    <n v="45"/>
    <n v="256281"/>
    <n v="16816"/>
    <n v="256281"/>
    <n v="233231"/>
    <n v="219334"/>
    <x v="0"/>
    <n v="8.5000000000000006E-2"/>
    <n v="18643.390000000003"/>
    <n v="0.91005966107514802"/>
    <n v="5695.1333333333332"/>
    <n v="0.90198188205042096"/>
  </r>
  <r>
    <s v="WASHINGTON SAVINGS BANK"/>
    <s v="Effingham"/>
    <x v="1"/>
    <n v="62401"/>
    <d v="2021-09-30T00:00:00"/>
    <x v="2"/>
    <n v="75"/>
    <n v="571922"/>
    <n v="38702"/>
    <n v="571922"/>
    <n v="499747"/>
    <n v="481822"/>
    <x v="0"/>
    <n v="0.08"/>
    <n v="38545.760000000002"/>
    <n v="0.87380272135011416"/>
    <n v="7625.626666666667"/>
    <n v="1.0040533641054166"/>
  </r>
  <r>
    <s v="WASHINGTON SAVINGS BANK"/>
    <s v="Lowell"/>
    <x v="3"/>
    <n v="1852"/>
    <d v="2021-09-30T00:00:00"/>
    <x v="2"/>
    <n v="38"/>
    <n v="269430"/>
    <n v="16361"/>
    <n v="269430"/>
    <n v="244490"/>
    <n v="232866"/>
    <x v="0"/>
    <n v="8.5000000000000006E-2"/>
    <n v="19793.61"/>
    <n v="0.90743421296811788"/>
    <n v="7090.2631578947367"/>
    <n v="0.82657989118710529"/>
  </r>
  <r>
    <s v="WASHINGTON STATE BANK"/>
    <s v="Washington"/>
    <x v="1"/>
    <n v="61571"/>
    <d v="2019-09-30T00:00:00"/>
    <x v="0"/>
    <n v="12"/>
    <n v="62278"/>
    <n v="4788"/>
    <n v="62278"/>
    <n v="55584"/>
    <n v="55393"/>
    <x v="2"/>
    <n v="0.09"/>
    <n v="4985.37"/>
    <n v="0.89251421047560942"/>
    <n v="5189.833333333333"/>
    <n v="0.96041016012853608"/>
  </r>
  <r>
    <s v="WASHINGTON STATE BANK"/>
    <s v="Washington"/>
    <x v="1"/>
    <n v="61571"/>
    <d v="2020-09-30T00:00:00"/>
    <x v="1"/>
    <n v="11"/>
    <n v="64808"/>
    <n v="4272"/>
    <n v="64808"/>
    <n v="57575"/>
    <n v="57306"/>
    <x v="2"/>
    <n v="0.09"/>
    <n v="5157.54"/>
    <n v="0.88839340822120727"/>
    <n v="5891.636363636364"/>
    <n v="0.8283018648425412"/>
  </r>
  <r>
    <s v="WASHINGTON STATE BANK"/>
    <s v="Washington"/>
    <x v="1"/>
    <n v="61571"/>
    <d v="2021-09-30T00:00:00"/>
    <x v="2"/>
    <n v="10"/>
    <n v="76352"/>
    <n v="4169"/>
    <n v="76352"/>
    <n v="69162"/>
    <n v="68948"/>
    <x v="2"/>
    <n v="0.09"/>
    <n v="6205.32"/>
    <n v="0.9058308885163453"/>
    <n v="7635.2"/>
    <n v="0.67184287031128131"/>
  </r>
  <r>
    <s v="WATERMAN BANK"/>
    <s v="Waterman"/>
    <x v="1"/>
    <n v="60556"/>
    <d v="2021-09-30T00:00:00"/>
    <x v="2"/>
    <n v="41"/>
    <n v="81301"/>
    <n v="1443"/>
    <n v="81301"/>
    <n v="65679"/>
    <n v="58127"/>
    <x v="2"/>
    <n v="0.09"/>
    <n v="5231.4299999999994"/>
    <n v="0.80784984194536358"/>
    <n v="1982.9512195121952"/>
    <n v="0.2758328028856355"/>
  </r>
  <r>
    <s v="WATERMAN STATE BANK"/>
    <s v="Waterman"/>
    <x v="1"/>
    <n v="60556"/>
    <d v="2019-09-30T00:00:00"/>
    <x v="0"/>
    <n v="4"/>
    <n v="33551"/>
    <n v="1037"/>
    <n v="33551"/>
    <n v="29872"/>
    <n v="26333"/>
    <x v="2"/>
    <n v="0.09"/>
    <n v="2369.9699999999998"/>
    <n v="0.89034604035647225"/>
    <n v="8387.75"/>
    <n v="0.43755828132845564"/>
  </r>
  <r>
    <s v="WATERMAN STATE BANK"/>
    <s v="Waterman"/>
    <x v="1"/>
    <n v="60556"/>
    <d v="2020-09-30T00:00:00"/>
    <x v="1"/>
    <n v="26"/>
    <n v="62332"/>
    <n v="352"/>
    <n v="62332"/>
    <n v="56021"/>
    <n v="37820"/>
    <x v="2"/>
    <n v="0.09"/>
    <n v="3403.7999999999997"/>
    <n v="0.89875184495925042"/>
    <n v="2397.3846153846152"/>
    <n v="0.10341383159997651"/>
  </r>
  <r>
    <s v="WATERTOWN SAVINGS BANK"/>
    <s v="Watertown"/>
    <x v="2"/>
    <n v="13601"/>
    <d v="2019-09-30T00:00:00"/>
    <x v="0"/>
    <n v="119"/>
    <n v="690979"/>
    <n v="76632"/>
    <n v="690979"/>
    <n v="580978"/>
    <n v="575654"/>
    <x v="0"/>
    <n v="8.5000000000000006E-2"/>
    <n v="48930.590000000004"/>
    <n v="0.84080413442376689"/>
    <n v="5806.546218487395"/>
    <n v="1.5661368481352871"/>
  </r>
  <r>
    <s v="WATERTOWN SAVINGS BANK"/>
    <s v="Watertown"/>
    <x v="3"/>
    <n v="2472"/>
    <d v="2019-09-30T00:00:00"/>
    <x v="0"/>
    <n v="123"/>
    <n v="1258344"/>
    <n v="50995"/>
    <n v="1258344"/>
    <n v="1131383"/>
    <n v="1114555"/>
    <x v="1"/>
    <n v="0.08"/>
    <n v="89164.400000000009"/>
    <n v="0.89910469633105095"/>
    <n v="10230.439024390244"/>
    <n v="0.57192108061064728"/>
  </r>
  <r>
    <s v="WATERTOWN SAVINGS BANK"/>
    <s v="Watertown"/>
    <x v="2"/>
    <n v="13601"/>
    <d v="2020-09-30T00:00:00"/>
    <x v="1"/>
    <n v="121"/>
    <n v="840628"/>
    <n v="127560"/>
    <n v="840628"/>
    <n v="723128"/>
    <n v="714483"/>
    <x v="0"/>
    <n v="8.5000000000000006E-2"/>
    <n v="60731.055000000008"/>
    <n v="0.86022354715760119"/>
    <n v="6947.3388429752067"/>
    <n v="2.100408102576186"/>
  </r>
  <r>
    <s v="WATERTOWN SAVINGS BANK"/>
    <s v="Watertown"/>
    <x v="3"/>
    <n v="2472"/>
    <d v="2020-09-30T00:00:00"/>
    <x v="1"/>
    <n v="112"/>
    <n v="1364038"/>
    <n v="153009"/>
    <n v="1364038"/>
    <n v="1232464"/>
    <n v="1212128"/>
    <x v="1"/>
    <n v="0.08"/>
    <n v="96970.240000000005"/>
    <n v="0.90354081044662982"/>
    <n v="12178.910714285714"/>
    <n v="1.5778964762797327"/>
  </r>
  <r>
    <s v="WATERTOWN SAVINGS BANK"/>
    <s v="Watertown"/>
    <x v="2"/>
    <n v="13601"/>
    <d v="2021-09-30T00:00:00"/>
    <x v="2"/>
    <n v="126"/>
    <n v="978144"/>
    <n v="194221"/>
    <n v="978144"/>
    <n v="851939"/>
    <n v="846267"/>
    <x v="0"/>
    <n v="8.5000000000000006E-2"/>
    <n v="71932.695000000007"/>
    <n v="0.870975030261393"/>
    <n v="7763.0476190476193"/>
    <n v="2.7000378617817669"/>
  </r>
  <r>
    <s v="WATERTOWN SAVINGS BANK"/>
    <s v="Watertown"/>
    <x v="3"/>
    <n v="2472"/>
    <d v="2021-09-30T00:00:00"/>
    <x v="2"/>
    <n v="110"/>
    <n v="1464599"/>
    <n v="148461"/>
    <n v="1464599"/>
    <n v="1331443"/>
    <n v="1307103"/>
    <x v="1"/>
    <n v="0.08"/>
    <n v="104568.24"/>
    <n v="0.90908364678659481"/>
    <n v="13314.536363636364"/>
    <n v="1.4197523072014981"/>
  </r>
  <r>
    <s v="WEBSTER FIVE CENTS SAVINGS BANK"/>
    <s v="Webster"/>
    <x v="3"/>
    <n v="1570"/>
    <d v="2019-09-30T00:00:00"/>
    <x v="0"/>
    <n v="153"/>
    <n v="882406"/>
    <n v="18563"/>
    <n v="882406"/>
    <n v="771573"/>
    <n v="689957"/>
    <x v="0"/>
    <n v="8.5000000000000006E-2"/>
    <n v="58646.345000000001"/>
    <n v="0.87439681960458115"/>
    <n v="5767.3594771241833"/>
    <n v="0.3165244142665668"/>
  </r>
  <r>
    <s v="WEBSTER FIVE CENTS SAVINGS BANK"/>
    <s v="Webster"/>
    <x v="3"/>
    <n v="1570"/>
    <d v="2020-09-30T00:00:00"/>
    <x v="1"/>
    <n v="145"/>
    <n v="982412"/>
    <n v="17693"/>
    <n v="982412"/>
    <n v="861644"/>
    <n v="775982"/>
    <x v="0"/>
    <n v="8.5000000000000006E-2"/>
    <n v="65958.47"/>
    <n v="0.87706990549789698"/>
    <n v="6775.2551724137929"/>
    <n v="0.26824454842569878"/>
  </r>
  <r>
    <s v="WEBSTER FIVE CENTS SAVINGS BANK"/>
    <s v="Webster"/>
    <x v="3"/>
    <n v="1570"/>
    <d v="2021-09-30T00:00:00"/>
    <x v="2"/>
    <n v="145"/>
    <n v="1035309"/>
    <n v="80001"/>
    <n v="1035309"/>
    <n v="909071"/>
    <n v="897906"/>
    <x v="1"/>
    <n v="0.08"/>
    <n v="71832.479999999996"/>
    <n v="0.87806732096407936"/>
    <n v="7140.062068965517"/>
    <n v="1.1137162464667794"/>
  </r>
  <r>
    <s v="WELLESLEY BANK"/>
    <s v="Wellesley"/>
    <x v="3"/>
    <n v="2482"/>
    <d v="2019-09-30T00:00:00"/>
    <x v="0"/>
    <n v="77"/>
    <n v="979235"/>
    <n v="81453"/>
    <n v="979235"/>
    <n v="900363"/>
    <n v="759212"/>
    <x v="0"/>
    <n v="8.5000000000000006E-2"/>
    <n v="64533.020000000004"/>
    <n v="0.91945549331876408"/>
    <n v="12717.337662337663"/>
    <n v="1.2621910457623089"/>
  </r>
  <r>
    <s v="WELLS FARGO BANK, LTD."/>
    <s v="Los Angeles"/>
    <x v="0"/>
    <n v="90017"/>
    <d v="2019-09-30T00:00:00"/>
    <x v="0"/>
    <n v="471"/>
    <n v="908919"/>
    <n v="182707"/>
    <n v="908919"/>
    <n v="199355"/>
    <n v="27439"/>
    <x v="0"/>
    <n v="0.09"/>
    <n v="2469.5099999999998"/>
    <n v="0.21933197567660045"/>
    <n v="1929.7643312101911"/>
    <n v="73.985122554676849"/>
  </r>
  <r>
    <s v="WENONA STATE BANK"/>
    <s v="Wenona"/>
    <x v="1"/>
    <n v="61377"/>
    <d v="2019-09-30T00:00:00"/>
    <x v="0"/>
    <n v="6"/>
    <n v="34338"/>
    <n v="3760"/>
    <n v="34338"/>
    <n v="29487"/>
    <n v="28890"/>
    <x v="2"/>
    <n v="0.09"/>
    <n v="2600.1"/>
    <n v="0.85872793989166518"/>
    <n v="5723"/>
    <n v="1.4460982269912697"/>
  </r>
  <r>
    <s v="WENONA STATE BANK"/>
    <s v="Wenona"/>
    <x v="1"/>
    <n v="61377"/>
    <d v="2020-09-30T00:00:00"/>
    <x v="1"/>
    <n v="6"/>
    <n v="39783"/>
    <n v="3752"/>
    <n v="39783"/>
    <n v="34464"/>
    <n v="30366"/>
    <x v="2"/>
    <n v="0.09"/>
    <n v="2732.94"/>
    <n v="0.86629967574089439"/>
    <n v="6630.5"/>
    <n v="1.3728804876799343"/>
  </r>
  <r>
    <s v="WEST CENTRAL BANK"/>
    <s v="Ashland"/>
    <x v="1"/>
    <n v="62612"/>
    <d v="2019-09-30T00:00:00"/>
    <x v="0"/>
    <n v="53"/>
    <n v="182037"/>
    <n v="5980"/>
    <n v="182037"/>
    <n v="161901"/>
    <n v="155022"/>
    <x v="0"/>
    <n v="0.08"/>
    <n v="12401.76"/>
    <n v="0.88938512500206002"/>
    <n v="3434.6603773584907"/>
    <n v="0.48218962469842991"/>
  </r>
  <r>
    <s v="WEST CENTRAL BANK"/>
    <s v="Ashland"/>
    <x v="1"/>
    <n v="62612"/>
    <d v="2020-09-30T00:00:00"/>
    <x v="1"/>
    <n v="46"/>
    <n v="198500"/>
    <n v="10923"/>
    <n v="198500"/>
    <n v="176762"/>
    <n v="168258"/>
    <x v="0"/>
    <n v="0.08"/>
    <n v="13460.64"/>
    <n v="0.89048866498740553"/>
    <n v="4315.217391304348"/>
    <n v="0.81147701743750678"/>
  </r>
  <r>
    <s v="WEST CENTRAL BANK"/>
    <s v="Ashland"/>
    <x v="1"/>
    <n v="62612"/>
    <d v="2021-09-30T00:00:00"/>
    <x v="2"/>
    <n v="44"/>
    <n v="221685"/>
    <n v="9588"/>
    <n v="221685"/>
    <n v="198510"/>
    <n v="189250"/>
    <x v="0"/>
    <n v="0.08"/>
    <n v="15140"/>
    <n v="0.89545977400365384"/>
    <n v="5038.295454545455"/>
    <n v="0.63328929986789961"/>
  </r>
  <r>
    <s v="WEST SUBURBAN BANK"/>
    <s v="Lombard"/>
    <x v="1"/>
    <n v="60148"/>
    <d v="2019-09-30T00:00:00"/>
    <x v="0"/>
    <n v="472"/>
    <n v="2263428"/>
    <n v="69962"/>
    <n v="2263428"/>
    <n v="2044640"/>
    <n v="2031133"/>
    <x v="1"/>
    <n v="7.4999999999999997E-2"/>
    <n v="152334.97500000001"/>
    <n v="0.90333776908300156"/>
    <n v="4795.3983050847455"/>
    <n v="0.45926419720750272"/>
  </r>
  <r>
    <s v="WEST SUBURBAN BANK"/>
    <s v="Lombard"/>
    <x v="1"/>
    <n v="60148"/>
    <d v="2020-09-30T00:00:00"/>
    <x v="1"/>
    <n v="445"/>
    <n v="2646028"/>
    <n v="94229"/>
    <n v="2646028"/>
    <n v="2415723"/>
    <n v="2398563"/>
    <x v="1"/>
    <n v="7.4999999999999997E-2"/>
    <n v="179892.22500000001"/>
    <n v="0.91296199435531289"/>
    <n v="5946.1303370786518"/>
    <n v="0.52380807452906875"/>
  </r>
  <r>
    <s v="WEST SUBURBAN BANK"/>
    <s v="Lombard"/>
    <x v="1"/>
    <n v="60148"/>
    <d v="2021-09-30T00:00:00"/>
    <x v="2"/>
    <n v="365"/>
    <n v="2901235"/>
    <n v="132807"/>
    <n v="2901235"/>
    <n v="2657580"/>
    <n v="2636081"/>
    <x v="1"/>
    <n v="7.4999999999999997E-2"/>
    <n v="197706.07499999998"/>
    <n v="0.91601679974217876"/>
    <n v="7948.58904109589"/>
    <n v="0.67173960132484556"/>
  </r>
  <r>
    <s v="WEST TOWN BANK &amp; TRUST"/>
    <s v="North Riverside"/>
    <x v="1"/>
    <n v="60546"/>
    <d v="2019-09-30T00:00:00"/>
    <x v="0"/>
    <n v="72"/>
    <n v="275241"/>
    <n v="22094"/>
    <n v="275241"/>
    <n v="239554"/>
    <n v="234610"/>
    <x v="0"/>
    <n v="0.08"/>
    <n v="18768.8"/>
    <n v="0.87034271783636885"/>
    <n v="3822.7916666666665"/>
    <n v="1.177166361195175"/>
  </r>
  <r>
    <s v="WEST TOWN BANK &amp; TRUST"/>
    <s v="North Riverside"/>
    <x v="1"/>
    <n v="60546"/>
    <d v="2020-09-30T00:00:00"/>
    <x v="1"/>
    <n v="64"/>
    <n v="333823"/>
    <n v="21224"/>
    <n v="333823"/>
    <n v="298251"/>
    <n v="290034"/>
    <x v="0"/>
    <n v="0.08"/>
    <n v="23202.720000000001"/>
    <n v="0.89344053585283223"/>
    <n v="5215.984375"/>
    <n v="0.91472034313218442"/>
  </r>
  <r>
    <s v="WEST TOWN BANK &amp; TRUST"/>
    <s v="North Riverside"/>
    <x v="1"/>
    <n v="60546"/>
    <d v="2021-09-30T00:00:00"/>
    <x v="2"/>
    <n v="88"/>
    <n v="402932"/>
    <n v="89257"/>
    <n v="402932"/>
    <n v="363023"/>
    <n v="351123"/>
    <x v="0"/>
    <n v="0.08"/>
    <n v="28089.84"/>
    <n v="0.90095351076608465"/>
    <n v="4578.772727272727"/>
    <n v="3.1775545891325834"/>
  </r>
  <r>
    <s v="WESTAMERICA BANK"/>
    <s v="San Rafael"/>
    <x v="0"/>
    <n v="94901"/>
    <d v="2019-09-30T00:00:00"/>
    <x v="0"/>
    <n v="730"/>
    <n v="5589309"/>
    <n v="416194"/>
    <n v="5589309"/>
    <n v="5026637"/>
    <n v="4799327"/>
    <x v="1"/>
    <n v="0.08"/>
    <n v="383946.16000000003"/>
    <n v="0.89933066860322086"/>
    <n v="7656.5876712328763"/>
    <n v="1.0839905261716902"/>
  </r>
  <r>
    <s v="WESTAMERICA BANK"/>
    <s v="San Rafael"/>
    <x v="0"/>
    <n v="94901"/>
    <d v="2020-09-30T00:00:00"/>
    <x v="1"/>
    <n v="685"/>
    <n v="6517382"/>
    <n v="399153"/>
    <n v="6517382"/>
    <n v="5809403"/>
    <n v="5541531"/>
    <x v="1"/>
    <n v="0.08"/>
    <n v="443322.48"/>
    <n v="0.89137064545242251"/>
    <n v="9514.4262773722621"/>
    <n v="0.90036715485305419"/>
  </r>
  <r>
    <s v="WESTAMERICA BANK"/>
    <s v="San Rafael"/>
    <x v="0"/>
    <n v="94901"/>
    <d v="2021-09-30T00:00:00"/>
    <x v="2"/>
    <n v="624"/>
    <n v="7363293"/>
    <n v="1011365"/>
    <n v="7363293"/>
    <n v="6636580"/>
    <n v="6291418"/>
    <x v="1"/>
    <n v="0.08"/>
    <n v="503313.44"/>
    <n v="0.90130597818122948"/>
    <n v="11800.149038461539"/>
    <n v="2.0094138555092034"/>
  </r>
  <r>
    <s v="WESTFIELD BANK"/>
    <s v="Westfield"/>
    <x v="3"/>
    <n v="1085"/>
    <d v="2019-09-30T00:00:00"/>
    <x v="0"/>
    <n v="300"/>
    <n v="2171146"/>
    <n v="37407"/>
    <n v="2171146"/>
    <n v="1951677"/>
    <n v="1678485"/>
    <x v="1"/>
    <n v="0.08"/>
    <n v="134278.79999999999"/>
    <n v="0.89891559572686497"/>
    <n v="7237.1533333333336"/>
    <n v="0.27857710971501087"/>
  </r>
  <r>
    <s v="WESTFIELD BANK"/>
    <s v="Westfield"/>
    <x v="3"/>
    <n v="1085"/>
    <d v="2020-09-30T00:00:00"/>
    <x v="1"/>
    <n v="312"/>
    <n v="2480786"/>
    <n v="168769"/>
    <n v="2480786"/>
    <n v="2263388"/>
    <n v="2017980"/>
    <x v="1"/>
    <n v="0.08"/>
    <n v="161438.39999999999"/>
    <n v="0.91236729004436501"/>
    <n v="7951.2371794871797"/>
    <n v="1.0454080317941705"/>
  </r>
  <r>
    <s v="WESTFIELD BANK"/>
    <s v="Westfield"/>
    <x v="3"/>
    <n v="1085"/>
    <d v="2021-09-30T00:00:00"/>
    <x v="2"/>
    <n v="309"/>
    <n v="2503631"/>
    <n v="134422"/>
    <n v="2503631"/>
    <n v="2284166"/>
    <n v="2232183"/>
    <x v="1"/>
    <n v="0.08"/>
    <n v="178574.64"/>
    <n v="0.91234131547340647"/>
    <n v="8102.3656957928806"/>
    <n v="0.75274966255006859"/>
  </r>
  <r>
    <s v="WHEATON BANK &amp; TRUST"/>
    <s v="Wheaton"/>
    <x v="1"/>
    <n v="60187"/>
    <d v="2019-09-30T00:00:00"/>
    <x v="0"/>
    <n v="99"/>
    <n v="1984708"/>
    <n v="145881"/>
    <n v="1984708"/>
    <n v="1755282"/>
    <n v="1661058"/>
    <x v="1"/>
    <n v="7.4999999999999997E-2"/>
    <n v="124579.34999999999"/>
    <n v="0.88440314645781648"/>
    <n v="20047.555555555555"/>
    <n v="1.170988610873311"/>
  </r>
  <r>
    <s v="WHEATON BANK &amp; TRUST, NATIONAL ASSOCIATION"/>
    <s v="Wheaton"/>
    <x v="1"/>
    <n v="60187"/>
    <d v="2020-09-30T00:00:00"/>
    <x v="1"/>
    <n v="99"/>
    <n v="2653035"/>
    <n v="249859"/>
    <n v="2653035"/>
    <n v="2405100"/>
    <n v="2248665"/>
    <x v="1"/>
    <n v="7.4999999999999997E-2"/>
    <n v="168649.875"/>
    <n v="0.90654665317268712"/>
    <n v="26798.333333333332"/>
    <n v="1.4815249640712749"/>
  </r>
  <r>
    <s v="WHEATON BANK &amp; TRUST, NATIONAL ASSOCIATION"/>
    <s v="Wheaton"/>
    <x v="1"/>
    <n v="60187"/>
    <d v="2021-09-30T00:00:00"/>
    <x v="2"/>
    <n v="85"/>
    <n v="2972256"/>
    <n v="531176"/>
    <n v="2972256"/>
    <n v="2696380"/>
    <n v="2544265"/>
    <x v="1"/>
    <n v="7.4999999999999997E-2"/>
    <n v="190819.875"/>
    <n v="0.90718296135999055"/>
    <n v="34967.717647058824"/>
    <n v="2.7836513361095117"/>
  </r>
  <r>
    <s v="WILLIAMSVILLE STATE BANK &amp; TRUST"/>
    <s v="Williamsville"/>
    <x v="1"/>
    <n v="62693"/>
    <d v="2019-09-30T00:00:00"/>
    <x v="0"/>
    <n v="31"/>
    <n v="98193"/>
    <n v="1998"/>
    <n v="98194"/>
    <n v="84851"/>
    <n v="84620"/>
    <x v="2"/>
    <n v="0.09"/>
    <n v="7615.7999999999993"/>
    <n v="0.86412473394233802"/>
    <n v="3167.516129032258"/>
    <n v="0.26234932640037817"/>
  </r>
  <r>
    <s v="WILLIAMSVILLE STATE BANK &amp; TRUST"/>
    <s v="Williamsville"/>
    <x v="1"/>
    <n v="62693"/>
    <d v="2020-09-30T00:00:00"/>
    <x v="1"/>
    <n v="26"/>
    <n v="101738"/>
    <n v="2021"/>
    <n v="101738"/>
    <n v="88199"/>
    <n v="87750"/>
    <x v="0"/>
    <n v="0.08"/>
    <n v="7020"/>
    <n v="0.86692288033969611"/>
    <n v="3913"/>
    <n v="0.28789173789173789"/>
  </r>
  <r>
    <s v="WILLIAMSVILLE STATE BANK &amp; TRUST"/>
    <s v="Williamsville"/>
    <x v="1"/>
    <n v="62693"/>
    <d v="2021-09-30T00:00:00"/>
    <x v="2"/>
    <n v="27"/>
    <n v="108051"/>
    <n v="2271"/>
    <n v="108051"/>
    <n v="94910"/>
    <n v="94772"/>
    <x v="0"/>
    <n v="0.08"/>
    <n v="7581.76"/>
    <n v="0.87838150503003209"/>
    <n v="4001.8888888888887"/>
    <n v="0.29953467268813572"/>
  </r>
  <r>
    <s v="WINCHESTER CO-OPERATIVE BANK"/>
    <s v="Winchester"/>
    <x v="3"/>
    <n v="1890"/>
    <d v="2019-09-30T00:00:00"/>
    <x v="0"/>
    <n v="52"/>
    <n v="682949"/>
    <n v="84069"/>
    <n v="682949"/>
    <n v="594314"/>
    <n v="575857"/>
    <x v="0"/>
    <n v="8.5000000000000006E-2"/>
    <n v="48947.845000000001"/>
    <n v="0.87021724901859432"/>
    <n v="13133.634615384615"/>
    <n v="1.7175219869230198"/>
  </r>
  <r>
    <s v="WINCHESTER CO-OPERATIVE BANK"/>
    <s v="Winchester"/>
    <x v="3"/>
    <n v="1890"/>
    <d v="2020-09-30T00:00:00"/>
    <x v="1"/>
    <n v="53"/>
    <n v="739140"/>
    <n v="162207"/>
    <n v="739140"/>
    <n v="647593"/>
    <n v="634115"/>
    <x v="0"/>
    <n v="8.5000000000000006E-2"/>
    <n v="53899.775000000001"/>
    <n v="0.87614389696133343"/>
    <n v="13946.037735849057"/>
    <n v="3.009418870486936"/>
  </r>
  <r>
    <s v="WINCHESTER CO-OPERATIVE BANK"/>
    <s v="Winchester"/>
    <x v="3"/>
    <n v="1890"/>
    <d v="2021-09-30T00:00:00"/>
    <x v="2"/>
    <n v="52"/>
    <n v="772411"/>
    <n v="213923"/>
    <n v="772411"/>
    <n v="677530"/>
    <n v="668863"/>
    <x v="0"/>
    <n v="8.5000000000000006E-2"/>
    <n v="56853.355000000003"/>
    <n v="0.87716254688242401"/>
    <n v="14854.057692307691"/>
    <n v="3.7627154984960867"/>
  </r>
  <r>
    <s v="WINCHESTER SAVINGS BANK"/>
    <s v="Winchester"/>
    <x v="3"/>
    <n v="1890"/>
    <d v="2019-09-30T00:00:00"/>
    <x v="0"/>
    <n v="82"/>
    <n v="552399"/>
    <n v="31022"/>
    <n v="552399"/>
    <n v="484922"/>
    <n v="473140"/>
    <x v="0"/>
    <n v="8.5000000000000006E-2"/>
    <n v="40216.9"/>
    <n v="0.8778473530907912"/>
    <n v="6736.5731707317073"/>
    <n v="0.77136726102708064"/>
  </r>
  <r>
    <s v="WINCHESTER SAVINGS BANK"/>
    <s v="Winchester"/>
    <x v="3"/>
    <n v="1890"/>
    <d v="2020-09-30T00:00:00"/>
    <x v="1"/>
    <n v="82"/>
    <n v="594712"/>
    <n v="76634"/>
    <n v="594711"/>
    <n v="527328"/>
    <n v="518882"/>
    <x v="0"/>
    <n v="8.5000000000000006E-2"/>
    <n v="44104.97"/>
    <n v="0.88669473627570994"/>
    <n v="7252.5853658536589"/>
    <n v="1.7375366086860504"/>
  </r>
  <r>
    <s v="WINCHESTER SAVINGS BANK"/>
    <s v="Winchester"/>
    <x v="3"/>
    <n v="1890"/>
    <d v="2021-09-30T00:00:00"/>
    <x v="2"/>
    <n v="77"/>
    <n v="603697"/>
    <n v="64699"/>
    <n v="603697"/>
    <n v="532781"/>
    <n v="526838"/>
    <x v="0"/>
    <n v="8.5000000000000006E-2"/>
    <n v="44781.23"/>
    <n v="0.88253047472490342"/>
    <n v="7840.2207792207791"/>
    <n v="1.4447794310250075"/>
  </r>
  <r>
    <s v="WINTER HILL BANK, FSB"/>
    <s v="Somerville"/>
    <x v="3"/>
    <n v="2145"/>
    <d v="2019-09-30T00:00:00"/>
    <x v="0"/>
    <n v="58"/>
    <n v="366505"/>
    <n v="13322"/>
    <n v="366505"/>
    <n v="331817"/>
    <n v="283475"/>
    <x v="0"/>
    <n v="8.5000000000000006E-2"/>
    <n v="24095.375"/>
    <n v="0.90535463363392044"/>
    <n v="6319.0517241379312"/>
    <n v="0.55288618666445322"/>
  </r>
  <r>
    <s v="WINTER HILL BANK, FSB"/>
    <s v="Somerville"/>
    <x v="3"/>
    <n v="2145"/>
    <d v="2020-09-30T00:00:00"/>
    <x v="1"/>
    <n v="57"/>
    <n v="350831"/>
    <n v="22027"/>
    <n v="350831"/>
    <n v="314967"/>
    <n v="282338"/>
    <x v="0"/>
    <n v="8.5000000000000006E-2"/>
    <n v="23998.730000000003"/>
    <n v="0.89777414196578975"/>
    <n v="6154.9298245614036"/>
    <n v="0.91784023571247297"/>
  </r>
  <r>
    <s v="WINTER HILL BANK, FSB"/>
    <s v="Somerville"/>
    <x v="3"/>
    <n v="2145"/>
    <d v="2021-09-30T00:00:00"/>
    <x v="2"/>
    <n v="59"/>
    <n v="349567"/>
    <n v="26054"/>
    <n v="349567"/>
    <n v="311830"/>
    <n v="297285"/>
    <x v="0"/>
    <n v="8.5000000000000006E-2"/>
    <n v="25269.225000000002"/>
    <n v="0.89204644603180505"/>
    <n v="5924.8644067796613"/>
    <n v="1.0310565519916024"/>
  </r>
  <r>
    <s v="WINTRUST BANK"/>
    <s v="Chicago"/>
    <x v="1"/>
    <n v="60604"/>
    <d v="2019-09-30T00:00:00"/>
    <x v="0"/>
    <n v="556"/>
    <n v="6444747"/>
    <n v="578399"/>
    <n v="6444747"/>
    <n v="5739148"/>
    <n v="5572644"/>
    <x v="1"/>
    <n v="7.4999999999999997E-2"/>
    <n v="417948.3"/>
    <n v="0.89051564010193107"/>
    <n v="11591.271582733812"/>
    <n v="1.3839008317535926"/>
  </r>
  <r>
    <s v="WINTRUST BANK, NATIONAL ASSOCIATION"/>
    <s v="Chicago"/>
    <x v="1"/>
    <n v="60604"/>
    <d v="2020-09-30T00:00:00"/>
    <x v="1"/>
    <n v="564"/>
    <n v="8238313"/>
    <n v="488270"/>
    <n v="8238313"/>
    <n v="7495164"/>
    <n v="7193760"/>
    <x v="1"/>
    <n v="7.4999999999999997E-2"/>
    <n v="539532"/>
    <n v="0.90979354632435061"/>
    <n v="14606.937943262412"/>
    <n v="0.90498802666014244"/>
  </r>
  <r>
    <s v="WINTRUST BANK, NATIONAL ASSOCIATION"/>
    <s v="Chicago"/>
    <x v="1"/>
    <n v="60604"/>
    <d v="2021-09-30T00:00:00"/>
    <x v="2"/>
    <n v="555"/>
    <n v="8843686"/>
    <n v="897621"/>
    <n v="8843686"/>
    <n v="7986658"/>
    <n v="7744824"/>
    <x v="1"/>
    <n v="7.4999999999999997E-2"/>
    <n v="580861.79999999993"/>
    <n v="0.90309153898046579"/>
    <n v="15934.56936936937"/>
    <n v="1.5453262721012127"/>
  </r>
  <r>
    <s v="WOORI AMERICA BANK"/>
    <s v="New York"/>
    <x v="2"/>
    <n v="10001"/>
    <d v="2019-09-30T00:00:00"/>
    <x v="0"/>
    <n v="243"/>
    <n v="2053200"/>
    <n v="58068"/>
    <n v="2053199"/>
    <n v="1771387"/>
    <n v="1741452"/>
    <x v="1"/>
    <n v="0.08"/>
    <n v="139316.16"/>
    <n v="0.86274449639586981"/>
    <n v="8449.382716049382"/>
    <n v="0.41680735386332785"/>
  </r>
  <r>
    <s v="WOORI AMERICA BANK"/>
    <s v="New York"/>
    <x v="2"/>
    <n v="10001"/>
    <d v="2020-09-30T00:00:00"/>
    <x v="1"/>
    <n v="252"/>
    <n v="2134604"/>
    <n v="211192"/>
    <n v="2134604"/>
    <n v="1843789"/>
    <n v="1815178"/>
    <x v="1"/>
    <n v="0.08"/>
    <n v="145214.24"/>
    <n v="0.86376161573762633"/>
    <n v="8470.6507936507933"/>
    <n v="1.4543477278812327"/>
  </r>
  <r>
    <s v="WOORI AMERICA BANK"/>
    <s v="New York"/>
    <x v="2"/>
    <n v="10001"/>
    <d v="2021-09-30T00:00:00"/>
    <x v="2"/>
    <n v="250"/>
    <n v="2707053"/>
    <n v="378768"/>
    <n v="2707053"/>
    <n v="2400093"/>
    <n v="2292177"/>
    <x v="1"/>
    <n v="0.08"/>
    <n v="183374.16"/>
    <n v="0.88660731799488224"/>
    <n v="10828.212"/>
    <n v="2.0655472941225743"/>
  </r>
  <r>
    <s v="WRENTHAM CO-OPERATIVE BANK"/>
    <s v="Wrentham"/>
    <x v="3"/>
    <n v="2093"/>
    <d v="2019-09-30T00:00:00"/>
    <x v="0"/>
    <n v="15"/>
    <n v="114998"/>
    <n v="29191"/>
    <n v="114998"/>
    <n v="98564"/>
    <n v="98193"/>
    <x v="0"/>
    <n v="8.5000000000000006E-2"/>
    <n v="8346.4050000000007"/>
    <n v="0.85709316683768411"/>
    <n v="7666.5333333333338"/>
    <n v="3.4974339251450171"/>
  </r>
  <r>
    <s v="WRENTHAM CO-OPERATIVE BANK"/>
    <s v="Wrentham"/>
    <x v="3"/>
    <n v="2093"/>
    <d v="2020-09-30T00:00:00"/>
    <x v="1"/>
    <n v="15"/>
    <n v="133255"/>
    <n v="44691"/>
    <n v="133255"/>
    <n v="116401"/>
    <n v="115991"/>
    <x v="0"/>
    <n v="8.5000000000000006E-2"/>
    <n v="9859.2350000000006"/>
    <n v="0.87352069340737681"/>
    <n v="8883.6666666666661"/>
    <n v="4.5329074720300309"/>
  </r>
  <r>
    <s v="WRENTHAM CO-OPERATIVE BANK"/>
    <s v="Wrentham"/>
    <x v="3"/>
    <n v="2093"/>
    <d v="2021-09-30T00:00:00"/>
    <x v="2"/>
    <n v="14"/>
    <n v="142823"/>
    <n v="45263"/>
    <n v="142823"/>
    <n v="125799"/>
    <n v="125399"/>
    <x v="0"/>
    <n v="8.5000000000000006E-2"/>
    <n v="10658.915000000001"/>
    <n v="0.88080351203937746"/>
    <n v="10201.642857142857"/>
    <n v="4.2464922555438331"/>
  </r>
  <r>
    <s v="WSB MUNICIPAL BANK"/>
    <s v="Watertown"/>
    <x v="2"/>
    <n v="13601"/>
    <d v="2019-09-30T00:00:00"/>
    <x v="0"/>
    <n v="15"/>
    <n v="109330"/>
    <n v="20301"/>
    <n v="109331"/>
    <n v="95210"/>
    <n v="95173"/>
    <x v="0"/>
    <n v="8.5000000000000006E-2"/>
    <n v="8089.7050000000008"/>
    <n v="0.87084972102808011"/>
    <n v="7288.666666666667"/>
    <n v="2.5094858217944904"/>
  </r>
  <r>
    <s v="WSB MUNICIPAL BANK"/>
    <s v="Watertown"/>
    <x v="2"/>
    <n v="13601"/>
    <d v="2020-09-30T00:00:00"/>
    <x v="1"/>
    <n v="17"/>
    <n v="143191"/>
    <n v="20335"/>
    <n v="143191"/>
    <n v="127239"/>
    <n v="126646"/>
    <x v="0"/>
    <n v="8.5000000000000006E-2"/>
    <n v="10764.910000000002"/>
    <n v="0.88859635032928053"/>
    <n v="8423"/>
    <n v="1.8890078969540849"/>
  </r>
  <r>
    <s v="WSB MUNICIPAL BANK"/>
    <s v="Watertown"/>
    <x v="2"/>
    <n v="13601"/>
    <d v="2021-09-30T00:00:00"/>
    <x v="2"/>
    <n v="25"/>
    <n v="171437"/>
    <n v="10932"/>
    <n v="171437"/>
    <n v="155007"/>
    <n v="145086"/>
    <x v="0"/>
    <n v="8.5000000000000006E-2"/>
    <n v="12332.310000000001"/>
    <n v="0.90416304531693859"/>
    <n v="6857.48"/>
    <n v="0.886451929930402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2">
  <r>
    <s v="1ST CAPITAL BANK"/>
    <s v="Salinas"/>
    <x v="0"/>
    <n v="93901"/>
    <d v="2019-09-30T00:00:00"/>
    <x v="0"/>
    <n v="85"/>
    <n v="637456"/>
    <n v="53476"/>
    <n v="637456"/>
    <n v="571121"/>
    <n v="565655"/>
    <x v="0"/>
    <n v="0.09"/>
    <n v="50908.95"/>
    <n v="0.89593791571496695"/>
    <n v="7499.482352941176"/>
  </r>
  <r>
    <s v="1ST CAPITAL BANK"/>
    <s v="Salinas"/>
    <x v="0"/>
    <n v="93901"/>
    <d v="2020-09-30T00:00:00"/>
    <x v="1"/>
    <n v="94"/>
    <n v="749022"/>
    <n v="45680"/>
    <n v="749022"/>
    <n v="676634"/>
    <n v="661575"/>
    <x v="0"/>
    <n v="0.09"/>
    <n v="59541.75"/>
    <n v="0.90335664373009072"/>
    <n v="7968.3191489361698"/>
  </r>
  <r>
    <s v="1ST CAPITAL BANK"/>
    <s v="Salinas"/>
    <x v="0"/>
    <n v="93901"/>
    <d v="2021-09-30T00:00:00"/>
    <x v="2"/>
    <n v="93"/>
    <n v="1009352"/>
    <n v="131582"/>
    <n v="1009352"/>
    <n v="930792"/>
    <n v="926395"/>
    <x v="1"/>
    <n v="0.08"/>
    <n v="74111.600000000006"/>
    <n v="0.92216788593077537"/>
    <n v="10853.247311827958"/>
  </r>
  <r>
    <s v="1ST COMMUNITY BANK"/>
    <s v="Sherrard"/>
    <x v="1"/>
    <n v="61281"/>
    <d v="2019-09-30T00:00:00"/>
    <x v="0"/>
    <n v="18"/>
    <n v="64436"/>
    <n v="7275"/>
    <n v="64436"/>
    <n v="57779"/>
    <n v="57575"/>
    <x v="2"/>
    <n v="0.09"/>
    <n v="5181.75"/>
    <n v="0.89668818672791606"/>
    <n v="3579.7777777777778"/>
  </r>
  <r>
    <s v="1ST COMMUNITY BANK"/>
    <s v="Sherrard"/>
    <x v="1"/>
    <n v="61281"/>
    <d v="2020-09-30T00:00:00"/>
    <x v="1"/>
    <n v="18"/>
    <n v="68303"/>
    <n v="14220"/>
    <n v="68303"/>
    <n v="61477"/>
    <n v="57268"/>
    <x v="2"/>
    <n v="0.09"/>
    <n v="5154.12"/>
    <n v="0.9000629547750465"/>
    <n v="3794.6111111111113"/>
  </r>
  <r>
    <s v="1ST COMMUNITY BANK"/>
    <s v="Sherrard"/>
    <x v="1"/>
    <n v="61281"/>
    <d v="2021-09-30T00:00:00"/>
    <x v="2"/>
    <n v="17"/>
    <n v="66909"/>
    <n v="14550"/>
    <n v="66909"/>
    <n v="59859"/>
    <n v="59693"/>
    <x v="2"/>
    <n v="0.09"/>
    <n v="5372.37"/>
    <n v="0.89463300901224052"/>
    <n v="3935.8235294117649"/>
  </r>
  <r>
    <s v="1ST EQUITY BANK"/>
    <s v="Skokie"/>
    <x v="1"/>
    <n v="60076"/>
    <d v="2019-09-30T00:00:00"/>
    <x v="0"/>
    <n v="12"/>
    <n v="95211"/>
    <n v="19382"/>
    <n v="95211"/>
    <n v="80418"/>
    <n v="75039"/>
    <x v="2"/>
    <n v="0.09"/>
    <n v="6753.5099999999993"/>
    <n v="0.84462929703500644"/>
    <n v="7934.25"/>
  </r>
  <r>
    <s v="1ST EQUITY BANK"/>
    <s v="Skokie"/>
    <x v="1"/>
    <n v="60076"/>
    <d v="2020-09-30T00:00:00"/>
    <x v="1"/>
    <n v="10"/>
    <n v="141545"/>
    <n v="28951"/>
    <n v="141545"/>
    <n v="117899"/>
    <n v="101378"/>
    <x v="0"/>
    <n v="0.08"/>
    <n v="8110.24"/>
    <n v="0.83294358684517289"/>
    <n v="14154.5"/>
  </r>
  <r>
    <s v="1ST EQUITY BANK"/>
    <s v="Skokie"/>
    <x v="1"/>
    <n v="60076"/>
    <d v="2021-09-30T00:00:00"/>
    <x v="2"/>
    <n v="10"/>
    <n v="140756"/>
    <n v="32317"/>
    <n v="140756"/>
    <n v="117814"/>
    <n v="104078"/>
    <x v="0"/>
    <n v="0.08"/>
    <n v="8326.24"/>
    <n v="0.83700872431725826"/>
    <n v="14075.6"/>
  </r>
  <r>
    <s v="1ST EQUITY BANK NORTHWEST"/>
    <s v="Buffalo Grove"/>
    <x v="1"/>
    <n v="60089"/>
    <d v="2019-09-30T00:00:00"/>
    <x v="0"/>
    <n v="4"/>
    <n v="40877"/>
    <n v="7973"/>
    <n v="40877"/>
    <n v="32220"/>
    <n v="31131"/>
    <x v="2"/>
    <n v="0.09"/>
    <n v="2801.79"/>
    <n v="0.78821831347701643"/>
    <n v="10219.25"/>
  </r>
  <r>
    <s v="1ST STATE BANK OF MASON CITY"/>
    <s v="Mason City"/>
    <x v="1"/>
    <n v="62664"/>
    <d v="2019-09-30T00:00:00"/>
    <x v="0"/>
    <n v="5"/>
    <n v="25319"/>
    <n v="1712"/>
    <n v="25320"/>
    <n v="21384"/>
    <n v="21370"/>
    <x v="2"/>
    <n v="0.09"/>
    <n v="1923.3"/>
    <n v="0.84458311939650066"/>
    <n v="5063.8"/>
  </r>
  <r>
    <s v="1ST STATE BANK OF MASON CITY"/>
    <s v="Mason City"/>
    <x v="1"/>
    <n v="62664"/>
    <d v="2020-09-30T00:00:00"/>
    <x v="1"/>
    <n v="7"/>
    <n v="30790"/>
    <n v="1861"/>
    <n v="30790"/>
    <n v="26898"/>
    <n v="22886"/>
    <x v="2"/>
    <n v="0.09"/>
    <n v="2059.7399999999998"/>
    <n v="0.87359532315686916"/>
    <n v="4398.5714285714284"/>
  </r>
  <r>
    <s v="1ST STATE BANK OF MASON CITY"/>
    <s v="Mason City"/>
    <x v="1"/>
    <n v="62664"/>
    <d v="2021-09-30T00:00:00"/>
    <x v="2"/>
    <n v="4"/>
    <n v="28801"/>
    <n v="1162"/>
    <n v="28801"/>
    <n v="26611"/>
    <n v="26541"/>
    <x v="2"/>
    <n v="0.09"/>
    <n v="2388.69"/>
    <n v="0.92396097357730633"/>
    <n v="7200.25"/>
  </r>
  <r>
    <s v="ABACUS FEDERAL SAVINGS BANK"/>
    <s v="New York"/>
    <x v="2"/>
    <n v="10013"/>
    <d v="2019-09-30T00:00:00"/>
    <x v="0"/>
    <n v="99"/>
    <n v="335290"/>
    <n v="35626"/>
    <n v="335290"/>
    <n v="289120"/>
    <n v="287606"/>
    <x v="0"/>
    <n v="8.5000000000000006E-2"/>
    <n v="24446.510000000002"/>
    <n v="0.86229830892660086"/>
    <n v="3386.7676767676767"/>
  </r>
  <r>
    <s v="ABACUS FEDERAL SAVINGS BANK"/>
    <s v="New York"/>
    <x v="2"/>
    <n v="10013"/>
    <d v="2020-09-30T00:00:00"/>
    <x v="1"/>
    <n v="83"/>
    <n v="359791"/>
    <n v="49879"/>
    <n v="359791"/>
    <n v="311253"/>
    <n v="309628"/>
    <x v="0"/>
    <n v="8.5000000000000006E-2"/>
    <n v="26318.38"/>
    <n v="0.86509390173739753"/>
    <n v="4334.8313253012047"/>
  </r>
  <r>
    <s v="ABACUS FEDERAL SAVINGS BANK"/>
    <s v="New York"/>
    <x v="2"/>
    <n v="10013"/>
    <d v="2021-09-30T00:00:00"/>
    <x v="2"/>
    <n v="90"/>
    <n v="327989"/>
    <n v="76889"/>
    <n v="327989"/>
    <n v="277870"/>
    <n v="276197"/>
    <x v="0"/>
    <n v="8.5000000000000006E-2"/>
    <n v="23476.745000000003"/>
    <n v="0.84719304610825363"/>
    <n v="3644.3222222222221"/>
  </r>
  <r>
    <s v="ABINGTON BANK"/>
    <s v="Abington"/>
    <x v="3"/>
    <n v="2351"/>
    <d v="2019-09-30T00:00:00"/>
    <x v="0"/>
    <n v="76"/>
    <n v="577410"/>
    <n v="15854"/>
    <n v="577410"/>
    <n v="489082"/>
    <n v="447077"/>
    <x v="0"/>
    <n v="8.5000000000000006E-2"/>
    <n v="38001.545000000006"/>
    <n v="0.84702724234079774"/>
    <n v="7597.5"/>
  </r>
  <r>
    <s v="ABINGTON BANK"/>
    <s v="Abington"/>
    <x v="3"/>
    <n v="2351"/>
    <d v="2020-09-30T00:00:00"/>
    <x v="1"/>
    <n v="75"/>
    <n v="592791"/>
    <n v="66628"/>
    <n v="592791"/>
    <n v="500717"/>
    <n v="462363"/>
    <x v="0"/>
    <n v="8.5000000000000006E-2"/>
    <n v="39300.855000000003"/>
    <n v="0.84467712903873371"/>
    <n v="7903.88"/>
  </r>
  <r>
    <s v="ABINGTON BANK"/>
    <s v="Abington"/>
    <x v="3"/>
    <n v="2351"/>
    <d v="2021-09-30T00:00:00"/>
    <x v="2"/>
    <n v="76"/>
    <n v="597215"/>
    <n v="110561"/>
    <n v="597215"/>
    <n v="501173"/>
    <n v="477642"/>
    <x v="0"/>
    <n v="8.5000000000000006E-2"/>
    <n v="40599.57"/>
    <n v="0.83918354361494607"/>
    <n v="7858.0921052631575"/>
  </r>
  <r>
    <s v="ADAMS COMMUNITY BANK"/>
    <s v="Adams"/>
    <x v="3"/>
    <n v="1220"/>
    <d v="2019-09-30T00:00:00"/>
    <x v="0"/>
    <n v="100"/>
    <n v="618218"/>
    <n v="11664"/>
    <n v="618218"/>
    <n v="561414"/>
    <n v="499525"/>
    <x v="0"/>
    <n v="8.5000000000000006E-2"/>
    <n v="42459.625"/>
    <n v="0.9081165543546128"/>
    <n v="6182.18"/>
  </r>
  <r>
    <s v="ADAMS COMMUNITY BANK"/>
    <s v="Adams"/>
    <x v="3"/>
    <n v="1220"/>
    <d v="2020-09-30T00:00:00"/>
    <x v="1"/>
    <n v="107"/>
    <n v="706909"/>
    <n v="31644"/>
    <n v="706909"/>
    <n v="645403"/>
    <n v="603420"/>
    <x v="0"/>
    <n v="8.5000000000000006E-2"/>
    <n v="51290.700000000004"/>
    <n v="0.91299304436638951"/>
    <n v="6606.6261682242994"/>
  </r>
  <r>
    <s v="ADAMS COMMUNITY BANK"/>
    <s v="Adams"/>
    <x v="3"/>
    <n v="1220"/>
    <d v="2021-09-30T00:00:00"/>
    <x v="2"/>
    <n v="111"/>
    <n v="861094"/>
    <n v="93479"/>
    <n v="861094"/>
    <n v="796190"/>
    <n v="764693"/>
    <x v="0"/>
    <n v="8.5000000000000006E-2"/>
    <n v="64998.905000000006"/>
    <n v="0.92462611515119142"/>
    <n v="7757.6036036036039"/>
  </r>
  <r>
    <s v="ADIRONDACK BANK"/>
    <s v="Utica"/>
    <x v="2"/>
    <n v="13501"/>
    <d v="2019-09-30T00:00:00"/>
    <x v="0"/>
    <n v="194"/>
    <n v="901728"/>
    <n v="64245"/>
    <n v="901727"/>
    <n v="831852"/>
    <n v="744460"/>
    <x v="0"/>
    <n v="8.5000000000000006E-2"/>
    <n v="63279.100000000006"/>
    <n v="0.92250878313637819"/>
    <n v="4648.0824742268042"/>
  </r>
  <r>
    <s v="ADIRONDACK BANK"/>
    <s v="Utica"/>
    <x v="2"/>
    <n v="13501"/>
    <d v="2020-09-30T00:00:00"/>
    <x v="1"/>
    <n v="181"/>
    <n v="1012361"/>
    <n v="128811"/>
    <n v="1012361"/>
    <n v="940481"/>
    <n v="822948"/>
    <x v="1"/>
    <n v="0.08"/>
    <n v="65835.839999999997"/>
    <n v="0.92899765992565897"/>
    <n v="5593.1546961325967"/>
  </r>
  <r>
    <s v="ADIRONDACK BANK"/>
    <s v="Utica"/>
    <x v="2"/>
    <n v="13501"/>
    <d v="2021-09-30T00:00:00"/>
    <x v="2"/>
    <n v="184"/>
    <n v="1062202"/>
    <n v="227590"/>
    <n v="1062202"/>
    <n v="987274"/>
    <n v="878733"/>
    <x v="1"/>
    <n v="0.08"/>
    <n v="70298.64"/>
    <n v="0.92945974494493511"/>
    <n v="5772.836956521739"/>
  </r>
  <r>
    <s v="ADMIRALS BANK"/>
    <s v="Boston"/>
    <x v="3"/>
    <n v="2116"/>
    <d v="2019-09-30T00:00:00"/>
    <x v="0"/>
    <n v="56"/>
    <n v="216403"/>
    <n v="23546"/>
    <n v="216402"/>
    <n v="181579"/>
    <n v="162913"/>
    <x v="0"/>
    <n v="8.5000000000000006E-2"/>
    <n v="13847.605000000001"/>
    <n v="0.83907801647851465"/>
    <n v="3864.3392857142858"/>
  </r>
  <r>
    <s v="ALBANY BANK AND TRUST COMPANY NATIONAL ASSOCIATION"/>
    <s v="Chicago"/>
    <x v="1"/>
    <n v="60625"/>
    <d v="2019-09-30T00:00:00"/>
    <x v="0"/>
    <n v="67"/>
    <n v="610338"/>
    <n v="109205"/>
    <n v="610338"/>
    <n v="511370"/>
    <n v="508078"/>
    <x v="0"/>
    <n v="0.08"/>
    <n v="40646.239999999998"/>
    <n v="0.83784722563563141"/>
    <n v="9109.5223880597023"/>
  </r>
  <r>
    <s v="ALBANY BANK AND TRUST COMPANY NATIONAL ASSOCIATION"/>
    <s v="Chicago"/>
    <x v="1"/>
    <n v="60625"/>
    <d v="2020-09-30T00:00:00"/>
    <x v="1"/>
    <n v="70"/>
    <n v="686145"/>
    <n v="213657"/>
    <n v="686145"/>
    <n v="583447"/>
    <n v="580080"/>
    <x v="0"/>
    <n v="0.08"/>
    <n v="46406.400000000001"/>
    <n v="0.85032609725349595"/>
    <n v="9802.0714285714294"/>
  </r>
  <r>
    <s v="ALBANY BANK AND TRUST COMPANY NATIONAL ASSOCIATION"/>
    <s v="Chicago"/>
    <x v="1"/>
    <n v="60625"/>
    <d v="2021-09-30T00:00:00"/>
    <x v="2"/>
    <n v="63"/>
    <n v="702350"/>
    <n v="181265"/>
    <n v="702350"/>
    <n v="596859"/>
    <n v="594116"/>
    <x v="0"/>
    <n v="0.08"/>
    <n v="47529.279999999999"/>
    <n v="0.8498028048693671"/>
    <n v="11148.412698412698"/>
  </r>
  <r>
    <s v="ALDEN STATE BANK"/>
    <s v="Alden"/>
    <x v="2"/>
    <n v="14004"/>
    <d v="2019-09-30T00:00:00"/>
    <x v="0"/>
    <n v="61"/>
    <n v="346446"/>
    <n v="13345"/>
    <n v="346446"/>
    <n v="302318"/>
    <n v="297176"/>
    <x v="0"/>
    <n v="8.5000000000000006E-2"/>
    <n v="25259.960000000003"/>
    <n v="0.87262661424868526"/>
    <n v="5679.4426229508199"/>
  </r>
  <r>
    <s v="ALDEN STATE BANK"/>
    <s v="Alden"/>
    <x v="2"/>
    <n v="14004"/>
    <d v="2020-09-30T00:00:00"/>
    <x v="1"/>
    <n v="61"/>
    <n v="402829"/>
    <n v="56557"/>
    <n v="402829"/>
    <n v="355448"/>
    <n v="354228"/>
    <x v="0"/>
    <n v="8.5000000000000006E-2"/>
    <n v="30109.38"/>
    <n v="0.88237937189229176"/>
    <n v="6603.7540983606559"/>
  </r>
  <r>
    <s v="ALDEN STATE BANK"/>
    <s v="Alden"/>
    <x v="2"/>
    <n v="14004"/>
    <d v="2021-09-30T00:00:00"/>
    <x v="2"/>
    <n v="65"/>
    <n v="470474"/>
    <n v="80283"/>
    <n v="470474"/>
    <n v="419774"/>
    <n v="418531"/>
    <x v="0"/>
    <n v="8.5000000000000006E-2"/>
    <n v="35575.135000000002"/>
    <n v="0.89223634037162525"/>
    <n v="7238.0615384615385"/>
  </r>
  <r>
    <s v="ALGONQUIN STATE BANK"/>
    <s v="Algonquin"/>
    <x v="1"/>
    <n v="60102"/>
    <d v="2019-09-30T00:00:00"/>
    <x v="0"/>
    <n v="25"/>
    <n v="133860"/>
    <n v="11010"/>
    <n v="133860"/>
    <n v="117945"/>
    <n v="117254"/>
    <x v="0"/>
    <n v="0.08"/>
    <n v="9380.32"/>
    <n v="0.88110712684894665"/>
    <n v="5354.4"/>
  </r>
  <r>
    <s v="ALGONQUIN STATE BANK"/>
    <s v="Algonquin"/>
    <x v="1"/>
    <n v="60102"/>
    <d v="2020-09-30T00:00:00"/>
    <x v="1"/>
    <n v="24"/>
    <n v="150641"/>
    <n v="12080"/>
    <n v="150641"/>
    <n v="133604"/>
    <n v="129200"/>
    <x v="0"/>
    <n v="0.08"/>
    <n v="10336"/>
    <n v="0.88690329989843397"/>
    <n v="6276.708333333333"/>
  </r>
  <r>
    <s v="ALGONQUIN STATE BANK"/>
    <s v="Algonquin"/>
    <x v="1"/>
    <n v="60102"/>
    <d v="2021-09-30T00:00:00"/>
    <x v="2"/>
    <n v="24"/>
    <n v="157383"/>
    <n v="12446"/>
    <n v="157383"/>
    <n v="140344"/>
    <n v="139880"/>
    <x v="0"/>
    <n v="0.08"/>
    <n v="11190.4"/>
    <n v="0.89173544792004222"/>
    <n v="6557.625"/>
  </r>
  <r>
    <s v="ALLIANCE COMMUNITY BANK"/>
    <s v="Petersburg"/>
    <x v="1"/>
    <n v="62675"/>
    <d v="2019-09-30T00:00:00"/>
    <x v="0"/>
    <n v="60"/>
    <n v="272421"/>
    <n v="9915"/>
    <n v="272421"/>
    <n v="235436"/>
    <n v="233520"/>
    <x v="0"/>
    <n v="0.08"/>
    <n v="18681.600000000002"/>
    <n v="0.86423587021558546"/>
    <n v="4540.3500000000004"/>
  </r>
  <r>
    <s v="ALLIANCE COMMUNITY BANK"/>
    <s v="Petersburg"/>
    <x v="1"/>
    <n v="62675"/>
    <d v="2020-09-30T00:00:00"/>
    <x v="1"/>
    <n v="56"/>
    <n v="299250"/>
    <n v="26015"/>
    <n v="299250"/>
    <n v="260088"/>
    <n v="256200"/>
    <x v="0"/>
    <n v="0.08"/>
    <n v="20496"/>
    <n v="0.86913283208020053"/>
    <n v="5343.75"/>
  </r>
  <r>
    <s v="ALLIANCE COMMUNITY BANK"/>
    <s v="Petersburg"/>
    <x v="1"/>
    <n v="62675"/>
    <d v="2021-09-30T00:00:00"/>
    <x v="2"/>
    <n v="57"/>
    <n v="333263"/>
    <n v="29981"/>
    <n v="333263"/>
    <n v="294877"/>
    <n v="291842"/>
    <x v="0"/>
    <n v="0.08"/>
    <n v="23347.360000000001"/>
    <n v="0.88481769653396869"/>
    <n v="5846.7192982456145"/>
  </r>
  <r>
    <s v="ALLIED FIRST BANK,SB"/>
    <s v="Oswego"/>
    <x v="1"/>
    <n v="60543"/>
    <d v="2019-09-30T00:00:00"/>
    <x v="0"/>
    <n v="254"/>
    <n v="103594"/>
    <n v="21704"/>
    <n v="103594"/>
    <n v="91239"/>
    <n v="90621"/>
    <x v="0"/>
    <n v="0.08"/>
    <n v="7249.68"/>
    <n v="0.88073633608124025"/>
    <n v="407.85039370078738"/>
  </r>
  <r>
    <s v="ALLIED FIRST BANK,SB"/>
    <s v="Oswego"/>
    <x v="1"/>
    <n v="60543"/>
    <d v="2020-09-30T00:00:00"/>
    <x v="1"/>
    <n v="330"/>
    <n v="142020"/>
    <n v="13620"/>
    <n v="142020"/>
    <n v="125248"/>
    <n v="107269"/>
    <x v="0"/>
    <n v="0.08"/>
    <n v="8581.52"/>
    <n v="0.88190395718912828"/>
    <n v="430.36363636363637"/>
  </r>
  <r>
    <s v="ALLIED FIRST BANK,SB"/>
    <s v="Oswego"/>
    <x v="1"/>
    <n v="60543"/>
    <d v="2021-09-30T00:00:00"/>
    <x v="2"/>
    <n v="382"/>
    <n v="161890"/>
    <n v="70738"/>
    <n v="161890"/>
    <n v="139305"/>
    <n v="132451"/>
    <x v="0"/>
    <n v="0.08"/>
    <n v="10596.08"/>
    <n v="0.86049169188955466"/>
    <n v="423.79581151832463"/>
  </r>
  <r>
    <s v="ALMA BANK"/>
    <s v="Astoria"/>
    <x v="2"/>
    <n v="11102"/>
    <d v="2019-09-30T00:00:00"/>
    <x v="0"/>
    <n v="164"/>
    <n v="1190423"/>
    <n v="88732"/>
    <n v="1190423"/>
    <n v="1068612"/>
    <n v="999286"/>
    <x v="1"/>
    <n v="0.08"/>
    <n v="79942.880000000005"/>
    <n v="0.89767418808272359"/>
    <n v="7258.6768292682927"/>
  </r>
  <r>
    <s v="ALMA BANK"/>
    <s v="Astoria"/>
    <x v="2"/>
    <n v="11102"/>
    <d v="2020-09-30T00:00:00"/>
    <x v="1"/>
    <n v="161"/>
    <n v="1228001"/>
    <n v="101572"/>
    <n v="1228001"/>
    <n v="1102414"/>
    <n v="1058853"/>
    <x v="1"/>
    <n v="0.08"/>
    <n v="84708.24"/>
    <n v="0.89773053930737845"/>
    <n v="7627.3354037267081"/>
  </r>
  <r>
    <s v="ALMA BANK"/>
    <s v="Astoria"/>
    <x v="2"/>
    <n v="11102"/>
    <d v="2021-09-30T00:00:00"/>
    <x v="2"/>
    <n v="151"/>
    <n v="1326013"/>
    <n v="186086"/>
    <n v="1326013"/>
    <n v="1195446"/>
    <n v="1171231"/>
    <x v="1"/>
    <n v="0.08"/>
    <n v="93698.48"/>
    <n v="0.90153414785526231"/>
    <n v="8781.5430463576158"/>
  </r>
  <r>
    <s v="ALPINE CAPITAL BANK"/>
    <s v="New York"/>
    <x v="2"/>
    <n v="10019"/>
    <d v="2019-09-30T00:00:00"/>
    <x v="0"/>
    <n v="20"/>
    <n v="257994"/>
    <n v="106755"/>
    <n v="257994"/>
    <n v="206456"/>
    <n v="204291"/>
    <x v="0"/>
    <n v="8.5000000000000006E-2"/>
    <n v="17364.735000000001"/>
    <n v="0.80023566439529603"/>
    <n v="12899.7"/>
  </r>
  <r>
    <s v="ALPINE CAPITAL BANK"/>
    <s v="New York"/>
    <x v="2"/>
    <n v="10019"/>
    <d v="2020-09-30T00:00:00"/>
    <x v="1"/>
    <n v="19"/>
    <n v="249459"/>
    <n v="67548"/>
    <n v="249459"/>
    <n v="196733"/>
    <n v="194366"/>
    <x v="0"/>
    <n v="8.5000000000000006E-2"/>
    <n v="16521.11"/>
    <n v="0.78863861396061075"/>
    <n v="13129.421052631578"/>
  </r>
  <r>
    <s v="ALPINE CAPITAL BANK"/>
    <s v="New York"/>
    <x v="2"/>
    <n v="10019"/>
    <d v="2021-09-30T00:00:00"/>
    <x v="2"/>
    <n v="20"/>
    <n v="306421"/>
    <n v="163858"/>
    <n v="306421"/>
    <n v="251205"/>
    <n v="248589"/>
    <x v="0"/>
    <n v="8.5000000000000006E-2"/>
    <n v="21130.065000000002"/>
    <n v="0.81980347299956591"/>
    <n v="15321.05"/>
  </r>
  <r>
    <s v="ALTAPACIFIC BANK"/>
    <s v="Santa Rosa"/>
    <x v="0"/>
    <n v="95403"/>
    <d v="2019-09-30T00:00:00"/>
    <x v="0"/>
    <n v="55"/>
    <n v="419614"/>
    <n v="21628"/>
    <n v="419614"/>
    <n v="359744"/>
    <n v="297155"/>
    <x v="0"/>
    <n v="0.09"/>
    <n v="26743.95"/>
    <n v="0.85732125238910051"/>
    <n v="7629.3454545454542"/>
  </r>
  <r>
    <s v="AMALGAMATED BANK"/>
    <s v="New York"/>
    <x v="2"/>
    <n v="10001"/>
    <d v="2019-09-30T00:00:00"/>
    <x v="0"/>
    <n v="380"/>
    <n v="5030941"/>
    <n v="75345"/>
    <n v="5030941"/>
    <n v="4544629"/>
    <n v="4326485"/>
    <x v="1"/>
    <n v="0.08"/>
    <n v="346118.8"/>
    <n v="0.90333577754141825"/>
    <n v="13239.318421052632"/>
  </r>
  <r>
    <s v="AMALGAMATED BANK"/>
    <s v="New York"/>
    <x v="2"/>
    <n v="10001"/>
    <d v="2020-09-30T00:00:00"/>
    <x v="1"/>
    <n v="350"/>
    <n v="6626229"/>
    <n v="745496"/>
    <n v="6626229"/>
    <n v="6103732"/>
    <n v="6023434"/>
    <x v="1"/>
    <n v="0.08"/>
    <n v="481874.72000000003"/>
    <n v="0.92114715624829746"/>
    <n v="18932.082857142857"/>
  </r>
  <r>
    <s v="AMALGAMATED BANK"/>
    <s v="New York"/>
    <x v="2"/>
    <n v="10001"/>
    <d v="2021-09-30T00:00:00"/>
    <x v="2"/>
    <n v="355"/>
    <n v="6866385"/>
    <n v="691352"/>
    <n v="6866385"/>
    <n v="6311674"/>
    <n v="6227280"/>
    <x v="1"/>
    <n v="0.08"/>
    <n v="498182.40000000002"/>
    <n v="0.91921353084628954"/>
    <n v="19341.929577464787"/>
  </r>
  <r>
    <s v="AMALGAMATED BANK OF CHICAGO"/>
    <s v="Chicago"/>
    <x v="1"/>
    <n v="60602"/>
    <d v="2019-09-30T00:00:00"/>
    <x v="0"/>
    <n v="178"/>
    <n v="891140"/>
    <n v="210711"/>
    <n v="891140"/>
    <n v="805716"/>
    <n v="786006"/>
    <x v="0"/>
    <n v="0.08"/>
    <n v="62880.480000000003"/>
    <n v="0.90414076351639472"/>
    <n v="5006.4044943820227"/>
  </r>
  <r>
    <s v="AMALGAMATED BANK OF CHICAGO"/>
    <s v="Chicago"/>
    <x v="1"/>
    <n v="60602"/>
    <d v="2020-09-30T00:00:00"/>
    <x v="1"/>
    <n v="176"/>
    <n v="915824"/>
    <n v="222389"/>
    <n v="915824"/>
    <n v="825647"/>
    <n v="801840"/>
    <x v="0"/>
    <n v="0.08"/>
    <n v="64147.200000000004"/>
    <n v="0.901534574328692"/>
    <n v="5203.545454545455"/>
  </r>
  <r>
    <s v="AMALGAMATED BANK OF CHICAGO"/>
    <s v="Chicago"/>
    <x v="1"/>
    <n v="60602"/>
    <d v="2021-09-30T00:00:00"/>
    <x v="2"/>
    <n v="155"/>
    <n v="1013379"/>
    <n v="306919"/>
    <n v="1013379"/>
    <n v="923709"/>
    <n v="894178"/>
    <x v="1"/>
    <n v="7.4999999999999997E-2"/>
    <n v="67063.349999999991"/>
    <n v="0.91151385611898417"/>
    <n v="6537.9290322580646"/>
  </r>
  <r>
    <s v="AMERASIA BANK"/>
    <s v="Flushing"/>
    <x v="2"/>
    <n v="11355"/>
    <d v="2019-09-30T00:00:00"/>
    <x v="0"/>
    <n v="81"/>
    <n v="680866"/>
    <n v="76601"/>
    <n v="680866"/>
    <n v="597754"/>
    <n v="583335"/>
    <x v="0"/>
    <n v="8.5000000000000006E-2"/>
    <n v="49583.475000000006"/>
    <n v="0.87793192786833241"/>
    <n v="8405.7530864197524"/>
  </r>
  <r>
    <s v="AMERASIA BANK"/>
    <s v="Flushing"/>
    <x v="2"/>
    <n v="11355"/>
    <d v="2020-09-30T00:00:00"/>
    <x v="1"/>
    <n v="80"/>
    <n v="719123"/>
    <n v="59020"/>
    <n v="719124"/>
    <n v="625983"/>
    <n v="611111"/>
    <x v="0"/>
    <n v="8.5000000000000006E-2"/>
    <n v="51944.435000000005"/>
    <n v="0.87048112770694308"/>
    <n v="8989.0375000000004"/>
  </r>
  <r>
    <s v="AMERASIA BANK"/>
    <s v="Flushing"/>
    <x v="2"/>
    <n v="11355"/>
    <d v="2021-09-30T00:00:00"/>
    <x v="2"/>
    <n v="84"/>
    <n v="863915"/>
    <n v="174728"/>
    <n v="863915"/>
    <n v="759330"/>
    <n v="738282"/>
    <x v="0"/>
    <n v="8.5000000000000006E-2"/>
    <n v="62753.97"/>
    <n v="0.878940636520954"/>
    <n v="10284.702380952382"/>
  </r>
  <r>
    <s v="AMERICAN BUSINESS BANK"/>
    <s v="Los Angeles"/>
    <x v="0"/>
    <n v="90017"/>
    <d v="2019-09-30T00:00:00"/>
    <x v="0"/>
    <n v="195"/>
    <n v="2331644"/>
    <n v="114288"/>
    <n v="2331644"/>
    <n v="2130576"/>
    <n v="2099318"/>
    <x v="1"/>
    <n v="0.08"/>
    <n v="167945.44"/>
    <n v="0.91376556626997951"/>
    <n v="11957.148717948718"/>
  </r>
  <r>
    <s v="AMERICAN BUSINESS BANK"/>
    <s v="Los Angeles"/>
    <x v="0"/>
    <n v="90071"/>
    <d v="2020-09-30T00:00:00"/>
    <x v="1"/>
    <n v="193"/>
    <n v="3321380"/>
    <n v="134446"/>
    <n v="3321380"/>
    <n v="3085391"/>
    <n v="3048568"/>
    <x v="1"/>
    <n v="0.08"/>
    <n v="243885.44"/>
    <n v="0.92894850935454543"/>
    <n v="17209.222797927461"/>
  </r>
  <r>
    <s v="AMERICAN BUSINESS BANK"/>
    <s v="Los Angeles"/>
    <x v="0"/>
    <n v="90071"/>
    <d v="2021-09-30T00:00:00"/>
    <x v="2"/>
    <n v="202"/>
    <n v="3902852"/>
    <n v="378410"/>
    <n v="3902852"/>
    <n v="3629328"/>
    <n v="3590892"/>
    <x v="1"/>
    <n v="0.08"/>
    <n v="287271.36"/>
    <n v="0.92991689154495227"/>
    <n v="19321.049504950493"/>
  </r>
  <r>
    <s v="AMERICAN COMMERCIAL BANK &amp; TRUST, NATIONAL ASSOCIATION"/>
    <s v="Ottawa"/>
    <x v="1"/>
    <n v="61350"/>
    <d v="2021-09-30T00:00:00"/>
    <x v="2"/>
    <n v="135"/>
    <n v="993267"/>
    <n v="83710"/>
    <n v="993267"/>
    <n v="905190"/>
    <n v="870734"/>
    <x v="0"/>
    <n v="0.08"/>
    <n v="69658.720000000001"/>
    <n v="0.91132595767301239"/>
    <n v="7357.5333333333338"/>
  </r>
  <r>
    <s v="AMERICAN COMMUNITY BANK"/>
    <s v="Glen Cove"/>
    <x v="2"/>
    <n v="11542"/>
    <d v="2019-09-30T00:00:00"/>
    <x v="0"/>
    <n v="37"/>
    <n v="225139"/>
    <n v="29663"/>
    <n v="225139"/>
    <n v="197388"/>
    <n v="191471"/>
    <x v="0"/>
    <n v="8.5000000000000006E-2"/>
    <n v="16275.035000000002"/>
    <n v="0.87673837051776904"/>
    <n v="6084.8378378378375"/>
  </r>
  <r>
    <s v="AMERICAN COMMUNITY BANK"/>
    <s v="Glen Cove"/>
    <x v="2"/>
    <n v="11542"/>
    <d v="2020-09-30T00:00:00"/>
    <x v="1"/>
    <n v="38"/>
    <n v="238636"/>
    <n v="9519"/>
    <n v="238636"/>
    <n v="209758"/>
    <n v="198309"/>
    <x v="0"/>
    <n v="8.5000000000000006E-2"/>
    <n v="16856.264999999999"/>
    <n v="0.87898724417103868"/>
    <n v="6279.894736842105"/>
  </r>
  <r>
    <s v="AMERICAN COMMUNITY BANK"/>
    <s v="Glen Cove"/>
    <x v="2"/>
    <n v="11542"/>
    <d v="2021-09-30T00:00:00"/>
    <x v="2"/>
    <n v="35"/>
    <n v="255238"/>
    <n v="48243"/>
    <n v="255238"/>
    <n v="223967"/>
    <n v="218209"/>
    <x v="0"/>
    <n v="8.5000000000000006E-2"/>
    <n v="18547.765000000003"/>
    <n v="0.87748297667275243"/>
    <n v="7292.5142857142855"/>
  </r>
  <r>
    <s v="AMERICAN COMMUNITY BANK &amp; TRUST"/>
    <s v="Woodstock"/>
    <x v="1"/>
    <n v="60098"/>
    <d v="2019-09-30T00:00:00"/>
    <x v="0"/>
    <n v="61"/>
    <n v="580848"/>
    <n v="87102"/>
    <n v="580848"/>
    <n v="505184"/>
    <n v="502323"/>
    <x v="0"/>
    <n v="0.08"/>
    <n v="40185.840000000004"/>
    <n v="0.86973528358537866"/>
    <n v="9522.0983606557384"/>
  </r>
  <r>
    <s v="AMERICAN COMMUNITY BANK &amp; TRUST"/>
    <s v="Woodstock"/>
    <x v="1"/>
    <n v="60098"/>
    <d v="2020-09-30T00:00:00"/>
    <x v="1"/>
    <n v="61"/>
    <n v="786025"/>
    <n v="59620"/>
    <n v="786025"/>
    <n v="708234"/>
    <n v="685489"/>
    <x v="0"/>
    <n v="0.08"/>
    <n v="54839.12"/>
    <n v="0.90103240991062628"/>
    <n v="12885.655737704918"/>
  </r>
  <r>
    <s v="AMERICAN COMMUNITY BANK &amp; TRUST"/>
    <s v="Woodstock"/>
    <x v="1"/>
    <n v="60098"/>
    <d v="2021-09-30T00:00:00"/>
    <x v="2"/>
    <n v="69"/>
    <n v="861402"/>
    <n v="151776"/>
    <n v="861402"/>
    <n v="773200"/>
    <n v="766337"/>
    <x v="0"/>
    <n v="0.08"/>
    <n v="61306.96"/>
    <n v="0.89760646016610135"/>
    <n v="12484.08695652174"/>
  </r>
  <r>
    <s v="AMERICAN CONTINENTAL BANK"/>
    <s v="City Of Industry"/>
    <x v="0"/>
    <n v="91748"/>
    <d v="2019-09-30T00:00:00"/>
    <x v="0"/>
    <n v="41"/>
    <n v="268311"/>
    <n v="23480"/>
    <n v="268311"/>
    <n v="233409"/>
    <n v="232130"/>
    <x v="0"/>
    <n v="0.09"/>
    <n v="20891.7"/>
    <n v="0.86991960821583914"/>
    <n v="6544.1707317073169"/>
  </r>
  <r>
    <s v="AMERICAN CONTINENTAL BANK"/>
    <s v="City Of Industry"/>
    <x v="0"/>
    <n v="91748"/>
    <d v="2020-09-30T00:00:00"/>
    <x v="1"/>
    <n v="40"/>
    <n v="299231"/>
    <n v="61099"/>
    <n v="299231"/>
    <n v="262561"/>
    <n v="241394"/>
    <x v="0"/>
    <n v="0.09"/>
    <n v="21725.46"/>
    <n v="0.87745253666899481"/>
    <n v="7480.7749999999996"/>
  </r>
  <r>
    <s v="AMERICAN CONTINENTAL BANK"/>
    <s v="City Of Industry"/>
    <x v="0"/>
    <n v="91748"/>
    <d v="2021-09-30T00:00:00"/>
    <x v="2"/>
    <n v="42"/>
    <n v="329488"/>
    <n v="93278"/>
    <n v="329488"/>
    <n v="289006"/>
    <n v="276892"/>
    <x v="0"/>
    <n v="0.09"/>
    <n v="24920.28"/>
    <n v="0.87713664837566163"/>
    <n v="7844.9523809523807"/>
  </r>
  <r>
    <s v="AMERICAN EAGLE BANK"/>
    <s v="South Elgin"/>
    <x v="1"/>
    <n v="60177"/>
    <d v="2019-09-30T00:00:00"/>
    <x v="0"/>
    <n v="27"/>
    <n v="274254"/>
    <n v="42661"/>
    <n v="274254"/>
    <n v="252421"/>
    <n v="245882"/>
    <x v="0"/>
    <n v="0.08"/>
    <n v="19670.560000000001"/>
    <n v="0.92039131607925495"/>
    <n v="10157.555555555555"/>
  </r>
  <r>
    <s v="AMERICAN EAGLE BANK"/>
    <s v="South Elgin"/>
    <x v="1"/>
    <n v="60177"/>
    <d v="2020-09-30T00:00:00"/>
    <x v="1"/>
    <n v="21"/>
    <n v="256806"/>
    <n v="17142"/>
    <n v="256806"/>
    <n v="233458"/>
    <n v="223869"/>
    <x v="0"/>
    <n v="0.08"/>
    <n v="17909.52"/>
    <n v="0.90908312111087752"/>
    <n v="12228.857142857143"/>
  </r>
  <r>
    <s v="AMERICAN EAGLE BANK"/>
    <s v="South Elgin"/>
    <x v="1"/>
    <n v="60177"/>
    <d v="2021-09-30T00:00:00"/>
    <x v="2"/>
    <n v="28"/>
    <n v="357777"/>
    <n v="66697"/>
    <n v="357777"/>
    <n v="325971"/>
    <n v="315748"/>
    <x v="0"/>
    <n v="0.08"/>
    <n v="25259.84"/>
    <n v="0.91110104897743571"/>
    <n v="12777.75"/>
  </r>
  <r>
    <s v="AMERICAN EAGLE BANK OF CHICAGO"/>
    <s v="Chicago"/>
    <x v="1"/>
    <n v="60647"/>
    <d v="2019-09-30T00:00:00"/>
    <x v="0"/>
    <n v="8"/>
    <n v="97208"/>
    <n v="12679"/>
    <n v="97208"/>
    <n v="87265"/>
    <n v="86169"/>
    <x v="2"/>
    <n v="0.09"/>
    <n v="7755.21"/>
    <n v="0.8977141799028886"/>
    <n v="12151"/>
  </r>
  <r>
    <s v="AMERICAN EAGLE BANK OF CHICAGO"/>
    <s v="Chicago"/>
    <x v="1"/>
    <n v="60647"/>
    <d v="2020-09-30T00:00:00"/>
    <x v="1"/>
    <n v="6"/>
    <n v="87543"/>
    <n v="17775"/>
    <n v="87543"/>
    <n v="77994"/>
    <n v="73220"/>
    <x v="2"/>
    <n v="0.09"/>
    <n v="6589.8"/>
    <n v="0.89092217538809504"/>
    <n v="14590.5"/>
  </r>
  <r>
    <s v="AMERICAN METRO BANK"/>
    <s v="Chicago"/>
    <x v="1"/>
    <n v="60640"/>
    <d v="2019-09-30T00:00:00"/>
    <x v="0"/>
    <n v="19"/>
    <n v="81415"/>
    <n v="13730"/>
    <n v="81415"/>
    <n v="72667"/>
    <n v="67119"/>
    <x v="2"/>
    <n v="0.09"/>
    <n v="6040.71"/>
    <n v="0.89255051280476572"/>
    <n v="4285"/>
  </r>
  <r>
    <s v="AMERICAN METRO BANK"/>
    <s v="Chicago"/>
    <x v="1"/>
    <n v="60640"/>
    <d v="2020-09-30T00:00:00"/>
    <x v="1"/>
    <n v="15"/>
    <n v="85914"/>
    <n v="23505"/>
    <n v="85914"/>
    <n v="76709"/>
    <n v="67323"/>
    <x v="2"/>
    <n v="0.09"/>
    <n v="6059.07"/>
    <n v="0.89285797425332314"/>
    <n v="5727.6"/>
  </r>
  <r>
    <s v="AMERICAN METRO BANK"/>
    <s v="Chicago"/>
    <x v="1"/>
    <n v="60640"/>
    <d v="2021-09-30T00:00:00"/>
    <x v="2"/>
    <n v="16"/>
    <n v="88081"/>
    <n v="24836"/>
    <n v="88081"/>
    <n v="78236"/>
    <n v="67924"/>
    <x v="2"/>
    <n v="0.09"/>
    <n v="6113.16"/>
    <n v="0.88822788115484608"/>
    <n v="5505.0625"/>
  </r>
  <r>
    <s v="AMERICAN PLUS BANK, N.A."/>
    <s v="Arcadia"/>
    <x v="0"/>
    <n v="91007"/>
    <d v="2019-09-30T00:00:00"/>
    <x v="0"/>
    <n v="44"/>
    <n v="565881"/>
    <n v="14874"/>
    <n v="565881"/>
    <n v="486410"/>
    <n v="477394"/>
    <x v="0"/>
    <n v="0.09"/>
    <n v="42965.46"/>
    <n v="0.85956234614698146"/>
    <n v="12860.931818181818"/>
  </r>
  <r>
    <s v="AMERICAN PLUS BANK, N.A."/>
    <s v="Arcadia"/>
    <x v="0"/>
    <n v="91007"/>
    <d v="2020-09-30T00:00:00"/>
    <x v="1"/>
    <n v="45"/>
    <n v="576256"/>
    <n v="19860"/>
    <n v="576256"/>
    <n v="490014"/>
    <n v="472199"/>
    <x v="0"/>
    <n v="0.09"/>
    <n v="42497.909999999996"/>
    <n v="0.85034082074633499"/>
    <n v="12805.68888888889"/>
  </r>
  <r>
    <s v="AMERICAN PLUS BANK, N.A."/>
    <s v="Arcadia"/>
    <x v="0"/>
    <n v="91007"/>
    <d v="2021-09-30T00:00:00"/>
    <x v="2"/>
    <n v="44"/>
    <n v="584019"/>
    <n v="15147"/>
    <n v="584019"/>
    <n v="486338"/>
    <n v="481990"/>
    <x v="0"/>
    <n v="0.09"/>
    <n v="43379.1"/>
    <n v="0.83274345526429794"/>
    <n v="13273.15909090909"/>
  </r>
  <r>
    <s v="AMERICAN RIVER BANK"/>
    <s v="Sacramento"/>
    <x v="0"/>
    <n v="95815"/>
    <d v="2019-09-30T00:00:00"/>
    <x v="0"/>
    <n v="104"/>
    <n v="721743"/>
    <n v="29489"/>
    <n v="721742"/>
    <n v="638248"/>
    <n v="612957"/>
    <x v="0"/>
    <n v="0.09"/>
    <n v="55166.13"/>
    <n v="0.88431477686655779"/>
    <n v="6939.8365384615381"/>
  </r>
  <r>
    <s v="AMERICAN RIVER BANK"/>
    <s v="Sacramento"/>
    <x v="0"/>
    <n v="95815"/>
    <d v="2020-09-30T00:00:00"/>
    <x v="1"/>
    <n v="101"/>
    <n v="858463"/>
    <n v="73351"/>
    <n v="858463"/>
    <n v="766122"/>
    <n v="728925"/>
    <x v="0"/>
    <n v="0.09"/>
    <n v="65603.25"/>
    <n v="0.89243450212763975"/>
    <n v="8499.6336633663359"/>
  </r>
  <r>
    <s v="AMERICAN RIVIERA BANK"/>
    <s v="Santa Barbara"/>
    <x v="0"/>
    <n v="93101"/>
    <d v="2019-09-30T00:00:00"/>
    <x v="0"/>
    <n v="112"/>
    <n v="697342"/>
    <n v="79101"/>
    <n v="697343"/>
    <n v="622801"/>
    <n v="603276"/>
    <x v="0"/>
    <n v="0.09"/>
    <n v="54294.84"/>
    <n v="0.89310696903384568"/>
    <n v="6226.2678571428569"/>
  </r>
  <r>
    <s v="AMERICAN RIVIERA BANK"/>
    <s v="Santa Barbara"/>
    <x v="0"/>
    <n v="93101"/>
    <d v="2020-09-30T00:00:00"/>
    <x v="1"/>
    <n v="117"/>
    <n v="930169"/>
    <n v="106335"/>
    <n v="930169"/>
    <n v="848068"/>
    <n v="828805"/>
    <x v="0"/>
    <n v="0.09"/>
    <n v="74592.45"/>
    <n v="0.91173539432081696"/>
    <n v="7950.1623931623935"/>
  </r>
  <r>
    <s v="AMERICAN RIVIERA BANK"/>
    <s v="Santa Barbara"/>
    <x v="0"/>
    <n v="93101"/>
    <d v="2021-09-30T00:00:00"/>
    <x v="2"/>
    <n v="116"/>
    <n v="1218275"/>
    <n v="262964"/>
    <n v="1218275"/>
    <n v="1124456"/>
    <n v="1115678"/>
    <x v="1"/>
    <n v="0.08"/>
    <n v="89254.24"/>
    <n v="0.92299029365291085"/>
    <n v="10502.370689655172"/>
  </r>
  <r>
    <s v="ANCHOR STATE BANK"/>
    <s v="Anchor"/>
    <x v="1"/>
    <n v="61720"/>
    <d v="2019-09-30T00:00:00"/>
    <x v="0"/>
    <n v="3"/>
    <n v="16259"/>
    <n v="3780"/>
    <n v="16259"/>
    <n v="14333"/>
    <n v="14251"/>
    <x v="2"/>
    <n v="0.09"/>
    <n v="1282.5899999999999"/>
    <n v="0.88154253029091578"/>
    <n v="5419.666666666667"/>
  </r>
  <r>
    <s v="ANCHOR STATE BANK"/>
    <s v="Anchor"/>
    <x v="1"/>
    <n v="61720"/>
    <d v="2020-09-30T00:00:00"/>
    <x v="1"/>
    <n v="4"/>
    <n v="25690"/>
    <n v="4048"/>
    <n v="25690"/>
    <n v="20964"/>
    <n v="14530"/>
    <x v="2"/>
    <n v="0.09"/>
    <n v="1307.7"/>
    <n v="0.81603736862592446"/>
    <n v="6422.5"/>
  </r>
  <r>
    <s v="ANCHOR STATE BANK"/>
    <s v="Anchor"/>
    <x v="1"/>
    <n v="61720"/>
    <d v="2021-09-30T00:00:00"/>
    <x v="2"/>
    <n v="6"/>
    <n v="31463"/>
    <n v="2966"/>
    <n v="31463"/>
    <n v="26525"/>
    <n v="21527"/>
    <x v="2"/>
    <n v="0.09"/>
    <n v="1937.4299999999998"/>
    <n v="0.84305374566951663"/>
    <n v="5243.833333333333"/>
  </r>
  <r>
    <s v="ANDERSON STATE BANK"/>
    <s v="Oneida"/>
    <x v="1"/>
    <n v="61467"/>
    <d v="2019-09-30T00:00:00"/>
    <x v="0"/>
    <n v="8"/>
    <n v="89610"/>
    <n v="21575"/>
    <n v="89610"/>
    <n v="75820"/>
    <n v="75608"/>
    <x v="2"/>
    <n v="0.09"/>
    <n v="6804.7199999999993"/>
    <n v="0.84611092511996433"/>
    <n v="11201.25"/>
  </r>
  <r>
    <s v="ANDERSON STATE BANK"/>
    <s v="Oneida"/>
    <x v="1"/>
    <n v="61467"/>
    <d v="2020-09-30T00:00:00"/>
    <x v="1"/>
    <n v="8"/>
    <n v="97381"/>
    <n v="23189"/>
    <n v="97380"/>
    <n v="82241"/>
    <n v="82031"/>
    <x v="2"/>
    <n v="0.09"/>
    <n v="7382.79"/>
    <n v="0.8445281933847465"/>
    <n v="12172.625"/>
  </r>
  <r>
    <s v="ANDERSON STATE BANK"/>
    <s v="Oneida"/>
    <x v="1"/>
    <n v="61467"/>
    <d v="2021-09-30T00:00:00"/>
    <x v="2"/>
    <n v="8"/>
    <n v="105211"/>
    <n v="18225"/>
    <n v="105211"/>
    <n v="89799"/>
    <n v="89625"/>
    <x v="0"/>
    <n v="0.08"/>
    <n v="7170"/>
    <n v="0.85351341589757723"/>
    <n v="13151.375"/>
  </r>
  <r>
    <s v="ANNA STATE BANK"/>
    <s v="Anna"/>
    <x v="1"/>
    <n v="62906"/>
    <d v="2019-09-30T00:00:00"/>
    <x v="0"/>
    <n v="19"/>
    <n v="83705"/>
    <n v="8478"/>
    <n v="83705"/>
    <n v="70482"/>
    <n v="70353"/>
    <x v="2"/>
    <n v="0.09"/>
    <n v="6331.7699999999995"/>
    <n v="0.84202855265515797"/>
    <n v="4405.5263157894733"/>
  </r>
  <r>
    <s v="ANNA STATE BANK"/>
    <s v="Anna"/>
    <x v="1"/>
    <n v="62906"/>
    <d v="2020-09-30T00:00:00"/>
    <x v="1"/>
    <n v="18"/>
    <n v="95599"/>
    <n v="7053"/>
    <n v="95599"/>
    <n v="82040"/>
    <n v="81958"/>
    <x v="2"/>
    <n v="0.09"/>
    <n v="7376.2199999999993"/>
    <n v="0.85816797246833121"/>
    <n v="5311.0555555555557"/>
  </r>
  <r>
    <s v="ANNA STATE BANK"/>
    <s v="Anna"/>
    <x v="1"/>
    <n v="62906"/>
    <d v="2021-09-30T00:00:00"/>
    <x v="2"/>
    <n v="18"/>
    <n v="106462"/>
    <n v="5442"/>
    <n v="106462"/>
    <n v="92606"/>
    <n v="92535"/>
    <x v="0"/>
    <n v="0.08"/>
    <n v="7402.8"/>
    <n v="0.8698502752155699"/>
    <n v="5914.5555555555557"/>
  </r>
  <r>
    <s v="APPLE BANK FOR SAVINGS"/>
    <s v="Manhasset"/>
    <x v="2"/>
    <n v="11030"/>
    <d v="2019-09-30T00:00:00"/>
    <x v="0"/>
    <n v="1117"/>
    <n v="15107686"/>
    <n v="613795"/>
    <n v="15107686"/>
    <n v="13786597"/>
    <n v="13175882"/>
    <x v="1"/>
    <n v="0.08"/>
    <n v="1054070.56"/>
    <n v="0.91255517224808613"/>
    <n v="13525.233661593555"/>
  </r>
  <r>
    <s v="APPLE BANK FOR SAVINGS"/>
    <s v="New York"/>
    <x v="2"/>
    <n v="10168"/>
    <d v="2020-09-30T00:00:00"/>
    <x v="1"/>
    <n v="1232"/>
    <n v="16332133"/>
    <n v="1075074"/>
    <n v="16332133"/>
    <n v="14925690"/>
    <n v="14675353"/>
    <x v="1"/>
    <n v="0.08"/>
    <n v="1174028.24"/>
    <n v="0.91388491631803392"/>
    <n v="13256.601461038961"/>
  </r>
  <r>
    <s v="APPLE BANK FOR SAVINGS"/>
    <s v="New York"/>
    <x v="2"/>
    <n v="10168"/>
    <d v="2021-09-30T00:00:00"/>
    <x v="2"/>
    <n v="1302"/>
    <n v="16123164"/>
    <n v="704205"/>
    <n v="16123164"/>
    <n v="14719878"/>
    <n v="14140051"/>
    <x v="1"/>
    <n v="0.08"/>
    <n v="1131204.08"/>
    <n v="0.91296460173697913"/>
    <n v="12383.382488479263"/>
  </r>
  <r>
    <s v="APPLE RIVER STATE BANK"/>
    <s v="Apple River"/>
    <x v="1"/>
    <n v="61001"/>
    <d v="2019-09-30T00:00:00"/>
    <x v="0"/>
    <n v="56"/>
    <n v="360488"/>
    <n v="43144"/>
    <n v="360488"/>
    <n v="322590"/>
    <n v="298211"/>
    <x v="0"/>
    <n v="0.08"/>
    <n v="23856.880000000001"/>
    <n v="0.89487028694436432"/>
    <n v="6437.2857142857147"/>
  </r>
  <r>
    <s v="APPLE RIVER STATE BANK"/>
    <s v="Apple River"/>
    <x v="1"/>
    <n v="61001"/>
    <d v="2020-09-30T00:00:00"/>
    <x v="1"/>
    <n v="58"/>
    <n v="448152"/>
    <n v="62314"/>
    <n v="448151"/>
    <n v="403529"/>
    <n v="359245"/>
    <x v="0"/>
    <n v="0.08"/>
    <n v="28739.600000000002"/>
    <n v="0.90042887234688229"/>
    <n v="7726.7586206896549"/>
  </r>
  <r>
    <s v="APPLE RIVER STATE BANK"/>
    <s v="Apple River"/>
    <x v="1"/>
    <n v="61001"/>
    <d v="2021-09-30T00:00:00"/>
    <x v="2"/>
    <n v="61"/>
    <n v="526209"/>
    <n v="72472"/>
    <n v="526209"/>
    <n v="477747"/>
    <n v="427013"/>
    <x v="0"/>
    <n v="0.08"/>
    <n v="34161.040000000001"/>
    <n v="0.9079035136229141"/>
    <n v="8626.377049180328"/>
  </r>
  <r>
    <s v="ARCOLA FIRST BANK"/>
    <s v="Arcola"/>
    <x v="1"/>
    <n v="61910"/>
    <d v="2019-09-30T00:00:00"/>
    <x v="0"/>
    <n v="16"/>
    <n v="111005"/>
    <n v="5785"/>
    <n v="111005"/>
    <n v="97796"/>
    <n v="95645"/>
    <x v="0"/>
    <n v="0.08"/>
    <n v="7651.6"/>
    <n v="0.88100536011891362"/>
    <n v="6937.8125"/>
  </r>
  <r>
    <s v="ARCOLA FIRST BANK"/>
    <s v="Arcola"/>
    <x v="1"/>
    <n v="61910"/>
    <d v="2020-09-30T00:00:00"/>
    <x v="1"/>
    <n v="16"/>
    <n v="119365"/>
    <n v="2207"/>
    <n v="119365"/>
    <n v="104041"/>
    <n v="98795"/>
    <x v="0"/>
    <n v="0.08"/>
    <n v="7903.6"/>
    <n v="0.87162065932224686"/>
    <n v="7460.3125"/>
  </r>
  <r>
    <s v="ARCOLA FIRST BANK"/>
    <s v="Arcola"/>
    <x v="1"/>
    <n v="61910"/>
    <d v="2021-09-30T00:00:00"/>
    <x v="2"/>
    <n v="16"/>
    <n v="130151"/>
    <n v="9417"/>
    <n v="130151"/>
    <n v="116059"/>
    <n v="113705"/>
    <x v="0"/>
    <n v="0.08"/>
    <n v="9096.4"/>
    <n v="0.89172576468870768"/>
    <n v="8134.4375"/>
  </r>
  <r>
    <s v="ASIAN PACIFIC NATIONAL BANK"/>
    <s v="San Gabriel"/>
    <x v="0"/>
    <n v="91776"/>
    <d v="2019-09-30T00:00:00"/>
    <x v="0"/>
    <n v="13"/>
    <n v="55888"/>
    <n v="12598"/>
    <n v="55888"/>
    <n v="46101"/>
    <n v="45825"/>
    <x v="2"/>
    <n v="0.1"/>
    <n v="4582.5"/>
    <n v="0.82488190667048378"/>
    <n v="4299.0769230769229"/>
  </r>
  <r>
    <s v="ASIAN PACIFIC NATIONAL BANK"/>
    <s v="San Gabriel"/>
    <x v="0"/>
    <n v="91776"/>
    <d v="2020-09-30T00:00:00"/>
    <x v="1"/>
    <n v="13"/>
    <n v="58573"/>
    <n v="28053"/>
    <n v="58573"/>
    <n v="48599"/>
    <n v="48442"/>
    <x v="2"/>
    <n v="0.1"/>
    <n v="4844.2"/>
    <n v="0.82971676369658376"/>
    <n v="4505.6153846153848"/>
  </r>
  <r>
    <s v="ASIAN PACIFIC NATIONAL BANK"/>
    <s v="San Gabriel"/>
    <x v="0"/>
    <n v="91776"/>
    <d v="2021-09-30T00:00:00"/>
    <x v="2"/>
    <n v="11"/>
    <n v="57398"/>
    <n v="21423"/>
    <n v="57398"/>
    <n v="47305"/>
    <n v="47249"/>
    <x v="2"/>
    <n v="0.1"/>
    <n v="4724.9000000000005"/>
    <n v="0.82415763615456983"/>
    <n v="5218"/>
  </r>
  <r>
    <s v="ATHOL SAVINGS BANK"/>
    <s v="Athol"/>
    <x v="3"/>
    <n v="1331"/>
    <d v="2019-09-30T00:00:00"/>
    <x v="0"/>
    <n v="92"/>
    <n v="448485"/>
    <n v="12863"/>
    <n v="448485"/>
    <n v="388411"/>
    <n v="375923"/>
    <x v="0"/>
    <n v="8.5000000000000006E-2"/>
    <n v="31953.455000000002"/>
    <n v="0.86605126146916844"/>
    <n v="4874.836956521739"/>
  </r>
  <r>
    <s v="ATHOL SAVINGS BANK"/>
    <s v="Athol"/>
    <x v="3"/>
    <n v="1331"/>
    <d v="2020-09-30T00:00:00"/>
    <x v="1"/>
    <n v="79"/>
    <n v="506772"/>
    <n v="48918"/>
    <n v="506772"/>
    <n v="444112"/>
    <n v="432981"/>
    <x v="0"/>
    <n v="8.5000000000000006E-2"/>
    <n v="36803.385000000002"/>
    <n v="0.87635465258538359"/>
    <n v="6414.835443037975"/>
  </r>
  <r>
    <s v="ATHOL SAVINGS BANK"/>
    <s v="Athol"/>
    <x v="3"/>
    <n v="1331"/>
    <d v="2021-09-30T00:00:00"/>
    <x v="2"/>
    <n v="81"/>
    <n v="539880"/>
    <n v="41331"/>
    <n v="539880"/>
    <n v="473012"/>
    <n v="468865"/>
    <x v="0"/>
    <n v="8.5000000000000006E-2"/>
    <n v="39853.525000000001"/>
    <n v="0.8761428465584945"/>
    <n v="6665.1851851851852"/>
  </r>
  <r>
    <s v="AVIDBANK"/>
    <s v="San Jose"/>
    <x v="0"/>
    <n v="95112"/>
    <d v="2019-09-30T00:00:00"/>
    <x v="0"/>
    <n v="107"/>
    <n v="1112372"/>
    <n v="114829"/>
    <n v="1112372"/>
    <n v="996017"/>
    <n v="894490"/>
    <x v="1"/>
    <n v="0.08"/>
    <n v="71559.199999999997"/>
    <n v="0.89539920098672032"/>
    <n v="10396"/>
  </r>
  <r>
    <s v="AVIDBANK"/>
    <s v="San Jose"/>
    <x v="0"/>
    <n v="95112"/>
    <d v="2020-09-30T00:00:00"/>
    <x v="1"/>
    <n v="126"/>
    <n v="1441008"/>
    <n v="348652"/>
    <n v="1441008"/>
    <n v="1308479"/>
    <n v="1280356"/>
    <x v="1"/>
    <n v="0.08"/>
    <n v="102428.48"/>
    <n v="0.90803035097653861"/>
    <n v="11436.571428571429"/>
  </r>
  <r>
    <s v="AVIDBANK"/>
    <s v="San Jose"/>
    <x v="0"/>
    <n v="95112"/>
    <d v="2021-09-30T00:00:00"/>
    <x v="2"/>
    <n v="126"/>
    <n v="1824852"/>
    <n v="413244"/>
    <n v="1824852"/>
    <n v="1675585"/>
    <n v="1651948"/>
    <x v="1"/>
    <n v="0.08"/>
    <n v="132155.84"/>
    <n v="0.91820322963177292"/>
    <n v="14482.952380952382"/>
  </r>
  <r>
    <s v="AVIDIA BANK"/>
    <s v="Hudson"/>
    <x v="3"/>
    <n v="1749"/>
    <d v="2019-09-30T00:00:00"/>
    <x v="0"/>
    <n v="243"/>
    <n v="1659926"/>
    <n v="66277"/>
    <n v="1659926"/>
    <n v="1486798"/>
    <n v="1414733"/>
    <x v="1"/>
    <n v="0.08"/>
    <n v="113178.64"/>
    <n v="0.89570137463959232"/>
    <n v="6830.9711934156376"/>
  </r>
  <r>
    <s v="AVIDIA BANK"/>
    <s v="Hudson"/>
    <x v="3"/>
    <n v="1749"/>
    <d v="2020-09-30T00:00:00"/>
    <x v="1"/>
    <n v="247"/>
    <n v="2005233"/>
    <n v="95298"/>
    <n v="2005233"/>
    <n v="1817055"/>
    <n v="1764877"/>
    <x v="1"/>
    <n v="0.08"/>
    <n v="141190.16"/>
    <n v="0.90615654140940227"/>
    <n v="8118.3522267206481"/>
  </r>
  <r>
    <s v="AVIDIA BANK"/>
    <s v="Hudson"/>
    <x v="3"/>
    <n v="1749"/>
    <d v="2021-09-30T00:00:00"/>
    <x v="2"/>
    <n v="256"/>
    <n v="2316345"/>
    <n v="230364"/>
    <n v="2316345"/>
    <n v="2115461"/>
    <n v="2062787"/>
    <x v="1"/>
    <n v="0.08"/>
    <n v="165022.96"/>
    <n v="0.91327544040287612"/>
    <n v="9048.22265625"/>
  </r>
  <r>
    <s v="AXOS BANK"/>
    <s v="San Diego"/>
    <x v="0"/>
    <n v="92122"/>
    <d v="2019-09-30T00:00:00"/>
    <x v="0"/>
    <n v="1021"/>
    <n v="10877719"/>
    <n v="564963"/>
    <n v="10877719"/>
    <n v="9842923"/>
    <n v="9254495"/>
    <x v="1"/>
    <n v="0.08"/>
    <n v="740359.6"/>
    <n v="0.90487012948210921"/>
    <n v="10653.985308521058"/>
  </r>
  <r>
    <s v="AXOS BANK"/>
    <s v="San Diego"/>
    <x v="0"/>
    <n v="92122"/>
    <d v="2020-09-30T00:00:00"/>
    <x v="1"/>
    <n v="962"/>
    <n v="12426062"/>
    <n v="891769"/>
    <n v="12426063"/>
    <n v="11276535"/>
    <n v="10755592"/>
    <x v="1"/>
    <n v="0.08"/>
    <n v="860447.36"/>
    <n v="0.90749064345566599"/>
    <n v="12916.904365904365"/>
  </r>
  <r>
    <s v="AXOS BANK"/>
    <s v="San Diego"/>
    <x v="0"/>
    <n v="92122"/>
    <d v="2021-09-30T00:00:00"/>
    <x v="2"/>
    <n v="1003"/>
    <n v="13471668"/>
    <n v="966300"/>
    <n v="13471668"/>
    <n v="12124972"/>
    <n v="11825657"/>
    <x v="1"/>
    <n v="0.08"/>
    <n v="946052.56"/>
    <n v="0.90003494741705337"/>
    <n v="13431.373878364906"/>
  </r>
  <r>
    <s v="BAC COMMUNITY BANK"/>
    <s v="Stockton"/>
    <x v="0"/>
    <n v="95202"/>
    <d v="2019-09-30T00:00:00"/>
    <x v="0"/>
    <n v="107"/>
    <n v="644987"/>
    <n v="34631"/>
    <n v="644987"/>
    <n v="575824"/>
    <n v="569704"/>
    <x v="0"/>
    <n v="0.09"/>
    <n v="51273.36"/>
    <n v="0.89276838137822934"/>
    <n v="6027.9158878504677"/>
  </r>
  <r>
    <s v="BAC COMMUNITY BANK"/>
    <s v="Stockton"/>
    <x v="0"/>
    <n v="95202"/>
    <d v="2020-09-30T00:00:00"/>
    <x v="1"/>
    <n v="113"/>
    <n v="755920"/>
    <n v="30812"/>
    <n v="755920"/>
    <n v="679419"/>
    <n v="662739"/>
    <x v="0"/>
    <n v="0.09"/>
    <n v="59646.509999999995"/>
    <n v="0.89879749179807389"/>
    <n v="6689.5575221238942"/>
  </r>
  <r>
    <s v="BAC COMMUNITY BANK"/>
    <s v="Stockton"/>
    <x v="0"/>
    <n v="95202"/>
    <d v="2021-09-30T00:00:00"/>
    <x v="2"/>
    <n v="112"/>
    <n v="809920"/>
    <n v="49953"/>
    <n v="809920"/>
    <n v="732073"/>
    <n v="724727"/>
    <x v="0"/>
    <n v="0.09"/>
    <n v="65225.43"/>
    <n v="0.90388309956538915"/>
    <n v="7231.4285714285716"/>
  </r>
  <r>
    <s v="BALBOA THRIFT AND LOAN ASSOCIATION"/>
    <s v="Chula Vista"/>
    <x v="0"/>
    <n v="91910"/>
    <d v="2019-09-30T00:00:00"/>
    <x v="0"/>
    <n v="86"/>
    <n v="324998"/>
    <n v="21816"/>
    <n v="324998"/>
    <n v="284443"/>
    <n v="283471"/>
    <x v="0"/>
    <n v="0.09"/>
    <n v="25512.39"/>
    <n v="0.87521461670533363"/>
    <n v="3779.046511627907"/>
  </r>
  <r>
    <s v="BALBOA THRIFT AND LOAN ASSOCIATION"/>
    <s v="Chula Vista"/>
    <x v="0"/>
    <n v="91910"/>
    <d v="2020-09-30T00:00:00"/>
    <x v="1"/>
    <n v="88"/>
    <n v="331663"/>
    <n v="28562"/>
    <n v="331663"/>
    <n v="288243"/>
    <n v="287040"/>
    <x v="0"/>
    <n v="0.09"/>
    <n v="25833.599999999999"/>
    <n v="0.86908397982289254"/>
    <n v="3768.8977272727275"/>
  </r>
  <r>
    <s v="BALBOA THRIFT AND LOAN ASSOCIATION"/>
    <s v="Chula Vista"/>
    <x v="0"/>
    <n v="91910"/>
    <d v="2021-09-30T00:00:00"/>
    <x v="2"/>
    <n v="89"/>
    <n v="320343"/>
    <n v="35178"/>
    <n v="320343"/>
    <n v="272078"/>
    <n v="271334"/>
    <x v="0"/>
    <n v="0.09"/>
    <n v="24420.059999999998"/>
    <n v="0.84933337079318105"/>
    <n v="3599.3595505617977"/>
  </r>
  <r>
    <s v="BALLSTON SPA NATIONAL BANK"/>
    <s v="Ballston Spa"/>
    <x v="2"/>
    <n v="12020"/>
    <d v="2019-09-30T00:00:00"/>
    <x v="0"/>
    <n v="120"/>
    <n v="577165"/>
    <n v="24644"/>
    <n v="577165"/>
    <n v="526318"/>
    <n v="504959"/>
    <x v="0"/>
    <n v="8.5000000000000006E-2"/>
    <n v="42921.515000000007"/>
    <n v="0.91190214236830025"/>
    <n v="4809.708333333333"/>
  </r>
  <r>
    <s v="BALLSTON SPA NATIONAL BANK"/>
    <s v="Ballston Spa"/>
    <x v="2"/>
    <n v="12020"/>
    <d v="2020-09-30T00:00:00"/>
    <x v="1"/>
    <n v="116"/>
    <n v="667311"/>
    <n v="72120"/>
    <n v="667311"/>
    <n v="611932"/>
    <n v="587910"/>
    <x v="0"/>
    <n v="8.5000000000000006E-2"/>
    <n v="49972.350000000006"/>
    <n v="0.9170117081840401"/>
    <n v="5752.6810344827591"/>
  </r>
  <r>
    <s v="BALLSTON SPA NATIONAL BANK"/>
    <s v="Ballston Spa"/>
    <x v="2"/>
    <n v="12020"/>
    <d v="2021-09-30T00:00:00"/>
    <x v="2"/>
    <n v="119"/>
    <n v="760631"/>
    <n v="132745"/>
    <n v="760631"/>
    <n v="701109"/>
    <n v="681116"/>
    <x v="0"/>
    <n v="8.5000000000000006E-2"/>
    <n v="57894.86"/>
    <n v="0.92174654990396132"/>
    <n v="6391.8571428571431"/>
  </r>
  <r>
    <s v="BANC OF CALIFORNIA, NATIONAL ASSOCIATION"/>
    <s v="Santa Ana"/>
    <x v="0"/>
    <n v="92707"/>
    <d v="2019-09-30T00:00:00"/>
    <x v="0"/>
    <n v="693"/>
    <n v="8598754"/>
    <n v="526874"/>
    <n v="8598754"/>
    <n v="7618753"/>
    <n v="5856734"/>
    <x v="1"/>
    <n v="0.08"/>
    <n v="468538.72000000003"/>
    <n v="0.88602988293420182"/>
    <n v="12408.014430014429"/>
  </r>
  <r>
    <s v="BANC OF CALIFORNIA, NATIONAL ASSOCIATION"/>
    <s v="Santa Ana"/>
    <x v="0"/>
    <n v="92707"/>
    <d v="2020-09-30T00:00:00"/>
    <x v="1"/>
    <n v="613"/>
    <n v="7725308"/>
    <n v="292490"/>
    <n v="7725308"/>
    <n v="6741988"/>
    <n v="6085896"/>
    <x v="1"/>
    <n v="0.08"/>
    <n v="486871.68"/>
    <n v="0.87271446005777376"/>
    <n v="12602.460032626428"/>
  </r>
  <r>
    <s v="BANC OF CALIFORNIA, NATIONAL ASSOCIATION"/>
    <s v="Santa Ana"/>
    <x v="0"/>
    <n v="92707"/>
    <d v="2021-09-30T00:00:00"/>
    <x v="2"/>
    <n v="598"/>
    <n v="8272546"/>
    <n v="185840"/>
    <n v="8272546"/>
    <n v="7243280"/>
    <n v="6598009"/>
    <x v="1"/>
    <n v="0.08"/>
    <n v="527840.72"/>
    <n v="0.87558050447830693"/>
    <n v="13833.688963210703"/>
  </r>
  <r>
    <s v="BANK &amp; TRUST COMPANY"/>
    <s v="Litchfield"/>
    <x v="1"/>
    <n v="62056"/>
    <d v="2019-09-30T00:00:00"/>
    <x v="0"/>
    <n v="87"/>
    <n v="341286"/>
    <n v="9678"/>
    <n v="341286"/>
    <n v="305089"/>
    <n v="288033"/>
    <x v="0"/>
    <n v="0.08"/>
    <n v="23042.639999999999"/>
    <n v="0.89393939393939392"/>
    <n v="3922.8275862068967"/>
  </r>
  <r>
    <s v="BANK &amp; TRUST COMPANY"/>
    <s v="Litchfield"/>
    <x v="1"/>
    <n v="62056"/>
    <d v="2020-09-30T00:00:00"/>
    <x v="1"/>
    <n v="85"/>
    <n v="397134"/>
    <n v="18490"/>
    <n v="397134"/>
    <n v="357293"/>
    <n v="333808"/>
    <x v="0"/>
    <n v="0.08"/>
    <n v="26704.639999999999"/>
    <n v="0.89967869787024024"/>
    <n v="4672.1647058823528"/>
  </r>
  <r>
    <s v="BANK &amp; TRUST COMPANY"/>
    <s v="Litchfield"/>
    <x v="1"/>
    <n v="62056"/>
    <d v="2021-09-30T00:00:00"/>
    <x v="2"/>
    <n v="82"/>
    <n v="414054"/>
    <n v="16727"/>
    <n v="414054"/>
    <n v="371748"/>
    <n v="346666"/>
    <x v="0"/>
    <n v="0.08"/>
    <n v="27733.279999999999"/>
    <n v="0.89782492138706549"/>
    <n v="5049.4390243902435"/>
  </r>
  <r>
    <s v="BANK HAPOALIM B.M."/>
    <s v="New York"/>
    <x v="2"/>
    <n v="10036"/>
    <d v="2019-09-30T00:00:00"/>
    <x v="0"/>
    <n v="800"/>
    <n v="6931671"/>
    <n v="2377672"/>
    <n v="6931671"/>
    <n v="6931671"/>
    <n v="2858951"/>
    <x v="1"/>
    <n v="0.08"/>
    <n v="228716.08000000002"/>
    <n v="1"/>
    <n v="8664.5887500000008"/>
  </r>
  <r>
    <s v="BANK HAPOALIM B.M."/>
    <s v="New York"/>
    <x v="2"/>
    <n v="10036"/>
    <d v="2020-09-30T00:00:00"/>
    <x v="1"/>
    <n v="456"/>
    <n v="7712438"/>
    <n v="2807420"/>
    <n v="7712438"/>
    <n v="7712438"/>
    <n v="3383785"/>
    <x v="1"/>
    <n v="0.08"/>
    <n v="270702.8"/>
    <n v="1"/>
    <n v="16913.241228070176"/>
  </r>
  <r>
    <s v="BANK HAPOALIM B.M."/>
    <s v="New York"/>
    <x v="2"/>
    <n v="10036"/>
    <d v="2021-09-30T00:00:00"/>
    <x v="2"/>
    <n v="880"/>
    <n v="9122658"/>
    <n v="3374365"/>
    <n v="9122658"/>
    <n v="9122658"/>
    <n v="4130765"/>
    <x v="1"/>
    <n v="0.08"/>
    <n v="330461.2"/>
    <n v="1"/>
    <n v="10366.656818181818"/>
  </r>
  <r>
    <s v="BANK LEUMI USA"/>
    <s v="New York"/>
    <x v="2"/>
    <n v="10017"/>
    <d v="2019-09-30T00:00:00"/>
    <x v="0"/>
    <n v="457"/>
    <n v="6808523"/>
    <n v="154029"/>
    <n v="6808523"/>
    <n v="5962622"/>
    <n v="5494271"/>
    <x v="1"/>
    <n v="0.08"/>
    <n v="439541.68"/>
    <n v="0.87575851620094403"/>
    <n v="14898.299781181619"/>
  </r>
  <r>
    <s v="BANK LEUMI USA"/>
    <s v="New York"/>
    <x v="2"/>
    <n v="10017"/>
    <d v="2020-09-30T00:00:00"/>
    <x v="1"/>
    <n v="466"/>
    <n v="7351872"/>
    <n v="235586"/>
    <n v="7351872"/>
    <n v="6499940"/>
    <n v="6183056"/>
    <x v="1"/>
    <n v="0.08"/>
    <n v="494644.47999999998"/>
    <n v="0.88412039817885835"/>
    <n v="15776.549356223177"/>
  </r>
  <r>
    <s v="BANK LEUMI USA"/>
    <s v="New York"/>
    <x v="2"/>
    <n v="10017"/>
    <d v="2021-09-30T00:00:00"/>
    <x v="2"/>
    <n v="478"/>
    <n v="7970895"/>
    <n v="407722"/>
    <n v="7970895"/>
    <n v="7074373"/>
    <n v="6770733"/>
    <x v="1"/>
    <n v="0.08"/>
    <n v="541658.64"/>
    <n v="0.88752555390580357"/>
    <n v="16675.512552301254"/>
  </r>
  <r>
    <s v="BANK OF AKRON"/>
    <s v="Akron"/>
    <x v="2"/>
    <n v="14001"/>
    <d v="2019-09-30T00:00:00"/>
    <x v="0"/>
    <n v="76"/>
    <n v="388877"/>
    <n v="25885"/>
    <n v="388877"/>
    <n v="350458"/>
    <n v="339733"/>
    <x v="0"/>
    <n v="8.5000000000000006E-2"/>
    <n v="28877.305"/>
    <n v="0.90120526541811419"/>
    <n v="5116.8026315789475"/>
  </r>
  <r>
    <s v="BANK OF AMERICA CALIFORNIA, NATIONAL ASSOCIATION"/>
    <s v="San Francisco"/>
    <x v="0"/>
    <n v="94104"/>
    <d v="2019-09-30T00:00:00"/>
    <x v="0"/>
    <n v="1300"/>
    <n v="13363000"/>
    <n v="3019000"/>
    <n v="13363000"/>
    <n v="11382000"/>
    <n v="10828000"/>
    <x v="1"/>
    <n v="0.08"/>
    <n v="866240"/>
    <n v="0.85175484546883184"/>
    <n v="10279.23076923077"/>
  </r>
  <r>
    <s v="BANK OF AMERICA CALIFORNIA, NATIONAL ASSOCIATION"/>
    <s v="San Francisco"/>
    <x v="0"/>
    <n v="94104"/>
    <d v="2020-09-30T00:00:00"/>
    <x v="1"/>
    <n v="1305"/>
    <n v="22254000"/>
    <n v="14284000"/>
    <n v="22254000"/>
    <n v="20170000"/>
    <n v="19621000"/>
    <x v="1"/>
    <n v="0.08"/>
    <n v="1569680"/>
    <n v="0.90635391390311859"/>
    <n v="17052.873563218393"/>
  </r>
  <r>
    <s v="BANK OF AMERICA CALIFORNIA, NATIONAL ASSOCIATION"/>
    <s v="San Francisco"/>
    <x v="0"/>
    <n v="94104"/>
    <d v="2021-09-30T00:00:00"/>
    <x v="2"/>
    <n v="1360"/>
    <n v="26632000"/>
    <n v="12838000"/>
    <n v="26632000"/>
    <n v="24440000"/>
    <n v="24164000"/>
    <x v="1"/>
    <n v="0.08"/>
    <n v="1933120"/>
    <n v="0.91769300090117156"/>
    <n v="19582.352941176472"/>
  </r>
  <r>
    <s v="BANK OF BARODA"/>
    <s v="New York"/>
    <x v="2"/>
    <n v="10016"/>
    <d v="2019-09-30T00:00:00"/>
    <x v="0"/>
    <n v="1101"/>
    <n v="10857592"/>
    <n v="3329031"/>
    <n v="10857592"/>
    <n v="10857592"/>
    <n v="5264805"/>
    <x v="1"/>
    <n v="0.08"/>
    <n v="421184.4"/>
    <n v="1"/>
    <n v="9861.5731153496818"/>
  </r>
  <r>
    <s v="BANK OF BARODA"/>
    <s v="New York"/>
    <x v="2"/>
    <n v="10016"/>
    <d v="2020-09-30T00:00:00"/>
    <x v="1"/>
    <n v="1132"/>
    <n v="12433259"/>
    <n v="6209027"/>
    <n v="12433259"/>
    <n v="12433259"/>
    <n v="5603890"/>
    <x v="1"/>
    <n v="0.08"/>
    <n v="448311.2"/>
    <n v="1"/>
    <n v="10983.444346289753"/>
  </r>
  <r>
    <s v="BANK OF BARODA"/>
    <s v="New York"/>
    <x v="2"/>
    <n v="10016"/>
    <d v="2021-09-30T00:00:00"/>
    <x v="2"/>
    <n v="1350"/>
    <n v="10520020"/>
    <n v="5434730"/>
    <n v="10520020"/>
    <n v="10520020"/>
    <n v="3838945"/>
    <x v="1"/>
    <n v="0.08"/>
    <n v="307115.60000000003"/>
    <n v="1"/>
    <n v="7792.6074074074077"/>
  </r>
  <r>
    <s v="BANK OF BELLEVILLE"/>
    <s v="Belleville"/>
    <x v="1"/>
    <n v="62220"/>
    <d v="2019-09-30T00:00:00"/>
    <x v="0"/>
    <n v="39"/>
    <n v="225988"/>
    <n v="33808"/>
    <n v="225988"/>
    <n v="207950"/>
    <n v="192919"/>
    <x v="0"/>
    <n v="0.08"/>
    <n v="15433.52"/>
    <n v="0.92018160256296799"/>
    <n v="5794.5641025641025"/>
  </r>
  <r>
    <s v="BANK OF BELLEVILLE"/>
    <s v="Belleville"/>
    <x v="1"/>
    <n v="62220"/>
    <d v="2020-09-30T00:00:00"/>
    <x v="1"/>
    <n v="42"/>
    <n v="299301"/>
    <n v="24646"/>
    <n v="299301"/>
    <n v="277834"/>
    <n v="223571"/>
    <x v="0"/>
    <n v="0.08"/>
    <n v="17885.68"/>
    <n v="0.92827621691875406"/>
    <n v="7126.2142857142853"/>
  </r>
  <r>
    <s v="BANK OF BELLEVILLE"/>
    <s v="Belleville"/>
    <x v="1"/>
    <n v="62220"/>
    <d v="2021-09-30T00:00:00"/>
    <x v="2"/>
    <n v="56"/>
    <n v="337418"/>
    <n v="31905"/>
    <n v="337418"/>
    <n v="309850"/>
    <n v="285269"/>
    <x v="0"/>
    <n v="0.08"/>
    <n v="22821.52"/>
    <n v="0.9182971862793331"/>
    <n v="6025.3214285714284"/>
  </r>
  <r>
    <s v="BANK OF BLUFFS"/>
    <s v="Bluffs"/>
    <x v="1"/>
    <n v="62621"/>
    <d v="2019-09-30T00:00:00"/>
    <x v="0"/>
    <n v="14"/>
    <n v="54384"/>
    <n v="4774"/>
    <n v="54384"/>
    <n v="46215"/>
    <n v="46183"/>
    <x v="2"/>
    <n v="0.09"/>
    <n v="4156.47"/>
    <n v="0.84979037952338921"/>
    <n v="3884.5714285714284"/>
  </r>
  <r>
    <s v="BANK OF BLUFFS"/>
    <s v="Bluffs"/>
    <x v="1"/>
    <n v="62621"/>
    <d v="2020-09-30T00:00:00"/>
    <x v="1"/>
    <n v="15"/>
    <n v="59532"/>
    <n v="8579"/>
    <n v="59532"/>
    <n v="51031"/>
    <n v="46984"/>
    <x v="2"/>
    <n v="0.09"/>
    <n v="4228.5599999999995"/>
    <n v="0.85720284888799303"/>
    <n v="3968.8"/>
  </r>
  <r>
    <s v="BANK OF BLUFFS"/>
    <s v="Bluffs"/>
    <x v="1"/>
    <n v="62621"/>
    <d v="2021-09-30T00:00:00"/>
    <x v="2"/>
    <n v="13"/>
    <n v="61246"/>
    <n v="6620"/>
    <n v="61246"/>
    <n v="52829"/>
    <n v="52776"/>
    <x v="2"/>
    <n v="0.09"/>
    <n v="4749.84"/>
    <n v="0.86257061685661107"/>
    <n v="4711.2307692307695"/>
  </r>
  <r>
    <s v="BANK OF CALHOUN COUNTY"/>
    <s v="Hardin"/>
    <x v="1"/>
    <n v="62047"/>
    <d v="2019-09-30T00:00:00"/>
    <x v="0"/>
    <n v="14"/>
    <n v="66805"/>
    <n v="15626"/>
    <n v="66805"/>
    <n v="60087"/>
    <n v="59726"/>
    <x v="2"/>
    <n v="0.09"/>
    <n v="5375.34"/>
    <n v="0.89943866477060097"/>
    <n v="4771.7857142857147"/>
  </r>
  <r>
    <s v="BANK OF CALHOUN COUNTY"/>
    <s v="Hardin"/>
    <x v="1"/>
    <n v="62047"/>
    <d v="2020-09-30T00:00:00"/>
    <x v="1"/>
    <n v="14"/>
    <n v="72427"/>
    <n v="23056"/>
    <n v="72427"/>
    <n v="65446"/>
    <n v="63859"/>
    <x v="2"/>
    <n v="0.09"/>
    <n v="5747.3099999999995"/>
    <n v="0.90361329338506358"/>
    <n v="5173.3571428571431"/>
  </r>
  <r>
    <s v="BANK OF CALHOUN COUNTY"/>
    <s v="Hardin"/>
    <x v="1"/>
    <n v="62047"/>
    <d v="2021-09-30T00:00:00"/>
    <x v="2"/>
    <n v="14"/>
    <n v="80059"/>
    <n v="28494"/>
    <n v="80059"/>
    <n v="73043"/>
    <n v="72690"/>
    <x v="2"/>
    <n v="0.09"/>
    <n v="6542.0999999999995"/>
    <n v="0.91236463108457511"/>
    <n v="5718.5"/>
  </r>
  <r>
    <s v="BANK OF CATTARAUGUS"/>
    <s v="Cattaraugus"/>
    <x v="2"/>
    <n v="14719"/>
    <d v="2019-09-30T00:00:00"/>
    <x v="0"/>
    <n v="9"/>
    <n v="23927"/>
    <n v="5274"/>
    <n v="23927"/>
    <n v="21878"/>
    <n v="21852"/>
    <x v="2"/>
    <n v="0.09"/>
    <n v="1966.6799999999998"/>
    <n v="0.91436452543152091"/>
    <n v="2658.5555555555557"/>
  </r>
  <r>
    <s v="BANK OF CATTARAUGUS"/>
    <s v="Cattaraugus"/>
    <x v="2"/>
    <n v="14719"/>
    <d v="2020-09-30T00:00:00"/>
    <x v="1"/>
    <n v="9"/>
    <n v="25255"/>
    <n v="5205"/>
    <n v="25255"/>
    <n v="23088"/>
    <n v="23065"/>
    <x v="2"/>
    <n v="0.09"/>
    <n v="2075.85"/>
    <n v="0.91419520886953076"/>
    <n v="2806.1111111111113"/>
  </r>
  <r>
    <s v="BANK OF CATTARAUGUS"/>
    <s v="Cattaraugus"/>
    <x v="2"/>
    <n v="14719"/>
    <d v="2021-09-30T00:00:00"/>
    <x v="2"/>
    <n v="8"/>
    <n v="28220"/>
    <n v="8514"/>
    <n v="28220"/>
    <n v="25957"/>
    <n v="25932"/>
    <x v="2"/>
    <n v="0.09"/>
    <n v="2333.88"/>
    <n v="0.91980864635010628"/>
    <n v="3527.5"/>
  </r>
  <r>
    <s v="BANK OF CHESTNUT"/>
    <s v="Chestnut"/>
    <x v="1"/>
    <n v="62518"/>
    <d v="2019-09-30T00:00:00"/>
    <x v="0"/>
    <n v="5"/>
    <n v="18068"/>
    <n v="1280"/>
    <n v="18068"/>
    <n v="16258"/>
    <n v="16195"/>
    <x v="2"/>
    <n v="0.09"/>
    <n v="1457.55"/>
    <n v="0.89982289129953508"/>
    <n v="3613.6"/>
  </r>
  <r>
    <s v="BANK OF CHESTNUT"/>
    <s v="Chestnut"/>
    <x v="1"/>
    <n v="62518"/>
    <d v="2020-09-30T00:00:00"/>
    <x v="1"/>
    <n v="5"/>
    <n v="18449"/>
    <n v="1100"/>
    <n v="18449"/>
    <n v="16612"/>
    <n v="16539"/>
    <x v="2"/>
    <n v="0.09"/>
    <n v="1488.51"/>
    <n v="0.9004282074909209"/>
    <n v="3689.8"/>
  </r>
  <r>
    <s v="BANK OF CHESTNUT"/>
    <s v="Chestnut"/>
    <x v="1"/>
    <n v="62518"/>
    <d v="2021-09-30T00:00:00"/>
    <x v="2"/>
    <n v="6"/>
    <n v="20605"/>
    <n v="599"/>
    <n v="20605"/>
    <n v="18778"/>
    <n v="18511"/>
    <x v="2"/>
    <n v="0.09"/>
    <n v="1665.99"/>
    <n v="0.91133220092210632"/>
    <n v="3434.1666666666665"/>
  </r>
  <r>
    <s v="BANK OF CHINA"/>
    <s v="New York"/>
    <x v="2"/>
    <n v="10018"/>
    <d v="2019-09-30T00:00:00"/>
    <x v="0"/>
    <n v="310000"/>
    <n v="43589352"/>
    <n v="22122799"/>
    <n v="43589352"/>
    <n v="43589352"/>
    <n v="19114117"/>
    <x v="1"/>
    <n v="0.08"/>
    <n v="1529129.36"/>
    <n v="1"/>
    <n v="140.61081290322582"/>
  </r>
  <r>
    <s v="BANK OF CHINA"/>
    <s v="New York"/>
    <x v="2"/>
    <n v="10018"/>
    <d v="2020-09-30T00:00:00"/>
    <x v="1"/>
    <n v="311000"/>
    <n v="51877638"/>
    <n v="27893161"/>
    <n v="51877638"/>
    <n v="51877638"/>
    <n v="23144796"/>
    <x v="1"/>
    <n v="0.08"/>
    <n v="1851583.68"/>
    <n v="1"/>
    <n v="166.80912540192926"/>
  </r>
  <r>
    <s v="BANK OF CHINA"/>
    <s v="New York"/>
    <x v="2"/>
    <n v="10018"/>
    <d v="2021-09-30T00:00:00"/>
    <x v="2"/>
    <n v="315000"/>
    <n v="42829037"/>
    <n v="21828831"/>
    <n v="42829037"/>
    <n v="42829037"/>
    <n v="21763226"/>
    <x v="1"/>
    <n v="0.08"/>
    <n v="1741058.08"/>
    <n v="1"/>
    <n v="135.96519682539682"/>
  </r>
  <r>
    <s v="BANK OF EASTON"/>
    <s v="North Easton"/>
    <x v="3"/>
    <n v="2356"/>
    <d v="2019-09-30T00:00:00"/>
    <x v="0"/>
    <n v="17"/>
    <n v="154172"/>
    <n v="28390"/>
    <n v="154172"/>
    <n v="136396"/>
    <n v="127728"/>
    <x v="0"/>
    <n v="8.5000000000000006E-2"/>
    <n v="10856.880000000001"/>
    <n v="0.88470020496588231"/>
    <n v="9068.9411764705874"/>
  </r>
  <r>
    <s v="BANK OF EASTON"/>
    <s v="North Easton"/>
    <x v="3"/>
    <n v="2356"/>
    <d v="2020-09-30T00:00:00"/>
    <x v="1"/>
    <n v="18"/>
    <n v="175577"/>
    <n v="39405"/>
    <n v="175577"/>
    <n v="156093"/>
    <n v="152999"/>
    <x v="0"/>
    <n v="8.5000000000000006E-2"/>
    <n v="13004.915000000001"/>
    <n v="0.88902874522289366"/>
    <n v="9754.2777777777774"/>
  </r>
  <r>
    <s v="BANK OF EASTON"/>
    <s v="North Easton"/>
    <x v="3"/>
    <n v="2356"/>
    <d v="2021-09-30T00:00:00"/>
    <x v="2"/>
    <n v="17"/>
    <n v="184488"/>
    <n v="35146"/>
    <n v="184488"/>
    <n v="164507"/>
    <n v="161458"/>
    <x v="0"/>
    <n v="8.5000000000000006E-2"/>
    <n v="13723.93"/>
    <n v="0.89169485278175276"/>
    <n v="10852.235294117647"/>
  </r>
  <r>
    <s v="BANK OF FARMINGTON"/>
    <s v="Farmington"/>
    <x v="1"/>
    <n v="61531"/>
    <d v="2019-09-30T00:00:00"/>
    <x v="0"/>
    <n v="39"/>
    <n v="180428"/>
    <n v="16498"/>
    <n v="180428"/>
    <n v="159261"/>
    <n v="157623"/>
    <x v="0"/>
    <n v="0.08"/>
    <n v="12609.84"/>
    <n v="0.8826845057308178"/>
    <n v="4626.3589743589746"/>
  </r>
  <r>
    <s v="BANK OF FARMINGTON"/>
    <s v="Farmington"/>
    <x v="1"/>
    <n v="61531"/>
    <d v="2020-09-30T00:00:00"/>
    <x v="1"/>
    <n v="37"/>
    <n v="198218"/>
    <n v="12163"/>
    <n v="198218"/>
    <n v="176022"/>
    <n v="165135"/>
    <x v="0"/>
    <n v="0.08"/>
    <n v="13210.800000000001"/>
    <n v="0.88802227850144788"/>
    <n v="5357.2432432432433"/>
  </r>
  <r>
    <s v="BANK OF FARMINGTON"/>
    <s v="Farmington"/>
    <x v="1"/>
    <n v="61531"/>
    <d v="2021-09-30T00:00:00"/>
    <x v="2"/>
    <n v="39"/>
    <n v="217482"/>
    <n v="23105"/>
    <n v="217482"/>
    <n v="194507"/>
    <n v="185080"/>
    <x v="0"/>
    <n v="0.08"/>
    <n v="14806.4"/>
    <n v="0.89435907339457976"/>
    <n v="5576.4615384615381"/>
  </r>
  <r>
    <s v="BANK OF FEATHER RIVER"/>
    <s v="Yuba City"/>
    <x v="0"/>
    <n v="95991"/>
    <d v="2019-09-30T00:00:00"/>
    <x v="0"/>
    <n v="25"/>
    <n v="135667"/>
    <n v="15472"/>
    <n v="135667"/>
    <n v="120828"/>
    <n v="105819"/>
    <x v="0"/>
    <n v="0.09"/>
    <n v="9523.7099999999991"/>
    <n v="0.89062189036390571"/>
    <n v="5426.68"/>
  </r>
  <r>
    <s v="BANK OF FEATHER RIVER"/>
    <s v="Yuba City"/>
    <x v="0"/>
    <n v="95991"/>
    <d v="2020-09-30T00:00:00"/>
    <x v="1"/>
    <n v="25"/>
    <n v="184409"/>
    <n v="21319"/>
    <n v="184409"/>
    <n v="167673"/>
    <n v="150532"/>
    <x v="0"/>
    <n v="0.09"/>
    <n v="13547.88"/>
    <n v="0.9092452103747648"/>
    <n v="7376.36"/>
  </r>
  <r>
    <s v="BANK OF GIBSON CITY"/>
    <s v="Gibson City"/>
    <x v="1"/>
    <n v="60936"/>
    <d v="2019-09-30T00:00:00"/>
    <x v="0"/>
    <n v="13"/>
    <n v="86279"/>
    <n v="14249"/>
    <n v="86279"/>
    <n v="75846"/>
    <n v="68285"/>
    <x v="2"/>
    <n v="0.09"/>
    <n v="6145.65"/>
    <n v="0.87907833887736297"/>
    <n v="6636.8461538461543"/>
  </r>
  <r>
    <s v="BANK OF GIBSON CITY"/>
    <s v="Gibson City"/>
    <x v="1"/>
    <n v="60936"/>
    <d v="2020-09-30T00:00:00"/>
    <x v="1"/>
    <n v="15"/>
    <n v="105373"/>
    <n v="17448"/>
    <n v="105373"/>
    <n v="94068"/>
    <n v="76510"/>
    <x v="0"/>
    <n v="0.08"/>
    <n v="6120.8"/>
    <n v="0.89271445246884873"/>
    <n v="7024.8666666666668"/>
  </r>
  <r>
    <s v="BANK OF GIBSON CITY"/>
    <s v="Gibson City"/>
    <x v="1"/>
    <n v="60936"/>
    <d v="2021-09-30T00:00:00"/>
    <x v="2"/>
    <n v="17"/>
    <n v="124764"/>
    <n v="30599"/>
    <n v="124764"/>
    <n v="112047"/>
    <n v="96811"/>
    <x v="0"/>
    <n v="0.08"/>
    <n v="7744.88"/>
    <n v="0.8980715591035876"/>
    <n v="7339.0588235294117"/>
  </r>
  <r>
    <s v="BANK OF HILLSBORO, NATIONAL ASSOCIATION"/>
    <s v="Hillsboro"/>
    <x v="1"/>
    <n v="62049"/>
    <d v="2019-09-30T00:00:00"/>
    <x v="0"/>
    <n v="96"/>
    <n v="360656"/>
    <n v="16308"/>
    <n v="360656"/>
    <n v="319580"/>
    <n v="318601"/>
    <x v="0"/>
    <n v="0.08"/>
    <n v="25488.080000000002"/>
    <n v="0.88610753737633641"/>
    <n v="3756.8333333333335"/>
  </r>
  <r>
    <s v="BANK OF HILLSBORO, NATIONAL ASSOCIATION"/>
    <s v="Hillsboro"/>
    <x v="1"/>
    <n v="62049"/>
    <d v="2020-09-30T00:00:00"/>
    <x v="1"/>
    <n v="97"/>
    <n v="442376"/>
    <n v="19041"/>
    <n v="442376"/>
    <n v="396240"/>
    <n v="391071"/>
    <x v="0"/>
    <n v="0.08"/>
    <n v="31285.68"/>
    <n v="0.89570862795450024"/>
    <n v="4560.5773195876291"/>
  </r>
  <r>
    <s v="BANK OF HILLSBORO, NATIONAL ASSOCIATION"/>
    <s v="Hillsboro"/>
    <x v="1"/>
    <n v="62049"/>
    <d v="2021-09-30T00:00:00"/>
    <x v="2"/>
    <n v="101"/>
    <n v="514699"/>
    <n v="10905"/>
    <n v="514699"/>
    <n v="466268"/>
    <n v="465563"/>
    <x v="0"/>
    <n v="0.08"/>
    <n v="37245.040000000001"/>
    <n v="0.90590422751938515"/>
    <n v="5096.029702970297"/>
  </r>
  <r>
    <s v="BANK OF HOLLAND"/>
    <s v="Holland"/>
    <x v="2"/>
    <n v="14080"/>
    <d v="2019-09-30T00:00:00"/>
    <x v="0"/>
    <n v="30"/>
    <n v="143962"/>
    <n v="4812"/>
    <n v="143962"/>
    <n v="132517"/>
    <n v="132102"/>
    <x v="0"/>
    <n v="8.5000000000000006E-2"/>
    <n v="11228.67"/>
    <n v="0.9204998541281727"/>
    <n v="4798.7333333333336"/>
  </r>
  <r>
    <s v="BANK OF HOLLAND"/>
    <s v="Holland"/>
    <x v="2"/>
    <n v="14080"/>
    <d v="2020-09-30T00:00:00"/>
    <x v="1"/>
    <n v="30"/>
    <n v="165946"/>
    <n v="5498"/>
    <n v="165946"/>
    <n v="152971"/>
    <n v="152300"/>
    <x v="0"/>
    <n v="8.5000000000000006E-2"/>
    <n v="12945.500000000002"/>
    <n v="0.92181191471924606"/>
    <n v="5531.5333333333338"/>
  </r>
  <r>
    <s v="BANK OF HOLLAND"/>
    <s v="Holland"/>
    <x v="2"/>
    <n v="14080"/>
    <d v="2021-09-30T00:00:00"/>
    <x v="2"/>
    <n v="34"/>
    <n v="192060"/>
    <n v="6540"/>
    <n v="192060"/>
    <n v="177616"/>
    <n v="176978"/>
    <x v="0"/>
    <n v="8.5000000000000006E-2"/>
    <n v="15043.130000000001"/>
    <n v="0.92479433510361342"/>
    <n v="5648.8235294117649"/>
  </r>
  <r>
    <s v="BANK OF HOPE"/>
    <s v="Los Angeles"/>
    <x v="0"/>
    <n v="90010"/>
    <d v="2019-09-30T00:00:00"/>
    <x v="0"/>
    <n v="1452"/>
    <n v="15380225"/>
    <n v="606780"/>
    <n v="15380225"/>
    <n v="13073982"/>
    <n v="12255855"/>
    <x v="1"/>
    <n v="0.08"/>
    <n v="980468.4"/>
    <n v="0.85005141342210533"/>
    <n v="10592.441460055097"/>
  </r>
  <r>
    <s v="BANK OF HOPE"/>
    <s v="Los Angeles"/>
    <x v="0"/>
    <n v="90010"/>
    <d v="2020-09-30T00:00:00"/>
    <x v="1"/>
    <n v="1436"/>
    <n v="16731681"/>
    <n v="724673"/>
    <n v="16731681"/>
    <n v="14410207"/>
    <n v="14029082"/>
    <x v="1"/>
    <n v="0.08"/>
    <n v="1122326.56"/>
    <n v="0.86125279342822758"/>
    <n v="11651.58844011142"/>
  </r>
  <r>
    <s v="BANK OF HOPE"/>
    <s v="Los Angeles"/>
    <x v="0"/>
    <n v="90010"/>
    <d v="2021-09-30T00:00:00"/>
    <x v="2"/>
    <n v="1461"/>
    <n v="17793623"/>
    <n v="698910"/>
    <n v="17793623"/>
    <n v="15431104"/>
    <n v="15087270"/>
    <x v="1"/>
    <n v="0.08"/>
    <n v="1206981.6000000001"/>
    <n v="0.86722664631031021"/>
    <n v="12179.071184120465"/>
  </r>
  <r>
    <s v="BANK OF INDIA"/>
    <s v="New York"/>
    <x v="2"/>
    <n v="10017"/>
    <d v="2019-09-30T00:00:00"/>
    <x v="0"/>
    <n v="200"/>
    <n v="3982412"/>
    <n v="1664815"/>
    <n v="3982412"/>
    <n v="3982412"/>
    <n v="3247804"/>
    <x v="1"/>
    <n v="0.08"/>
    <n v="259824.32"/>
    <n v="1"/>
    <n v="19912.060000000001"/>
  </r>
  <r>
    <s v="BANK OF INDIA"/>
    <s v="New York"/>
    <x v="2"/>
    <n v="10017"/>
    <d v="2020-09-30T00:00:00"/>
    <x v="1"/>
    <n v="369"/>
    <n v="4468278"/>
    <n v="2915416"/>
    <n v="4468278"/>
    <n v="4468278"/>
    <n v="2018117"/>
    <x v="1"/>
    <n v="0.08"/>
    <n v="161449.36000000002"/>
    <n v="1"/>
    <n v="12109.154471544716"/>
  </r>
  <r>
    <s v="BANK OF INDIA"/>
    <s v="New York"/>
    <x v="2"/>
    <n v="10017"/>
    <d v="2021-09-30T00:00:00"/>
    <x v="2"/>
    <n v="780"/>
    <n v="4451922"/>
    <n v="2563212"/>
    <n v="4451922"/>
    <n v="4451922"/>
    <n v="1726518"/>
    <x v="1"/>
    <n v="0.08"/>
    <n v="138121.44"/>
    <n v="1"/>
    <n v="5707.5923076923073"/>
  </r>
  <r>
    <s v="BANK OF KAMPSVILLE"/>
    <s v="Kampsville"/>
    <x v="1"/>
    <n v="62053"/>
    <d v="2019-09-30T00:00:00"/>
    <x v="0"/>
    <n v="25"/>
    <n v="108963"/>
    <n v="7282"/>
    <n v="108963"/>
    <n v="89483"/>
    <n v="89084"/>
    <x v="0"/>
    <n v="0.08"/>
    <n v="7126.72"/>
    <n v="0.82122371814285589"/>
    <n v="4358.5200000000004"/>
  </r>
  <r>
    <s v="BANK OF KAMPSVILLE"/>
    <s v="Kampsville"/>
    <x v="1"/>
    <n v="62053"/>
    <d v="2020-09-30T00:00:00"/>
    <x v="1"/>
    <n v="25"/>
    <n v="117331"/>
    <n v="14047"/>
    <n v="117331"/>
    <n v="96705"/>
    <n v="96213"/>
    <x v="0"/>
    <n v="0.08"/>
    <n v="7697.04"/>
    <n v="0.8242067313838628"/>
    <n v="4693.24"/>
  </r>
  <r>
    <s v="BANK OF KAMPSVILLE"/>
    <s v="Kampsville"/>
    <x v="1"/>
    <n v="62053"/>
    <d v="2021-09-30T00:00:00"/>
    <x v="2"/>
    <n v="24"/>
    <n v="125977"/>
    <n v="29793"/>
    <n v="125977"/>
    <n v="105190"/>
    <n v="104883"/>
    <x v="0"/>
    <n v="0.08"/>
    <n v="8390.64"/>
    <n v="0.83499368932424167"/>
    <n v="5249.041666666667"/>
  </r>
  <r>
    <s v="BANK OF MARIN"/>
    <s v="Novato"/>
    <x v="0"/>
    <n v="94947"/>
    <d v="2019-09-30T00:00:00"/>
    <x v="0"/>
    <n v="291"/>
    <n v="2592052"/>
    <n v="182486"/>
    <n v="2592052"/>
    <n v="2270651"/>
    <n v="2238949"/>
    <x v="1"/>
    <n v="0.08"/>
    <n v="179115.92"/>
    <n v="0.87600518816752138"/>
    <n v="8907.3951890034368"/>
  </r>
  <r>
    <s v="BANK OF MARIN"/>
    <s v="Novato"/>
    <x v="0"/>
    <n v="94947"/>
    <d v="2020-09-30T00:00:00"/>
    <x v="1"/>
    <n v="291"/>
    <n v="2975150"/>
    <n v="213584"/>
    <n v="2975150"/>
    <n v="2627004"/>
    <n v="2581524"/>
    <x v="1"/>
    <n v="0.08"/>
    <n v="206521.92"/>
    <n v="0.88298203451926793"/>
    <n v="10223.883161512027"/>
  </r>
  <r>
    <s v="BANK OF MARIN"/>
    <s v="Novato"/>
    <x v="0"/>
    <n v="94947"/>
    <d v="2021-09-30T00:00:00"/>
    <x v="2"/>
    <n v="348"/>
    <n v="4259898"/>
    <n v="584739"/>
    <n v="4259898"/>
    <n v="3817843"/>
    <n v="3743994"/>
    <x v="1"/>
    <n v="0.08"/>
    <n v="299519.52"/>
    <n v="0.89622873599320918"/>
    <n v="12241.086206896553"/>
  </r>
  <r>
    <s v="BANK OF MILLBROOK"/>
    <s v="Millbrook"/>
    <x v="2"/>
    <n v="12545"/>
    <d v="2019-09-30T00:00:00"/>
    <x v="0"/>
    <n v="46"/>
    <n v="229443"/>
    <n v="33594"/>
    <n v="229443"/>
    <n v="203867"/>
    <n v="202740"/>
    <x v="0"/>
    <n v="8.5000000000000006E-2"/>
    <n v="17232.900000000001"/>
    <n v="0.88853004885745046"/>
    <n v="4987.891304347826"/>
  </r>
  <r>
    <s v="BANK OF MILLBROOK"/>
    <s v="Millbrook"/>
    <x v="2"/>
    <n v="12545"/>
    <d v="2020-09-30T00:00:00"/>
    <x v="1"/>
    <n v="42"/>
    <n v="273429"/>
    <n v="63449"/>
    <n v="273429"/>
    <n v="246983"/>
    <n v="245359"/>
    <x v="0"/>
    <n v="8.5000000000000006E-2"/>
    <n v="20855.515000000003"/>
    <n v="0.90328019339572618"/>
    <n v="6510.2142857142853"/>
  </r>
  <r>
    <s v="BANK OF MILLBROOK"/>
    <s v="Millbrook"/>
    <x v="2"/>
    <n v="12545"/>
    <d v="2021-09-30T00:00:00"/>
    <x v="2"/>
    <n v="41"/>
    <n v="320086"/>
    <n v="63363"/>
    <n v="320086"/>
    <n v="294729"/>
    <n v="293027"/>
    <x v="0"/>
    <n v="8.5000000000000006E-2"/>
    <n v="24907.295000000002"/>
    <n v="0.92078066519622848"/>
    <n v="7806.9756097560976"/>
  </r>
  <r>
    <s v="BANK OF MONTGOMERY"/>
    <s v="Montgomery"/>
    <x v="1"/>
    <n v="60538"/>
    <d v="2019-09-30T00:00:00"/>
    <x v="0"/>
    <n v="6"/>
    <n v="40872"/>
    <n v="14857"/>
    <n v="40872"/>
    <n v="36922"/>
    <n v="36861"/>
    <x v="2"/>
    <n v="0.09"/>
    <n v="3317.49"/>
    <n v="0.90335682129575257"/>
    <n v="6812"/>
  </r>
  <r>
    <s v="BANK OF MONTGOMERY"/>
    <s v="Montgomery"/>
    <x v="1"/>
    <n v="60538"/>
    <d v="2020-09-30T00:00:00"/>
    <x v="1"/>
    <n v="4"/>
    <n v="42982"/>
    <n v="14060"/>
    <n v="42982"/>
    <n v="38685"/>
    <n v="38634"/>
    <x v="2"/>
    <n v="0.09"/>
    <n v="3477.06"/>
    <n v="0.90002791866362664"/>
    <n v="10745.5"/>
  </r>
  <r>
    <s v="BANK OF MONTGOMERY"/>
    <s v="Montgomery"/>
    <x v="1"/>
    <n v="60538"/>
    <d v="2021-09-30T00:00:00"/>
    <x v="2"/>
    <n v="3"/>
    <n v="47774"/>
    <n v="15951"/>
    <n v="47774"/>
    <n v="43669"/>
    <n v="43632"/>
    <x v="2"/>
    <n v="0.09"/>
    <n v="3926.8799999999997"/>
    <n v="0.91407460124754047"/>
    <n v="15924.666666666666"/>
  </r>
  <r>
    <s v="BANK OF O'FALLON"/>
    <s v="O'fallon"/>
    <x v="1"/>
    <n v="62269"/>
    <d v="2019-09-30T00:00:00"/>
    <x v="0"/>
    <n v="32"/>
    <n v="311657"/>
    <n v="46285"/>
    <n v="311657"/>
    <n v="267293"/>
    <n v="266402"/>
    <x v="0"/>
    <n v="0.08"/>
    <n v="21312.16"/>
    <n v="0.85765119987678762"/>
    <n v="9739.28125"/>
  </r>
  <r>
    <s v="BANK OF O'FALLON"/>
    <s v="O'fallon"/>
    <x v="1"/>
    <n v="62269"/>
    <d v="2020-09-30T00:00:00"/>
    <x v="1"/>
    <n v="31"/>
    <n v="341000"/>
    <n v="58959"/>
    <n v="341000"/>
    <n v="294929"/>
    <n v="290049"/>
    <x v="0"/>
    <n v="0.08"/>
    <n v="23203.920000000002"/>
    <n v="0.86489442815249262"/>
    <n v="11000"/>
  </r>
  <r>
    <s v="BANK OF O'FALLON"/>
    <s v="O'fallon"/>
    <x v="1"/>
    <n v="62269"/>
    <d v="2021-09-30T00:00:00"/>
    <x v="2"/>
    <n v="34"/>
    <n v="370199"/>
    <n v="78559"/>
    <n v="370199"/>
    <n v="323015"/>
    <n v="322105"/>
    <x v="0"/>
    <n v="0.08"/>
    <n v="25768.400000000001"/>
    <n v="0.87254422621346894"/>
    <n v="10888.205882352941"/>
  </r>
  <r>
    <s v="BANK OF PONTIAC"/>
    <s v="Pontiac"/>
    <x v="1"/>
    <n v="61764"/>
    <d v="2019-09-30T00:00:00"/>
    <x v="0"/>
    <n v="95"/>
    <n v="559629"/>
    <n v="36282"/>
    <n v="559629"/>
    <n v="484137"/>
    <n v="473913"/>
    <x v="0"/>
    <n v="0.08"/>
    <n v="37913.040000000001"/>
    <n v="0.86510348820379213"/>
    <n v="5890.8315789473681"/>
  </r>
  <r>
    <s v="BANK OF PONTIAC"/>
    <s v="Pontiac"/>
    <x v="1"/>
    <n v="61764"/>
    <d v="2020-09-30T00:00:00"/>
    <x v="1"/>
    <n v="90"/>
    <n v="620601"/>
    <n v="71970"/>
    <n v="620601"/>
    <n v="541255"/>
    <n v="525525"/>
    <x v="0"/>
    <n v="0.08"/>
    <n v="42042"/>
    <n v="0.87214651603848525"/>
    <n v="6895.5666666666666"/>
  </r>
  <r>
    <s v="BANK OF PONTIAC"/>
    <s v="Pontiac"/>
    <x v="1"/>
    <n v="61764"/>
    <d v="2021-09-30T00:00:00"/>
    <x v="2"/>
    <n v="117"/>
    <n v="907690"/>
    <n v="140429"/>
    <n v="907690"/>
    <n v="803013"/>
    <n v="776698"/>
    <x v="0"/>
    <n v="0.08"/>
    <n v="62135.840000000004"/>
    <n v="0.88467758816335973"/>
    <n v="7758.0341880341884"/>
  </r>
  <r>
    <s v="BANK OF RANTOUL"/>
    <s v="Rantoul"/>
    <x v="1"/>
    <n v="61866"/>
    <d v="2019-09-30T00:00:00"/>
    <x v="0"/>
    <n v="37"/>
    <n v="231029"/>
    <n v="11062"/>
    <n v="231029"/>
    <n v="204284"/>
    <n v="194107"/>
    <x v="0"/>
    <n v="0.08"/>
    <n v="15528.56"/>
    <n v="0.88423531244995213"/>
    <n v="6244.0270270270266"/>
  </r>
  <r>
    <s v="BANK OF RANTOUL"/>
    <s v="Rantoul"/>
    <x v="1"/>
    <n v="61866"/>
    <d v="2020-09-30T00:00:00"/>
    <x v="1"/>
    <n v="35"/>
    <n v="248602"/>
    <n v="17564"/>
    <n v="248602"/>
    <n v="219320"/>
    <n v="197023"/>
    <x v="0"/>
    <n v="0.08"/>
    <n v="15761.84"/>
    <n v="0.88221333698039439"/>
    <n v="7102.9142857142861"/>
  </r>
  <r>
    <s v="BANK OF RANTOUL"/>
    <s v="Rantoul"/>
    <x v="1"/>
    <n v="61866"/>
    <d v="2021-09-30T00:00:00"/>
    <x v="2"/>
    <n v="34"/>
    <n v="256986"/>
    <n v="12419"/>
    <n v="256986"/>
    <n v="228060"/>
    <n v="206161"/>
    <x v="0"/>
    <n v="0.08"/>
    <n v="16492.88"/>
    <n v="0.88744133921692236"/>
    <n v="7558.411764705882"/>
  </r>
  <r>
    <s v="BANK OF RICHMONDVILLE"/>
    <s v="Cobleskill"/>
    <x v="2"/>
    <n v="12043"/>
    <d v="2019-09-30T00:00:00"/>
    <x v="0"/>
    <n v="34"/>
    <n v="152944"/>
    <n v="26682"/>
    <n v="152944"/>
    <n v="136192"/>
    <n v="135291"/>
    <x v="0"/>
    <n v="8.5000000000000006E-2"/>
    <n v="11499.735000000001"/>
    <n v="0.89046971440527256"/>
    <n v="4498.3529411764703"/>
  </r>
  <r>
    <s v="BANK OF RICHMONDVILLE"/>
    <s v="Cobleskill"/>
    <x v="2"/>
    <n v="12043"/>
    <d v="2020-09-30T00:00:00"/>
    <x v="1"/>
    <n v="34"/>
    <n v="164441"/>
    <n v="27120"/>
    <n v="164441"/>
    <n v="146414"/>
    <n v="145743"/>
    <x v="0"/>
    <n v="8.5000000000000006E-2"/>
    <n v="12388.155000000001"/>
    <n v="0.89037405513223589"/>
    <n v="4836.5"/>
  </r>
  <r>
    <s v="BANK OF RICHMONDVILLE"/>
    <s v="Cobleskill"/>
    <x v="2"/>
    <n v="12043"/>
    <d v="2021-09-30T00:00:00"/>
    <x v="2"/>
    <n v="33"/>
    <n v="182108"/>
    <n v="39357"/>
    <n v="182108"/>
    <n v="164793"/>
    <n v="163469"/>
    <x v="0"/>
    <n v="8.5000000000000006E-2"/>
    <n v="13894.865000000002"/>
    <n v="0.9049190590199222"/>
    <n v="5518.424242424242"/>
  </r>
  <r>
    <s v="BANK OF SAN FRANCISCO"/>
    <s v="San Francisco"/>
    <x v="0"/>
    <n v="94105"/>
    <d v="2019-09-30T00:00:00"/>
    <x v="0"/>
    <n v="41"/>
    <n v="361068"/>
    <n v="47588"/>
    <n v="361068"/>
    <n v="321335"/>
    <n v="317791"/>
    <x v="0"/>
    <n v="0.09"/>
    <n v="28601.19"/>
    <n v="0.88995701640688185"/>
    <n v="8806.5365853658532"/>
  </r>
  <r>
    <s v="BANK OF SAN FRANCISCO"/>
    <s v="San Francisco"/>
    <x v="0"/>
    <n v="94105"/>
    <d v="2020-09-30T00:00:00"/>
    <x v="1"/>
    <n v="46"/>
    <n v="662421"/>
    <n v="129475"/>
    <n v="662421"/>
    <n v="618353"/>
    <n v="515812"/>
    <x v="0"/>
    <n v="0.09"/>
    <n v="46423.08"/>
    <n v="0.93347433127874868"/>
    <n v="14400.45652173913"/>
  </r>
  <r>
    <s v="BANK OF SAN FRANCISCO"/>
    <s v="San Francisco"/>
    <x v="0"/>
    <n v="94105"/>
    <d v="2021-09-30T00:00:00"/>
    <x v="2"/>
    <n v="47"/>
    <n v="627679"/>
    <n v="117500"/>
    <n v="627679"/>
    <n v="574699"/>
    <n v="549303"/>
    <x v="0"/>
    <n v="0.09"/>
    <n v="49437.27"/>
    <n v="0.91559379874107627"/>
    <n v="13354.872340425532"/>
  </r>
  <r>
    <s v="BANK OF SANTA CLARITA"/>
    <s v="Santa Clarita"/>
    <x v="0"/>
    <n v="91355"/>
    <d v="2019-09-30T00:00:00"/>
    <x v="0"/>
    <n v="25"/>
    <n v="316633"/>
    <n v="55836"/>
    <n v="316633"/>
    <n v="280442"/>
    <n v="244244"/>
    <x v="0"/>
    <n v="0.09"/>
    <n v="21981.96"/>
    <n v="0.88570047973521393"/>
    <n v="12665.32"/>
  </r>
  <r>
    <s v="BANK OF SANTA CLARITA"/>
    <s v="Santa Clarita"/>
    <x v="0"/>
    <n v="91355"/>
    <d v="2020-09-30T00:00:00"/>
    <x v="1"/>
    <n v="26"/>
    <n v="391976"/>
    <n v="74011"/>
    <n v="391976"/>
    <n v="352097"/>
    <n v="293559"/>
    <x v="0"/>
    <n v="0.09"/>
    <n v="26420.309999999998"/>
    <n v="0.89826162826295486"/>
    <n v="15076"/>
  </r>
  <r>
    <s v="BANK OF SANTA CLARITA"/>
    <s v="Santa Clarita"/>
    <x v="0"/>
    <n v="91355"/>
    <d v="2021-09-30T00:00:00"/>
    <x v="2"/>
    <n v="21"/>
    <n v="423942"/>
    <n v="113160"/>
    <n v="423942"/>
    <n v="379698"/>
    <n v="340122"/>
    <x v="0"/>
    <n v="0.09"/>
    <n v="30610.98"/>
    <n v="0.89563666727995805"/>
    <n v="20187.714285714286"/>
  </r>
  <r>
    <s v="BANK OF SOUTHERN CALIFORNIA, N.A."/>
    <s v="San Diego"/>
    <x v="0"/>
    <n v="92130"/>
    <d v="2019-09-30T00:00:00"/>
    <x v="0"/>
    <n v="96"/>
    <n v="839060"/>
    <n v="55761"/>
    <n v="839060"/>
    <n v="731660"/>
    <n v="692899"/>
    <x v="0"/>
    <n v="0.09"/>
    <n v="62360.909999999996"/>
    <n v="0.87199961862083764"/>
    <n v="8740.2083333333339"/>
  </r>
  <r>
    <s v="BANK OF SOUTHERN CALIFORNIA, N.A."/>
    <s v="San Diego"/>
    <x v="0"/>
    <n v="92130"/>
    <d v="2020-09-30T00:00:00"/>
    <x v="1"/>
    <n v="118"/>
    <n v="1575329"/>
    <n v="108069"/>
    <n v="1575329"/>
    <n v="1430897"/>
    <n v="1142113"/>
    <x v="1"/>
    <n v="0.08"/>
    <n v="91369.040000000008"/>
    <n v="0.90831629456450047"/>
    <n v="13350.245762711864"/>
  </r>
  <r>
    <s v="BANK OF SOUTHERN CALIFORNIA, N.A."/>
    <s v="San Diego"/>
    <x v="0"/>
    <n v="92130"/>
    <d v="2021-09-30T00:00:00"/>
    <x v="2"/>
    <n v="195"/>
    <n v="1783357"/>
    <n v="408347"/>
    <n v="1783357"/>
    <n v="1588727"/>
    <n v="1569321"/>
    <x v="1"/>
    <n v="0.08"/>
    <n v="125545.68000000001"/>
    <n v="0.8908631306014444"/>
    <n v="9145.4205128205122"/>
  </r>
  <r>
    <s v="BANK OF SPRINGFIELD"/>
    <s v="Springfield"/>
    <x v="1"/>
    <n v="62711"/>
    <d v="2019-09-30T00:00:00"/>
    <x v="0"/>
    <n v="276"/>
    <n v="1055036"/>
    <n v="87794"/>
    <n v="1055036"/>
    <n v="957780"/>
    <n v="892324"/>
    <x v="1"/>
    <n v="7.4999999999999997E-2"/>
    <n v="66924.3"/>
    <n v="0.90781736357811482"/>
    <n v="3822.5942028985505"/>
  </r>
  <r>
    <s v="BANK OF SPRINGFIELD"/>
    <s v="Springfield"/>
    <x v="1"/>
    <n v="62711"/>
    <d v="2020-09-30T00:00:00"/>
    <x v="1"/>
    <n v="296"/>
    <n v="1246518"/>
    <n v="134633"/>
    <n v="1246518"/>
    <n v="1142052"/>
    <n v="1039188"/>
    <x v="1"/>
    <n v="7.4999999999999997E-2"/>
    <n v="77939.099999999991"/>
    <n v="0.91619374930807251"/>
    <n v="4211.2094594594591"/>
  </r>
  <r>
    <s v="BANK OF SPRINGFIELD"/>
    <s v="Springfield"/>
    <x v="1"/>
    <n v="62711"/>
    <d v="2021-09-30T00:00:00"/>
    <x v="2"/>
    <n v="306"/>
    <n v="1426343"/>
    <n v="316678"/>
    <n v="1426343"/>
    <n v="1315750"/>
    <n v="1234656"/>
    <x v="1"/>
    <n v="7.4999999999999997E-2"/>
    <n v="92599.2"/>
    <n v="0.92246395151797289"/>
    <n v="4661.251633986928"/>
  </r>
  <r>
    <s v="BANK OF STOCKTON"/>
    <s v="Stockton"/>
    <x v="0"/>
    <n v="95202"/>
    <d v="2019-09-30T00:00:00"/>
    <x v="0"/>
    <n v="387"/>
    <n v="3312484"/>
    <n v="235306"/>
    <n v="3312484"/>
    <n v="2731762"/>
    <n v="2563701"/>
    <x v="1"/>
    <n v="0.08"/>
    <n v="205096.08000000002"/>
    <n v="0.82468685131762143"/>
    <n v="8559.3901808785522"/>
  </r>
  <r>
    <s v="BANK OF STOCKTON"/>
    <s v="Stockton"/>
    <x v="0"/>
    <n v="95202"/>
    <d v="2020-09-30T00:00:00"/>
    <x v="1"/>
    <n v="402"/>
    <n v="3850180"/>
    <n v="433120"/>
    <n v="3850180"/>
    <n v="3249336"/>
    <n v="3102635"/>
    <x v="1"/>
    <n v="0.08"/>
    <n v="248210.80000000002"/>
    <n v="0.84394391950506209"/>
    <n v="9577.5621890547263"/>
  </r>
  <r>
    <s v="BANK OF STOCKTON"/>
    <s v="Stockton"/>
    <x v="0"/>
    <n v="95202"/>
    <d v="2021-09-30T00:00:00"/>
    <x v="2"/>
    <n v="397"/>
    <n v="4584707"/>
    <n v="651957"/>
    <n v="4584707"/>
    <n v="3928875"/>
    <n v="3778028"/>
    <x v="1"/>
    <n v="0.08"/>
    <n v="302242.24"/>
    <n v="0.85695225452793389"/>
    <n v="11548.380352644836"/>
  </r>
  <r>
    <s v="BANK OF STRONGHURST"/>
    <s v="Stronghurst"/>
    <x v="1"/>
    <n v="61480"/>
    <d v="2019-09-30T00:00:00"/>
    <x v="0"/>
    <n v="18"/>
    <n v="74219"/>
    <n v="2736"/>
    <n v="74219"/>
    <n v="61088"/>
    <n v="60979"/>
    <x v="2"/>
    <n v="0.09"/>
    <n v="5488.11"/>
    <n v="0.8230776485805521"/>
    <n v="4123.2777777777774"/>
  </r>
  <r>
    <s v="BANK OF STRONGHURST"/>
    <s v="Stronghurst"/>
    <x v="1"/>
    <n v="61480"/>
    <d v="2020-09-30T00:00:00"/>
    <x v="1"/>
    <n v="18"/>
    <n v="80324"/>
    <n v="2453"/>
    <n v="80324"/>
    <n v="66692"/>
    <n v="66403"/>
    <x v="2"/>
    <n v="0.09"/>
    <n v="5976.2699999999995"/>
    <n v="0.83028733628803342"/>
    <n v="4462.4444444444443"/>
  </r>
  <r>
    <s v="BANK OF STRONGHURST"/>
    <s v="Stronghurst"/>
    <x v="1"/>
    <n v="61480"/>
    <d v="2021-09-30T00:00:00"/>
    <x v="2"/>
    <n v="19"/>
    <n v="88704"/>
    <n v="1528"/>
    <n v="88704"/>
    <n v="75482"/>
    <n v="72432"/>
    <x v="2"/>
    <n v="0.09"/>
    <n v="6518.88"/>
    <n v="0.85094246031746035"/>
    <n v="4668.6315789473683"/>
  </r>
  <r>
    <s v="BANK OF THE ORIENT"/>
    <s v="San Francisco"/>
    <x v="0"/>
    <n v="94104"/>
    <d v="2019-09-30T00:00:00"/>
    <x v="0"/>
    <n v="147"/>
    <n v="927282"/>
    <n v="109007"/>
    <n v="927282"/>
    <n v="828594"/>
    <n v="799522"/>
    <x v="0"/>
    <n v="0.09"/>
    <n v="71956.98"/>
    <n v="0.8935728289775926"/>
    <n v="6308.0408163265311"/>
  </r>
  <r>
    <s v="BANK OF THE ORIENT"/>
    <s v="San Francisco"/>
    <x v="0"/>
    <n v="94104"/>
    <d v="2020-09-30T00:00:00"/>
    <x v="1"/>
    <n v="122"/>
    <n v="931663"/>
    <n v="161153"/>
    <n v="931663"/>
    <n v="831155"/>
    <n v="789695"/>
    <x v="0"/>
    <n v="0.09"/>
    <n v="71072.55"/>
    <n v="0.89211979009577502"/>
    <n v="7636.5819672131147"/>
  </r>
  <r>
    <s v="BANK OF THE ORIENT"/>
    <s v="San Francisco"/>
    <x v="0"/>
    <n v="94104"/>
    <d v="2021-09-30T00:00:00"/>
    <x v="2"/>
    <n v="106"/>
    <n v="932525"/>
    <n v="187179"/>
    <n v="932525"/>
    <n v="825296"/>
    <n v="787197"/>
    <x v="0"/>
    <n v="0.09"/>
    <n v="70847.73"/>
    <n v="0.88501219806439502"/>
    <n v="8797.4056603773588"/>
  </r>
  <r>
    <s v="BANK OF THE SIERRA"/>
    <s v="Porterville"/>
    <x v="0"/>
    <n v="93257"/>
    <d v="2019-09-30T00:00:00"/>
    <x v="0"/>
    <n v="519"/>
    <n v="2635728"/>
    <n v="80646"/>
    <n v="2635727"/>
    <n v="2306165"/>
    <n v="2204867"/>
    <x v="1"/>
    <n v="0.08"/>
    <n v="176389.36000000002"/>
    <n v="0.87496319802346822"/>
    <n v="5078.4739884393066"/>
  </r>
  <r>
    <s v="BANK OF THE SIERRA"/>
    <s v="Porterville"/>
    <x v="0"/>
    <n v="93257"/>
    <d v="2020-09-30T00:00:00"/>
    <x v="1"/>
    <n v="491"/>
    <n v="3199559"/>
    <n v="88933"/>
    <n v="3199559"/>
    <n v="2840140"/>
    <n v="2603565"/>
    <x v="1"/>
    <n v="0.08"/>
    <n v="208285.2"/>
    <n v="0.88766608148185422"/>
    <n v="6516.4134419551938"/>
  </r>
  <r>
    <s v="BANK OF THE SIERRA"/>
    <s v="Porterville"/>
    <x v="0"/>
    <n v="93257"/>
    <d v="2021-09-30T00:00:00"/>
    <x v="2"/>
    <n v="482"/>
    <n v="3443274"/>
    <n v="422350"/>
    <n v="3443274"/>
    <n v="3047249"/>
    <n v="2874329"/>
    <x v="1"/>
    <n v="0.08"/>
    <n v="229946.32"/>
    <n v="0.88498591747273092"/>
    <n v="7143.7219917012444"/>
  </r>
  <r>
    <s v="BANK OF THE WEST"/>
    <s v="San Francisco"/>
    <x v="0"/>
    <n v="94104"/>
    <d v="2019-09-30T00:00:00"/>
    <x v="0"/>
    <n v="9683"/>
    <n v="91025838"/>
    <n v="3564223"/>
    <n v="91025838"/>
    <n v="78134165"/>
    <n v="69776526"/>
    <x v="1"/>
    <n v="0.08"/>
    <n v="5582122.0800000001"/>
    <n v="0.85837347633097316"/>
    <n v="9400.5822575648035"/>
  </r>
  <r>
    <s v="BANK OF THE WEST"/>
    <s v="San Francisco"/>
    <x v="0"/>
    <n v="94104"/>
    <d v="2020-09-30T00:00:00"/>
    <x v="1"/>
    <n v="9413"/>
    <n v="96304549"/>
    <n v="5122340"/>
    <n v="96304549"/>
    <n v="82429586"/>
    <n v="78652372"/>
    <x v="1"/>
    <n v="0.08"/>
    <n v="6292189.7599999998"/>
    <n v="0.85592619306072448"/>
    <n v="10231.015510464251"/>
  </r>
  <r>
    <s v="BANK OF THE WEST"/>
    <s v="San Francisco"/>
    <x v="0"/>
    <n v="94104"/>
    <d v="2021-09-30T00:00:00"/>
    <x v="2"/>
    <n v="8900"/>
    <n v="105411908"/>
    <n v="17578659"/>
    <n v="105411908"/>
    <n v="91699524"/>
    <n v="89340272"/>
    <x v="1"/>
    <n v="0.08"/>
    <n v="7147221.7599999998"/>
    <n v="0.86991617683269706"/>
    <n v="11844.034606741572"/>
  </r>
  <r>
    <s v="BANK OF UTICA"/>
    <s v="Utica"/>
    <x v="2"/>
    <n v="13502"/>
    <d v="2019-09-30T00:00:00"/>
    <x v="0"/>
    <n v="42"/>
    <n v="1135120"/>
    <n v="13234"/>
    <n v="1135120"/>
    <n v="899471"/>
    <n v="885814"/>
    <x v="1"/>
    <n v="0.08"/>
    <n v="70865.119999999995"/>
    <n v="0.79240168440341108"/>
    <n v="27026.666666666668"/>
  </r>
  <r>
    <s v="BANK OF UTICA"/>
    <s v="Utica"/>
    <x v="2"/>
    <n v="13502"/>
    <d v="2020-09-30T00:00:00"/>
    <x v="1"/>
    <n v="43"/>
    <n v="1297520"/>
    <n v="38051"/>
    <n v="1297520"/>
    <n v="1049465"/>
    <n v="1034269"/>
    <x v="1"/>
    <n v="0.08"/>
    <n v="82741.52"/>
    <n v="0.80882375608853818"/>
    <n v="30174.883720930233"/>
  </r>
  <r>
    <s v="BANK OF UTICA"/>
    <s v="Utica"/>
    <x v="2"/>
    <n v="13502"/>
    <d v="2021-09-30T00:00:00"/>
    <x v="2"/>
    <n v="42"/>
    <n v="1497293"/>
    <n v="80371"/>
    <n v="1497293"/>
    <n v="1212870"/>
    <n v="1190452"/>
    <x v="1"/>
    <n v="0.08"/>
    <n v="95236.160000000003"/>
    <n v="0.8100418555352894"/>
    <n v="35649.833333333336"/>
  </r>
  <r>
    <s v="BANK OF WHITTIER, NATIONAL ASSOCIATION"/>
    <s v="Whittier"/>
    <x v="0"/>
    <n v="90609"/>
    <d v="2019-09-30T00:00:00"/>
    <x v="0"/>
    <n v="20"/>
    <n v="71979"/>
    <n v="39791"/>
    <n v="71979"/>
    <n v="61114"/>
    <n v="60421"/>
    <x v="2"/>
    <n v="0.1"/>
    <n v="6042.1"/>
    <n v="0.84905319607107632"/>
    <n v="3598.95"/>
  </r>
  <r>
    <s v="BANK OF WHITTIER, NATIONAL ASSOCIATION"/>
    <s v="Whittier"/>
    <x v="0"/>
    <n v="90603"/>
    <d v="2020-09-30T00:00:00"/>
    <x v="1"/>
    <n v="24"/>
    <n v="107488"/>
    <n v="63002"/>
    <n v="107488"/>
    <n v="91512"/>
    <n v="90696"/>
    <x v="0"/>
    <n v="0.09"/>
    <n v="8162.6399999999994"/>
    <n v="0.85136945519499851"/>
    <n v="4478.666666666667"/>
  </r>
  <r>
    <s v="BANK OF WHITTIER, NATIONAL ASSOCIATION"/>
    <s v="Whittier"/>
    <x v="0"/>
    <n v="90603"/>
    <d v="2021-09-30T00:00:00"/>
    <x v="2"/>
    <n v="26"/>
    <n v="170482"/>
    <n v="126895"/>
    <n v="170482"/>
    <n v="150787"/>
    <n v="149767"/>
    <x v="0"/>
    <n v="0.09"/>
    <n v="13479.029999999999"/>
    <n v="0.88447460728991922"/>
    <n v="6557"/>
  </r>
  <r>
    <s v="BANK OF YATES CITY"/>
    <s v="Yates City"/>
    <x v="1"/>
    <n v="61572"/>
    <d v="2019-09-30T00:00:00"/>
    <x v="0"/>
    <n v="15"/>
    <n v="70725"/>
    <n v="2220"/>
    <n v="70725"/>
    <n v="64243"/>
    <n v="60417"/>
    <x v="2"/>
    <n v="0.09"/>
    <n v="5437.53"/>
    <n v="0.9083492400141393"/>
    <n v="4715"/>
  </r>
  <r>
    <s v="BANK OF YATES CITY"/>
    <s v="Yates City"/>
    <x v="1"/>
    <n v="61572"/>
    <d v="2020-09-30T00:00:00"/>
    <x v="1"/>
    <n v="15"/>
    <n v="71131"/>
    <n v="2762"/>
    <n v="71131"/>
    <n v="64531"/>
    <n v="62781"/>
    <x v="2"/>
    <n v="0.09"/>
    <n v="5650.29"/>
    <n v="0.9072134512378569"/>
    <n v="4742.0666666666666"/>
  </r>
  <r>
    <s v="BANK OF YATES CITY"/>
    <s v="Yates City"/>
    <x v="1"/>
    <n v="61572"/>
    <d v="2021-09-30T00:00:00"/>
    <x v="2"/>
    <n v="15"/>
    <n v="74844"/>
    <n v="1739"/>
    <n v="74844"/>
    <n v="67691"/>
    <n v="66640"/>
    <x v="2"/>
    <n v="0.09"/>
    <n v="5997.5999999999995"/>
    <n v="0.90442787665009883"/>
    <n v="4989.6000000000004"/>
  </r>
  <r>
    <s v="BANKCHAMPAIGN, NATIONAL ASSOCIATION"/>
    <s v="Champaign"/>
    <x v="1"/>
    <n v="61820"/>
    <d v="2019-09-30T00:00:00"/>
    <x v="0"/>
    <n v="40"/>
    <n v="224718"/>
    <n v="12021"/>
    <n v="224718"/>
    <n v="201771"/>
    <n v="189215"/>
    <x v="0"/>
    <n v="0.08"/>
    <n v="15137.2"/>
    <n v="0.8978853496382132"/>
    <n v="5617.95"/>
  </r>
  <r>
    <s v="BANKCHAMPAIGN, NATIONAL ASSOCIATION"/>
    <s v="Champaign"/>
    <x v="1"/>
    <n v="61820"/>
    <d v="2020-09-30T00:00:00"/>
    <x v="1"/>
    <n v="37"/>
    <n v="260213"/>
    <n v="38317"/>
    <n v="260213"/>
    <n v="235710"/>
    <n v="214389"/>
    <x v="0"/>
    <n v="0.08"/>
    <n v="17151.12"/>
    <n v="0.90583483530799769"/>
    <n v="7032.7837837837842"/>
  </r>
  <r>
    <s v="BANKCHAMPAIGN, NATIONAL ASSOCIATION"/>
    <s v="Champaign"/>
    <x v="1"/>
    <n v="61820"/>
    <d v="2021-09-30T00:00:00"/>
    <x v="2"/>
    <n v="37"/>
    <n v="254141"/>
    <n v="43133"/>
    <n v="254141"/>
    <n v="228960"/>
    <n v="210659"/>
    <x v="0"/>
    <n v="0.08"/>
    <n v="16852.72"/>
    <n v="0.9009172073770072"/>
    <n v="6868.6756756756758"/>
  </r>
  <r>
    <s v="BANKFINANCIAL, NATIONAL ASSOCIATION"/>
    <s v="Olympia Fields"/>
    <x v="1"/>
    <n v="60461"/>
    <d v="2019-09-30T00:00:00"/>
    <x v="0"/>
    <n v="223"/>
    <n v="1489425"/>
    <n v="193789"/>
    <n v="1489425"/>
    <n v="1324188"/>
    <n v="1305268"/>
    <x v="1"/>
    <n v="7.4999999999999997E-2"/>
    <n v="97895.099999999991"/>
    <n v="0.88905987209829296"/>
    <n v="6679.0358744394616"/>
  </r>
  <r>
    <s v="BANKFINANCIAL, NATIONAL ASSOCIATION"/>
    <s v="Olympia Fields"/>
    <x v="1"/>
    <n v="60461"/>
    <d v="2020-09-30T00:00:00"/>
    <x v="1"/>
    <n v="210"/>
    <n v="1604329"/>
    <n v="462389"/>
    <n v="1604329"/>
    <n v="1440854"/>
    <n v="1420227"/>
    <x v="1"/>
    <n v="7.4999999999999997E-2"/>
    <n v="106517.02499999999"/>
    <n v="0.89810381785780846"/>
    <n v="7639.6619047619051"/>
  </r>
  <r>
    <s v="BANKFINANCIAL, NATIONAL ASSOCIATION"/>
    <s v="Olympia Fields"/>
    <x v="1"/>
    <n v="60461"/>
    <d v="2021-09-30T00:00:00"/>
    <x v="2"/>
    <n v="224"/>
    <n v="1659315"/>
    <n v="536056"/>
    <n v="1659315"/>
    <n v="1492510"/>
    <n v="1471953"/>
    <x v="1"/>
    <n v="7.4999999999999997E-2"/>
    <n v="110396.47499999999"/>
    <n v="0.89947357795234784"/>
    <n v="7407.65625"/>
  </r>
  <r>
    <s v="BANKGLOUCESTER"/>
    <s v="Gloucester"/>
    <x v="3"/>
    <n v="1930"/>
    <d v="2019-09-30T00:00:00"/>
    <x v="0"/>
    <n v="49"/>
    <n v="278540"/>
    <n v="10743"/>
    <n v="278540"/>
    <n v="254913"/>
    <n v="233255"/>
    <x v="0"/>
    <n v="8.5000000000000006E-2"/>
    <n v="19826.675000000003"/>
    <n v="0.91517555826811225"/>
    <n v="5684.4897959183672"/>
  </r>
  <r>
    <s v="BANKGLOUCESTER"/>
    <s v="Gloucester"/>
    <x v="3"/>
    <n v="1930"/>
    <d v="2020-09-30T00:00:00"/>
    <x v="1"/>
    <n v="54"/>
    <n v="329398"/>
    <n v="41603"/>
    <n v="329398"/>
    <n v="304070"/>
    <n v="289901"/>
    <x v="0"/>
    <n v="8.5000000000000006E-2"/>
    <n v="24641.585000000003"/>
    <n v="0.92310821559329448"/>
    <n v="6099.9629629629626"/>
  </r>
  <r>
    <s v="BANKGLOUCESTER"/>
    <s v="Gloucester"/>
    <x v="3"/>
    <n v="1930"/>
    <d v="2021-09-30T00:00:00"/>
    <x v="2"/>
    <n v="55"/>
    <n v="347283"/>
    <n v="58721"/>
    <n v="347283"/>
    <n v="320350"/>
    <n v="310704"/>
    <x v="0"/>
    <n v="8.5000000000000006E-2"/>
    <n v="26409.84"/>
    <n v="0.92244653495852091"/>
    <n v="6314.2363636363634"/>
  </r>
  <r>
    <s v="BANKORION"/>
    <s v="Orion"/>
    <x v="1"/>
    <n v="61273"/>
    <d v="2019-09-30T00:00:00"/>
    <x v="0"/>
    <n v="88"/>
    <n v="477706"/>
    <n v="42045"/>
    <n v="477706"/>
    <n v="419059"/>
    <n v="393127"/>
    <x v="0"/>
    <n v="0.08"/>
    <n v="31450.16"/>
    <n v="0.87723202136879164"/>
    <n v="5428.477272727273"/>
  </r>
  <r>
    <s v="BANKORION"/>
    <s v="Orion"/>
    <x v="1"/>
    <n v="61273"/>
    <d v="2020-09-30T00:00:00"/>
    <x v="1"/>
    <n v="89"/>
    <n v="572617"/>
    <n v="72768"/>
    <n v="572617"/>
    <n v="508159"/>
    <n v="468368"/>
    <x v="0"/>
    <n v="0.08"/>
    <n v="37469.440000000002"/>
    <n v="0.88743261202514068"/>
    <n v="6433.8988764044943"/>
  </r>
  <r>
    <s v="BANKORION"/>
    <s v="Orion"/>
    <x v="1"/>
    <n v="61273"/>
    <d v="2021-09-30T00:00:00"/>
    <x v="2"/>
    <n v="89"/>
    <n v="604608"/>
    <n v="29002"/>
    <n v="604608"/>
    <n v="540321"/>
    <n v="509011"/>
    <x v="0"/>
    <n v="0.08"/>
    <n v="40720.879999999997"/>
    <n v="0.89367160209590346"/>
    <n v="6793.348314606742"/>
  </r>
  <r>
    <s v="BANTERRA BANK"/>
    <s v="Marion"/>
    <x v="1"/>
    <n v="62959"/>
    <d v="2019-09-30T00:00:00"/>
    <x v="0"/>
    <n v="383"/>
    <n v="1865514"/>
    <n v="37548"/>
    <n v="1865514"/>
    <n v="1691693"/>
    <n v="1588828"/>
    <x v="1"/>
    <n v="7.4999999999999997E-2"/>
    <n v="119162.09999999999"/>
    <n v="0.90682407100670381"/>
    <n v="4870.7937336814621"/>
  </r>
  <r>
    <s v="BANTERRA BANK"/>
    <s v="Marion"/>
    <x v="1"/>
    <n v="62959"/>
    <d v="2020-09-30T00:00:00"/>
    <x v="1"/>
    <n v="393"/>
    <n v="2234733"/>
    <n v="48862"/>
    <n v="2234733"/>
    <n v="2026808"/>
    <n v="1937631"/>
    <x v="1"/>
    <n v="7.4999999999999997E-2"/>
    <n v="145322.32499999998"/>
    <n v="0.90695756495294966"/>
    <n v="5686.3435114503818"/>
  </r>
  <r>
    <s v="BANTERRA BANK"/>
    <s v="Marion"/>
    <x v="1"/>
    <n v="62959"/>
    <d v="2021-09-30T00:00:00"/>
    <x v="2"/>
    <n v="409"/>
    <n v="2436872"/>
    <n v="46699"/>
    <n v="2436872"/>
    <n v="2208462"/>
    <n v="2176186"/>
    <x v="1"/>
    <n v="7.4999999999999997E-2"/>
    <n v="163213.94999999998"/>
    <n v="0.9062691844298757"/>
    <n v="5958.1222493887526"/>
  </r>
  <r>
    <s v="BARRINGTON BANK &amp; TRUST COMPANY, NATIONAL ASSOCIATION"/>
    <s v="Barrington"/>
    <x v="1"/>
    <n v="60010"/>
    <d v="2019-09-30T00:00:00"/>
    <x v="0"/>
    <n v="1026"/>
    <n v="2604075"/>
    <n v="133798"/>
    <n v="2604075"/>
    <n v="2247903"/>
    <n v="2003090"/>
    <x v="1"/>
    <n v="7.4999999999999997E-2"/>
    <n v="150231.75"/>
    <n v="0.86322513752484087"/>
    <n v="2538.0847953216376"/>
  </r>
  <r>
    <s v="BARRINGTON BANK &amp; TRUST COMPANY, NATIONAL ASSOCIATION"/>
    <s v="Barrington"/>
    <x v="1"/>
    <n v="60010"/>
    <d v="2020-09-30T00:00:00"/>
    <x v="1"/>
    <n v="1181"/>
    <n v="3505954"/>
    <n v="90751"/>
    <n v="3505954"/>
    <n v="3090199"/>
    <n v="2563687"/>
    <x v="1"/>
    <n v="7.4999999999999997E-2"/>
    <n v="192276.52499999999"/>
    <n v="0.88141458786966398"/>
    <n v="2968.6316680779"/>
  </r>
  <r>
    <s v="BARRINGTON BANK &amp; TRUST COMPANY, NATIONAL ASSOCIATION"/>
    <s v="Barrington"/>
    <x v="1"/>
    <n v="60010"/>
    <d v="2021-09-30T00:00:00"/>
    <x v="2"/>
    <n v="1217"/>
    <n v="3382070"/>
    <n v="69547"/>
    <n v="3382070"/>
    <n v="2980947"/>
    <n v="2789937"/>
    <x v="1"/>
    <n v="7.4999999999999997E-2"/>
    <n v="209245.27499999999"/>
    <n v="0.8813971916607285"/>
    <n v="2779.0221857025472"/>
  </r>
  <r>
    <s v="BAY STATE SAVINGS BANK"/>
    <s v="Worcester"/>
    <x v="3"/>
    <n v="1608"/>
    <d v="2019-09-30T00:00:00"/>
    <x v="0"/>
    <n v="68"/>
    <n v="424955"/>
    <n v="11659"/>
    <n v="424955"/>
    <n v="385596"/>
    <n v="356755"/>
    <x v="0"/>
    <n v="8.5000000000000006E-2"/>
    <n v="30324.175000000003"/>
    <n v="0.90738078149451118"/>
    <n v="6249.338235294118"/>
  </r>
  <r>
    <s v="BAY STATE SAVINGS BANK"/>
    <s v="Worcester"/>
    <x v="3"/>
    <n v="1608"/>
    <d v="2020-09-30T00:00:00"/>
    <x v="1"/>
    <n v="72"/>
    <n v="465209"/>
    <n v="13330"/>
    <n v="465209"/>
    <n v="423806"/>
    <n v="400128"/>
    <x v="0"/>
    <n v="8.5000000000000006E-2"/>
    <n v="34010.880000000005"/>
    <n v="0.91100129189246126"/>
    <n v="6461.2361111111113"/>
  </r>
  <r>
    <s v="BAY STATE SAVINGS BANK"/>
    <s v="Worcester"/>
    <x v="3"/>
    <n v="1608"/>
    <d v="2021-09-30T00:00:00"/>
    <x v="2"/>
    <n v="71"/>
    <n v="488109"/>
    <n v="72321"/>
    <n v="488109"/>
    <n v="443491"/>
    <n v="426730"/>
    <x v="0"/>
    <n v="8.5000000000000006E-2"/>
    <n v="36272.050000000003"/>
    <n v="0.9085900895086958"/>
    <n v="6874.7746478873241"/>
  </r>
  <r>
    <s v="BAYCOAST BANK"/>
    <s v="Swansea"/>
    <x v="3"/>
    <n v="2777"/>
    <d v="2019-09-30T00:00:00"/>
    <x v="0"/>
    <n v="424"/>
    <n v="1858809"/>
    <n v="65515"/>
    <n v="1858809"/>
    <n v="1693995"/>
    <n v="1516947"/>
    <x v="1"/>
    <n v="0.08"/>
    <n v="121355.76000000001"/>
    <n v="0.91133354744893103"/>
    <n v="4383.9834905660373"/>
  </r>
  <r>
    <s v="BAYCOAST BANK"/>
    <s v="Swansea"/>
    <x v="3"/>
    <n v="2777"/>
    <d v="2020-09-30T00:00:00"/>
    <x v="1"/>
    <n v="479"/>
    <n v="2168622"/>
    <n v="28459"/>
    <n v="2168622"/>
    <n v="1991545"/>
    <n v="1739564"/>
    <x v="1"/>
    <n v="0.08"/>
    <n v="139165.12"/>
    <n v="0.91834584358177684"/>
    <n v="4527.3945720250522"/>
  </r>
  <r>
    <s v="BAYCOAST BANK"/>
    <s v="Swansea"/>
    <x v="3"/>
    <n v="2777"/>
    <d v="2021-09-30T00:00:00"/>
    <x v="2"/>
    <n v="533"/>
    <n v="2249593"/>
    <n v="57911"/>
    <n v="2249593"/>
    <n v="2051172"/>
    <n v="1978652"/>
    <x v="1"/>
    <n v="0.08"/>
    <n v="158292.16"/>
    <n v="0.91179693393427164"/>
    <n v="4220.6247654784238"/>
  </r>
  <r>
    <s v="BEACON BUSINESS BANK, NATIONAL ASSOCIATION"/>
    <s v="San Francisco"/>
    <x v="0"/>
    <n v="94108"/>
    <d v="2019-09-30T00:00:00"/>
    <x v="0"/>
    <n v="31"/>
    <n v="140620"/>
    <n v="32616"/>
    <n v="140620"/>
    <n v="122071"/>
    <n v="120647"/>
    <x v="0"/>
    <n v="0.09"/>
    <n v="10858.23"/>
    <n v="0.86809130991324135"/>
    <n v="4536.1290322580644"/>
  </r>
  <r>
    <s v="BEACON BUSINESS BANK, NATIONAL ASSOCIATION"/>
    <s v="San Francisco"/>
    <x v="0"/>
    <n v="94108"/>
    <d v="2020-09-30T00:00:00"/>
    <x v="1"/>
    <n v="26"/>
    <n v="160317"/>
    <n v="38993"/>
    <n v="160317"/>
    <n v="142866"/>
    <n v="141803"/>
    <x v="0"/>
    <n v="0.09"/>
    <n v="12762.27"/>
    <n v="0.89114691517431088"/>
    <n v="6166.0384615384619"/>
  </r>
  <r>
    <s v="BEACON BUSINESS BANK, NATIONAL ASSOCIATION"/>
    <s v="San Francisco"/>
    <x v="0"/>
    <n v="94108"/>
    <d v="2021-09-30T00:00:00"/>
    <x v="2"/>
    <n v="23"/>
    <n v="179511"/>
    <n v="59438"/>
    <n v="179511"/>
    <n v="160214"/>
    <n v="159430"/>
    <x v="0"/>
    <n v="0.09"/>
    <n v="14348.699999999999"/>
    <n v="0.89250240932310554"/>
    <n v="7804.826086956522"/>
  </r>
  <r>
    <s v="BEARDSTOWN SAVINGS S.B."/>
    <s v="Beardstown"/>
    <x v="1"/>
    <n v="62618"/>
    <d v="2019-09-30T00:00:00"/>
    <x v="0"/>
    <n v="13"/>
    <n v="52129"/>
    <n v="2077"/>
    <n v="52129"/>
    <n v="45947"/>
    <n v="39119"/>
    <x v="2"/>
    <n v="0.09"/>
    <n v="3520.71"/>
    <n v="0.88140958008018566"/>
    <n v="4009.9230769230771"/>
  </r>
  <r>
    <s v="BEARDSTOWN SAVINGS S.B."/>
    <s v="Beardstown"/>
    <x v="1"/>
    <n v="62618"/>
    <d v="2020-09-30T00:00:00"/>
    <x v="1"/>
    <n v="13"/>
    <n v="60349"/>
    <n v="6967"/>
    <n v="60349"/>
    <n v="53559"/>
    <n v="44581"/>
    <x v="2"/>
    <n v="0.09"/>
    <n v="4012.29"/>
    <n v="0.88748777941639467"/>
    <n v="4642.2307692307695"/>
  </r>
  <r>
    <s v="BEARDSTOWN SAVINGS S.B."/>
    <s v="Beardstown"/>
    <x v="1"/>
    <n v="62618"/>
    <d v="2021-09-30T00:00:00"/>
    <x v="2"/>
    <n v="12"/>
    <n v="68300"/>
    <n v="9674"/>
    <n v="68300"/>
    <n v="61244"/>
    <n v="51320"/>
    <x v="2"/>
    <n v="0.09"/>
    <n v="4618.8"/>
    <n v="0.89669106881405569"/>
    <n v="5691.666666666667"/>
  </r>
  <r>
    <s v="BELMONT BANK &amp; TRUST COMPANY"/>
    <s v="Chicago"/>
    <x v="1"/>
    <n v="60634"/>
    <d v="2019-09-30T00:00:00"/>
    <x v="0"/>
    <n v="37"/>
    <n v="533573"/>
    <n v="55904"/>
    <n v="533573"/>
    <n v="478835"/>
    <n v="476151"/>
    <x v="0"/>
    <n v="0.08"/>
    <n v="38092.080000000002"/>
    <n v="0.89741235032507272"/>
    <n v="14420.891891891892"/>
  </r>
  <r>
    <s v="BELMONT BANK &amp; TRUST COMPANY"/>
    <s v="Chicago"/>
    <x v="1"/>
    <n v="60634"/>
    <d v="2020-09-30T00:00:00"/>
    <x v="1"/>
    <n v="36"/>
    <n v="732232"/>
    <n v="111833"/>
    <n v="732232"/>
    <n v="656978"/>
    <n v="645679"/>
    <x v="0"/>
    <n v="0.08"/>
    <n v="51654.32"/>
    <n v="0.89722656207322271"/>
    <n v="20339.777777777777"/>
  </r>
  <r>
    <s v="BELMONT BANK &amp; TRUST COMPANY"/>
    <s v="Chicago"/>
    <x v="1"/>
    <n v="60634"/>
    <d v="2021-09-30T00:00:00"/>
    <x v="2"/>
    <n v="39"/>
    <n v="862147"/>
    <n v="182944"/>
    <n v="862147"/>
    <n v="775762"/>
    <n v="766492"/>
    <x v="0"/>
    <n v="0.08"/>
    <n v="61319.360000000001"/>
    <n v="0.89980246988042645"/>
    <n v="22106.333333333332"/>
  </r>
  <r>
    <s v="BEN FRANKLIN BANK OF ILLINOIS"/>
    <s v="Arlington Height"/>
    <x v="1"/>
    <n v="60004"/>
    <d v="2019-09-30T00:00:00"/>
    <x v="0"/>
    <n v="25"/>
    <n v="99973"/>
    <n v="10606"/>
    <n v="99973"/>
    <n v="90173"/>
    <n v="81455"/>
    <x v="2"/>
    <n v="0.09"/>
    <n v="7330.95"/>
    <n v="0.9019735328538705"/>
    <n v="3998.92"/>
  </r>
  <r>
    <s v="BENEFICIAL STATE BANK"/>
    <s v="Oakland"/>
    <x v="0"/>
    <n v="94612"/>
    <d v="2019-09-30T00:00:00"/>
    <x v="0"/>
    <n v="234"/>
    <n v="1056166"/>
    <n v="224566"/>
    <n v="1056166"/>
    <n v="936421"/>
    <n v="852987"/>
    <x v="1"/>
    <n v="0.08"/>
    <n v="68238.960000000006"/>
    <n v="0.88662293616723131"/>
    <n v="4513.5299145299141"/>
  </r>
  <r>
    <s v="BENEFICIAL STATE BANK"/>
    <s v="Oakland"/>
    <x v="0"/>
    <n v="94612"/>
    <d v="2020-09-30T00:00:00"/>
    <x v="1"/>
    <n v="194"/>
    <n v="1201069"/>
    <n v="79094"/>
    <n v="1201069"/>
    <n v="1085656"/>
    <n v="1032091"/>
    <x v="1"/>
    <n v="0.08"/>
    <n v="82567.28"/>
    <n v="0.90390810186592108"/>
    <n v="6191.0773195876291"/>
  </r>
  <r>
    <s v="BENEFICIAL STATE BANK"/>
    <s v="Oakland"/>
    <x v="0"/>
    <n v="94612"/>
    <d v="2021-09-30T00:00:00"/>
    <x v="2"/>
    <n v="197"/>
    <n v="1496354"/>
    <n v="60825"/>
    <n v="1496354"/>
    <n v="1368763"/>
    <n v="1307742"/>
    <x v="1"/>
    <n v="0.08"/>
    <n v="104619.36"/>
    <n v="0.91473207543134849"/>
    <n v="7595.7055837563448"/>
  </r>
  <r>
    <s v="BERKSHIRE BANK"/>
    <s v="Pittsfield"/>
    <x v="3"/>
    <n v="1201"/>
    <d v="2019-09-30T00:00:00"/>
    <x v="0"/>
    <n v="1732"/>
    <n v="13504792"/>
    <n v="212766"/>
    <n v="13504792"/>
    <n v="11745513"/>
    <n v="10502442"/>
    <x v="1"/>
    <n v="0.08"/>
    <n v="840195.36"/>
    <n v="0.86972927831839242"/>
    <n v="7797.2240184757502"/>
  </r>
  <r>
    <s v="BERKSHIRE BANK"/>
    <s v="Pittsfield"/>
    <x v="3"/>
    <n v="1201"/>
    <d v="2020-09-30T00:00:00"/>
    <x v="1"/>
    <n v="1473"/>
    <n v="12607803"/>
    <n v="930949"/>
    <n v="12607803"/>
    <n v="11431899"/>
    <n v="10561436"/>
    <x v="1"/>
    <n v="0.08"/>
    <n v="844914.88"/>
    <n v="0.90673204522627771"/>
    <n v="8559.2688391038701"/>
  </r>
  <r>
    <s v="BERKSHIRE BANK"/>
    <s v="Pittsfield"/>
    <x v="3"/>
    <n v="1201"/>
    <d v="2021-09-30T00:00:00"/>
    <x v="2"/>
    <n v="1333"/>
    <n v="11856047"/>
    <n v="2121407"/>
    <n v="11856047"/>
    <n v="10694578"/>
    <n v="10487472"/>
    <x v="1"/>
    <n v="0.08"/>
    <n v="838997.76"/>
    <n v="0.90203572910937346"/>
    <n v="8894.2588147036768"/>
  </r>
  <r>
    <s v="BESSEMER TRUST COMPANY, NATIONAL ASSOCIATION"/>
    <s v="New York"/>
    <x v="2"/>
    <n v="10111"/>
    <d v="2019-09-30T00:00:00"/>
    <x v="0"/>
    <n v="556"/>
    <n v="1841070"/>
    <n v="319630"/>
    <n v="1841070"/>
    <n v="1574905"/>
    <n v="1452413"/>
    <x v="1"/>
    <n v="0.08"/>
    <n v="116193.04000000001"/>
    <n v="0.85542917977045962"/>
    <n v="3311.276978417266"/>
  </r>
  <r>
    <s v="BESSEMER TRUST COMPANY, NATIONAL ASSOCIATION"/>
    <s v="New York"/>
    <x v="2"/>
    <n v="10111"/>
    <d v="2020-09-30T00:00:00"/>
    <x v="1"/>
    <n v="590"/>
    <n v="2318528"/>
    <n v="797094"/>
    <n v="2318528"/>
    <n v="2026013"/>
    <n v="1887763"/>
    <x v="1"/>
    <n v="0.08"/>
    <n v="151021.04"/>
    <n v="0.87383589932922956"/>
    <n v="3929.7084745762713"/>
  </r>
  <r>
    <s v="BESSEMER TRUST COMPANY, NATIONAL ASSOCIATION"/>
    <s v="New York"/>
    <x v="2"/>
    <n v="10020"/>
    <d v="2021-09-30T00:00:00"/>
    <x v="2"/>
    <n v="595"/>
    <n v="3123987"/>
    <n v="946997"/>
    <n v="3123987"/>
    <n v="2814377"/>
    <n v="2636682"/>
    <x v="1"/>
    <n v="0.08"/>
    <n v="210934.56"/>
    <n v="0.90089267336899925"/>
    <n v="5250.3983193277309"/>
  </r>
  <r>
    <s v="BEST HOMETOWN BANK"/>
    <s v="Collinsville"/>
    <x v="1"/>
    <n v="62234"/>
    <d v="2019-09-30T00:00:00"/>
    <x v="0"/>
    <n v="20"/>
    <n v="115624"/>
    <n v="7960"/>
    <n v="115624"/>
    <n v="104445"/>
    <n v="100761"/>
    <x v="0"/>
    <n v="0.08"/>
    <n v="8060.88"/>
    <n v="0.90331592057012389"/>
    <n v="5781.2"/>
  </r>
  <r>
    <s v="BETTER BANKS"/>
    <s v="Peoria"/>
    <x v="1"/>
    <n v="61615"/>
    <d v="2019-09-30T00:00:00"/>
    <x v="0"/>
    <n v="70"/>
    <n v="290313"/>
    <n v="18467"/>
    <n v="290313"/>
    <n v="261091"/>
    <n v="259620"/>
    <x v="0"/>
    <n v="0.08"/>
    <n v="20769.600000000002"/>
    <n v="0.89934312276749573"/>
    <n v="4147.3285714285712"/>
  </r>
  <r>
    <s v="BETTER BANKS"/>
    <s v="Peoria"/>
    <x v="1"/>
    <n v="61615"/>
    <d v="2020-09-30T00:00:00"/>
    <x v="1"/>
    <n v="68"/>
    <n v="331098"/>
    <n v="33753"/>
    <n v="331098"/>
    <n v="299206"/>
    <n v="293374"/>
    <x v="0"/>
    <n v="0.08"/>
    <n v="23469.920000000002"/>
    <n v="0.90367806510459137"/>
    <n v="4869.088235294118"/>
  </r>
  <r>
    <s v="BETTER BANKS"/>
    <s v="Peoria"/>
    <x v="1"/>
    <n v="61615"/>
    <d v="2021-09-30T00:00:00"/>
    <x v="2"/>
    <n v="72"/>
    <n v="404344"/>
    <n v="29115"/>
    <n v="404344"/>
    <n v="371831"/>
    <n v="370083"/>
    <x v="0"/>
    <n v="0.08"/>
    <n v="29606.639999999999"/>
    <n v="0.91959074451457179"/>
    <n v="5615.8888888888887"/>
  </r>
  <r>
    <s v="BEVERLY BANK"/>
    <s v="Beverly"/>
    <x v="3"/>
    <n v="1915"/>
    <d v="2019-09-30T00:00:00"/>
    <x v="0"/>
    <n v="71"/>
    <n v="502198"/>
    <n v="10316"/>
    <n v="502198"/>
    <n v="458745"/>
    <n v="434440"/>
    <x v="0"/>
    <n v="8.5000000000000006E-2"/>
    <n v="36927.4"/>
    <n v="0.9134743666840569"/>
    <n v="7073.211267605634"/>
  </r>
  <r>
    <s v="BEVERLY BANK &amp; TRUST COMPANY, NATIONAL ASSOCIATION"/>
    <s v="Chicago"/>
    <x v="1"/>
    <n v="60643"/>
    <d v="2019-09-30T00:00:00"/>
    <x v="0"/>
    <n v="156"/>
    <n v="1585403"/>
    <n v="50561"/>
    <n v="1585403"/>
    <n v="1411626"/>
    <n v="1369778"/>
    <x v="1"/>
    <n v="7.4999999999999997E-2"/>
    <n v="102733.34999999999"/>
    <n v="0.89038938364567244"/>
    <n v="10162.839743589744"/>
  </r>
  <r>
    <s v="BEVERLY BANK &amp; TRUST COMPANY, NATIONAL ASSOCIATION"/>
    <s v="Chicago"/>
    <x v="1"/>
    <n v="60643"/>
    <d v="2020-09-30T00:00:00"/>
    <x v="1"/>
    <n v="172"/>
    <n v="1761899"/>
    <n v="108715"/>
    <n v="1761899"/>
    <n v="1581622"/>
    <n v="1530200"/>
    <x v="1"/>
    <n v="7.4999999999999997E-2"/>
    <n v="114765"/>
    <n v="0.89768028700850622"/>
    <n v="10243.598837209302"/>
  </r>
  <r>
    <s v="BEVERLY BANK &amp; TRUST COMPANY, NATIONAL ASSOCIATION"/>
    <s v="Chicago"/>
    <x v="1"/>
    <n v="60643"/>
    <d v="2021-09-30T00:00:00"/>
    <x v="2"/>
    <n v="168"/>
    <n v="1818590"/>
    <n v="167889"/>
    <n v="1818590"/>
    <n v="1630648"/>
    <n v="1584344"/>
    <x v="1"/>
    <n v="7.4999999999999997E-2"/>
    <n v="118825.79999999999"/>
    <n v="0.89665510092984124"/>
    <n v="10824.940476190477"/>
  </r>
  <r>
    <s v="BLACKHAWK BANK &amp; TRUST"/>
    <s v="Milan"/>
    <x v="1"/>
    <n v="61264"/>
    <d v="2019-09-30T00:00:00"/>
    <x v="0"/>
    <n v="215"/>
    <n v="1381090"/>
    <n v="73313"/>
    <n v="1381090"/>
    <n v="1202603"/>
    <n v="944755"/>
    <x v="1"/>
    <n v="7.4999999999999997E-2"/>
    <n v="70856.625"/>
    <n v="0.87076367217198014"/>
    <n v="6423.6744186046508"/>
  </r>
  <r>
    <s v="BLACKHAWK BANK &amp; TRUST"/>
    <s v="Milan"/>
    <x v="1"/>
    <n v="61264"/>
    <d v="2020-09-30T00:00:00"/>
    <x v="1"/>
    <n v="227"/>
    <n v="1554217"/>
    <n v="49627"/>
    <n v="1554217"/>
    <n v="1366197"/>
    <n v="1098011"/>
    <x v="1"/>
    <n v="7.4999999999999997E-2"/>
    <n v="82350.824999999997"/>
    <n v="0.87902590178848905"/>
    <n v="6846.7709251101323"/>
  </r>
  <r>
    <s v="BLACKHAWK BANK &amp; TRUST"/>
    <s v="Milan"/>
    <x v="1"/>
    <n v="61264"/>
    <d v="2021-09-30T00:00:00"/>
    <x v="2"/>
    <n v="219"/>
    <n v="1742274"/>
    <n v="51434"/>
    <n v="1742274"/>
    <n v="1551098"/>
    <n v="1249094"/>
    <x v="1"/>
    <n v="7.4999999999999997E-2"/>
    <n v="93682.05"/>
    <n v="0.89027213859588106"/>
    <n v="7955.58904109589"/>
  </r>
  <r>
    <s v="BLUESTONE BANK"/>
    <s v="Raynham"/>
    <x v="3"/>
    <n v="2767"/>
    <d v="2021-09-30T00:00:00"/>
    <x v="2"/>
    <n v="188"/>
    <n v="1305286"/>
    <n v="115037"/>
    <n v="1305286"/>
    <n v="1172790"/>
    <n v="1163364"/>
    <x v="1"/>
    <n v="0.08"/>
    <n v="93069.119999999995"/>
    <n v="0.89849274411891344"/>
    <n v="6943.010638297872"/>
  </r>
  <r>
    <s v="BMO HARRIS BANK NATIONAL ASSOCIATION"/>
    <s v="Chicago"/>
    <x v="1"/>
    <n v="60603"/>
    <d v="2019-09-30T00:00:00"/>
    <x v="0"/>
    <n v="11448"/>
    <n v="138843929"/>
    <n v="20503342"/>
    <n v="138843929"/>
    <n v="122108112"/>
    <n v="105369232"/>
    <x v="1"/>
    <n v="7.4999999999999997E-2"/>
    <n v="7902692.3999999994"/>
    <n v="0.87946309845495663"/>
    <n v="12128.225803633823"/>
  </r>
  <r>
    <s v="BMO HARRIS BANK NATIONAL ASSOCIATION"/>
    <s v="Chicago"/>
    <x v="1"/>
    <n v="60603"/>
    <d v="2020-09-30T00:00:00"/>
    <x v="1"/>
    <n v="10632"/>
    <n v="151532887"/>
    <n v="14616327"/>
    <n v="151532887"/>
    <n v="133661375"/>
    <n v="126012708"/>
    <x v="1"/>
    <n v="7.4999999999999997E-2"/>
    <n v="9450953.0999999996"/>
    <n v="0.88206182595861182"/>
    <n v="14252.528875094056"/>
  </r>
  <r>
    <s v="BMO HARRIS BANK NATIONAL ASSOCIATION"/>
    <s v="Chicago"/>
    <x v="1"/>
    <n v="60603"/>
    <d v="2021-09-30T00:00:00"/>
    <x v="2"/>
    <n v="10367"/>
    <n v="166195578"/>
    <n v="35657723"/>
    <n v="166195578"/>
    <n v="147709830"/>
    <n v="139123423"/>
    <x v="1"/>
    <n v="7.4999999999999997E-2"/>
    <n v="10434256.725"/>
    <n v="0.88877112001138803"/>
    <n v="16031.212308285907"/>
  </r>
  <r>
    <s v="BMO HARRIS CENTRAL NATIONAL ASSOCIATION"/>
    <s v="Roselle"/>
    <x v="1"/>
    <n v="60172"/>
    <d v="2019-09-30T00:00:00"/>
    <x v="0"/>
    <n v="25"/>
    <n v="7920"/>
    <n v="7742"/>
    <n v="7920"/>
    <n v="1047"/>
    <n v="1000"/>
    <x v="2"/>
    <n v="0.09"/>
    <n v="90"/>
    <n v="0.1321969696969697"/>
    <n v="316.8"/>
  </r>
  <r>
    <s v="BMO HARRIS CENTRAL NATIONAL ASSOCIATION"/>
    <s v="Roselle"/>
    <x v="1"/>
    <n v="60172"/>
    <d v="2020-09-30T00:00:00"/>
    <x v="1"/>
    <n v="23"/>
    <n v="7981"/>
    <n v="7801"/>
    <n v="7981"/>
    <n v="1028"/>
    <n v="1000"/>
    <x v="2"/>
    <n v="0.09"/>
    <n v="90"/>
    <n v="0.12880591404585892"/>
    <n v="347"/>
  </r>
  <r>
    <s v="BMO HARRIS CENTRAL NATIONAL ASSOCIATION"/>
    <s v="Roselle"/>
    <x v="1"/>
    <n v="60172"/>
    <d v="2021-09-30T00:00:00"/>
    <x v="2"/>
    <n v="23"/>
    <n v="7998"/>
    <n v="7818"/>
    <n v="7998"/>
    <n v="1014"/>
    <n v="1000"/>
    <x v="2"/>
    <n v="0.09"/>
    <n v="90"/>
    <n v="0.12678169542385595"/>
    <n v="347.73913043478262"/>
  </r>
  <r>
    <s v="BNB BANK"/>
    <s v="Bridgehampton"/>
    <x v="2"/>
    <n v="11932"/>
    <d v="2019-09-30T00:00:00"/>
    <x v="0"/>
    <n v="490"/>
    <n v="4735802"/>
    <n v="131218"/>
    <n v="4735802"/>
    <n v="4173714"/>
    <n v="3746503"/>
    <x v="1"/>
    <n v="0.08"/>
    <n v="299720.24"/>
    <n v="0.88131091629253078"/>
    <n v="9664.9020408163269"/>
  </r>
  <r>
    <s v="BNB BANK"/>
    <s v="Bridgehampton"/>
    <x v="2"/>
    <n v="11932"/>
    <d v="2020-09-30T00:00:00"/>
    <x v="1"/>
    <n v="493"/>
    <n v="6322033"/>
    <n v="710467"/>
    <n v="6322033"/>
    <n v="5732577"/>
    <n v="5370526"/>
    <x v="1"/>
    <n v="0.08"/>
    <n v="429642.08"/>
    <n v="0.9067616382261845"/>
    <n v="12823.596348884381"/>
  </r>
  <r>
    <s v="BOSTON PRIVATE BANK &amp; TRUST COMPANY"/>
    <s v="Boston"/>
    <x v="3"/>
    <n v="2109"/>
    <d v="2019-09-30T00:00:00"/>
    <x v="0"/>
    <n v="767"/>
    <n v="8654381"/>
    <n v="74787"/>
    <n v="8654381"/>
    <n v="7802992"/>
    <n v="6700308"/>
    <x v="1"/>
    <n v="0.08"/>
    <n v="536024.64"/>
    <n v="0.90162335122523496"/>
    <n v="11283.417209908735"/>
  </r>
  <r>
    <s v="BOSTON PRIVATE BANK &amp; TRUST COMPANY"/>
    <s v="Boston"/>
    <x v="3"/>
    <n v="2109"/>
    <d v="2020-09-30T00:00:00"/>
    <x v="1"/>
    <n v="798"/>
    <n v="9399435"/>
    <n v="543113"/>
    <n v="9399435"/>
    <n v="8522301"/>
    <n v="7883262"/>
    <x v="1"/>
    <n v="0.08"/>
    <n v="630660.96"/>
    <n v="0.90668226334880764"/>
    <n v="11778.74060150376"/>
  </r>
  <r>
    <s v="BOSTON TRUST WALDEN COMPANY"/>
    <s v="Boston"/>
    <x v="3"/>
    <n v="2108"/>
    <d v="2019-09-30T00:00:00"/>
    <x v="0"/>
    <n v="62"/>
    <n v="51453"/>
    <n v="9986"/>
    <n v="51453"/>
    <n v="13125"/>
    <n v="500"/>
    <x v="2"/>
    <n v="9.5000000000000001E-2"/>
    <n v="47.5"/>
    <n v="0.25508716692904204"/>
    <n v="829.88709677419354"/>
  </r>
  <r>
    <s v="BOSTON TRUST WALDEN COMPANY"/>
    <s v="Boston"/>
    <x v="3"/>
    <n v="2108"/>
    <d v="2020-09-30T00:00:00"/>
    <x v="1"/>
    <n v="70"/>
    <n v="52204"/>
    <n v="10062"/>
    <n v="52204"/>
    <n v="13499"/>
    <n v="500"/>
    <x v="2"/>
    <n v="9.5000000000000001E-2"/>
    <n v="47.5"/>
    <n v="0.25858171787602485"/>
    <n v="745.7714285714286"/>
  </r>
  <r>
    <s v="BOSTON TRUST WALDEN COMPANY"/>
    <s v="Boston"/>
    <x v="3"/>
    <n v="2108"/>
    <d v="2021-09-30T00:00:00"/>
    <x v="2"/>
    <n v="70"/>
    <n v="62250"/>
    <n v="16941"/>
    <n v="62250"/>
    <n v="20035"/>
    <n v="500"/>
    <x v="2"/>
    <n v="9.5000000000000001E-2"/>
    <n v="47.5"/>
    <n v="0.32184738955823294"/>
    <n v="889.28571428571433"/>
  </r>
  <r>
    <s v="BRICKYARD BANK"/>
    <s v="Lincolnwood"/>
    <x v="1"/>
    <n v="60712"/>
    <d v="2019-09-30T00:00:00"/>
    <x v="0"/>
    <n v="22"/>
    <n v="122310"/>
    <n v="25519"/>
    <n v="122310"/>
    <n v="107817"/>
    <n v="103312"/>
    <x v="0"/>
    <n v="0.08"/>
    <n v="8264.9600000000009"/>
    <n v="0.88150600932057888"/>
    <n v="5559.545454545455"/>
  </r>
  <r>
    <s v="BRICKYARD BANK"/>
    <s v="Lincolnwood"/>
    <x v="1"/>
    <n v="60712"/>
    <d v="2020-09-30T00:00:00"/>
    <x v="1"/>
    <n v="22"/>
    <n v="161310"/>
    <n v="56897"/>
    <n v="161310"/>
    <n v="146213"/>
    <n v="137688"/>
    <x v="0"/>
    <n v="0.08"/>
    <n v="11015.04"/>
    <n v="0.90641001797780674"/>
    <n v="7332.272727272727"/>
  </r>
  <r>
    <s v="BRICKYARD BANK"/>
    <s v="Lincolnwood"/>
    <x v="1"/>
    <n v="60712"/>
    <d v="2021-09-30T00:00:00"/>
    <x v="2"/>
    <n v="22"/>
    <n v="170048"/>
    <n v="63329"/>
    <n v="170048"/>
    <n v="154746"/>
    <n v="150263"/>
    <x v="0"/>
    <n v="0.08"/>
    <n v="12021.04"/>
    <n v="0.91001364320662403"/>
    <n v="7729.454545454545"/>
  </r>
  <r>
    <s v="BRIDGEWATER SAVINGS BANK"/>
    <s v="Raynham"/>
    <x v="3"/>
    <n v="2767"/>
    <d v="2019-09-30T00:00:00"/>
    <x v="0"/>
    <n v="115"/>
    <n v="622905"/>
    <n v="8366"/>
    <n v="622905"/>
    <n v="561713"/>
    <n v="532617"/>
    <x v="0"/>
    <n v="8.5000000000000006E-2"/>
    <n v="45272.445"/>
    <n v="0.90176351128984356"/>
    <n v="5416.565217391304"/>
  </r>
  <r>
    <s v="BRIDGEWATER SAVINGS BANK"/>
    <s v="Raynham"/>
    <x v="3"/>
    <n v="2767"/>
    <d v="2020-09-30T00:00:00"/>
    <x v="1"/>
    <n v="119"/>
    <n v="712150"/>
    <n v="38306"/>
    <n v="712150"/>
    <n v="645539"/>
    <n v="620861"/>
    <x v="0"/>
    <n v="8.5000000000000006E-2"/>
    <n v="52773.185000000005"/>
    <n v="0.90646493014112195"/>
    <n v="5984.453781512605"/>
  </r>
  <r>
    <s v="BRISTOL COUNTY SAVINGS BANK"/>
    <s v="Taunton"/>
    <x v="3"/>
    <n v="2780"/>
    <d v="2019-09-30T00:00:00"/>
    <x v="0"/>
    <n v="419"/>
    <n v="2279692"/>
    <n v="48655"/>
    <n v="2279692"/>
    <n v="1963969"/>
    <n v="1906705"/>
    <x v="1"/>
    <n v="0.08"/>
    <n v="152536.4"/>
    <n v="0.86150629120074118"/>
    <n v="5440.7923627684968"/>
  </r>
  <r>
    <s v="BRISTOL COUNTY SAVINGS BANK"/>
    <s v="Taunton"/>
    <x v="3"/>
    <n v="2780"/>
    <d v="2020-09-30T00:00:00"/>
    <x v="1"/>
    <n v="425"/>
    <n v="2745813"/>
    <n v="135015"/>
    <n v="2745814"/>
    <n v="2432559"/>
    <n v="2288667"/>
    <x v="1"/>
    <n v="0.08"/>
    <n v="183093.36000000002"/>
    <n v="0.88591575609846707"/>
    <n v="6460.7364705882355"/>
  </r>
  <r>
    <s v="BRISTOL COUNTY SAVINGS BANK"/>
    <s v="Taunton"/>
    <x v="3"/>
    <n v="2780"/>
    <d v="2021-09-30T00:00:00"/>
    <x v="2"/>
    <n v="326"/>
    <n v="2990438"/>
    <n v="200252"/>
    <n v="2990438"/>
    <n v="2613258"/>
    <n v="2554758"/>
    <x v="1"/>
    <n v="0.08"/>
    <n v="204380.64"/>
    <n v="0.87387131918468131"/>
    <n v="9173.1226993865039"/>
  </r>
  <r>
    <s v="BROADWAY FEDERAL BANK, F.S.B."/>
    <s v="Los Angeles"/>
    <x v="0"/>
    <n v="90036"/>
    <d v="2019-09-30T00:00:00"/>
    <x v="0"/>
    <n v="61"/>
    <n v="412174"/>
    <n v="21823"/>
    <n v="412174"/>
    <n v="361111"/>
    <n v="283569"/>
    <x v="0"/>
    <n v="0.09"/>
    <n v="25521.21"/>
    <n v="0.87611300082004206"/>
    <n v="6756.9508196721308"/>
  </r>
  <r>
    <s v="BROADWAY FEDERAL BANK, F.S.B."/>
    <s v="Los Angeles"/>
    <x v="0"/>
    <n v="90036"/>
    <d v="2020-09-30T00:00:00"/>
    <x v="1"/>
    <n v="65"/>
    <n v="497028"/>
    <n v="69717"/>
    <n v="497028"/>
    <n v="446767"/>
    <n v="329037"/>
    <x v="0"/>
    <n v="0.09"/>
    <n v="29613.329999999998"/>
    <n v="0.89887692443886458"/>
    <n v="7646.5846153846151"/>
  </r>
  <r>
    <s v="BROOKLINE BANK"/>
    <s v="Brookline"/>
    <x v="3"/>
    <n v="2445"/>
    <d v="2019-09-30T00:00:00"/>
    <x v="0"/>
    <n v="431"/>
    <n v="4979031"/>
    <n v="98491"/>
    <n v="4979031"/>
    <n v="4436469"/>
    <n v="3544406"/>
    <x v="1"/>
    <n v="0.08"/>
    <n v="283552.48"/>
    <n v="0.89103060414767454"/>
    <n v="11552.276102088166"/>
  </r>
  <r>
    <s v="BROOKLINE BANK"/>
    <s v="Brookline"/>
    <x v="3"/>
    <n v="2445"/>
    <d v="2020-09-30T00:00:00"/>
    <x v="1"/>
    <n v="495"/>
    <n v="5855764"/>
    <n v="185551"/>
    <n v="5855764"/>
    <n v="5267198"/>
    <n v="4420674"/>
    <x v="1"/>
    <n v="0.08"/>
    <n v="353653.92"/>
    <n v="0.899489460299288"/>
    <n v="11829.826262626262"/>
  </r>
  <r>
    <s v="BROOKLINE BANK"/>
    <s v="Brookline"/>
    <x v="3"/>
    <n v="2445"/>
    <d v="2021-09-30T00:00:00"/>
    <x v="2"/>
    <n v="496"/>
    <n v="5319415"/>
    <n v="57158"/>
    <n v="5319415"/>
    <n v="4707730"/>
    <n v="4319068"/>
    <x v="1"/>
    <n v="0.08"/>
    <n v="345525.44"/>
    <n v="0.88500897185122795"/>
    <n v="10724.627016129032"/>
  </r>
  <r>
    <s v="BUCKLEY STATE BANK"/>
    <s v="Buckley"/>
    <x v="1"/>
    <n v="60918"/>
    <d v="2019-09-30T00:00:00"/>
    <x v="0"/>
    <n v="8"/>
    <n v="41734"/>
    <n v="4688"/>
    <n v="41734"/>
    <n v="36423"/>
    <n v="36415"/>
    <x v="2"/>
    <n v="0.09"/>
    <n v="3277.35"/>
    <n v="0.87274164949441702"/>
    <n v="5216.75"/>
  </r>
  <r>
    <s v="BUCKLEY STATE BANK"/>
    <s v="Buckley"/>
    <x v="1"/>
    <n v="60918"/>
    <d v="2020-09-30T00:00:00"/>
    <x v="1"/>
    <n v="8"/>
    <n v="43973"/>
    <n v="9232"/>
    <n v="43973"/>
    <n v="38633"/>
    <n v="38608"/>
    <x v="2"/>
    <n v="0.09"/>
    <n v="3474.72"/>
    <n v="0.87856184476838062"/>
    <n v="5496.625"/>
  </r>
  <r>
    <s v="BUCKLEY STATE BANK"/>
    <s v="Buckley"/>
    <x v="1"/>
    <n v="60918"/>
    <d v="2021-09-30T00:00:00"/>
    <x v="2"/>
    <n v="9"/>
    <n v="50785"/>
    <n v="4428"/>
    <n v="50785"/>
    <n v="45366"/>
    <n v="45340"/>
    <x v="2"/>
    <n v="0.09"/>
    <n v="4080.6"/>
    <n v="0.89329526434970952"/>
    <n v="5642.7777777777774"/>
  </r>
  <r>
    <s v="BUENA VISTA NATIONAL BANK"/>
    <s v="Chester"/>
    <x v="1"/>
    <n v="62233"/>
    <d v="2019-09-30T00:00:00"/>
    <x v="0"/>
    <n v="63"/>
    <n v="207566"/>
    <n v="19322"/>
    <n v="207566"/>
    <n v="178227"/>
    <n v="173092"/>
    <x v="0"/>
    <n v="0.08"/>
    <n v="13847.36"/>
    <n v="0.8586521877378761"/>
    <n v="3294.6984126984125"/>
  </r>
  <r>
    <s v="BUENA VISTA NATIONAL BANK"/>
    <s v="Chester"/>
    <x v="1"/>
    <n v="62233"/>
    <d v="2020-09-30T00:00:00"/>
    <x v="1"/>
    <n v="59"/>
    <n v="237910"/>
    <n v="36589"/>
    <n v="237910"/>
    <n v="206417"/>
    <n v="201354"/>
    <x v="0"/>
    <n v="0.08"/>
    <n v="16108.32"/>
    <n v="0.86762641334958601"/>
    <n v="4032.3728813559323"/>
  </r>
  <r>
    <s v="BUENA VISTA NATIONAL BANK"/>
    <s v="Chester"/>
    <x v="1"/>
    <n v="62233"/>
    <d v="2021-09-30T00:00:00"/>
    <x v="2"/>
    <n v="58"/>
    <n v="255556"/>
    <n v="38042"/>
    <n v="255556"/>
    <n v="223372"/>
    <n v="218634"/>
    <x v="0"/>
    <n v="0.08"/>
    <n v="17490.72"/>
    <n v="0.87406282771682131"/>
    <n v="4406.1379310344828"/>
  </r>
  <r>
    <s v="BURLING BANK"/>
    <s v="Chicago"/>
    <x v="1"/>
    <n v="60604"/>
    <d v="2019-09-30T00:00:00"/>
    <x v="0"/>
    <n v="17"/>
    <n v="132299"/>
    <n v="6035"/>
    <n v="132300"/>
    <n v="117077"/>
    <n v="115659"/>
    <x v="0"/>
    <n v="0.08"/>
    <n v="9252.7199999999993"/>
    <n v="0.88494244098594854"/>
    <n v="7782.2941176470586"/>
  </r>
  <r>
    <s v="BURLING BANK"/>
    <s v="Chicago"/>
    <x v="1"/>
    <n v="60604"/>
    <d v="2020-09-30T00:00:00"/>
    <x v="1"/>
    <n v="16"/>
    <n v="147022"/>
    <n v="4224"/>
    <n v="147022"/>
    <n v="129509"/>
    <n v="120827"/>
    <x v="0"/>
    <n v="0.08"/>
    <n v="9666.16"/>
    <n v="0.88088177279590807"/>
    <n v="9188.875"/>
  </r>
  <r>
    <s v="BURLING BANK"/>
    <s v="Chicago"/>
    <x v="1"/>
    <n v="60604"/>
    <d v="2021-09-30T00:00:00"/>
    <x v="2"/>
    <n v="17"/>
    <n v="220359"/>
    <n v="41758"/>
    <n v="220359"/>
    <n v="199294"/>
    <n v="193360"/>
    <x v="0"/>
    <n v="0.08"/>
    <n v="15468.800000000001"/>
    <n v="0.90440599204026162"/>
    <n v="12962.294117647059"/>
  </r>
  <r>
    <s v="BUSEY BANK"/>
    <s v="Champaign"/>
    <x v="1"/>
    <n v="61820"/>
    <d v="2019-09-30T00:00:00"/>
    <x v="0"/>
    <n v="1257"/>
    <n v="7803711"/>
    <n v="185479"/>
    <n v="7803711"/>
    <n v="6665004"/>
    <n v="6381073"/>
    <x v="1"/>
    <n v="7.4999999999999997E-2"/>
    <n v="478580.47499999998"/>
    <n v="0.8540813466823669"/>
    <n v="6208.2028639618138"/>
  </r>
  <r>
    <s v="BUSEY BANK"/>
    <s v="Champaign"/>
    <x v="1"/>
    <n v="61820"/>
    <d v="2020-09-30T00:00:00"/>
    <x v="1"/>
    <n v="1323"/>
    <n v="10516925"/>
    <n v="471760"/>
    <n v="10516925"/>
    <n v="9129684"/>
    <n v="8788741"/>
    <x v="1"/>
    <n v="7.4999999999999997E-2"/>
    <n v="659155.57499999995"/>
    <n v="0.86809442874224163"/>
    <n v="7949.3008314436884"/>
  </r>
  <r>
    <s v="BUSEY BANK"/>
    <s v="Champaign"/>
    <x v="1"/>
    <n v="61820"/>
    <d v="2021-09-30T00:00:00"/>
    <x v="2"/>
    <n v="1408"/>
    <n v="12866133"/>
    <n v="877365"/>
    <n v="12866133"/>
    <n v="11280516"/>
    <n v="10895769"/>
    <x v="1"/>
    <n v="7.4999999999999997E-2"/>
    <n v="817182.67499999993"/>
    <n v="0.8767604065650495"/>
    <n v="9137.878551136364"/>
  </r>
  <r>
    <s v="BYLINE BANK"/>
    <s v="Chicago"/>
    <x v="1"/>
    <n v="60601"/>
    <d v="2019-09-30T00:00:00"/>
    <x v="0"/>
    <n v="1004"/>
    <n v="5432970"/>
    <n v="108839"/>
    <n v="5432970"/>
    <n v="4672752"/>
    <n v="4088250"/>
    <x v="1"/>
    <n v="7.4999999999999997E-2"/>
    <n v="306618.75"/>
    <n v="0.86007321962020777"/>
    <n v="5411.3247011952189"/>
  </r>
  <r>
    <s v="BYLINE BANK"/>
    <s v="Chicago"/>
    <x v="1"/>
    <n v="60601"/>
    <d v="2020-09-30T00:00:00"/>
    <x v="1"/>
    <n v="964"/>
    <n v="6490094"/>
    <n v="101078"/>
    <n v="6490094"/>
    <n v="5677717"/>
    <n v="4897790"/>
    <x v="1"/>
    <n v="7.4999999999999997E-2"/>
    <n v="367334.25"/>
    <n v="0.87482816119458362"/>
    <n v="6732.4626556016601"/>
  </r>
  <r>
    <s v="BYLINE BANK"/>
    <s v="Chicago"/>
    <x v="1"/>
    <n v="60601"/>
    <d v="2021-09-30T00:00:00"/>
    <x v="2"/>
    <n v="967"/>
    <n v="6694301"/>
    <n v="142878"/>
    <n v="6694301"/>
    <n v="5825367"/>
    <n v="5214487"/>
    <x v="1"/>
    <n v="7.4999999999999997E-2"/>
    <n v="391086.52499999997"/>
    <n v="0.87019794897181946"/>
    <n v="6922.7518097207858"/>
  </r>
  <r>
    <s v="BYRON BANK"/>
    <s v="Byron"/>
    <x v="1"/>
    <n v="61010"/>
    <d v="2019-09-30T00:00:00"/>
    <x v="0"/>
    <n v="67"/>
    <n v="275837"/>
    <n v="15540"/>
    <n v="275837"/>
    <n v="246787"/>
    <n v="244779"/>
    <x v="0"/>
    <n v="0.08"/>
    <n v="19582.32"/>
    <n v="0.89468417942480527"/>
    <n v="4116.9701492537315"/>
  </r>
  <r>
    <s v="BYRON BANK"/>
    <s v="Byron"/>
    <x v="1"/>
    <n v="61010"/>
    <d v="2020-09-30T00:00:00"/>
    <x v="1"/>
    <n v="62"/>
    <n v="325233"/>
    <n v="34164"/>
    <n v="325233"/>
    <n v="293176"/>
    <n v="287263"/>
    <x v="0"/>
    <n v="0.08"/>
    <n v="22981.040000000001"/>
    <n v="0.90143374134851018"/>
    <n v="5245.6935483870966"/>
  </r>
  <r>
    <s v="BYRON BANK"/>
    <s v="Byron"/>
    <x v="1"/>
    <n v="61010"/>
    <d v="2021-09-30T00:00:00"/>
    <x v="2"/>
    <n v="65"/>
    <n v="341803"/>
    <n v="47680"/>
    <n v="341803"/>
    <n v="306950"/>
    <n v="304943"/>
    <x v="0"/>
    <n v="0.08"/>
    <n v="24395.439999999999"/>
    <n v="0.8980319072682218"/>
    <n v="5258.5076923076922"/>
  </r>
  <r>
    <s v="C3BANK, NATIONAL ASSOCIATION"/>
    <s v="Encinitas"/>
    <x v="0"/>
    <n v="92024"/>
    <d v="2019-09-30T00:00:00"/>
    <x v="0"/>
    <n v="37"/>
    <n v="326761"/>
    <n v="39090"/>
    <n v="326761"/>
    <n v="283685"/>
    <n v="282428"/>
    <x v="0"/>
    <n v="0.09"/>
    <n v="25418.52"/>
    <n v="0.86817276235536067"/>
    <n v="8831.3783783783783"/>
  </r>
  <r>
    <s v="C3BANK, NATIONAL ASSOCIATION"/>
    <s v="Encinitas"/>
    <x v="0"/>
    <n v="92024"/>
    <d v="2020-09-30T00:00:00"/>
    <x v="1"/>
    <n v="36"/>
    <n v="470493"/>
    <n v="70324"/>
    <n v="470493"/>
    <n v="422964"/>
    <n v="411772"/>
    <x v="0"/>
    <n v="0.09"/>
    <n v="37059.479999999996"/>
    <n v="0.89898043116475701"/>
    <n v="13069.25"/>
  </r>
  <r>
    <s v="C3BANK, NATIONAL ASSOCIATION"/>
    <s v="Encinitas"/>
    <x v="0"/>
    <n v="92024"/>
    <d v="2021-09-30T00:00:00"/>
    <x v="2"/>
    <n v="42"/>
    <n v="654000"/>
    <n v="166404"/>
    <n v="654000"/>
    <n v="598506"/>
    <n v="596908"/>
    <x v="0"/>
    <n v="0.09"/>
    <n v="53721.72"/>
    <n v="0.91514678899082569"/>
    <n v="15571.428571428571"/>
  </r>
  <r>
    <s v="CALIFORNIA BANK OF COMMERCE"/>
    <s v="Lafayette"/>
    <x v="0"/>
    <n v="94549"/>
    <d v="2019-09-30T00:00:00"/>
    <x v="0"/>
    <n v="130"/>
    <n v="1094856"/>
    <n v="67661"/>
    <n v="1094856"/>
    <n v="968093"/>
    <n v="926396"/>
    <x v="1"/>
    <n v="0.08"/>
    <n v="74111.680000000008"/>
    <n v="0.88421947726459005"/>
    <n v="8421.9692307692312"/>
  </r>
  <r>
    <s v="CALIFORNIA BANK OF COMMERCE"/>
    <s v="Walnut Creek"/>
    <x v="0"/>
    <n v="94597"/>
    <d v="2020-09-30T00:00:00"/>
    <x v="1"/>
    <n v="142"/>
    <n v="1972944"/>
    <n v="503893"/>
    <n v="1972944"/>
    <n v="1829639"/>
    <n v="1448874"/>
    <x v="1"/>
    <n v="0.08"/>
    <n v="115909.92"/>
    <n v="0.9273648922625275"/>
    <n v="13893.971830985916"/>
  </r>
  <r>
    <s v="CALIFORNIA BANK OF COMMERCE"/>
    <s v="Walnut Creek"/>
    <x v="0"/>
    <n v="94597"/>
    <d v="2021-09-30T00:00:00"/>
    <x v="2"/>
    <n v="146"/>
    <n v="2049148"/>
    <n v="601050"/>
    <n v="2049148"/>
    <n v="1856965"/>
    <n v="1746379"/>
    <x v="1"/>
    <n v="0.08"/>
    <n v="139710.32"/>
    <n v="0.90621321641970221"/>
    <n v="14035.260273972603"/>
  </r>
  <r>
    <s v="CALIFORNIA BUSINESS BANK"/>
    <s v="Irvine"/>
    <x v="0"/>
    <n v="92602"/>
    <d v="2019-09-30T00:00:00"/>
    <x v="0"/>
    <n v="12"/>
    <n v="82653"/>
    <n v="10893"/>
    <n v="82653"/>
    <n v="70066"/>
    <n v="55286"/>
    <x v="2"/>
    <n v="0.1"/>
    <n v="5528.6"/>
    <n v="0.84771272670078524"/>
    <n v="6887.75"/>
  </r>
  <r>
    <s v="CALIFORNIA BUSINESS BANK"/>
    <s v="Irvine"/>
    <x v="0"/>
    <n v="92602"/>
    <d v="2020-09-30T00:00:00"/>
    <x v="1"/>
    <n v="12"/>
    <n v="97413"/>
    <n v="21300"/>
    <n v="97413"/>
    <n v="85746"/>
    <n v="68136"/>
    <x v="2"/>
    <n v="0.1"/>
    <n v="6813.6"/>
    <n v="0.88023159126605277"/>
    <n v="8117.75"/>
  </r>
  <r>
    <s v="CALIFORNIA BUSINESS BANK"/>
    <s v="Irvine"/>
    <x v="0"/>
    <n v="92602"/>
    <d v="2021-09-30T00:00:00"/>
    <x v="2"/>
    <n v="12"/>
    <n v="104337"/>
    <n v="22805"/>
    <n v="104337"/>
    <n v="92534"/>
    <n v="80834"/>
    <x v="0"/>
    <n v="0.09"/>
    <n v="7275.0599999999995"/>
    <n v="0.88687618007034896"/>
    <n v="8694.75"/>
  </r>
  <r>
    <s v="CALIFORNIA FIRST NATIONAL BANK"/>
    <s v="Irvine"/>
    <x v="0"/>
    <n v="92614"/>
    <d v="2019-09-30T00:00:00"/>
    <x v="0"/>
    <n v="20"/>
    <n v="145422"/>
    <n v="23085"/>
    <n v="145422"/>
    <n v="76420"/>
    <n v="71214"/>
    <x v="0"/>
    <n v="0.09"/>
    <n v="6409.2599999999993"/>
    <n v="0.52550508176204425"/>
    <n v="7271.1"/>
  </r>
  <r>
    <s v="CALIFORNIA FIRST NATIONAL BANK"/>
    <s v="Irvine"/>
    <x v="0"/>
    <n v="92614"/>
    <d v="2020-09-30T00:00:00"/>
    <x v="1"/>
    <n v="17"/>
    <n v="115713"/>
    <n v="53831"/>
    <n v="115713"/>
    <n v="57082"/>
    <n v="52364"/>
    <x v="0"/>
    <n v="0.09"/>
    <n v="4712.76"/>
    <n v="0.49330671575363183"/>
    <n v="6806.6470588235297"/>
  </r>
  <r>
    <s v="CALIFORNIA FIRST NATIONAL BANK"/>
    <s v="Irvine"/>
    <x v="0"/>
    <n v="92614"/>
    <d v="2021-09-30T00:00:00"/>
    <x v="2"/>
    <n v="20"/>
    <n v="146610"/>
    <n v="94227"/>
    <n v="146610"/>
    <n v="102188"/>
    <n v="101715"/>
    <x v="0"/>
    <n v="0.09"/>
    <n v="9154.35"/>
    <n v="0.69700566127822117"/>
    <n v="7330.5"/>
  </r>
  <r>
    <s v="CALIFORNIA INTERNATIONAL BANK, N.A."/>
    <s v="Westminster"/>
    <x v="0"/>
    <n v="92683"/>
    <d v="2019-09-30T00:00:00"/>
    <x v="0"/>
    <n v="18"/>
    <n v="45401"/>
    <n v="14646"/>
    <n v="45401"/>
    <n v="31889"/>
    <n v="24381"/>
    <x v="2"/>
    <n v="0.1"/>
    <n v="2438.1"/>
    <n v="0.70238541001299526"/>
    <n v="2522.2777777777778"/>
  </r>
  <r>
    <s v="CALIFORNIA INTERNATIONAL BANK, N.A."/>
    <s v="Westminster"/>
    <x v="0"/>
    <n v="92683"/>
    <d v="2020-09-30T00:00:00"/>
    <x v="1"/>
    <n v="16"/>
    <n v="71586"/>
    <n v="28463"/>
    <n v="71586"/>
    <n v="59520"/>
    <n v="49844"/>
    <x v="2"/>
    <n v="0.1"/>
    <n v="4984.4000000000005"/>
    <n v="0.83144748973262927"/>
    <n v="4474.125"/>
  </r>
  <r>
    <s v="CALIFORNIA INTERNATIONAL BANK, N.A."/>
    <s v="Westminster"/>
    <x v="0"/>
    <n v="92683"/>
    <d v="2021-09-30T00:00:00"/>
    <x v="2"/>
    <n v="16"/>
    <n v="82282"/>
    <n v="30076"/>
    <n v="82282"/>
    <n v="70898"/>
    <n v="70379"/>
    <x v="2"/>
    <n v="0.1"/>
    <n v="7037.9000000000005"/>
    <n v="0.8616465326559879"/>
    <n v="5142.625"/>
  </r>
  <r>
    <s v="CALIFORNIA PACIFIC BANK"/>
    <s v="San Francisco"/>
    <x v="0"/>
    <n v="94104"/>
    <d v="2019-09-30T00:00:00"/>
    <x v="0"/>
    <n v="8"/>
    <n v="74560"/>
    <n v="4820"/>
    <n v="74560"/>
    <n v="41847"/>
    <n v="40883"/>
    <x v="2"/>
    <n v="0.1"/>
    <n v="4088.3"/>
    <n v="0.56125268240343351"/>
    <n v="9320"/>
  </r>
  <r>
    <s v="CALIFORNIA PACIFIC BANK"/>
    <s v="San Francisco"/>
    <x v="0"/>
    <n v="94104"/>
    <d v="2020-09-30T00:00:00"/>
    <x v="1"/>
    <n v="8"/>
    <n v="89177"/>
    <n v="25042"/>
    <n v="89177"/>
    <n v="54918"/>
    <n v="54093"/>
    <x v="2"/>
    <n v="0.1"/>
    <n v="5409.3"/>
    <n v="0.61583143635690818"/>
    <n v="11147.125"/>
  </r>
  <r>
    <s v="CALIFORNIA PACIFIC BANK"/>
    <s v="San Francisco"/>
    <x v="0"/>
    <n v="94104"/>
    <d v="2021-09-30T00:00:00"/>
    <x v="2"/>
    <n v="8"/>
    <n v="79096"/>
    <n v="18295"/>
    <n v="79096"/>
    <n v="43675"/>
    <n v="43165"/>
    <x v="2"/>
    <n v="0.1"/>
    <n v="4316.5"/>
    <n v="0.55217710124405783"/>
    <n v="9887"/>
  </r>
  <r>
    <s v="CALPRIVATE BANK"/>
    <s v="La Jolla"/>
    <x v="0"/>
    <n v="92037"/>
    <d v="2019-09-30T00:00:00"/>
    <x v="0"/>
    <n v="130"/>
    <n v="999638"/>
    <n v="90108"/>
    <n v="999638"/>
    <n v="891681"/>
    <n v="827936"/>
    <x v="0"/>
    <n v="0.09"/>
    <n v="74514.239999999991"/>
    <n v="0.89200390541375973"/>
    <n v="7689.5230769230766"/>
  </r>
  <r>
    <s v="CALPRIVATE BANK"/>
    <s v="La Jolla"/>
    <x v="0"/>
    <n v="92037"/>
    <d v="2020-09-30T00:00:00"/>
    <x v="1"/>
    <n v="134"/>
    <n v="1243375"/>
    <n v="161107"/>
    <n v="1243375"/>
    <n v="1124704"/>
    <n v="1031653"/>
    <x v="1"/>
    <n v="0.08"/>
    <n v="82532.240000000005"/>
    <n v="0.90455735397607318"/>
    <n v="9278.9179104477607"/>
  </r>
  <r>
    <s v="CALPRIVATE BANK"/>
    <s v="La Jolla"/>
    <x v="0"/>
    <n v="92037"/>
    <d v="2021-09-30T00:00:00"/>
    <x v="2"/>
    <n v="162"/>
    <n v="1474186"/>
    <n v="144313"/>
    <n v="1474186"/>
    <n v="1339431"/>
    <n v="1319364"/>
    <x v="1"/>
    <n v="0.08"/>
    <n v="105549.12"/>
    <n v="0.90859023216880364"/>
    <n v="9099.9135802469136"/>
  </r>
  <r>
    <s v="CALWEST BANK"/>
    <s v="Rancho Santa Mar"/>
    <x v="0"/>
    <n v="92688"/>
    <d v="2019-09-30T00:00:00"/>
    <x v="0"/>
    <n v="40"/>
    <n v="226463"/>
    <n v="18542"/>
    <n v="226463"/>
    <n v="200522"/>
    <n v="195362"/>
    <x v="0"/>
    <n v="0.09"/>
    <n v="17582.579999999998"/>
    <n v="0.88545148655630279"/>
    <n v="5661.5749999999998"/>
  </r>
  <r>
    <s v="CAMBRIDGE SAVINGS BANK"/>
    <s v="Cambridge"/>
    <x v="3"/>
    <n v="2138"/>
    <d v="2019-09-30T00:00:00"/>
    <x v="0"/>
    <n v="389"/>
    <n v="4125490"/>
    <n v="93650"/>
    <n v="4125490"/>
    <n v="3707036"/>
    <n v="3133167"/>
    <x v="1"/>
    <n v="0.08"/>
    <n v="250653.36000000002"/>
    <n v="0.89856865487493609"/>
    <n v="10605.372750642673"/>
  </r>
  <r>
    <s v="CAMBRIDGE SAVINGS BANK"/>
    <s v="Cambridge"/>
    <x v="3"/>
    <n v="2138"/>
    <d v="2020-09-30T00:00:00"/>
    <x v="1"/>
    <n v="428"/>
    <n v="5194891"/>
    <n v="142937"/>
    <n v="5194891"/>
    <n v="4745042"/>
    <n v="4023459"/>
    <x v="1"/>
    <n v="0.08"/>
    <n v="321876.72000000003"/>
    <n v="0.91340549782468972"/>
    <n v="12137.595794392524"/>
  </r>
  <r>
    <s v="CAMBRIDGE SAVINGS BANK"/>
    <s v="Cambridge"/>
    <x v="3"/>
    <n v="2138"/>
    <d v="2021-09-30T00:00:00"/>
    <x v="2"/>
    <n v="455"/>
    <n v="5350980"/>
    <n v="366283"/>
    <n v="5350980"/>
    <n v="4852227"/>
    <n v="4522210"/>
    <x v="1"/>
    <n v="0.08"/>
    <n v="361776.8"/>
    <n v="0.90679221376271257"/>
    <n v="11760.395604395604"/>
  </r>
  <r>
    <s v="CAMBRIDGE TRUST COMPANY"/>
    <s v="Cambridge"/>
    <x v="3"/>
    <n v="2138"/>
    <d v="2019-09-30T00:00:00"/>
    <x v="0"/>
    <n v="322"/>
    <n v="2841855"/>
    <n v="68907"/>
    <n v="2841855"/>
    <n v="2602703"/>
    <n v="2412039"/>
    <x v="1"/>
    <n v="0.08"/>
    <n v="192963.12"/>
    <n v="0.9158465157441178"/>
    <n v="8825.6366459627334"/>
  </r>
  <r>
    <s v="CAMBRIDGE TRUST COMPANY"/>
    <s v="Cambridge"/>
    <x v="3"/>
    <n v="2138"/>
    <d v="2020-09-30T00:00:00"/>
    <x v="1"/>
    <n v="383"/>
    <n v="3986816"/>
    <n v="64520"/>
    <n v="3986815"/>
    <n v="3592116"/>
    <n v="3340132"/>
    <x v="1"/>
    <n v="0.08"/>
    <n v="267210.56"/>
    <n v="0.900998691687803"/>
    <n v="10409.441253263707"/>
  </r>
  <r>
    <s v="CAMBRIDGE TRUST COMPANY"/>
    <s v="Cambridge"/>
    <x v="3"/>
    <n v="2138"/>
    <d v="2021-09-30T00:00:00"/>
    <x v="2"/>
    <n v="385"/>
    <n v="4483246"/>
    <n v="93477"/>
    <n v="4483246"/>
    <n v="4061324"/>
    <n v="3940180"/>
    <x v="1"/>
    <n v="0.08"/>
    <n v="315214.40000000002"/>
    <n v="0.90588917048049555"/>
    <n v="11644.794805194806"/>
  </r>
  <r>
    <s v="CAMP GROVE STATE BANK"/>
    <s v="Camp Grove"/>
    <x v="1"/>
    <n v="61424"/>
    <d v="2019-09-30T00:00:00"/>
    <x v="0"/>
    <n v="5"/>
    <n v="19497"/>
    <n v="6987"/>
    <n v="19497"/>
    <n v="17201"/>
    <n v="16599"/>
    <x v="2"/>
    <n v="0.09"/>
    <n v="1493.9099999999999"/>
    <n v="0.88223829307072887"/>
    <n v="3899.4"/>
  </r>
  <r>
    <s v="CAMP GROVE STATE BANK"/>
    <s v="Camp Grove"/>
    <x v="1"/>
    <n v="61424"/>
    <d v="2020-09-30T00:00:00"/>
    <x v="1"/>
    <n v="5"/>
    <n v="17201"/>
    <n v="6200"/>
    <n v="17201"/>
    <n v="14616"/>
    <n v="14600"/>
    <x v="2"/>
    <n v="0.09"/>
    <n v="1314"/>
    <n v="0.84971803964885761"/>
    <n v="3440.2"/>
  </r>
  <r>
    <s v="CAMP GROVE STATE BANK"/>
    <s v="Camp Grove"/>
    <x v="1"/>
    <n v="61424"/>
    <d v="2021-09-30T00:00:00"/>
    <x v="2"/>
    <n v="7"/>
    <n v="19346"/>
    <n v="6739"/>
    <n v="19346"/>
    <n v="15341"/>
    <n v="15183"/>
    <x v="2"/>
    <n v="0.09"/>
    <n v="1366.47"/>
    <n v="0.79298046107722531"/>
    <n v="2763.7142857142858"/>
  </r>
  <r>
    <s v="CAMPUS STATE BANK"/>
    <s v="Campus"/>
    <x v="1"/>
    <n v="60920"/>
    <d v="2019-09-30T00:00:00"/>
    <x v="0"/>
    <n v="4"/>
    <n v="21762"/>
    <n v="4439"/>
    <n v="21762"/>
    <n v="19268"/>
    <n v="19246"/>
    <x v="2"/>
    <n v="0.09"/>
    <n v="1732.1399999999999"/>
    <n v="0.88539656281591761"/>
    <n v="5440.5"/>
  </r>
  <r>
    <s v="CAMPUS STATE BANK"/>
    <s v="Campus"/>
    <x v="1"/>
    <n v="60920"/>
    <d v="2020-09-30T00:00:00"/>
    <x v="1"/>
    <n v="4"/>
    <n v="21439"/>
    <n v="4888"/>
    <n v="21439"/>
    <n v="18932"/>
    <n v="18896"/>
    <x v="2"/>
    <n v="0.09"/>
    <n v="1700.6399999999999"/>
    <n v="0.88306357572647975"/>
    <n v="5359.75"/>
  </r>
  <r>
    <s v="CAMPUS STATE BANK"/>
    <s v="Campus"/>
    <x v="1"/>
    <n v="60920"/>
    <d v="2021-09-30T00:00:00"/>
    <x v="2"/>
    <n v="4"/>
    <n v="24907"/>
    <n v="8162"/>
    <n v="24907"/>
    <n v="22429"/>
    <n v="22397"/>
    <x v="2"/>
    <n v="0.09"/>
    <n v="2015.73"/>
    <n v="0.90050989681615612"/>
    <n v="6226.75"/>
  </r>
  <r>
    <s v="CANTON CO-OPERATIVE BANK"/>
    <s v="Canton"/>
    <x v="3"/>
    <n v="2021"/>
    <d v="2019-09-30T00:00:00"/>
    <x v="0"/>
    <n v="17"/>
    <n v="122804"/>
    <n v="22894"/>
    <n v="122805"/>
    <n v="103216"/>
    <n v="100216"/>
    <x v="0"/>
    <n v="8.5000000000000006E-2"/>
    <n v="8518.36"/>
    <n v="0.84049379499039123"/>
    <n v="7223.7647058823532"/>
  </r>
  <r>
    <s v="CANTON CO-OPERATIVE BANK"/>
    <s v="Canton"/>
    <x v="3"/>
    <n v="2021"/>
    <d v="2020-09-30T00:00:00"/>
    <x v="1"/>
    <n v="16"/>
    <n v="138853"/>
    <n v="28133"/>
    <n v="138853"/>
    <n v="118218"/>
    <n v="115917"/>
    <x v="0"/>
    <n v="8.5000000000000006E-2"/>
    <n v="9852.9450000000015"/>
    <n v="0.8513895990724003"/>
    <n v="8678.3125"/>
  </r>
  <r>
    <s v="CANTON CO-OPERATIVE BANK"/>
    <s v="Canton"/>
    <x v="3"/>
    <n v="2021"/>
    <d v="2021-09-30T00:00:00"/>
    <x v="2"/>
    <n v="16"/>
    <n v="152637"/>
    <n v="36956"/>
    <n v="152637"/>
    <n v="131467"/>
    <n v="129251"/>
    <x v="0"/>
    <n v="8.5000000000000006E-2"/>
    <n v="10986.335000000001"/>
    <n v="0.86130492606641906"/>
    <n v="9539.8125"/>
  </r>
  <r>
    <s v="CAPE ANN SAVINGS BANK"/>
    <s v="Gloucester"/>
    <x v="3"/>
    <n v="1930"/>
    <d v="2019-09-30T00:00:00"/>
    <x v="0"/>
    <n v="74"/>
    <n v="676529"/>
    <n v="38371"/>
    <n v="676529"/>
    <n v="519455"/>
    <n v="494766"/>
    <x v="0"/>
    <n v="8.5000000000000006E-2"/>
    <n v="42055.11"/>
    <n v="0.76782370009267897"/>
    <n v="9142.2837837837833"/>
  </r>
  <r>
    <s v="CAPE ANN SAVINGS BANK"/>
    <s v="Gloucester"/>
    <x v="3"/>
    <n v="1930"/>
    <d v="2020-09-30T00:00:00"/>
    <x v="1"/>
    <n v="74"/>
    <n v="747829"/>
    <n v="87650"/>
    <n v="747829"/>
    <n v="584688"/>
    <n v="557914"/>
    <x v="0"/>
    <n v="8.5000000000000006E-2"/>
    <n v="47422.69"/>
    <n v="0.78184718699060884"/>
    <n v="10105.797297297297"/>
  </r>
  <r>
    <s v="CAPE ANN SAVINGS BANK"/>
    <s v="Gloucester"/>
    <x v="3"/>
    <n v="1930"/>
    <d v="2021-09-30T00:00:00"/>
    <x v="2"/>
    <n v="75"/>
    <n v="834026"/>
    <n v="56328"/>
    <n v="834026"/>
    <n v="661061"/>
    <n v="632814"/>
    <x v="0"/>
    <n v="8.5000000000000006E-2"/>
    <n v="53789.19"/>
    <n v="0.79261437892823483"/>
    <n v="11120.346666666666"/>
  </r>
  <r>
    <s v="CAPE COD CO-OPERATIVE BANK"/>
    <s v="Yarmouth Port"/>
    <x v="3"/>
    <n v="2675"/>
    <d v="2019-09-30T00:00:00"/>
    <x v="0"/>
    <n v="159"/>
    <n v="958735"/>
    <n v="50094"/>
    <n v="958735"/>
    <n v="862819"/>
    <n v="839489"/>
    <x v="0"/>
    <n v="8.5000000000000006E-2"/>
    <n v="71356.565000000002"/>
    <n v="0.89995567075364935"/>
    <n v="6029.7798742138366"/>
  </r>
  <r>
    <s v="CAPE COD CO-OPERATIVE BANK"/>
    <s v="Yarmouth Port"/>
    <x v="3"/>
    <n v="2675"/>
    <d v="2020-09-30T00:00:00"/>
    <x v="1"/>
    <n v="159"/>
    <n v="1126661"/>
    <n v="111435"/>
    <n v="1126661"/>
    <n v="1024285"/>
    <n v="986363"/>
    <x v="1"/>
    <n v="0.08"/>
    <n v="78909.040000000008"/>
    <n v="0.90913327078864004"/>
    <n v="7085.9182389937105"/>
  </r>
  <r>
    <s v="CAPE COD CO-OPERATIVE BANK"/>
    <s v="Yarmouth Port"/>
    <x v="3"/>
    <n v="2675"/>
    <d v="2021-09-30T00:00:00"/>
    <x v="2"/>
    <n v="159"/>
    <n v="1331322"/>
    <n v="311923"/>
    <n v="1331322"/>
    <n v="1221578"/>
    <n v="1198643"/>
    <x v="1"/>
    <n v="0.08"/>
    <n v="95891.44"/>
    <n v="0.9175676508012337"/>
    <n v="8373.0943396226412"/>
  </r>
  <r>
    <s v="CAPITAL BANK AND TRUST COMPANY"/>
    <s v="Irvine"/>
    <x v="0"/>
    <n v="92618"/>
    <d v="2019-09-30T00:00:00"/>
    <x v="0"/>
    <n v="324"/>
    <n v="205057"/>
    <n v="48"/>
    <n v="205057"/>
    <n v="65734"/>
    <n v="500"/>
    <x v="0"/>
    <n v="0.09"/>
    <n v="45"/>
    <n v="0.32056452596107426"/>
    <n v="632.89197530864203"/>
  </r>
  <r>
    <s v="CAPITAL BANK AND TRUST COMPANY"/>
    <s v="Irvine"/>
    <x v="0"/>
    <n v="92618"/>
    <d v="2020-09-30T00:00:00"/>
    <x v="1"/>
    <n v="329"/>
    <n v="203067"/>
    <n v="15384"/>
    <n v="203067"/>
    <n v="58420"/>
    <n v="500"/>
    <x v="0"/>
    <n v="0.09"/>
    <n v="45"/>
    <n v="0.28768829992071582"/>
    <n v="617.224924012158"/>
  </r>
  <r>
    <s v="CAPITAL BANK AND TRUST COMPANY"/>
    <s v="Irvine"/>
    <x v="0"/>
    <n v="92618"/>
    <d v="2021-09-30T00:00:00"/>
    <x v="2"/>
    <n v="177"/>
    <n v="203544"/>
    <n v="38460"/>
    <n v="203544"/>
    <n v="35251"/>
    <n v="500"/>
    <x v="0"/>
    <n v="0.09"/>
    <n v="45"/>
    <n v="0.17318614157135559"/>
    <n v="1149.9661016949153"/>
  </r>
  <r>
    <s v="CARROLLTON BANK"/>
    <s v="Carrollton"/>
    <x v="1"/>
    <n v="62016"/>
    <d v="2019-09-30T00:00:00"/>
    <x v="0"/>
    <n v="258"/>
    <n v="1919832"/>
    <n v="226869"/>
    <n v="1919832"/>
    <n v="1766478"/>
    <n v="1701722"/>
    <x v="1"/>
    <n v="7.4999999999999997E-2"/>
    <n v="127629.15"/>
    <n v="0.92012113559936493"/>
    <n v="7441.2093023255811"/>
  </r>
  <r>
    <s v="CARROLLTON BANK"/>
    <s v="Carrollton"/>
    <x v="1"/>
    <n v="62016"/>
    <d v="2020-09-30T00:00:00"/>
    <x v="1"/>
    <n v="283"/>
    <n v="2506451"/>
    <n v="288378"/>
    <n v="2506451"/>
    <n v="2338416"/>
    <n v="2278875"/>
    <x v="1"/>
    <n v="7.4999999999999997E-2"/>
    <n v="170915.625"/>
    <n v="0.93295899261545512"/>
    <n v="8856.7173144876324"/>
  </r>
  <r>
    <s v="CARROLLTON BANK"/>
    <s v="Carrollton"/>
    <x v="1"/>
    <n v="62016"/>
    <d v="2021-09-30T00:00:00"/>
    <x v="2"/>
    <n v="296"/>
    <n v="3023404"/>
    <n v="829457"/>
    <n v="3023404"/>
    <n v="2840075"/>
    <n v="2833118"/>
    <x v="1"/>
    <n v="7.4999999999999997E-2"/>
    <n v="212483.85"/>
    <n v="0.93936337981956763"/>
    <n v="10214.202702702703"/>
  </r>
  <r>
    <s v="CARTHAGE FEDERAL SAVINGS AND LOAN ASSOCIATION"/>
    <s v="Carthage"/>
    <x v="2"/>
    <n v="13619"/>
    <d v="2019-09-30T00:00:00"/>
    <x v="0"/>
    <n v="37"/>
    <n v="251050"/>
    <n v="44796"/>
    <n v="251050"/>
    <n v="223650"/>
    <n v="210031"/>
    <x v="0"/>
    <n v="8.5000000000000006E-2"/>
    <n v="17852.635000000002"/>
    <n v="0.89085839474208328"/>
    <n v="6785.135135135135"/>
  </r>
  <r>
    <s v="CARTHAGE FEDERAL SAVINGS AND LOAN ASSOCIATION"/>
    <s v="Carthage"/>
    <x v="2"/>
    <n v="13619"/>
    <d v="2020-09-30T00:00:00"/>
    <x v="1"/>
    <n v="34"/>
    <n v="282355"/>
    <n v="45735"/>
    <n v="282355"/>
    <n v="252919"/>
    <n v="239457"/>
    <x v="0"/>
    <n v="8.5000000000000006E-2"/>
    <n v="20353.845000000001"/>
    <n v="0.89574826016893627"/>
    <n v="8304.5588235294126"/>
  </r>
  <r>
    <s v="CARTHAGE FEDERAL SAVINGS AND LOAN ASSOCIATION"/>
    <s v="Carthage"/>
    <x v="2"/>
    <n v="13619"/>
    <d v="2021-09-30T00:00:00"/>
    <x v="2"/>
    <n v="36"/>
    <n v="290212"/>
    <n v="25178"/>
    <n v="290212"/>
    <n v="259442"/>
    <n v="248588"/>
    <x v="0"/>
    <n v="8.5000000000000006E-2"/>
    <n v="21129.980000000003"/>
    <n v="0.8939740603420947"/>
    <n v="8061.4444444444443"/>
  </r>
  <r>
    <s v="CARVER FEDERAL SAVINGS BANK"/>
    <s v="New York"/>
    <x v="2"/>
    <n v="10027"/>
    <d v="2019-09-30T00:00:00"/>
    <x v="0"/>
    <n v="108"/>
    <n v="589778"/>
    <n v="41839"/>
    <n v="589778"/>
    <n v="523191"/>
    <n v="481154"/>
    <x v="0"/>
    <n v="8.5000000000000006E-2"/>
    <n v="40898.090000000004"/>
    <n v="0.88709819627046105"/>
    <n v="5460.9074074074078"/>
  </r>
  <r>
    <s v="CARVER FEDERAL SAVINGS BANK"/>
    <s v="New York"/>
    <x v="2"/>
    <n v="10027"/>
    <d v="2020-09-30T00:00:00"/>
    <x v="1"/>
    <n v="109"/>
    <n v="673051"/>
    <n v="71910"/>
    <n v="673051"/>
    <n v="611009"/>
    <n v="546913"/>
    <x v="0"/>
    <n v="8.5000000000000006E-2"/>
    <n v="46487.605000000003"/>
    <n v="0.90781976402976894"/>
    <n v="6174.779816513761"/>
  </r>
  <r>
    <s v="CARVER FEDERAL SAVINGS BANK"/>
    <s v="New York"/>
    <x v="2"/>
    <n v="10027"/>
    <d v="2021-09-30T00:00:00"/>
    <x v="2"/>
    <n v="99"/>
    <n v="707304"/>
    <n v="79126"/>
    <n v="707304"/>
    <n v="641716"/>
    <n v="616096"/>
    <x v="0"/>
    <n v="8.5000000000000006E-2"/>
    <n v="52368.160000000003"/>
    <n v="0.90727042403266489"/>
    <n v="7144.484848484848"/>
  </r>
  <r>
    <s v="CASEY STATE BANK"/>
    <s v="Casey"/>
    <x v="1"/>
    <n v="62420"/>
    <d v="2019-09-30T00:00:00"/>
    <x v="0"/>
    <n v="64"/>
    <n v="327892"/>
    <n v="4742"/>
    <n v="327893"/>
    <n v="293111"/>
    <n v="291503"/>
    <x v="0"/>
    <n v="0.08"/>
    <n v="23320.240000000002"/>
    <n v="0.89392543886401621"/>
    <n v="5123.3125"/>
  </r>
  <r>
    <s v="CASEY STATE BANK"/>
    <s v="Casey"/>
    <x v="1"/>
    <n v="62420"/>
    <d v="2020-09-30T00:00:00"/>
    <x v="1"/>
    <n v="66"/>
    <n v="364095"/>
    <n v="3453"/>
    <n v="364095"/>
    <n v="325296"/>
    <n v="323439"/>
    <x v="0"/>
    <n v="0.08"/>
    <n v="25875.119999999999"/>
    <n v="0.8934371523915462"/>
    <n v="5516.590909090909"/>
  </r>
  <r>
    <s v="CASEY STATE BANK"/>
    <s v="Casey"/>
    <x v="1"/>
    <n v="62420"/>
    <d v="2021-09-30T00:00:00"/>
    <x v="2"/>
    <n v="64"/>
    <n v="400182"/>
    <n v="11211"/>
    <n v="400182"/>
    <n v="359937"/>
    <n v="357862"/>
    <x v="0"/>
    <n v="0.08"/>
    <n v="28628.959999999999"/>
    <n v="0.89943325786767025"/>
    <n v="6252.84375"/>
  </r>
  <r>
    <s v="CATHAY BANK"/>
    <s v="Los Angeles"/>
    <x v="0"/>
    <n v="90012"/>
    <d v="2019-09-30T00:00:00"/>
    <x v="0"/>
    <n v="1228"/>
    <n v="17971214"/>
    <n v="786062"/>
    <n v="17971214"/>
    <n v="15617640"/>
    <n v="14691259"/>
    <x v="1"/>
    <n v="0.08"/>
    <n v="1175300.72"/>
    <n v="0.8690364490679372"/>
    <n v="14634.539087947882"/>
  </r>
  <r>
    <s v="CATHAY BANK"/>
    <s v="Los Angeles"/>
    <x v="0"/>
    <n v="90012"/>
    <d v="2020-09-30T00:00:00"/>
    <x v="1"/>
    <n v="1208"/>
    <n v="19000888"/>
    <n v="1431474"/>
    <n v="19000888"/>
    <n v="16555309"/>
    <n v="16065245"/>
    <x v="1"/>
    <n v="0.08"/>
    <n v="1285219.6000000001"/>
    <n v="0.87129133122620372"/>
    <n v="15729.211920529802"/>
  </r>
  <r>
    <s v="CATHAY BANK"/>
    <s v="Los Angeles"/>
    <x v="0"/>
    <n v="90012"/>
    <d v="2021-09-30T00:00:00"/>
    <x v="2"/>
    <n v="1171"/>
    <n v="19846076"/>
    <n v="1822825"/>
    <n v="19846076"/>
    <n v="17310998"/>
    <n v="17040010"/>
    <x v="1"/>
    <n v="0.08"/>
    <n v="1363200.8"/>
    <n v="0.87226301058204148"/>
    <n v="16947.972672929121"/>
  </r>
  <r>
    <s v="CATLIN BANK"/>
    <s v="Catlin"/>
    <x v="1"/>
    <n v="61817"/>
    <d v="2019-09-30T00:00:00"/>
    <x v="0"/>
    <n v="20"/>
    <n v="63196"/>
    <n v="6431"/>
    <n v="63196"/>
    <n v="56880"/>
    <n v="55893"/>
    <x v="2"/>
    <n v="0.09"/>
    <n v="5030.37"/>
    <n v="0.90005696563073612"/>
    <n v="3159.8"/>
  </r>
  <r>
    <s v="CATLIN BANK"/>
    <s v="Catlin"/>
    <x v="1"/>
    <n v="61817"/>
    <d v="2020-09-30T00:00:00"/>
    <x v="1"/>
    <n v="19"/>
    <n v="67168"/>
    <n v="7413"/>
    <n v="67168"/>
    <n v="59975"/>
    <n v="58828"/>
    <x v="2"/>
    <n v="0.09"/>
    <n v="5294.5199999999995"/>
    <n v="0.89291031443544544"/>
    <n v="3535.1578947368421"/>
  </r>
  <r>
    <s v="CATLIN BANK"/>
    <s v="Catlin"/>
    <x v="1"/>
    <n v="61817"/>
    <d v="2021-09-30T00:00:00"/>
    <x v="2"/>
    <n v="21"/>
    <n v="73983"/>
    <n v="17370"/>
    <n v="73983"/>
    <n v="65699"/>
    <n v="64801"/>
    <x v="2"/>
    <n v="0.09"/>
    <n v="5832.09"/>
    <n v="0.88802833083275889"/>
    <n v="3523"/>
  </r>
  <r>
    <s v="CATSKILL HUDSON BANK"/>
    <s v="Monticello"/>
    <x v="2"/>
    <n v="12701"/>
    <d v="2019-09-30T00:00:00"/>
    <x v="0"/>
    <n v="96"/>
    <n v="525224"/>
    <n v="66182"/>
    <n v="525224"/>
    <n v="487570"/>
    <n v="486944"/>
    <x v="0"/>
    <n v="8.5000000000000006E-2"/>
    <n v="41390.240000000005"/>
    <n v="0.92830868353312113"/>
    <n v="5471.083333333333"/>
  </r>
  <r>
    <s v="CATSKILL HUDSON BANK"/>
    <s v="Monticello"/>
    <x v="2"/>
    <n v="12701"/>
    <d v="2020-09-30T00:00:00"/>
    <x v="1"/>
    <n v="89"/>
    <n v="591935"/>
    <n v="106867"/>
    <n v="591935"/>
    <n v="551822"/>
    <n v="550932"/>
    <x v="0"/>
    <n v="8.5000000000000006E-2"/>
    <n v="46829.22"/>
    <n v="0.93223411354287211"/>
    <n v="6650.9550561797751"/>
  </r>
  <r>
    <s v="CATSKILL HUDSON BANK"/>
    <s v="Monticello"/>
    <x v="2"/>
    <n v="12701"/>
    <d v="2021-09-30T00:00:00"/>
    <x v="2"/>
    <n v="87"/>
    <n v="595749"/>
    <n v="39030"/>
    <n v="595749"/>
    <n v="555488"/>
    <n v="554381"/>
    <x v="0"/>
    <n v="8.5000000000000006E-2"/>
    <n v="47122.385000000002"/>
    <n v="0.93241952567272457"/>
    <n v="6847.6896551724139"/>
  </r>
  <r>
    <s v="CATTARAUGUS COUNTY BANK"/>
    <s v="Little Valley"/>
    <x v="2"/>
    <n v="14755"/>
    <d v="2019-09-30T00:00:00"/>
    <x v="0"/>
    <n v="66"/>
    <n v="251356"/>
    <n v="11760"/>
    <n v="251356"/>
    <n v="228771"/>
    <n v="224456"/>
    <x v="0"/>
    <n v="8.5000000000000006E-2"/>
    <n v="19078.760000000002"/>
    <n v="0.91014736071547919"/>
    <n v="3808.4242424242425"/>
  </r>
  <r>
    <s v="CATTARAUGUS COUNTY BANK"/>
    <s v="Little Valley"/>
    <x v="2"/>
    <n v="14755"/>
    <d v="2020-09-30T00:00:00"/>
    <x v="1"/>
    <n v="60"/>
    <n v="292251"/>
    <n v="12468"/>
    <n v="292251"/>
    <n v="268586"/>
    <n v="258962"/>
    <x v="0"/>
    <n v="8.5000000000000006E-2"/>
    <n v="22011.77"/>
    <n v="0.91902508460193466"/>
    <n v="4870.8500000000004"/>
  </r>
  <r>
    <s v="CATTARAUGUS COUNTY BANK"/>
    <s v="Little Valley"/>
    <x v="2"/>
    <n v="14755"/>
    <d v="2021-09-30T00:00:00"/>
    <x v="2"/>
    <n v="62"/>
    <n v="323990"/>
    <n v="31204"/>
    <n v="323990"/>
    <n v="299338"/>
    <n v="289694"/>
    <x v="0"/>
    <n v="8.5000000000000006E-2"/>
    <n v="24623.99"/>
    <n v="0.92391123182814283"/>
    <n v="5225.6451612903229"/>
  </r>
  <r>
    <s v="CAYUGA LAKE NATIONAL BANK"/>
    <s v="Union Springs"/>
    <x v="2"/>
    <n v="13160"/>
    <d v="2019-09-30T00:00:00"/>
    <x v="0"/>
    <n v="24"/>
    <n v="153844"/>
    <n v="11438"/>
    <n v="153844"/>
    <n v="140129"/>
    <n v="138539"/>
    <x v="0"/>
    <n v="8.5000000000000006E-2"/>
    <n v="11775.815000000001"/>
    <n v="0.91085125191752681"/>
    <n v="6410.166666666667"/>
  </r>
  <r>
    <s v="CAYUGA LAKE NATIONAL BANK"/>
    <s v="Union Springs"/>
    <x v="2"/>
    <n v="13160"/>
    <d v="2020-09-30T00:00:00"/>
    <x v="1"/>
    <n v="24"/>
    <n v="186462"/>
    <n v="10504"/>
    <n v="186462"/>
    <n v="171202"/>
    <n v="169820"/>
    <x v="0"/>
    <n v="8.5000000000000006E-2"/>
    <n v="14434.7"/>
    <n v="0.91816026858019328"/>
    <n v="7769.25"/>
  </r>
  <r>
    <s v="CAYUGA LAKE NATIONAL BANK"/>
    <s v="Union Springs"/>
    <x v="2"/>
    <n v="13160"/>
    <d v="2021-09-30T00:00:00"/>
    <x v="2"/>
    <n v="30"/>
    <n v="228889"/>
    <n v="11752"/>
    <n v="228889"/>
    <n v="207186"/>
    <n v="205704"/>
    <x v="0"/>
    <n v="8.5000000000000006E-2"/>
    <n v="17484.84"/>
    <n v="0.90518111398975054"/>
    <n v="7629.6333333333332"/>
  </r>
  <r>
    <s v="CENTRAL BANK ILLINOIS"/>
    <s v="Geneseo"/>
    <x v="1"/>
    <n v="61254"/>
    <d v="2019-09-30T00:00:00"/>
    <x v="0"/>
    <n v="165"/>
    <n v="919878"/>
    <n v="23988"/>
    <n v="919878"/>
    <n v="812995"/>
    <n v="715680"/>
    <x v="0"/>
    <n v="0.08"/>
    <n v="57254.400000000001"/>
    <n v="0.88380741794020512"/>
    <n v="5575.0181818181818"/>
  </r>
  <r>
    <s v="CENTRAL BANK ILLINOIS"/>
    <s v="Geneseo"/>
    <x v="1"/>
    <n v="61254"/>
    <d v="2020-09-30T00:00:00"/>
    <x v="1"/>
    <n v="165"/>
    <n v="956978"/>
    <n v="28287"/>
    <n v="956978"/>
    <n v="844684"/>
    <n v="738492"/>
    <x v="0"/>
    <n v="0.08"/>
    <n v="59079.360000000001"/>
    <n v="0.88265769955004192"/>
    <n v="5799.8666666666668"/>
  </r>
  <r>
    <s v="CENTRAL BANK ILLINOIS"/>
    <s v="Geneseo"/>
    <x v="1"/>
    <n v="61254"/>
    <d v="2021-09-30T00:00:00"/>
    <x v="2"/>
    <n v="168"/>
    <n v="1094117"/>
    <n v="26786"/>
    <n v="1094117"/>
    <n v="973768"/>
    <n v="865441"/>
    <x v="1"/>
    <n v="7.4999999999999997E-2"/>
    <n v="64908.074999999997"/>
    <n v="0.89000353709886604"/>
    <n v="6512.6011904761908"/>
  </r>
  <r>
    <s v="CENTRAL FEDERAL SAVINGS AND LOAN ASSOCIATION"/>
    <s v="Cicero"/>
    <x v="1"/>
    <n v="60804"/>
    <d v="2019-09-30T00:00:00"/>
    <x v="0"/>
    <n v="49"/>
    <n v="187869"/>
    <n v="33059"/>
    <n v="187869"/>
    <n v="168696"/>
    <n v="147827"/>
    <x v="0"/>
    <n v="0.08"/>
    <n v="11826.16"/>
    <n v="0.8979448445459336"/>
    <n v="3834.0612244897961"/>
  </r>
  <r>
    <s v="CENTRAL FEDERAL SAVINGS AND LOAN ASSOCIATION"/>
    <s v="Cicero"/>
    <x v="1"/>
    <n v="60804"/>
    <d v="2020-09-30T00:00:00"/>
    <x v="1"/>
    <n v="48"/>
    <n v="191652"/>
    <n v="41145"/>
    <n v="191652"/>
    <n v="171895"/>
    <n v="155380"/>
    <x v="0"/>
    <n v="0.08"/>
    <n v="12430.4"/>
    <n v="0.89691211153549144"/>
    <n v="3992.75"/>
  </r>
  <r>
    <s v="CENTRAL FEDERAL SAVINGS AND LOAN ASSOCIATION"/>
    <s v="Cicero"/>
    <x v="1"/>
    <n v="60804"/>
    <d v="2021-09-30T00:00:00"/>
    <x v="2"/>
    <n v="49"/>
    <n v="198210"/>
    <n v="29407"/>
    <n v="198210"/>
    <n v="178151"/>
    <n v="165364"/>
    <x v="0"/>
    <n v="0.08"/>
    <n v="13229.12"/>
    <n v="0.8987992533171888"/>
    <n v="4045.1020408163267"/>
  </r>
  <r>
    <s v="CENTRAL SAVINGS, F.S.B."/>
    <s v="Chicago"/>
    <x v="1"/>
    <n v="60657"/>
    <d v="2019-09-30T00:00:00"/>
    <x v="0"/>
    <n v="24"/>
    <n v="103572"/>
    <n v="7469"/>
    <n v="103572"/>
    <n v="75550"/>
    <n v="74662"/>
    <x v="0"/>
    <n v="0.08"/>
    <n v="5972.96"/>
    <n v="0.72944425134206159"/>
    <n v="4315.5"/>
  </r>
  <r>
    <s v="CENTRAL SAVINGS, F.S.B."/>
    <s v="Chicago"/>
    <x v="1"/>
    <n v="60657"/>
    <d v="2020-09-30T00:00:00"/>
    <x v="1"/>
    <n v="25"/>
    <n v="116164"/>
    <n v="17841"/>
    <n v="116164"/>
    <n v="87980"/>
    <n v="83246"/>
    <x v="0"/>
    <n v="0.08"/>
    <n v="6659.68"/>
    <n v="0.75737750077476673"/>
    <n v="4646.5600000000004"/>
  </r>
  <r>
    <s v="CENTRAL SAVINGS, F.S.B."/>
    <s v="Chicago"/>
    <x v="1"/>
    <n v="60657"/>
    <d v="2021-09-30T00:00:00"/>
    <x v="2"/>
    <n v="22"/>
    <n v="114436"/>
    <n v="19612"/>
    <n v="114436"/>
    <n v="86092"/>
    <n v="80434"/>
    <x v="0"/>
    <n v="0.08"/>
    <n v="6434.72"/>
    <n v="0.75231570484812471"/>
    <n v="5201.636363636364"/>
  </r>
  <r>
    <s v="CENTRAL STATE BANK"/>
    <s v="Clayton"/>
    <x v="1"/>
    <n v="62324"/>
    <d v="2019-09-30T00:00:00"/>
    <x v="0"/>
    <n v="32"/>
    <n v="144220"/>
    <n v="9443"/>
    <n v="144220"/>
    <n v="122309"/>
    <n v="114706"/>
    <x v="0"/>
    <n v="0.08"/>
    <n v="9176.48"/>
    <n v="0.84807238940507557"/>
    <n v="4506.875"/>
  </r>
  <r>
    <s v="CENTRAL STATE BANK"/>
    <s v="Clayton"/>
    <x v="1"/>
    <n v="62324"/>
    <d v="2020-09-30T00:00:00"/>
    <x v="1"/>
    <n v="30"/>
    <n v="161352"/>
    <n v="33324"/>
    <n v="161352"/>
    <n v="138706"/>
    <n v="129332"/>
    <x v="0"/>
    <n v="0.08"/>
    <n v="10346.56"/>
    <n v="0.85964847042490955"/>
    <n v="5378.4"/>
  </r>
  <r>
    <s v="CENTRAL STATE BANK"/>
    <s v="Clayton"/>
    <x v="1"/>
    <n v="62324"/>
    <d v="2021-09-30T00:00:00"/>
    <x v="2"/>
    <n v="31"/>
    <n v="176739"/>
    <n v="46458"/>
    <n v="176739"/>
    <n v="152771"/>
    <n v="145983"/>
    <x v="0"/>
    <n v="0.08"/>
    <n v="11678.64"/>
    <n v="0.86438759979404656"/>
    <n v="5701.2580645161288"/>
  </r>
  <r>
    <s v="CENTRAL VALLEY COMMUNITY BANK"/>
    <s v="Fresno"/>
    <x v="0"/>
    <n v="93720"/>
    <d v="2019-09-30T00:00:00"/>
    <x v="0"/>
    <n v="270"/>
    <n v="1583970"/>
    <n v="42947"/>
    <n v="1583970"/>
    <n v="1347481"/>
    <n v="1311541"/>
    <x v="1"/>
    <n v="0.08"/>
    <n v="104923.28"/>
    <n v="0.85069856121012388"/>
    <n v="5866.5555555555557"/>
  </r>
  <r>
    <s v="CENTRAL VALLEY COMMUNITY BANK"/>
    <s v="Fresno"/>
    <x v="0"/>
    <n v="93720"/>
    <d v="2020-09-30T00:00:00"/>
    <x v="1"/>
    <n v="287"/>
    <n v="1950121"/>
    <n v="86863"/>
    <n v="1950121"/>
    <n v="1710501"/>
    <n v="1681879"/>
    <x v="1"/>
    <n v="0.08"/>
    <n v="134550.32"/>
    <n v="0.87712557323366092"/>
    <n v="6794.8466898954703"/>
  </r>
  <r>
    <s v="CENTRAL VALLEY COMMUNITY BANK"/>
    <s v="Fresno"/>
    <x v="0"/>
    <n v="93720"/>
    <d v="2021-09-30T00:00:00"/>
    <x v="2"/>
    <n v="246"/>
    <n v="2347934"/>
    <n v="67461"/>
    <n v="2347934"/>
    <n v="2097799"/>
    <n v="2059446"/>
    <x v="1"/>
    <n v="0.08"/>
    <n v="164755.68"/>
    <n v="0.89346591514071516"/>
    <n v="9544.4471544715452"/>
  </r>
  <r>
    <s v="CENTRUST BANK, NATIONAL ASSOCIATION"/>
    <s v="Northbrook"/>
    <x v="1"/>
    <n v="60062"/>
    <d v="2019-09-30T00:00:00"/>
    <x v="0"/>
    <n v="27"/>
    <n v="125844"/>
    <n v="4851"/>
    <n v="125844"/>
    <n v="113621"/>
    <n v="108099"/>
    <x v="0"/>
    <n v="0.08"/>
    <n v="8647.92"/>
    <n v="0.90287180954197255"/>
    <n v="4660.8888888888887"/>
  </r>
  <r>
    <s v="CENTRUST BANK, NATIONAL ASSOCIATION"/>
    <s v="Northbrook"/>
    <x v="1"/>
    <n v="60062"/>
    <d v="2020-09-30T00:00:00"/>
    <x v="1"/>
    <n v="28"/>
    <n v="164444"/>
    <n v="9249"/>
    <n v="164444"/>
    <n v="146020"/>
    <n v="125614"/>
    <x v="0"/>
    <n v="0.08"/>
    <n v="10049.120000000001"/>
    <n v="0.88796185935637661"/>
    <n v="5873"/>
  </r>
  <r>
    <s v="CENTRUST BANK, NATIONAL ASSOCIATION"/>
    <s v="Northbrook"/>
    <x v="1"/>
    <n v="60062"/>
    <d v="2021-09-30T00:00:00"/>
    <x v="2"/>
    <n v="28"/>
    <n v="158810"/>
    <n v="27971"/>
    <n v="158810"/>
    <n v="139332"/>
    <n v="130794"/>
    <x v="0"/>
    <n v="0.08"/>
    <n v="10463.52"/>
    <n v="0.87735029280272026"/>
    <n v="5671.7857142857147"/>
  </r>
  <r>
    <s v="CENTURY BANK AND TRUST COMPANY"/>
    <s v="Somerville"/>
    <x v="3"/>
    <n v="2145"/>
    <d v="2019-09-30T00:00:00"/>
    <x v="0"/>
    <n v="429"/>
    <n v="5282207"/>
    <n v="334121"/>
    <n v="5282207"/>
    <n v="4931960"/>
    <n v="4342179"/>
    <x v="1"/>
    <n v="0.08"/>
    <n v="347374.32"/>
    <n v="0.93369305670906122"/>
    <n v="12312.83682983683"/>
  </r>
  <r>
    <s v="CENTURY BANK AND TRUST COMPANY"/>
    <s v="Somerville"/>
    <x v="3"/>
    <n v="2145"/>
    <d v="2020-09-30T00:00:00"/>
    <x v="1"/>
    <n v="426"/>
    <n v="6279089"/>
    <n v="412580"/>
    <n v="6279089"/>
    <n v="5896016"/>
    <n v="5416881"/>
    <x v="1"/>
    <n v="0.08"/>
    <n v="433350.48"/>
    <n v="0.93899226464221164"/>
    <n v="14739.645539906103"/>
  </r>
  <r>
    <s v="CENTURY BANK AND TRUST COMPANY"/>
    <s v="Somerville"/>
    <x v="3"/>
    <n v="2145"/>
    <d v="2021-09-30T00:00:00"/>
    <x v="2"/>
    <n v="399"/>
    <n v="7112322"/>
    <n v="589984"/>
    <n v="7112322"/>
    <n v="6687355"/>
    <n v="6206208"/>
    <x v="1"/>
    <n v="0.08"/>
    <n v="496496.64000000001"/>
    <n v="0.94024919006760377"/>
    <n v="17825.36842105263"/>
  </r>
  <r>
    <s v="CHAMPLAIN NATIONAL BANK"/>
    <s v="Elizabethtown"/>
    <x v="2"/>
    <n v="12932"/>
    <d v="2019-09-30T00:00:00"/>
    <x v="0"/>
    <n v="69"/>
    <n v="379998"/>
    <n v="19118"/>
    <n v="379998"/>
    <n v="349952"/>
    <n v="341826"/>
    <x v="0"/>
    <n v="8.5000000000000006E-2"/>
    <n v="29055.210000000003"/>
    <n v="0.92093116279559362"/>
    <n v="5507.217391304348"/>
  </r>
  <r>
    <s v="CHAMPLAIN NATIONAL BANK"/>
    <s v="Elizabethtown"/>
    <x v="2"/>
    <n v="12932"/>
    <d v="2020-09-30T00:00:00"/>
    <x v="1"/>
    <n v="66"/>
    <n v="403031"/>
    <n v="12328"/>
    <n v="403031"/>
    <n v="368012"/>
    <n v="358816"/>
    <x v="0"/>
    <n v="8.5000000000000006E-2"/>
    <n v="30499.360000000001"/>
    <n v="0.91311090213904145"/>
    <n v="6106.530303030303"/>
  </r>
  <r>
    <s v="CHAMPLAIN NATIONAL BANK"/>
    <s v="Elizabethtown"/>
    <x v="2"/>
    <n v="12932"/>
    <d v="2021-09-30T00:00:00"/>
    <x v="2"/>
    <n v="70"/>
    <n v="469563"/>
    <n v="35968"/>
    <n v="469563"/>
    <n v="431085"/>
    <n v="421683"/>
    <x v="0"/>
    <n v="8.5000000000000006E-2"/>
    <n v="35843.055"/>
    <n v="0.91805572415203074"/>
    <n v="6708.0428571428574"/>
  </r>
  <r>
    <s v="CHARLES RIVER BANK"/>
    <s v="Medway"/>
    <x v="3"/>
    <n v="2053"/>
    <d v="2019-09-30T00:00:00"/>
    <x v="0"/>
    <n v="45"/>
    <n v="251824"/>
    <n v="28005"/>
    <n v="251824"/>
    <n v="231309"/>
    <n v="212331"/>
    <x v="0"/>
    <n v="8.5000000000000006E-2"/>
    <n v="18048.135000000002"/>
    <n v="0.91853437321303766"/>
    <n v="5596.0888888888885"/>
  </r>
  <r>
    <s v="CHARLES RIVER BANK"/>
    <s v="Medway"/>
    <x v="3"/>
    <n v="2053"/>
    <d v="2020-09-30T00:00:00"/>
    <x v="1"/>
    <n v="45"/>
    <n v="281557"/>
    <n v="19030"/>
    <n v="281557"/>
    <n v="259041"/>
    <n v="247681"/>
    <x v="0"/>
    <n v="8.5000000000000006E-2"/>
    <n v="21052.885000000002"/>
    <n v="0.92003040236968003"/>
    <n v="6256.8222222222221"/>
  </r>
  <r>
    <s v="CHARLES RIVER BANK"/>
    <s v="Medway"/>
    <x v="3"/>
    <n v="2053"/>
    <d v="2021-09-30T00:00:00"/>
    <x v="2"/>
    <n v="47"/>
    <n v="327771"/>
    <n v="52845"/>
    <n v="327771"/>
    <n v="305045"/>
    <n v="301569"/>
    <x v="0"/>
    <n v="8.5000000000000006E-2"/>
    <n v="25633.365000000002"/>
    <n v="0.93066500697133059"/>
    <n v="6973.8510638297876"/>
  </r>
  <r>
    <s v="CHEMUNG CANAL TRUST COMPANY"/>
    <s v="Elmira"/>
    <x v="2"/>
    <n v="14902"/>
    <d v="2019-09-30T00:00:00"/>
    <x v="0"/>
    <n v="352"/>
    <n v="1789350"/>
    <n v="145473"/>
    <n v="1789349"/>
    <n v="1615722"/>
    <n v="1581705"/>
    <x v="1"/>
    <n v="0.08"/>
    <n v="126536.40000000001"/>
    <n v="0.90296588146533663"/>
    <n v="5083.380681818182"/>
  </r>
  <r>
    <s v="CHEMUNG CANAL TRUST COMPANY"/>
    <s v="Elmira"/>
    <x v="2"/>
    <n v="14902"/>
    <d v="2020-09-30T00:00:00"/>
    <x v="1"/>
    <n v="331"/>
    <n v="2160200"/>
    <n v="149117"/>
    <n v="2160200"/>
    <n v="1969518"/>
    <n v="1926741"/>
    <x v="1"/>
    <n v="0.08"/>
    <n v="154139.28"/>
    <n v="0.91172946949356537"/>
    <n v="6526.283987915408"/>
  </r>
  <r>
    <s v="CHEMUNG CANAL TRUST COMPANY"/>
    <s v="Elmira"/>
    <x v="2"/>
    <n v="14902"/>
    <d v="2021-09-30T00:00:00"/>
    <x v="2"/>
    <n v="327"/>
    <n v="2412643"/>
    <n v="60615"/>
    <n v="2412643"/>
    <n v="2214697"/>
    <n v="2177933"/>
    <x v="1"/>
    <n v="0.08"/>
    <n v="174234.64"/>
    <n v="0.91795470776239996"/>
    <n v="7378.113149847095"/>
  </r>
  <r>
    <s v="CHESTER NATIONAL BANK"/>
    <s v="Chester"/>
    <x v="1"/>
    <n v="62233"/>
    <d v="2019-09-30T00:00:00"/>
    <x v="0"/>
    <n v="16"/>
    <n v="61361"/>
    <n v="1716"/>
    <n v="61361"/>
    <n v="52719"/>
    <n v="52560"/>
    <x v="2"/>
    <n v="0.09"/>
    <n v="4730.3999999999996"/>
    <n v="0.85916135656198567"/>
    <n v="3835.0625"/>
  </r>
  <r>
    <s v="CHESTER NATIONAL BANK"/>
    <s v="Chester"/>
    <x v="1"/>
    <n v="62233"/>
    <d v="2020-09-30T00:00:00"/>
    <x v="1"/>
    <n v="16"/>
    <n v="67446"/>
    <n v="12524"/>
    <n v="67446"/>
    <n v="59478"/>
    <n v="55328"/>
    <x v="2"/>
    <n v="0.09"/>
    <n v="4979.5199999999995"/>
    <n v="0.88186104439106838"/>
    <n v="4215.375"/>
  </r>
  <r>
    <s v="CHESTER NATIONAL BANK"/>
    <s v="Chester"/>
    <x v="1"/>
    <n v="62233"/>
    <d v="2021-09-30T00:00:00"/>
    <x v="2"/>
    <n v="16"/>
    <n v="65098"/>
    <n v="13427"/>
    <n v="65098"/>
    <n v="58745"/>
    <n v="58529"/>
    <x v="2"/>
    <n v="0.09"/>
    <n v="5267.61"/>
    <n v="0.90240867614980491"/>
    <n v="4068.625"/>
  </r>
  <r>
    <s v="CHESTERFIELD STATE BANK"/>
    <s v="Chesterfield"/>
    <x v="1"/>
    <n v="62630"/>
    <d v="2019-09-30T00:00:00"/>
    <x v="0"/>
    <n v="5"/>
    <n v="17151"/>
    <n v="4151"/>
    <n v="17151"/>
    <n v="15231"/>
    <n v="14725"/>
    <x v="2"/>
    <n v="0.09"/>
    <n v="1325.25"/>
    <n v="0.88805317474199752"/>
    <n v="3430.2"/>
  </r>
  <r>
    <s v="CHESTERFIELD STATE BANK"/>
    <s v="Chesterfield"/>
    <x v="1"/>
    <n v="62630"/>
    <d v="2020-09-30T00:00:00"/>
    <x v="1"/>
    <n v="5"/>
    <n v="18002"/>
    <n v="5764"/>
    <n v="18002"/>
    <n v="16044"/>
    <n v="16035"/>
    <x v="2"/>
    <n v="0.09"/>
    <n v="1443.1499999999999"/>
    <n v="0.89123430729918895"/>
    <n v="3600.4"/>
  </r>
  <r>
    <s v="CHESTERFIELD STATE BANK"/>
    <s v="Chesterfield"/>
    <x v="1"/>
    <n v="62630"/>
    <d v="2021-09-30T00:00:00"/>
    <x v="2"/>
    <n v="5"/>
    <n v="21825"/>
    <n v="6401"/>
    <n v="21825"/>
    <n v="19685"/>
    <n v="19679"/>
    <x v="2"/>
    <n v="0.09"/>
    <n v="1771.11"/>
    <n v="0.90194730813287516"/>
    <n v="4365"/>
  </r>
  <r>
    <s v="CHINO COMMERCIAL BANK, N.A."/>
    <s v="Chino"/>
    <x v="0"/>
    <n v="91710"/>
    <d v="2019-09-30T00:00:00"/>
    <x v="0"/>
    <n v="50"/>
    <n v="235309"/>
    <n v="5543"/>
    <n v="235309"/>
    <n v="210273"/>
    <n v="188657"/>
    <x v="0"/>
    <n v="0.09"/>
    <n v="16979.13"/>
    <n v="0.89360372956410505"/>
    <n v="4706.18"/>
  </r>
  <r>
    <s v="CHINO COMMERCIAL BANK, N.A."/>
    <s v="Chino"/>
    <x v="0"/>
    <n v="91710"/>
    <d v="2020-09-30T00:00:00"/>
    <x v="1"/>
    <n v="49"/>
    <n v="303332"/>
    <n v="58948"/>
    <n v="303332"/>
    <n v="276512"/>
    <n v="244746"/>
    <x v="0"/>
    <n v="0.09"/>
    <n v="22027.14"/>
    <n v="0.91158202893199536"/>
    <n v="6190.4489795918371"/>
  </r>
  <r>
    <s v="CHINO COMMERCIAL BANK, N.A."/>
    <s v="Chino"/>
    <x v="0"/>
    <n v="91710"/>
    <d v="2021-09-30T00:00:00"/>
    <x v="2"/>
    <n v="53"/>
    <n v="369712"/>
    <n v="123449"/>
    <n v="369712"/>
    <n v="333923"/>
    <n v="317133"/>
    <x v="0"/>
    <n v="0.09"/>
    <n v="28541.969999999998"/>
    <n v="0.9031976240965941"/>
    <n v="6975.6981132075471"/>
  </r>
  <r>
    <s v="CIBC BANK USA"/>
    <s v="Chicago"/>
    <x v="1"/>
    <n v="60603"/>
    <d v="2019-09-30T00:00:00"/>
    <x v="0"/>
    <n v="1678"/>
    <n v="31742815"/>
    <n v="951348"/>
    <n v="31742815"/>
    <n v="25603535"/>
    <n v="23172370"/>
    <x v="1"/>
    <n v="7.4999999999999997E-2"/>
    <n v="1737927.75"/>
    <n v="0.80659308256057316"/>
    <n v="18917.053039332539"/>
  </r>
  <r>
    <s v="CIBC BANK USA"/>
    <s v="Chicago"/>
    <x v="1"/>
    <n v="60603"/>
    <d v="2020-09-30T00:00:00"/>
    <x v="1"/>
    <n v="1671"/>
    <n v="39464720"/>
    <n v="4229451"/>
    <n v="39464720"/>
    <n v="32662659"/>
    <n v="30575170"/>
    <x v="1"/>
    <n v="7.4999999999999997E-2"/>
    <n v="2293137.75"/>
    <n v="0.82764197997603939"/>
    <n v="23617.426690604429"/>
  </r>
  <r>
    <s v="CIBC BANK USA"/>
    <s v="Chicago"/>
    <x v="1"/>
    <n v="60603"/>
    <d v="2021-09-30T00:00:00"/>
    <x v="2"/>
    <n v="1727"/>
    <n v="45859037"/>
    <n v="8531080"/>
    <n v="45859037"/>
    <n v="38567065"/>
    <n v="36277822"/>
    <x v="1"/>
    <n v="7.4999999999999997E-2"/>
    <n v="2720836.65"/>
    <n v="0.84099160215684421"/>
    <n v="26554.161551823971"/>
  </r>
  <r>
    <s v="CIBM BANK"/>
    <s v="Champaign"/>
    <x v="1"/>
    <n v="61821"/>
    <d v="2019-09-30T00:00:00"/>
    <x v="0"/>
    <n v="182"/>
    <n v="692392"/>
    <n v="9582"/>
    <n v="692392"/>
    <n v="608179"/>
    <n v="563100"/>
    <x v="0"/>
    <n v="0.08"/>
    <n v="45048"/>
    <n v="0.87837381136697135"/>
    <n v="3804.3516483516482"/>
  </r>
  <r>
    <s v="CIBM BANK"/>
    <s v="Champaign"/>
    <x v="1"/>
    <n v="61821"/>
    <d v="2020-09-30T00:00:00"/>
    <x v="1"/>
    <n v="176"/>
    <n v="785559"/>
    <n v="30544"/>
    <n v="785559"/>
    <n v="693887"/>
    <n v="595146"/>
    <x v="0"/>
    <n v="0.08"/>
    <n v="47611.68"/>
    <n v="0.88330348197907482"/>
    <n v="4463.403409090909"/>
  </r>
  <r>
    <s v="CIBM BANK"/>
    <s v="Champaign"/>
    <x v="1"/>
    <n v="61821"/>
    <d v="2021-09-30T00:00:00"/>
    <x v="2"/>
    <n v="179"/>
    <n v="768084"/>
    <n v="69217"/>
    <n v="768084"/>
    <n v="689319"/>
    <n v="647279"/>
    <x v="0"/>
    <n v="0.08"/>
    <n v="51782.32"/>
    <n v="0.89745262236942835"/>
    <n v="4290.9720670391062"/>
  </r>
  <r>
    <s v="CIT BANK, NATIONAL ASSOCIATION"/>
    <s v="Pasadena"/>
    <x v="0"/>
    <n v="91103"/>
    <d v="2019-09-30T00:00:00"/>
    <x v="0"/>
    <n v="3116"/>
    <n v="45380876"/>
    <n v="1463672"/>
    <n v="45380876"/>
    <n v="40216834"/>
    <n v="36764650"/>
    <x v="1"/>
    <n v="0.08"/>
    <n v="2941172"/>
    <n v="0.88620664792808324"/>
    <n v="14563.824133504493"/>
  </r>
  <r>
    <s v="CIT BANK, NATIONAL ASSOCIATION"/>
    <s v="Pasadena"/>
    <x v="0"/>
    <n v="91103"/>
    <d v="2020-09-30T00:00:00"/>
    <x v="1"/>
    <n v="3801"/>
    <n v="55419466"/>
    <n v="6490414"/>
    <n v="55419466"/>
    <n v="50493757"/>
    <n v="45639288"/>
    <x v="1"/>
    <n v="0.08"/>
    <n v="3651143.04"/>
    <n v="0.91111951529810842"/>
    <n v="14580.233096553538"/>
  </r>
  <r>
    <s v="CIT BANK, NATIONAL ASSOCIATION"/>
    <s v="Pasadena"/>
    <x v="0"/>
    <n v="91103"/>
    <d v="2021-09-30T00:00:00"/>
    <x v="2"/>
    <n v="3378"/>
    <n v="48720884"/>
    <n v="4377364"/>
    <n v="48720884"/>
    <n v="43372782"/>
    <n v="40856213"/>
    <x v="1"/>
    <n v="0.08"/>
    <n v="3268497.04"/>
    <n v="0.89022978318702095"/>
    <n v="14422.997039668442"/>
  </r>
  <r>
    <s v="CITIZENS BANK OF CAPE VINCENT"/>
    <s v="Cape Vincent"/>
    <x v="2"/>
    <n v="13618"/>
    <d v="2019-09-30T00:00:00"/>
    <x v="0"/>
    <n v="16"/>
    <n v="69897"/>
    <n v="6294"/>
    <n v="69897"/>
    <n v="62904"/>
    <n v="62644"/>
    <x v="2"/>
    <n v="0.09"/>
    <n v="5637.96"/>
    <n v="0.89995278767329068"/>
    <n v="4368.5625"/>
  </r>
  <r>
    <s v="CITIZENS BANK OF CAPE VINCENT"/>
    <s v="Cape Vincent"/>
    <x v="2"/>
    <n v="13618"/>
    <d v="2020-09-30T00:00:00"/>
    <x v="1"/>
    <n v="17"/>
    <n v="76473"/>
    <n v="8405"/>
    <n v="76473"/>
    <n v="68988"/>
    <n v="68557"/>
    <x v="2"/>
    <n v="0.09"/>
    <n v="6170.13"/>
    <n v="0.90212231768075002"/>
    <n v="4498.411764705882"/>
  </r>
  <r>
    <s v="CITIZENS BANK OF CAPE VINCENT"/>
    <s v="Cape Vincent"/>
    <x v="2"/>
    <n v="13618"/>
    <d v="2021-09-30T00:00:00"/>
    <x v="2"/>
    <n v="17"/>
    <n v="87204"/>
    <n v="9942"/>
    <n v="87204"/>
    <n v="79935"/>
    <n v="79696"/>
    <x v="2"/>
    <n v="0.09"/>
    <n v="7172.6399999999994"/>
    <n v="0.91664373193890192"/>
    <n v="5129.6470588235297"/>
  </r>
  <r>
    <s v="CITIZENS BANK OF CHATSWORTH"/>
    <s v="Chatsworth"/>
    <x v="1"/>
    <n v="60921"/>
    <d v="2019-09-30T00:00:00"/>
    <x v="0"/>
    <n v="11"/>
    <n v="31184"/>
    <n v="3272"/>
    <n v="31184"/>
    <n v="26842"/>
    <n v="26714"/>
    <x v="2"/>
    <n v="0.09"/>
    <n v="2404.2599999999998"/>
    <n v="0.86076192919445871"/>
    <n v="2834.909090909091"/>
  </r>
  <r>
    <s v="CITIZENS BANK OF CHATSWORTH"/>
    <s v="Chatsworth"/>
    <x v="1"/>
    <n v="60921"/>
    <d v="2020-09-30T00:00:00"/>
    <x v="1"/>
    <n v="11"/>
    <n v="41594"/>
    <n v="3844"/>
    <n v="41594"/>
    <n v="37459"/>
    <n v="30253"/>
    <x v="2"/>
    <n v="0.09"/>
    <n v="2722.77"/>
    <n v="0.90058662307063519"/>
    <n v="3781.2727272727275"/>
  </r>
  <r>
    <s v="CITIZENS BANK OF CHATSWORTH"/>
    <s v="Chatsworth"/>
    <x v="1"/>
    <n v="60921"/>
    <d v="2021-09-30T00:00:00"/>
    <x v="2"/>
    <n v="10"/>
    <n v="41503"/>
    <n v="8382"/>
    <n v="41503"/>
    <n v="36260"/>
    <n v="35518"/>
    <x v="2"/>
    <n v="0.09"/>
    <n v="3196.62"/>
    <n v="0.87367178276269186"/>
    <n v="4150.3"/>
  </r>
  <r>
    <s v="CITIZENS BANK OF EDINBURG"/>
    <s v="Edinburg"/>
    <x v="1"/>
    <n v="62531"/>
    <d v="2019-09-30T00:00:00"/>
    <x v="0"/>
    <n v="3"/>
    <n v="26079"/>
    <n v="7909"/>
    <n v="26079"/>
    <n v="23580"/>
    <n v="23545"/>
    <x v="2"/>
    <n v="0.09"/>
    <n v="2119.0499999999997"/>
    <n v="0.90417577361095136"/>
    <n v="8693"/>
  </r>
  <r>
    <s v="CITIZENS BANK OF EDINBURG"/>
    <s v="Edinburg"/>
    <x v="1"/>
    <n v="62531"/>
    <d v="2020-09-30T00:00:00"/>
    <x v="1"/>
    <n v="3"/>
    <n v="28849"/>
    <n v="11178"/>
    <n v="28849"/>
    <n v="26230"/>
    <n v="24716"/>
    <x v="2"/>
    <n v="0.09"/>
    <n v="2224.44"/>
    <n v="0.90921695726021701"/>
    <n v="9616.3333333333339"/>
  </r>
  <r>
    <s v="CITIZENS BANK OF EDINBURG"/>
    <s v="Edinburg"/>
    <x v="1"/>
    <n v="62531"/>
    <d v="2021-09-30T00:00:00"/>
    <x v="2"/>
    <n v="3"/>
    <n v="30399"/>
    <n v="9807"/>
    <n v="30399"/>
    <n v="27792"/>
    <n v="27773"/>
    <x v="2"/>
    <n v="0.09"/>
    <n v="2499.5699999999997"/>
    <n v="0.9142406000197375"/>
    <n v="10133"/>
  </r>
  <r>
    <s v="CITIZENS BUSINESS BANK"/>
    <s v="Ontario"/>
    <x v="0"/>
    <n v="91764"/>
    <d v="2019-09-30T00:00:00"/>
    <x v="0"/>
    <n v="1033"/>
    <n v="11330311"/>
    <n v="443221"/>
    <n v="11330311"/>
    <n v="9353948"/>
    <n v="8825368"/>
    <x v="1"/>
    <n v="0.08"/>
    <n v="706029.44000000006"/>
    <n v="0.82556851263835562"/>
    <n v="10968.35527589545"/>
  </r>
  <r>
    <s v="CITIZENS BUSINESS BANK"/>
    <s v="Ontario"/>
    <x v="0"/>
    <n v="91764"/>
    <d v="2020-09-30T00:00:00"/>
    <x v="1"/>
    <n v="1002"/>
    <n v="13813407"/>
    <n v="1529320"/>
    <n v="13813407"/>
    <n v="11828648"/>
    <n v="11203756"/>
    <x v="1"/>
    <n v="0.08"/>
    <n v="896300.48"/>
    <n v="0.85631647572535874"/>
    <n v="13785.835329341317"/>
  </r>
  <r>
    <s v="CITIZENS BUSINESS BANK"/>
    <s v="Ontario"/>
    <x v="0"/>
    <n v="91764"/>
    <d v="2021-09-30T00:00:00"/>
    <x v="2"/>
    <n v="982"/>
    <n v="16196109"/>
    <n v="2588623"/>
    <n v="16196109"/>
    <n v="14173801"/>
    <n v="12984880"/>
    <x v="1"/>
    <n v="0.08"/>
    <n v="1038790.4"/>
    <n v="0.87513618240035307"/>
    <n v="16492.982688391039"/>
  </r>
  <r>
    <s v="CITIZENS COMMUNITY BANK"/>
    <s v="Mascoutah"/>
    <x v="1"/>
    <n v="62258"/>
    <d v="2019-09-30T00:00:00"/>
    <x v="0"/>
    <n v="48"/>
    <n v="399361"/>
    <n v="6829"/>
    <n v="399361"/>
    <n v="352495"/>
    <n v="338177"/>
    <x v="0"/>
    <n v="0.08"/>
    <n v="27054.16"/>
    <n v="0.88264752942826163"/>
    <n v="8320.0208333333339"/>
  </r>
  <r>
    <s v="CITIZENS COMMUNITY BANK"/>
    <s v="Mascoutah"/>
    <x v="1"/>
    <n v="62258"/>
    <d v="2020-09-30T00:00:00"/>
    <x v="1"/>
    <n v="51"/>
    <n v="439001"/>
    <n v="11175"/>
    <n v="439001"/>
    <n v="388312"/>
    <n v="371498"/>
    <x v="0"/>
    <n v="0.08"/>
    <n v="29719.84"/>
    <n v="0.88453557053400789"/>
    <n v="8607.8627450980384"/>
  </r>
  <r>
    <s v="CITIZENS COMMUNITY BANK"/>
    <s v="Mascoutah"/>
    <x v="1"/>
    <n v="62258"/>
    <d v="2021-09-30T00:00:00"/>
    <x v="2"/>
    <n v="49"/>
    <n v="458759"/>
    <n v="4895"/>
    <n v="458759"/>
    <n v="409558"/>
    <n v="390927"/>
    <x v="0"/>
    <n v="0.08"/>
    <n v="31274.16"/>
    <n v="0.89275196780880595"/>
    <n v="9362.4285714285706"/>
  </r>
  <r>
    <s v="CITIZENS FIRST STATE BANK OF WALNUT"/>
    <s v="Walnut"/>
    <x v="1"/>
    <n v="61376"/>
    <d v="2019-09-30T00:00:00"/>
    <x v="0"/>
    <n v="8"/>
    <n v="47286"/>
    <n v="9730"/>
    <n v="47286"/>
    <n v="42946"/>
    <n v="42866"/>
    <x v="2"/>
    <n v="0.09"/>
    <n v="3857.94"/>
    <n v="0.90821807723216175"/>
    <n v="5910.75"/>
  </r>
  <r>
    <s v="CITIZENS FIRST STATE BANK OF WALNUT"/>
    <s v="Walnut"/>
    <x v="1"/>
    <n v="61376"/>
    <d v="2020-09-30T00:00:00"/>
    <x v="1"/>
    <n v="8"/>
    <n v="53281"/>
    <n v="14622"/>
    <n v="53281"/>
    <n v="48495"/>
    <n v="48390"/>
    <x v="2"/>
    <n v="0.09"/>
    <n v="4355.0999999999995"/>
    <n v="0.9101743585893658"/>
    <n v="6660.125"/>
  </r>
  <r>
    <s v="CITIZENS FIRST STATE BANK OF WALNUT"/>
    <s v="Walnut"/>
    <x v="1"/>
    <n v="61376"/>
    <d v="2021-09-30T00:00:00"/>
    <x v="2"/>
    <n v="7"/>
    <n v="55108"/>
    <n v="17147"/>
    <n v="55108"/>
    <n v="50187"/>
    <n v="50104"/>
    <x v="2"/>
    <n v="0.09"/>
    <n v="4509.3599999999997"/>
    <n v="0.91070262030921101"/>
    <n v="7872.5714285714284"/>
  </r>
  <r>
    <s v="CITIZENS NATIONAL BANK OF ALBION"/>
    <s v="Albion"/>
    <x v="1"/>
    <n v="62806"/>
    <d v="2019-09-30T00:00:00"/>
    <x v="0"/>
    <n v="61"/>
    <n v="318837"/>
    <n v="19408"/>
    <n v="318837"/>
    <n v="263017"/>
    <n v="246918"/>
    <x v="0"/>
    <n v="0.08"/>
    <n v="19753.439999999999"/>
    <n v="0.82492621621706386"/>
    <n v="5226.8360655737706"/>
  </r>
  <r>
    <s v="CITIZENS NATIONAL BANK OF ALBION"/>
    <s v="Albion"/>
    <x v="1"/>
    <n v="62806"/>
    <d v="2020-09-30T00:00:00"/>
    <x v="1"/>
    <n v="64"/>
    <n v="323010"/>
    <n v="30168"/>
    <n v="323010"/>
    <n v="264754"/>
    <n v="255868"/>
    <x v="0"/>
    <n v="0.08"/>
    <n v="20469.439999999999"/>
    <n v="0.81964645057428565"/>
    <n v="5047.03125"/>
  </r>
  <r>
    <s v="CITIZENS NATIONAL BANK OF ALBION"/>
    <s v="Albion"/>
    <x v="1"/>
    <n v="62806"/>
    <d v="2021-09-30T00:00:00"/>
    <x v="2"/>
    <n v="57"/>
    <n v="336696"/>
    <n v="54056"/>
    <n v="336696"/>
    <n v="278482"/>
    <n v="276874"/>
    <x v="0"/>
    <n v="0.08"/>
    <n v="22149.920000000002"/>
    <n v="0.82710219307624677"/>
    <n v="5906.9473684210525"/>
  </r>
  <r>
    <s v="CITIZENS STATE BANK"/>
    <s v="Lena"/>
    <x v="1"/>
    <n v="61048"/>
    <d v="2019-09-30T00:00:00"/>
    <x v="0"/>
    <n v="51"/>
    <n v="263560"/>
    <n v="7834"/>
    <n v="263560"/>
    <n v="230497"/>
    <n v="227691"/>
    <x v="0"/>
    <n v="0.08"/>
    <n v="18215.28"/>
    <n v="0.87455228410988006"/>
    <n v="5167.8431372549021"/>
  </r>
  <r>
    <s v="CITIZENS STATE BANK"/>
    <s v="Lena"/>
    <x v="1"/>
    <n v="61048"/>
    <d v="2020-09-30T00:00:00"/>
    <x v="1"/>
    <n v="51"/>
    <n v="303899"/>
    <n v="34095"/>
    <n v="303899"/>
    <n v="267660"/>
    <n v="260132"/>
    <x v="0"/>
    <n v="0.08"/>
    <n v="20810.560000000001"/>
    <n v="0.88075314495934509"/>
    <n v="5958.8039215686276"/>
  </r>
  <r>
    <s v="CITIZENS STATE BANK"/>
    <s v="Lena"/>
    <x v="1"/>
    <n v="61048"/>
    <d v="2021-09-30T00:00:00"/>
    <x v="2"/>
    <n v="51"/>
    <n v="309648"/>
    <n v="35955"/>
    <n v="309648"/>
    <n v="271000"/>
    <n v="262589"/>
    <x v="0"/>
    <n v="0.08"/>
    <n v="21007.119999999999"/>
    <n v="0.87518730946106549"/>
    <n v="6071.5294117647063"/>
  </r>
  <r>
    <s v="CITIZENS STATE BANK OF MILFORD"/>
    <s v="Milford"/>
    <x v="1"/>
    <n v="60953"/>
    <d v="2019-09-30T00:00:00"/>
    <x v="0"/>
    <n v="15"/>
    <n v="41593"/>
    <n v="7220"/>
    <n v="41593"/>
    <n v="37035"/>
    <n v="36983"/>
    <x v="2"/>
    <n v="0.09"/>
    <n v="3328.47"/>
    <n v="0.89041425239824012"/>
    <n v="2772.8666666666668"/>
  </r>
  <r>
    <s v="CITIZENS STATE BANK OF MILFORD"/>
    <s v="Milford"/>
    <x v="1"/>
    <n v="60953"/>
    <d v="2020-09-30T00:00:00"/>
    <x v="1"/>
    <n v="14"/>
    <n v="49481"/>
    <n v="13764"/>
    <n v="49481"/>
    <n v="44850"/>
    <n v="41791"/>
    <x v="2"/>
    <n v="0.09"/>
    <n v="3761.19"/>
    <n v="0.90640852044218989"/>
    <n v="3534.3571428571427"/>
  </r>
  <r>
    <s v="CITIZENS STATE BANK OF MILFORD"/>
    <s v="Milford"/>
    <x v="1"/>
    <n v="60953"/>
    <d v="2021-09-30T00:00:00"/>
    <x v="2"/>
    <n v="12"/>
    <n v="51948"/>
    <n v="17039"/>
    <n v="51948"/>
    <n v="47375"/>
    <n v="47329"/>
    <x v="2"/>
    <n v="0.09"/>
    <n v="4259.6099999999997"/>
    <n v="0.911969661969662"/>
    <n v="4329"/>
  </r>
  <r>
    <s v="CITY NATIONAL BANK"/>
    <s v="Los Angeles"/>
    <x v="0"/>
    <n v="90071"/>
    <d v="2019-09-30T00:00:00"/>
    <x v="0"/>
    <n v="5169"/>
    <n v="58193096"/>
    <n v="1995161"/>
    <n v="58193096"/>
    <n v="53045798"/>
    <n v="49246076"/>
    <x v="1"/>
    <n v="0.08"/>
    <n v="3939686.08"/>
    <n v="0.91154796094711987"/>
    <n v="11258.095569742696"/>
  </r>
  <r>
    <s v="CITY NATIONAL BANK"/>
    <s v="Los Angeles"/>
    <x v="0"/>
    <n v="90071"/>
    <d v="2020-09-30T00:00:00"/>
    <x v="1"/>
    <n v="5308"/>
    <n v="72984004"/>
    <n v="3849295"/>
    <n v="72984004"/>
    <n v="66669668"/>
    <n v="63982800"/>
    <x v="1"/>
    <n v="0.08"/>
    <n v="5118624"/>
    <n v="0.91348328874913465"/>
    <n v="13749.812358703843"/>
  </r>
  <r>
    <s v="CITY NATIONAL BANK"/>
    <s v="Los Angeles"/>
    <x v="0"/>
    <n v="90071"/>
    <d v="2021-09-30T00:00:00"/>
    <x v="2"/>
    <n v="6697"/>
    <n v="89831054"/>
    <n v="8917488"/>
    <n v="89831054"/>
    <n v="83270729"/>
    <n v="80093535"/>
    <x v="1"/>
    <n v="0.08"/>
    <n v="6407482.7999999998"/>
    <n v="0.92697041047742801"/>
    <n v="13413.626101239361"/>
  </r>
  <r>
    <s v="CLAY COUNTY STATE BANK"/>
    <s v="Louisville"/>
    <x v="1"/>
    <n v="62858"/>
    <d v="2019-09-30T00:00:00"/>
    <x v="0"/>
    <n v="19"/>
    <n v="78476"/>
    <n v="8116"/>
    <n v="78476"/>
    <n v="66391"/>
    <n v="66219"/>
    <x v="2"/>
    <n v="0.09"/>
    <n v="5959.71"/>
    <n v="0.84600387379581021"/>
    <n v="4130.3157894736842"/>
  </r>
  <r>
    <s v="CLAY COUNTY STATE BANK"/>
    <s v="Louisville"/>
    <x v="1"/>
    <n v="62858"/>
    <d v="2020-09-30T00:00:00"/>
    <x v="1"/>
    <n v="19"/>
    <n v="90122"/>
    <n v="19514"/>
    <n v="90122"/>
    <n v="77445"/>
    <n v="72874"/>
    <x v="2"/>
    <n v="0.09"/>
    <n v="6558.66"/>
    <n v="0.85933512349925656"/>
    <n v="4743.2631578947367"/>
  </r>
  <r>
    <s v="CLAY COUNTY STATE BANK"/>
    <s v="Louisville"/>
    <x v="1"/>
    <n v="62858"/>
    <d v="2021-09-30T00:00:00"/>
    <x v="2"/>
    <n v="18"/>
    <n v="97734"/>
    <n v="25269"/>
    <n v="97734"/>
    <n v="85342"/>
    <n v="79842"/>
    <x v="2"/>
    <n v="0.09"/>
    <n v="7185.78"/>
    <n v="0.87320686762027544"/>
    <n v="5429.666666666667"/>
  </r>
  <r>
    <s v="CLINTON SAVINGS BANK"/>
    <s v="Clinton"/>
    <x v="3"/>
    <n v="1510"/>
    <d v="2019-09-30T00:00:00"/>
    <x v="0"/>
    <n v="95"/>
    <n v="584592"/>
    <n v="23237"/>
    <n v="584592"/>
    <n v="519467"/>
    <n v="463195"/>
    <x v="0"/>
    <n v="8.5000000000000006E-2"/>
    <n v="39371.575000000004"/>
    <n v="0.8885975175849139"/>
    <n v="6153.6"/>
  </r>
  <r>
    <s v="CLINTON SAVINGS BANK"/>
    <s v="Clinton"/>
    <x v="3"/>
    <n v="1510"/>
    <d v="2020-09-30T00:00:00"/>
    <x v="1"/>
    <n v="96"/>
    <n v="629750"/>
    <n v="47560"/>
    <n v="629750"/>
    <n v="559731"/>
    <n v="512588"/>
    <x v="0"/>
    <n v="8.5000000000000006E-2"/>
    <n v="43569.98"/>
    <n v="0.88881460897181419"/>
    <n v="6559.895833333333"/>
  </r>
  <r>
    <s v="CLINTON SAVINGS BANK"/>
    <s v="Clinton"/>
    <x v="3"/>
    <n v="1510"/>
    <d v="2021-09-30T00:00:00"/>
    <x v="2"/>
    <n v="103"/>
    <n v="644010"/>
    <n v="55834"/>
    <n v="644010"/>
    <n v="571795"/>
    <n v="540856"/>
    <x v="0"/>
    <n v="8.5000000000000006E-2"/>
    <n v="45972.76"/>
    <n v="0.88786664803341564"/>
    <n v="6252.5242718446598"/>
  </r>
  <r>
    <s v="CNB BANK AND TRUST, N.A."/>
    <s v="Carlinville"/>
    <x v="1"/>
    <n v="62626"/>
    <d v="2019-09-30T00:00:00"/>
    <x v="0"/>
    <n v="286"/>
    <n v="1321421"/>
    <n v="84598"/>
    <n v="1321421"/>
    <n v="1183507"/>
    <n v="1120724"/>
    <x v="1"/>
    <n v="7.4999999999999997E-2"/>
    <n v="84054.3"/>
    <n v="0.89563205064850637"/>
    <n v="4620.3531468531464"/>
  </r>
  <r>
    <s v="CNB BANK AND TRUST, N.A."/>
    <s v="Carlinville"/>
    <x v="1"/>
    <n v="62626"/>
    <d v="2020-09-30T00:00:00"/>
    <x v="1"/>
    <n v="278"/>
    <n v="1484046"/>
    <n v="120407"/>
    <n v="1484045"/>
    <n v="1332378"/>
    <n v="1255476"/>
    <x v="1"/>
    <n v="7.4999999999999997E-2"/>
    <n v="94160.7"/>
    <n v="0.89780101155894088"/>
    <n v="5338.294964028777"/>
  </r>
  <r>
    <s v="CNB BANK AND TRUST, N.A."/>
    <s v="Carlinville"/>
    <x v="1"/>
    <n v="62626"/>
    <d v="2021-09-30T00:00:00"/>
    <x v="2"/>
    <n v="274"/>
    <n v="1583203"/>
    <n v="122468"/>
    <n v="1583203"/>
    <n v="1423539"/>
    <n v="1360619"/>
    <x v="1"/>
    <n v="7.4999999999999997E-2"/>
    <n v="102046.425"/>
    <n v="0.89915127750515889"/>
    <n v="5778.1131386861316"/>
  </r>
  <r>
    <s v="COASTAL HERITAGE BANK"/>
    <s v="Weymouth"/>
    <x v="3"/>
    <n v="2188"/>
    <d v="2019-09-30T00:00:00"/>
    <x v="0"/>
    <n v="144"/>
    <n v="849216"/>
    <n v="26059"/>
    <n v="849216"/>
    <n v="760959"/>
    <n v="716916"/>
    <x v="0"/>
    <n v="8.5000000000000006E-2"/>
    <n v="60937.860000000008"/>
    <n v="0.89607237734569301"/>
    <n v="5897.333333333333"/>
  </r>
  <r>
    <s v="COASTAL HERITAGE BANK"/>
    <s v="Weymouth"/>
    <x v="3"/>
    <n v="2188"/>
    <d v="2020-09-30T00:00:00"/>
    <x v="1"/>
    <n v="133"/>
    <n v="908788"/>
    <n v="77639"/>
    <n v="908788"/>
    <n v="816578"/>
    <n v="779984"/>
    <x v="0"/>
    <n v="8.5000000000000006E-2"/>
    <n v="66298.64"/>
    <n v="0.89853519192594977"/>
    <n v="6832.9924812030076"/>
  </r>
  <r>
    <s v="COASTAL HERITAGE BANK"/>
    <s v="Weymouth"/>
    <x v="3"/>
    <n v="2188"/>
    <d v="2021-09-30T00:00:00"/>
    <x v="2"/>
    <n v="125"/>
    <n v="954958"/>
    <n v="113792"/>
    <n v="954958"/>
    <n v="858571"/>
    <n v="825580"/>
    <x v="0"/>
    <n v="8.5000000000000006E-2"/>
    <n v="70174.3"/>
    <n v="0.89906676523993723"/>
    <n v="7639.6639999999998"/>
  </r>
  <r>
    <s v="COLCHESTER STATE BANK"/>
    <s v="Colchester"/>
    <x v="1"/>
    <n v="62326"/>
    <d v="2019-09-30T00:00:00"/>
    <x v="0"/>
    <n v="8"/>
    <n v="68792"/>
    <n v="4971"/>
    <n v="68792"/>
    <n v="58046"/>
    <n v="57530"/>
    <x v="2"/>
    <n v="0.09"/>
    <n v="5177.7"/>
    <n v="0.84378997557855562"/>
    <n v="8599"/>
  </r>
  <r>
    <s v="COLCHESTER STATE BANK"/>
    <s v="Colchester"/>
    <x v="1"/>
    <n v="62326"/>
    <d v="2020-09-30T00:00:00"/>
    <x v="1"/>
    <n v="8"/>
    <n v="78485"/>
    <n v="5340"/>
    <n v="78485"/>
    <n v="66570"/>
    <n v="65865"/>
    <x v="2"/>
    <n v="0.09"/>
    <n v="5927.8499999999995"/>
    <n v="0.84818755176148308"/>
    <n v="9810.625"/>
  </r>
  <r>
    <s v="COLCHESTER STATE BANK"/>
    <s v="Colchester"/>
    <x v="1"/>
    <n v="62326"/>
    <d v="2021-09-30T00:00:00"/>
    <x v="2"/>
    <n v="8"/>
    <n v="85778"/>
    <n v="8622"/>
    <n v="85778"/>
    <n v="73279"/>
    <n v="72562"/>
    <x v="2"/>
    <n v="0.09"/>
    <n v="6530.58"/>
    <n v="0.85428664692578515"/>
    <n v="10722.25"/>
  </r>
  <r>
    <s v="COLLINSVILLE BUILDING AND LOAN ASSOCIATION"/>
    <s v="Collinsville"/>
    <x v="1"/>
    <n v="62234"/>
    <d v="2019-09-30T00:00:00"/>
    <x v="0"/>
    <n v="18"/>
    <n v="120875"/>
    <n v="5886"/>
    <n v="120875"/>
    <n v="87559"/>
    <n v="87308"/>
    <x v="0"/>
    <n v="0.08"/>
    <n v="6984.64"/>
    <n v="0.72437642192347462"/>
    <n v="6715.2777777777774"/>
  </r>
  <r>
    <s v="COLLINSVILLE BUILDING AND LOAN ASSOCIATION"/>
    <s v="Collinsville"/>
    <x v="1"/>
    <n v="62234"/>
    <d v="2020-09-30T00:00:00"/>
    <x v="1"/>
    <n v="15"/>
    <n v="131344"/>
    <n v="10891"/>
    <n v="131344"/>
    <n v="97584"/>
    <n v="93343"/>
    <x v="0"/>
    <n v="0.08"/>
    <n v="7467.4400000000005"/>
    <n v="0.74296503837251793"/>
    <n v="8756.2666666666664"/>
  </r>
  <r>
    <s v="COLLINSVILLE BUILDING AND LOAN ASSOCIATION"/>
    <s v="Collinsville"/>
    <x v="1"/>
    <n v="62234"/>
    <d v="2021-09-30T00:00:00"/>
    <x v="2"/>
    <n v="16"/>
    <n v="136807"/>
    <n v="12360"/>
    <n v="136807"/>
    <n v="102944"/>
    <n v="97755"/>
    <x v="0"/>
    <n v="0.08"/>
    <n v="7820.4000000000005"/>
    <n v="0.75247611598821695"/>
    <n v="8550.4375"/>
  </r>
  <r>
    <s v="COLONIAL FEDERAL SAVINGS BANK"/>
    <s v="Quincy"/>
    <x v="3"/>
    <n v="2170"/>
    <d v="2019-09-30T00:00:00"/>
    <x v="0"/>
    <n v="31"/>
    <n v="310895"/>
    <n v="17675"/>
    <n v="310895"/>
    <n v="264922"/>
    <n v="255188"/>
    <x v="0"/>
    <n v="8.5000000000000006E-2"/>
    <n v="21690.980000000003"/>
    <n v="0.85212692388105304"/>
    <n v="10028.870967741936"/>
  </r>
  <r>
    <s v="COLONIAL FEDERAL SAVINGS BANK"/>
    <s v="Quincy"/>
    <x v="3"/>
    <n v="2170"/>
    <d v="2020-09-30T00:00:00"/>
    <x v="1"/>
    <n v="28"/>
    <n v="333493"/>
    <n v="39592"/>
    <n v="333493"/>
    <n v="285973"/>
    <n v="280205"/>
    <x v="0"/>
    <n v="8.5000000000000006E-2"/>
    <n v="23817.425000000003"/>
    <n v="0.85750825354655125"/>
    <n v="11910.464285714286"/>
  </r>
  <r>
    <s v="COLONIAL FEDERAL SAVINGS BANK"/>
    <s v="Quincy"/>
    <x v="3"/>
    <n v="2170"/>
    <d v="2021-09-30T00:00:00"/>
    <x v="2"/>
    <n v="29"/>
    <n v="336678"/>
    <n v="38700"/>
    <n v="336678"/>
    <n v="287571"/>
    <n v="283820"/>
    <x v="0"/>
    <n v="8.5000000000000006E-2"/>
    <n v="24124.7"/>
    <n v="0.85414253381569338"/>
    <n v="11609.586206896553"/>
  </r>
  <r>
    <s v="COLUMBIA NATIONAL BANK"/>
    <s v="Columbia"/>
    <x v="1"/>
    <n v="62236"/>
    <d v="2019-09-30T00:00:00"/>
    <x v="0"/>
    <n v="13"/>
    <n v="45546"/>
    <n v="7646"/>
    <n v="45546"/>
    <n v="39303"/>
    <n v="39117"/>
    <x v="2"/>
    <n v="0.09"/>
    <n v="3520.5299999999997"/>
    <n v="0.86292978527203268"/>
    <n v="3503.5384615384614"/>
  </r>
  <r>
    <s v="COLUMN NATIONAL ASSOCIATION"/>
    <s v="Chico"/>
    <x v="0"/>
    <n v="95926"/>
    <d v="2021-09-30T00:00:00"/>
    <x v="2"/>
    <n v="26"/>
    <n v="342820"/>
    <n v="68490"/>
    <n v="342820"/>
    <n v="298984"/>
    <n v="298094"/>
    <x v="0"/>
    <n v="0.09"/>
    <n v="26828.46"/>
    <n v="0.87213114754098364"/>
    <n v="13185.384615384615"/>
  </r>
  <r>
    <s v="COMMERCE WEST BANK"/>
    <s v="Irvine"/>
    <x v="0"/>
    <n v="92612"/>
    <d v="2019-09-30T00:00:00"/>
    <x v="0"/>
    <n v="63"/>
    <n v="635190"/>
    <n v="112934"/>
    <n v="635190"/>
    <n v="571425"/>
    <n v="564725"/>
    <x v="0"/>
    <n v="0.09"/>
    <n v="50825.25"/>
    <n v="0.89961271430595569"/>
    <n v="10082.380952380952"/>
  </r>
  <r>
    <s v="COMMERCE WEST BANK"/>
    <s v="Irvine"/>
    <x v="0"/>
    <n v="92612"/>
    <d v="2020-09-30T00:00:00"/>
    <x v="1"/>
    <n v="58"/>
    <n v="937741"/>
    <n v="238537"/>
    <n v="937741"/>
    <n v="872106"/>
    <n v="865721"/>
    <x v="0"/>
    <n v="0.09"/>
    <n v="77914.89"/>
    <n v="0.93000732611669956"/>
    <n v="16167.948275862069"/>
  </r>
  <r>
    <s v="COMMERCE WEST BANK"/>
    <s v="Irvine"/>
    <x v="0"/>
    <n v="92614"/>
    <d v="2021-09-30T00:00:00"/>
    <x v="2"/>
    <n v="64"/>
    <n v="1323629"/>
    <n v="541109"/>
    <n v="1323629"/>
    <n v="1222472"/>
    <n v="1210200"/>
    <x v="1"/>
    <n v="0.08"/>
    <n v="96816"/>
    <n v="0.92357601714679871"/>
    <n v="20681.703125"/>
  </r>
  <r>
    <s v="COMMERCIAL BANK OF CALIFORNIA"/>
    <s v="Irvine"/>
    <x v="0"/>
    <n v="92612"/>
    <d v="2019-09-30T00:00:00"/>
    <x v="0"/>
    <n v="175"/>
    <n v="1016735"/>
    <n v="141879"/>
    <n v="1016735"/>
    <n v="913420"/>
    <n v="901048"/>
    <x v="1"/>
    <n v="0.08"/>
    <n v="72083.839999999997"/>
    <n v="0.89838551835040592"/>
    <n v="5809.9142857142861"/>
  </r>
  <r>
    <s v="COMMERCIAL BANK OF CALIFORNIA"/>
    <s v="Irvine"/>
    <x v="0"/>
    <n v="92612"/>
    <d v="2020-09-30T00:00:00"/>
    <x v="1"/>
    <n v="191"/>
    <n v="1587533"/>
    <n v="418534"/>
    <n v="1587533"/>
    <n v="1469245"/>
    <n v="1355612"/>
    <x v="1"/>
    <n v="0.08"/>
    <n v="108448.96000000001"/>
    <n v="0.92548942289703584"/>
    <n v="8311.6910994764403"/>
  </r>
  <r>
    <s v="COMMERCIAL BANK OF CALIFORNIA"/>
    <s v="Irvine"/>
    <x v="0"/>
    <n v="92612"/>
    <d v="2021-09-30T00:00:00"/>
    <x v="2"/>
    <n v="190"/>
    <n v="1764126"/>
    <n v="394667"/>
    <n v="1764126"/>
    <n v="1603506"/>
    <n v="1589113"/>
    <x v="1"/>
    <n v="0.08"/>
    <n v="127129.04000000001"/>
    <n v="0.90895208165403152"/>
    <n v="9284.8736842105263"/>
  </r>
  <r>
    <s v="COMMONWEALTH BUSINESS BANK"/>
    <s v="Los Angeles"/>
    <x v="0"/>
    <n v="90010"/>
    <d v="2019-09-30T00:00:00"/>
    <x v="0"/>
    <n v="190"/>
    <n v="1159601"/>
    <n v="84382"/>
    <n v="1159601"/>
    <n v="1014929"/>
    <n v="989805"/>
    <x v="1"/>
    <n v="0.08"/>
    <n v="79184.400000000009"/>
    <n v="0.87523984542959177"/>
    <n v="6103.1631578947372"/>
  </r>
  <r>
    <s v="COMMONWEALTH BUSINESS BANK"/>
    <s v="Los Angeles"/>
    <x v="0"/>
    <n v="90010"/>
    <d v="2020-09-30T00:00:00"/>
    <x v="1"/>
    <n v="179"/>
    <n v="1399381"/>
    <n v="220073"/>
    <n v="1399381"/>
    <n v="1243810"/>
    <n v="1101866"/>
    <x v="1"/>
    <n v="0.08"/>
    <n v="88149.28"/>
    <n v="0.88882870354821164"/>
    <n v="7817.7709497206706"/>
  </r>
  <r>
    <s v="COMMONWEALTH BUSINESS BANK"/>
    <s v="Los Angeles"/>
    <x v="0"/>
    <n v="90010"/>
    <d v="2021-09-30T00:00:00"/>
    <x v="2"/>
    <n v="200"/>
    <n v="1909035"/>
    <n v="397522"/>
    <n v="1909035"/>
    <n v="1730967"/>
    <n v="1666296"/>
    <x v="1"/>
    <n v="0.08"/>
    <n v="133303.67999999999"/>
    <n v="0.90672355404693994"/>
    <n v="9545.1749999999993"/>
  </r>
  <r>
    <s v="COMMONWEALTH CO-OPERATIVE BANK"/>
    <s v="Hyde Park"/>
    <x v="3"/>
    <n v="2136"/>
    <d v="2019-09-30T00:00:00"/>
    <x v="0"/>
    <n v="21"/>
    <n v="189845"/>
    <n v="10931"/>
    <n v="189845"/>
    <n v="161706"/>
    <n v="139190"/>
    <x v="0"/>
    <n v="8.5000000000000006E-2"/>
    <n v="11831.150000000001"/>
    <n v="0.8517790829360794"/>
    <n v="9040.2380952380954"/>
  </r>
  <r>
    <s v="COMMONWEALTH CO-OPERATIVE BANK"/>
    <s v="Hyde Park"/>
    <x v="3"/>
    <n v="2136"/>
    <d v="2020-09-30T00:00:00"/>
    <x v="1"/>
    <n v="21"/>
    <n v="189492"/>
    <n v="14686"/>
    <n v="189492"/>
    <n v="160740"/>
    <n v="138191"/>
    <x v="0"/>
    <n v="8.5000000000000006E-2"/>
    <n v="11746.235000000001"/>
    <n v="0.84826800075992659"/>
    <n v="9023.4285714285706"/>
  </r>
  <r>
    <s v="COMMONWEALTH CO-OPERATIVE BANK"/>
    <s v="Hyde Park"/>
    <x v="3"/>
    <n v="2136"/>
    <d v="2021-09-30T00:00:00"/>
    <x v="2"/>
    <n v="19"/>
    <n v="200187"/>
    <n v="19363"/>
    <n v="200187"/>
    <n v="170702"/>
    <n v="154494"/>
    <x v="0"/>
    <n v="8.5000000000000006E-2"/>
    <n v="13131.990000000002"/>
    <n v="0.85271271361277201"/>
    <n v="10536.157894736842"/>
  </r>
  <r>
    <s v="COMMUNITY BANK"/>
    <s v="Winslow"/>
    <x v="1"/>
    <n v="61089"/>
    <d v="2019-09-30T00:00:00"/>
    <x v="0"/>
    <n v="20"/>
    <n v="217335"/>
    <n v="12368"/>
    <n v="217334"/>
    <n v="185257"/>
    <n v="150092"/>
    <x v="0"/>
    <n v="0.08"/>
    <n v="12007.36"/>
    <n v="0.85240297236984375"/>
    <n v="10866.75"/>
  </r>
  <r>
    <s v="COMMUNITY BANK"/>
    <s v="Winslow"/>
    <x v="1"/>
    <n v="61089"/>
    <d v="2020-09-30T00:00:00"/>
    <x v="1"/>
    <n v="15"/>
    <n v="260654"/>
    <n v="18721"/>
    <n v="260653"/>
    <n v="224082"/>
    <n v="184719"/>
    <x v="0"/>
    <n v="0.08"/>
    <n v="14777.52"/>
    <n v="0.85969139165330288"/>
    <n v="17376.933333333334"/>
  </r>
  <r>
    <s v="COMMUNITY BANK"/>
    <s v="Winslow"/>
    <x v="1"/>
    <n v="61089"/>
    <d v="2021-09-30T00:00:00"/>
    <x v="2"/>
    <n v="16"/>
    <n v="257396"/>
    <n v="7884"/>
    <n v="257396"/>
    <n v="218313"/>
    <n v="180528"/>
    <x v="0"/>
    <n v="0.08"/>
    <n v="14442.24"/>
    <n v="0.84816003356695524"/>
    <n v="16087.25"/>
  </r>
  <r>
    <s v="COMMUNITY BANK OF EASTON"/>
    <s v="Easton"/>
    <x v="1"/>
    <n v="62633"/>
    <d v="2019-09-30T00:00:00"/>
    <x v="0"/>
    <n v="4"/>
    <n v="36222"/>
    <n v="7758"/>
    <n v="36222"/>
    <n v="28683"/>
    <n v="28668"/>
    <x v="2"/>
    <n v="0.09"/>
    <n v="2580.12"/>
    <n v="0.79186682126884211"/>
    <n v="9055.5"/>
  </r>
  <r>
    <s v="COMMUNITY BANK OF EASTON"/>
    <s v="Easton"/>
    <x v="1"/>
    <n v="62633"/>
    <d v="2020-09-30T00:00:00"/>
    <x v="1"/>
    <n v="4"/>
    <n v="37904"/>
    <n v="8067"/>
    <n v="37904"/>
    <n v="29612"/>
    <n v="29596"/>
    <x v="2"/>
    <n v="0.09"/>
    <n v="2663.64"/>
    <n v="0.78123680878007595"/>
    <n v="9476"/>
  </r>
  <r>
    <s v="COMMUNITY BANK OF EASTON"/>
    <s v="Easton"/>
    <x v="1"/>
    <n v="62633"/>
    <d v="2021-09-30T00:00:00"/>
    <x v="2"/>
    <n v="4"/>
    <n v="39706"/>
    <n v="11404"/>
    <n v="39706"/>
    <n v="30675"/>
    <n v="30658"/>
    <x v="2"/>
    <n v="0.09"/>
    <n v="2759.22"/>
    <n v="0.77255326650883993"/>
    <n v="9926.5"/>
  </r>
  <r>
    <s v="COMMUNITY BANK OF ELMHURST"/>
    <s v="Elmhurst"/>
    <x v="1"/>
    <n v="60126"/>
    <d v="2019-09-30T00:00:00"/>
    <x v="0"/>
    <n v="25"/>
    <n v="145795"/>
    <n v="5707"/>
    <n v="145795"/>
    <n v="130045"/>
    <n v="129926"/>
    <x v="0"/>
    <n v="0.08"/>
    <n v="10394.08"/>
    <n v="0.89197160396447062"/>
    <n v="5831.8"/>
  </r>
  <r>
    <s v="COMMUNITY BANK OF ELMHURST"/>
    <s v="Elmhurst"/>
    <x v="1"/>
    <n v="60126"/>
    <d v="2020-09-30T00:00:00"/>
    <x v="1"/>
    <n v="28"/>
    <n v="175924"/>
    <n v="16129"/>
    <n v="175924"/>
    <n v="158463"/>
    <n v="158306"/>
    <x v="0"/>
    <n v="0.08"/>
    <n v="12664.48"/>
    <n v="0.90074691343989455"/>
    <n v="6283"/>
  </r>
  <r>
    <s v="COMMUNITY BANK OF ELMHURST"/>
    <s v="Elmhurst"/>
    <x v="1"/>
    <n v="60126"/>
    <d v="2021-09-30T00:00:00"/>
    <x v="2"/>
    <n v="29"/>
    <n v="188791"/>
    <n v="5047"/>
    <n v="188791"/>
    <n v="172108"/>
    <n v="171930"/>
    <x v="0"/>
    <n v="0.08"/>
    <n v="13754.4"/>
    <n v="0.91163244010572542"/>
    <n v="6510.0344827586205"/>
  </r>
  <r>
    <s v="COMMUNITY BANK OF SANTA MARIA"/>
    <s v="Santa Maria"/>
    <x v="0"/>
    <n v="93455"/>
    <d v="2019-09-30T00:00:00"/>
    <x v="0"/>
    <n v="51"/>
    <n v="263881"/>
    <n v="17738"/>
    <n v="263881"/>
    <n v="235003"/>
    <n v="233525"/>
    <x v="0"/>
    <n v="0.09"/>
    <n v="21017.25"/>
    <n v="0.8905643073961369"/>
    <n v="5174.1372549019607"/>
  </r>
  <r>
    <s v="COMMUNITY BANK OF SANTA MARIA"/>
    <s v="Santa Maria"/>
    <x v="0"/>
    <n v="93455"/>
    <d v="2020-09-30T00:00:00"/>
    <x v="1"/>
    <n v="60"/>
    <n v="327457"/>
    <n v="24024"/>
    <n v="327457"/>
    <n v="298299"/>
    <n v="296783"/>
    <x v="0"/>
    <n v="0.09"/>
    <n v="26710.469999999998"/>
    <n v="0.91095624769053651"/>
    <n v="5457.6166666666668"/>
  </r>
  <r>
    <s v="COMMUNITY BANK OF SANTA MARIA"/>
    <s v="Santa Maria"/>
    <x v="0"/>
    <n v="93455"/>
    <d v="2021-09-30T00:00:00"/>
    <x v="2"/>
    <n v="59"/>
    <n v="402097"/>
    <n v="68357"/>
    <n v="402097"/>
    <n v="370923"/>
    <n v="367847"/>
    <x v="0"/>
    <n v="0.09"/>
    <n v="33106.229999999996"/>
    <n v="0.92247144345767318"/>
    <n v="6815.2033898305081"/>
  </r>
  <r>
    <s v="COMMUNITY BANK OF THE BAY"/>
    <s v="Oakland"/>
    <x v="0"/>
    <n v="94612"/>
    <d v="2019-09-30T00:00:00"/>
    <x v="0"/>
    <n v="50"/>
    <n v="491389"/>
    <n v="70018"/>
    <n v="491389"/>
    <n v="436561"/>
    <n v="400746"/>
    <x v="0"/>
    <n v="0.09"/>
    <n v="36067.14"/>
    <n v="0.8884224107580756"/>
    <n v="9827.7800000000007"/>
  </r>
  <r>
    <s v="COMMUNITY BANK OF THE BAY"/>
    <s v="Oakland"/>
    <x v="0"/>
    <n v="94612"/>
    <d v="2020-09-30T00:00:00"/>
    <x v="1"/>
    <n v="55"/>
    <n v="636346"/>
    <n v="113811"/>
    <n v="636346"/>
    <n v="576309"/>
    <n v="530610"/>
    <x v="0"/>
    <n v="0.09"/>
    <n v="47754.9"/>
    <n v="0.90565352811206479"/>
    <n v="11569.927272727273"/>
  </r>
  <r>
    <s v="COMMUNITY BANK OF THE BAY"/>
    <s v="Oakland"/>
    <x v="0"/>
    <n v="94612"/>
    <d v="2021-09-30T00:00:00"/>
    <x v="2"/>
    <n v="63"/>
    <n v="749914"/>
    <n v="155969"/>
    <n v="749914"/>
    <n v="683350"/>
    <n v="654863"/>
    <x v="0"/>
    <n v="0.09"/>
    <n v="58937.67"/>
    <n v="0.91123782193691538"/>
    <n v="11903.396825396825"/>
  </r>
  <r>
    <s v="COMMUNITY BANK OF TRENTON"/>
    <s v="Trenton"/>
    <x v="1"/>
    <n v="62293"/>
    <d v="2019-09-30T00:00:00"/>
    <x v="0"/>
    <n v="16"/>
    <n v="84534"/>
    <n v="6710"/>
    <n v="84535"/>
    <n v="74607"/>
    <n v="68454"/>
    <x v="2"/>
    <n v="0.09"/>
    <n v="6160.86"/>
    <n v="0.88256796082049827"/>
    <n v="5283.375"/>
  </r>
  <r>
    <s v="COMMUNITY BANK OF TRENTON"/>
    <s v="Trenton"/>
    <x v="1"/>
    <n v="62293"/>
    <d v="2020-09-30T00:00:00"/>
    <x v="1"/>
    <n v="17"/>
    <n v="96804"/>
    <n v="8718"/>
    <n v="96804"/>
    <n v="86235"/>
    <n v="76222"/>
    <x v="2"/>
    <n v="0.09"/>
    <n v="6859.98"/>
    <n v="0.89082062724680799"/>
    <n v="5694.3529411764703"/>
  </r>
  <r>
    <s v="COMMUNITY BANK OF TRENTON"/>
    <s v="Trenton"/>
    <x v="1"/>
    <n v="62293"/>
    <d v="2021-09-30T00:00:00"/>
    <x v="2"/>
    <n v="16"/>
    <n v="98407"/>
    <n v="5762"/>
    <n v="98407"/>
    <n v="87299"/>
    <n v="82424"/>
    <x v="2"/>
    <n v="0.09"/>
    <n v="7418.16"/>
    <n v="0.88712185108782915"/>
    <n v="6150.4375"/>
  </r>
  <r>
    <s v="COMMUNITY BANK, NATIONAL ASSOCIATION"/>
    <s v="Canton"/>
    <x v="2"/>
    <n v="13617"/>
    <d v="2019-09-30T00:00:00"/>
    <x v="0"/>
    <n v="2229"/>
    <n v="11391467"/>
    <n v="1008346"/>
    <n v="11391467"/>
    <n v="9824413"/>
    <n v="9389787"/>
    <x v="1"/>
    <n v="0.08"/>
    <n v="751182.96"/>
    <n v="0.86243615506238136"/>
    <n v="5110.5729026469271"/>
  </r>
  <r>
    <s v="COMMUNITY BANK, NATIONAL ASSOCIATION"/>
    <s v="Canton"/>
    <x v="2"/>
    <n v="13617"/>
    <d v="2020-09-30T00:00:00"/>
    <x v="1"/>
    <n v="2304"/>
    <n v="13647935"/>
    <n v="1830832"/>
    <n v="13647935"/>
    <n v="11872597"/>
    <n v="11398660"/>
    <x v="1"/>
    <n v="0.08"/>
    <n v="911892.8"/>
    <n v="0.86991892912737345"/>
    <n v="5923.5828993055557"/>
  </r>
  <r>
    <s v="COMMUNITY BANK, NATIONAL ASSOCIATION"/>
    <s v="Canton"/>
    <x v="2"/>
    <n v="13617"/>
    <d v="2021-09-30T00:00:00"/>
    <x v="2"/>
    <n v="2186"/>
    <n v="15096387"/>
    <n v="2314056"/>
    <n v="15096387"/>
    <n v="13438366"/>
    <n v="12972272"/>
    <x v="1"/>
    <n v="0.08"/>
    <n v="1037781.76"/>
    <n v="0.89017100581748465"/>
    <n v="6905.9409881061301"/>
  </r>
  <r>
    <s v="COMMUNITY BANKS OF SHELBY COUNTY"/>
    <s v="Cowden"/>
    <x v="1"/>
    <n v="62422"/>
    <d v="2019-09-30T00:00:00"/>
    <x v="0"/>
    <n v="20"/>
    <n v="46437"/>
    <n v="11037"/>
    <n v="46437"/>
    <n v="40873"/>
    <n v="40806"/>
    <x v="2"/>
    <n v="0.09"/>
    <n v="3672.54"/>
    <n v="0.88018175162047507"/>
    <n v="2321.85"/>
  </r>
  <r>
    <s v="COMMUNITY BANKS OF SHELBY COUNTY"/>
    <s v="Cowden"/>
    <x v="1"/>
    <n v="62422"/>
    <d v="2020-09-30T00:00:00"/>
    <x v="1"/>
    <n v="20"/>
    <n v="52319"/>
    <n v="10937"/>
    <n v="52320"/>
    <n v="46647"/>
    <n v="46594"/>
    <x v="2"/>
    <n v="0.09"/>
    <n v="4193.46"/>
    <n v="0.89158814197519065"/>
    <n v="2615.9499999999998"/>
  </r>
  <r>
    <s v="COMMUNITY BANKS OF SHELBY COUNTY"/>
    <s v="Cowden"/>
    <x v="1"/>
    <n v="62422"/>
    <d v="2021-09-30T00:00:00"/>
    <x v="2"/>
    <n v="20"/>
    <n v="59305"/>
    <n v="12987"/>
    <n v="59305"/>
    <n v="53724"/>
    <n v="53672"/>
    <x v="2"/>
    <n v="0.09"/>
    <n v="4830.4799999999996"/>
    <n v="0.90589326363713008"/>
    <n v="2965.25"/>
  </r>
  <r>
    <s v="COMMUNITY COMMERCE BANK"/>
    <s v="Claremont"/>
    <x v="0"/>
    <n v="91711"/>
    <d v="2019-09-30T00:00:00"/>
    <x v="0"/>
    <n v="38"/>
    <n v="276756"/>
    <n v="48613"/>
    <n v="276756"/>
    <n v="223621"/>
    <n v="183099"/>
    <x v="0"/>
    <n v="0.09"/>
    <n v="16478.91"/>
    <n v="0.80800777580251193"/>
    <n v="7283.0526315789475"/>
  </r>
  <r>
    <s v="COMMUNITY COMMERCE BANK"/>
    <s v="Claremont"/>
    <x v="0"/>
    <n v="91711"/>
    <d v="2020-09-30T00:00:00"/>
    <x v="1"/>
    <n v="45"/>
    <n v="338351"/>
    <n v="45535"/>
    <n v="338351"/>
    <n v="284593"/>
    <n v="203517"/>
    <x v="0"/>
    <n v="0.09"/>
    <n v="18316.53"/>
    <n v="0.84111765592535559"/>
    <n v="7518.9111111111115"/>
  </r>
  <r>
    <s v="COMMUNITY COMMERCE BANK"/>
    <s v="Claremont"/>
    <x v="0"/>
    <n v="91711"/>
    <d v="2021-09-30T00:00:00"/>
    <x v="2"/>
    <n v="48"/>
    <n v="324319"/>
    <n v="48633"/>
    <n v="324319"/>
    <n v="268372"/>
    <n v="231977"/>
    <x v="0"/>
    <n v="0.09"/>
    <n v="20877.93"/>
    <n v="0.82749391802515426"/>
    <n v="6756.645833333333"/>
  </r>
  <r>
    <s v="COMMUNITY FEDERAL SAVINGS BANK"/>
    <s v="Woodhaven"/>
    <x v="2"/>
    <n v="11421"/>
    <d v="2019-09-30T00:00:00"/>
    <x v="0"/>
    <n v="56"/>
    <n v="175640"/>
    <n v="36239"/>
    <n v="175640"/>
    <n v="159447"/>
    <n v="158126"/>
    <x v="0"/>
    <n v="8.5000000000000006E-2"/>
    <n v="13440.710000000001"/>
    <n v="0.90780573901161465"/>
    <n v="3136.4285714285716"/>
  </r>
  <r>
    <s v="COMMUNITY FEDERAL SAVINGS BANK"/>
    <s v="Woodhaven"/>
    <x v="2"/>
    <n v="11421"/>
    <d v="2020-09-30T00:00:00"/>
    <x v="1"/>
    <n v="68"/>
    <n v="380731"/>
    <n v="107727"/>
    <n v="380731"/>
    <n v="354372"/>
    <n v="212573"/>
    <x v="0"/>
    <n v="8.5000000000000006E-2"/>
    <n v="18068.705000000002"/>
    <n v="0.93076739220079263"/>
    <n v="5598.9852941176468"/>
  </r>
  <r>
    <s v="COMMUNITY FEDERAL SAVINGS BANK"/>
    <s v="Woodhaven"/>
    <x v="2"/>
    <n v="11421"/>
    <d v="2021-09-30T00:00:00"/>
    <x v="2"/>
    <n v="81"/>
    <n v="624676"/>
    <n v="246866"/>
    <n v="624676"/>
    <n v="588649"/>
    <n v="312995"/>
    <x v="0"/>
    <n v="8.5000000000000006E-2"/>
    <n v="26604.575000000001"/>
    <n v="0.9423269022661348"/>
    <n v="7712.049382716049"/>
  </r>
  <r>
    <s v="COMMUNITY FIRST BANK OF THE HEARTLAND"/>
    <s v="Mount Vernon"/>
    <x v="1"/>
    <n v="62864"/>
    <d v="2019-09-30T00:00:00"/>
    <x v="0"/>
    <n v="46"/>
    <n v="203408"/>
    <n v="9791"/>
    <n v="203408"/>
    <n v="183788"/>
    <n v="181728"/>
    <x v="0"/>
    <n v="0.08"/>
    <n v="14538.24"/>
    <n v="0.9035436167702352"/>
    <n v="4421.913043478261"/>
  </r>
  <r>
    <s v="COMMUNITY FIRST BANK OF THE HEARTLAND"/>
    <s v="Mount Vernon"/>
    <x v="1"/>
    <n v="62864"/>
    <d v="2020-09-30T00:00:00"/>
    <x v="1"/>
    <n v="44"/>
    <n v="251314"/>
    <n v="9374"/>
    <n v="251314"/>
    <n v="227798"/>
    <n v="217421"/>
    <x v="0"/>
    <n v="0.08"/>
    <n v="17393.68"/>
    <n v="0.90642781540224582"/>
    <n v="5711.681818181818"/>
  </r>
  <r>
    <s v="COMMUNITY FIRST BANK OF THE HEARTLAND"/>
    <s v="Mount Vernon"/>
    <x v="1"/>
    <n v="62864"/>
    <d v="2021-09-30T00:00:00"/>
    <x v="2"/>
    <n v="43"/>
    <n v="242649"/>
    <n v="37967"/>
    <n v="242649"/>
    <n v="216753"/>
    <n v="207229"/>
    <x v="0"/>
    <n v="0.08"/>
    <n v="16578.32"/>
    <n v="0.89327794468553345"/>
    <n v="5643"/>
  </r>
  <r>
    <s v="COMMUNITY NATIONAL BANK IN MONMOUTH"/>
    <s v="Monmouth"/>
    <x v="1"/>
    <n v="61462"/>
    <d v="2019-09-30T00:00:00"/>
    <x v="0"/>
    <n v="13"/>
    <n v="40966"/>
    <n v="7101"/>
    <n v="40966"/>
    <n v="34924"/>
    <n v="34455"/>
    <x v="2"/>
    <n v="0.09"/>
    <n v="3100.95"/>
    <n v="0.85251183908607142"/>
    <n v="3151.2307692307691"/>
  </r>
  <r>
    <s v="COMMUNITY NATIONAL BANK IN MONMOUTH"/>
    <s v="Monmouth"/>
    <x v="1"/>
    <n v="61462"/>
    <d v="2020-09-30T00:00:00"/>
    <x v="1"/>
    <n v="12"/>
    <n v="44160"/>
    <n v="9938"/>
    <n v="44160"/>
    <n v="37853"/>
    <n v="37203"/>
    <x v="2"/>
    <n v="0.09"/>
    <n v="3348.27"/>
    <n v="0.85717844202898552"/>
    <n v="3680"/>
  </r>
  <r>
    <s v="COMMUNITY NATIONAL BANK IN MONMOUTH"/>
    <s v="Monmouth"/>
    <x v="1"/>
    <n v="61462"/>
    <d v="2021-09-30T00:00:00"/>
    <x v="2"/>
    <n v="10"/>
    <n v="49543"/>
    <n v="10617"/>
    <n v="49543"/>
    <n v="43045"/>
    <n v="42481"/>
    <x v="2"/>
    <n v="0.09"/>
    <n v="3823.29"/>
    <n v="0.86884120864703385"/>
    <n v="4954.3"/>
  </r>
  <r>
    <s v="COMMUNITY PARTNERS SAVINGS BANK"/>
    <s v="Salem"/>
    <x v="1"/>
    <n v="62881"/>
    <d v="2019-09-30T00:00:00"/>
    <x v="0"/>
    <n v="50"/>
    <n v="202847"/>
    <n v="25915"/>
    <n v="202847"/>
    <n v="179111"/>
    <n v="167796"/>
    <x v="0"/>
    <n v="0.08"/>
    <n v="13423.68"/>
    <n v="0.88298569858070364"/>
    <n v="4056.94"/>
  </r>
  <r>
    <s v="COMMUNITY PARTNERS SAVINGS BANK"/>
    <s v="Salem"/>
    <x v="1"/>
    <n v="62881"/>
    <d v="2020-09-30T00:00:00"/>
    <x v="1"/>
    <n v="53"/>
    <n v="223649"/>
    <n v="20563"/>
    <n v="223649"/>
    <n v="198101"/>
    <n v="178724"/>
    <x v="0"/>
    <n v="0.08"/>
    <n v="14297.92"/>
    <n v="0.88576743021430904"/>
    <n v="4219.7924528301883"/>
  </r>
  <r>
    <s v="COMMUNITY PARTNERS SAVINGS BANK"/>
    <s v="Salem"/>
    <x v="1"/>
    <n v="62881"/>
    <d v="2021-09-30T00:00:00"/>
    <x v="2"/>
    <n v="51"/>
    <n v="234496"/>
    <n v="22070"/>
    <n v="234496"/>
    <n v="208361"/>
    <n v="189983"/>
    <x v="0"/>
    <n v="0.08"/>
    <n v="15198.64"/>
    <n v="0.88854820551310043"/>
    <n v="4597.9607843137255"/>
  </r>
  <r>
    <s v="COMMUNITY SAVINGS BANK"/>
    <s v="Chicago"/>
    <x v="1"/>
    <n v="60641"/>
    <d v="2019-09-30T00:00:00"/>
    <x v="0"/>
    <n v="62"/>
    <n v="396440"/>
    <n v="20495"/>
    <n v="396440"/>
    <n v="331009"/>
    <n v="329111"/>
    <x v="0"/>
    <n v="0.08"/>
    <n v="26328.880000000001"/>
    <n v="0.83495358692362021"/>
    <n v="6394.1935483870966"/>
  </r>
  <r>
    <s v="COMMUNITY SAVINGS BANK"/>
    <s v="Chicago"/>
    <x v="1"/>
    <n v="60641"/>
    <d v="2020-09-30T00:00:00"/>
    <x v="1"/>
    <n v="60"/>
    <n v="425591"/>
    <n v="31318"/>
    <n v="425591"/>
    <n v="358794"/>
    <n v="352524"/>
    <x v="0"/>
    <n v="0.08"/>
    <n v="28201.920000000002"/>
    <n v="0.84304884266819557"/>
    <n v="7093.1833333333334"/>
  </r>
  <r>
    <s v="COMMUNITY SAVINGS BANK"/>
    <s v="Chicago"/>
    <x v="1"/>
    <n v="60641"/>
    <d v="2021-09-30T00:00:00"/>
    <x v="2"/>
    <n v="60"/>
    <n v="448396"/>
    <n v="19557"/>
    <n v="448396"/>
    <n v="383964"/>
    <n v="377387"/>
    <x v="0"/>
    <n v="0.08"/>
    <n v="30190.959999999999"/>
    <n v="0.85630558702575399"/>
    <n v="7473.2666666666664"/>
  </r>
  <r>
    <s v="COMMUNITY STATE BANK"/>
    <s v="Galva"/>
    <x v="1"/>
    <n v="61434"/>
    <d v="2019-09-30T00:00:00"/>
    <x v="0"/>
    <n v="46"/>
    <n v="237261"/>
    <n v="6652"/>
    <n v="237261"/>
    <n v="211352"/>
    <n v="210369"/>
    <x v="0"/>
    <n v="0.08"/>
    <n v="16829.52"/>
    <n v="0.8907995835809509"/>
    <n v="5157.847826086957"/>
  </r>
  <r>
    <s v="COMMUNITY STATE BANK"/>
    <s v="Galva"/>
    <x v="1"/>
    <n v="61434"/>
    <d v="2020-09-30T00:00:00"/>
    <x v="1"/>
    <n v="44"/>
    <n v="260736"/>
    <n v="10597"/>
    <n v="260736"/>
    <n v="234222"/>
    <n v="215194"/>
    <x v="0"/>
    <n v="0.08"/>
    <n v="17215.52"/>
    <n v="0.89831093519882177"/>
    <n v="5925.818181818182"/>
  </r>
  <r>
    <s v="COMMUNITY STATE BANK"/>
    <s v="Galva"/>
    <x v="1"/>
    <n v="61434"/>
    <d v="2021-09-30T00:00:00"/>
    <x v="2"/>
    <n v="46"/>
    <n v="264728"/>
    <n v="18267"/>
    <n v="264728"/>
    <n v="237006"/>
    <n v="231086"/>
    <x v="0"/>
    <n v="0.08"/>
    <n v="18486.88"/>
    <n v="0.89528119428243325"/>
    <n v="5754.95652173913"/>
  </r>
  <r>
    <s v="COMMUNITY STATE BANK OF ROCK FALLS"/>
    <s v="Rock Falls"/>
    <x v="1"/>
    <n v="61071"/>
    <d v="2019-09-30T00:00:00"/>
    <x v="0"/>
    <n v="55"/>
    <n v="263471"/>
    <n v="22859"/>
    <n v="263471"/>
    <n v="235182"/>
    <n v="233778"/>
    <x v="0"/>
    <n v="0.08"/>
    <n v="18702.240000000002"/>
    <n v="0.89262954936216887"/>
    <n v="4790.3818181818178"/>
  </r>
  <r>
    <s v="COMMUNITY STATE BANK OF ROCK FALLS"/>
    <s v="Rock Falls"/>
    <x v="1"/>
    <n v="61071"/>
    <d v="2020-09-30T00:00:00"/>
    <x v="1"/>
    <n v="55"/>
    <n v="303272"/>
    <n v="51147"/>
    <n v="303272"/>
    <n v="272603"/>
    <n v="270737"/>
    <x v="0"/>
    <n v="0.08"/>
    <n v="21658.959999999999"/>
    <n v="0.89887295892795904"/>
    <n v="5514.0363636363636"/>
  </r>
  <r>
    <s v="COMMUNITY STATE BANK OF ROCK FALLS"/>
    <s v="Rock Falls"/>
    <x v="1"/>
    <n v="61071"/>
    <d v="2021-09-30T00:00:00"/>
    <x v="2"/>
    <n v="44"/>
    <n v="328942"/>
    <n v="33896"/>
    <n v="328942"/>
    <n v="296806"/>
    <n v="295194"/>
    <x v="0"/>
    <n v="0.08"/>
    <n v="23615.52"/>
    <n v="0.90230496561703888"/>
    <n v="7475.954545454545"/>
  </r>
  <r>
    <s v="COMMUNITY TRUST BANK"/>
    <s v="Irvington"/>
    <x v="1"/>
    <n v="62848"/>
    <d v="2019-09-30T00:00:00"/>
    <x v="0"/>
    <n v="23"/>
    <n v="78175"/>
    <n v="12888"/>
    <n v="78175"/>
    <n v="66592"/>
    <n v="65834"/>
    <x v="2"/>
    <n v="0.09"/>
    <n v="5925.0599999999995"/>
    <n v="0.85183242724656216"/>
    <n v="3398.913043478261"/>
  </r>
  <r>
    <s v="COMMUNITY TRUST BANK"/>
    <s v="Irvington"/>
    <x v="1"/>
    <n v="62848"/>
    <d v="2020-09-30T00:00:00"/>
    <x v="1"/>
    <n v="22"/>
    <n v="86927"/>
    <n v="8927"/>
    <n v="86927"/>
    <n v="74477"/>
    <n v="70503"/>
    <x v="2"/>
    <n v="0.09"/>
    <n v="6345.2699999999995"/>
    <n v="0.85677637557950925"/>
    <n v="3951.2272727272725"/>
  </r>
  <r>
    <s v="COMMUNITY TRUST BANK"/>
    <s v="Irvington"/>
    <x v="1"/>
    <n v="62848"/>
    <d v="2021-09-30T00:00:00"/>
    <x v="2"/>
    <n v="19"/>
    <n v="97071"/>
    <n v="17472"/>
    <n v="97071"/>
    <n v="84316"/>
    <n v="83512"/>
    <x v="2"/>
    <n v="0.09"/>
    <n v="7516.08"/>
    <n v="0.86860133304488463"/>
    <n v="5109"/>
  </r>
  <r>
    <s v="COMMUNITY VALLEY BANK"/>
    <s v="El Centro"/>
    <x v="0"/>
    <n v="92244"/>
    <d v="2019-09-30T00:00:00"/>
    <x v="0"/>
    <n v="41"/>
    <n v="189590"/>
    <n v="24316"/>
    <n v="189590"/>
    <n v="166862"/>
    <n v="159180"/>
    <x v="0"/>
    <n v="0.09"/>
    <n v="14326.199999999999"/>
    <n v="0.88012025950735795"/>
    <n v="4624.1463414634145"/>
  </r>
  <r>
    <s v="COMMUNITY VALLEY BANK"/>
    <s v="El Centro"/>
    <x v="0"/>
    <n v="92244"/>
    <d v="2020-09-30T00:00:00"/>
    <x v="1"/>
    <n v="39"/>
    <n v="251789"/>
    <n v="33093"/>
    <n v="251789"/>
    <n v="226856"/>
    <n v="205540"/>
    <x v="0"/>
    <n v="0.09"/>
    <n v="18498.599999999999"/>
    <n v="0.90097661136904317"/>
    <n v="6456.1282051282051"/>
  </r>
  <r>
    <s v="COMMUNITY VALLEY BANK"/>
    <s v="El Centro"/>
    <x v="0"/>
    <n v="92244"/>
    <d v="2021-09-30T00:00:00"/>
    <x v="2"/>
    <n v="41"/>
    <n v="270619"/>
    <n v="53064"/>
    <n v="270619"/>
    <n v="241316"/>
    <n v="233836"/>
    <x v="0"/>
    <n v="0.09"/>
    <n v="21045.239999999998"/>
    <n v="0.8917186154704585"/>
    <n v="6600.4634146341459"/>
  </r>
  <r>
    <s v="COMMUNITY WEST BANK, NATIONAL ASSOCIATION"/>
    <s v="Goleta"/>
    <x v="0"/>
    <n v="93117"/>
    <d v="2019-09-30T00:00:00"/>
    <x v="0"/>
    <n v="128"/>
    <n v="903080"/>
    <n v="56341"/>
    <n v="903080"/>
    <n v="824261"/>
    <n v="762411"/>
    <x v="0"/>
    <n v="0.09"/>
    <n v="68616.989999999991"/>
    <n v="0.91272201798290298"/>
    <n v="7055.3125"/>
  </r>
  <r>
    <s v="COMMUNITY WEST BANK, NATIONAL ASSOCIATION"/>
    <s v="Goleta"/>
    <x v="0"/>
    <n v="93117"/>
    <d v="2020-09-30T00:00:00"/>
    <x v="1"/>
    <n v="127"/>
    <n v="1041943"/>
    <n v="129562"/>
    <n v="1041943"/>
    <n v="955460"/>
    <n v="759464"/>
    <x v="1"/>
    <n v="0.08"/>
    <n v="60757.120000000003"/>
    <n v="0.91699833868071479"/>
    <n v="8204.2755905511804"/>
  </r>
  <r>
    <s v="COMMUNITY WEST BANK, NATIONAL ASSOCIATION"/>
    <s v="Goleta"/>
    <x v="0"/>
    <n v="93117"/>
    <d v="2021-09-30T00:00:00"/>
    <x v="2"/>
    <n v="117"/>
    <n v="1135454"/>
    <n v="186933"/>
    <n v="1135454"/>
    <n v="1037381"/>
    <n v="932392"/>
    <x v="1"/>
    <n v="0.08"/>
    <n v="74591.360000000001"/>
    <n v="0.91362661983664684"/>
    <n v="9704.735042735043"/>
  </r>
  <r>
    <s v="CORNERSTONE BANK"/>
    <s v="Spencer"/>
    <x v="3"/>
    <n v="1562"/>
    <d v="2019-09-30T00:00:00"/>
    <x v="0"/>
    <n v="168"/>
    <n v="1149873"/>
    <n v="20952"/>
    <n v="1149873"/>
    <n v="1031315"/>
    <n v="889611"/>
    <x v="1"/>
    <n v="0.08"/>
    <n v="71168.88"/>
    <n v="0.8968947005451906"/>
    <n v="6844.4821428571431"/>
  </r>
  <r>
    <s v="CORNERSTONE BANK"/>
    <s v="Spencer"/>
    <x v="3"/>
    <n v="1562"/>
    <d v="2020-09-30T00:00:00"/>
    <x v="1"/>
    <n v="167"/>
    <n v="1323911"/>
    <n v="41138"/>
    <n v="1323911"/>
    <n v="1208328"/>
    <n v="1069123"/>
    <x v="1"/>
    <n v="0.08"/>
    <n v="85529.84"/>
    <n v="0.91269579299514847"/>
    <n v="7927.6107784431142"/>
  </r>
  <r>
    <s v="CORNERSTONE BANK"/>
    <s v="Spencer"/>
    <x v="3"/>
    <n v="1562"/>
    <d v="2021-09-30T00:00:00"/>
    <x v="2"/>
    <n v="168"/>
    <n v="1420128"/>
    <n v="108636"/>
    <n v="1420128"/>
    <n v="1298530"/>
    <n v="1172490"/>
    <x v="1"/>
    <n v="0.08"/>
    <n v="93799.2"/>
    <n v="0.91437532391446408"/>
    <n v="8453.1428571428569"/>
  </r>
  <r>
    <s v="CORNERSTONE COMMUNITY BANK"/>
    <s v="Red Bluff"/>
    <x v="0"/>
    <n v="96080"/>
    <d v="2019-09-30T00:00:00"/>
    <x v="0"/>
    <n v="39"/>
    <n v="304489"/>
    <n v="25051"/>
    <n v="304489"/>
    <n v="274897"/>
    <n v="270341"/>
    <x v="0"/>
    <n v="0.09"/>
    <n v="24330.69"/>
    <n v="0.9028142231739078"/>
    <n v="7807.4102564102568"/>
  </r>
  <r>
    <s v="CORNERSTONE COMMUNITY BANK"/>
    <s v="Red Bluff"/>
    <x v="0"/>
    <n v="96080"/>
    <d v="2020-09-30T00:00:00"/>
    <x v="1"/>
    <n v="42"/>
    <n v="485281"/>
    <n v="67565"/>
    <n v="485281"/>
    <n v="451636"/>
    <n v="371635"/>
    <x v="0"/>
    <n v="0.09"/>
    <n v="33447.15"/>
    <n v="0.93066903505391718"/>
    <n v="11554.309523809523"/>
  </r>
  <r>
    <s v="CORNERSTONE COMMUNITY BANK"/>
    <s v="Red Bluff"/>
    <x v="0"/>
    <n v="96080"/>
    <d v="2021-09-30T00:00:00"/>
    <x v="2"/>
    <n v="42"/>
    <n v="554521"/>
    <n v="29401"/>
    <n v="554521"/>
    <n v="507960"/>
    <n v="500794"/>
    <x v="0"/>
    <n v="0.09"/>
    <n v="45071.46"/>
    <n v="0.91603383821352125"/>
    <n v="13202.880952380952"/>
  </r>
  <r>
    <s v="CORNERSTONE NATIONAL BANK &amp; TRUST COMPANY"/>
    <s v="Palatine"/>
    <x v="1"/>
    <n v="60067"/>
    <d v="2019-09-30T00:00:00"/>
    <x v="0"/>
    <n v="89"/>
    <n v="637318"/>
    <n v="85924"/>
    <n v="637318"/>
    <n v="583354"/>
    <n v="573242"/>
    <x v="0"/>
    <n v="0.08"/>
    <n v="45859.360000000001"/>
    <n v="0.9153264147568404"/>
    <n v="7160.8764044943819"/>
  </r>
  <r>
    <s v="CORNERSTONE NATIONAL BANK &amp; TRUST COMPANY"/>
    <s v="Palatine"/>
    <x v="1"/>
    <n v="60067"/>
    <d v="2020-09-30T00:00:00"/>
    <x v="1"/>
    <n v="91"/>
    <n v="903675"/>
    <n v="126148"/>
    <n v="903674"/>
    <n v="829738"/>
    <n v="812086"/>
    <x v="0"/>
    <n v="0.08"/>
    <n v="64966.880000000005"/>
    <n v="0.91818186848147842"/>
    <n v="9930.4945054945056"/>
  </r>
  <r>
    <s v="CORNERSTONE NATIONAL BANK &amp; TRUST COMPANY"/>
    <s v="Palatine"/>
    <x v="1"/>
    <n v="60067"/>
    <d v="2021-09-30T00:00:00"/>
    <x v="2"/>
    <n v="93"/>
    <n v="1001404"/>
    <n v="294822"/>
    <n v="1001404"/>
    <n v="917788"/>
    <n v="890451"/>
    <x v="1"/>
    <n v="7.4999999999999997E-2"/>
    <n v="66783.824999999997"/>
    <n v="0.91650123226989311"/>
    <n v="10767.784946236559"/>
  </r>
  <r>
    <s v="COUNTRY BANK"/>
    <s v="New York"/>
    <x v="2"/>
    <n v="10017"/>
    <d v="2019-09-30T00:00:00"/>
    <x v="0"/>
    <n v="54"/>
    <n v="786321"/>
    <n v="18318"/>
    <n v="786321"/>
    <n v="697464"/>
    <n v="649109"/>
    <x v="0"/>
    <n v="8.5000000000000006E-2"/>
    <n v="55174.265000000007"/>
    <n v="0.88699653195069195"/>
    <n v="14561.5"/>
  </r>
  <r>
    <s v="COUNTRY BANK FOR SAVINGS"/>
    <s v="Ware"/>
    <x v="3"/>
    <n v="1082"/>
    <d v="2019-09-30T00:00:00"/>
    <x v="0"/>
    <n v="223"/>
    <n v="1692907"/>
    <n v="55424"/>
    <n v="1692907"/>
    <n v="1446772"/>
    <n v="1187340"/>
    <x v="1"/>
    <n v="0.08"/>
    <n v="94987.199999999997"/>
    <n v="0.85460807947512774"/>
    <n v="7591.5112107623318"/>
  </r>
  <r>
    <s v="COUNTRY BANK FOR SAVINGS"/>
    <s v="Ware"/>
    <x v="3"/>
    <n v="1082"/>
    <d v="2020-09-30T00:00:00"/>
    <x v="1"/>
    <n v="199"/>
    <n v="1736464"/>
    <n v="89131"/>
    <n v="1736464"/>
    <n v="1473762"/>
    <n v="1306479"/>
    <x v="1"/>
    <n v="0.08"/>
    <n v="104518.32"/>
    <n v="0.84871439891641864"/>
    <n v="8725.9497487437184"/>
  </r>
  <r>
    <s v="COUNTRY BANK FOR SAVINGS"/>
    <s v="Ware"/>
    <x v="3"/>
    <n v="1082"/>
    <d v="2021-09-30T00:00:00"/>
    <x v="2"/>
    <n v="204"/>
    <n v="1753279"/>
    <n v="317290"/>
    <n v="1753279"/>
    <n v="1485618"/>
    <n v="1388288"/>
    <x v="1"/>
    <n v="0.08"/>
    <n v="111063.04000000001"/>
    <n v="0.84733690416642193"/>
    <n v="8594.504901960785"/>
  </r>
  <r>
    <s v="COUNTRY TRUST BANK"/>
    <s v="Bloomington"/>
    <x v="1"/>
    <n v="61701"/>
    <d v="2019-09-30T00:00:00"/>
    <x v="0"/>
    <n v="132"/>
    <n v="30878"/>
    <n v="3"/>
    <n v="30878"/>
    <n v="3755"/>
    <n v="665"/>
    <x v="2"/>
    <n v="0.09"/>
    <n v="59.849999999999994"/>
    <n v="0.12160761707364466"/>
    <n v="233.92424242424244"/>
  </r>
  <r>
    <s v="COUNTRY TRUST BANK"/>
    <s v="Bloomington"/>
    <x v="1"/>
    <n v="61701"/>
    <d v="2020-09-30T00:00:00"/>
    <x v="1"/>
    <n v="107"/>
    <n v="32590"/>
    <n v="559"/>
    <n v="32590"/>
    <n v="4231"/>
    <n v="670"/>
    <x v="2"/>
    <n v="0.09"/>
    <n v="60.3"/>
    <n v="0.12982509972384168"/>
    <n v="304.57943925233644"/>
  </r>
  <r>
    <s v="COUNTRY TRUST BANK"/>
    <s v="Bloomington"/>
    <x v="1"/>
    <n v="61701"/>
    <d v="2021-09-30T00:00:00"/>
    <x v="2"/>
    <n v="96"/>
    <n v="32965"/>
    <n v="3"/>
    <n v="32965"/>
    <n v="4210"/>
    <n v="670"/>
    <x v="2"/>
    <n v="0.09"/>
    <n v="60.3"/>
    <n v="0.12771120885787957"/>
    <n v="343.38541666666669"/>
  </r>
  <r>
    <s v="COUNTRYSIDE BANK"/>
    <s v="Countryside"/>
    <x v="1"/>
    <n v="60525"/>
    <d v="2019-09-30T00:00:00"/>
    <x v="0"/>
    <n v="97"/>
    <n v="590684"/>
    <n v="21704"/>
    <n v="590684"/>
    <n v="521168"/>
    <n v="513150"/>
    <x v="0"/>
    <n v="0.08"/>
    <n v="41052"/>
    <n v="0.8823127086564051"/>
    <n v="6089.5257731958764"/>
  </r>
  <r>
    <s v="CROSS COUNTY SAVINGS BANK"/>
    <s v="Middle Village"/>
    <x v="2"/>
    <n v="11379"/>
    <d v="2019-09-30T00:00:00"/>
    <x v="0"/>
    <n v="79"/>
    <n v="452303"/>
    <n v="45839"/>
    <n v="452304"/>
    <n v="401644"/>
    <n v="380737"/>
    <x v="0"/>
    <n v="8.5000000000000006E-2"/>
    <n v="32362.645000000004"/>
    <n v="0.88799764759464339"/>
    <n v="5725.3544303797471"/>
  </r>
  <r>
    <s v="CROSS COUNTY SAVINGS BANK"/>
    <s v="Middle Village"/>
    <x v="2"/>
    <n v="11379"/>
    <d v="2020-09-30T00:00:00"/>
    <x v="1"/>
    <n v="74"/>
    <n v="524675"/>
    <n v="92588"/>
    <n v="524675"/>
    <n v="472082"/>
    <n v="455244"/>
    <x v="0"/>
    <n v="8.5000000000000006E-2"/>
    <n v="38695.740000000005"/>
    <n v="0.89976080430742844"/>
    <n v="7090.2027027027025"/>
  </r>
  <r>
    <s v="CROSS COUNTY SAVINGS BANK"/>
    <s v="Middle Village"/>
    <x v="2"/>
    <n v="11379"/>
    <d v="2021-09-30T00:00:00"/>
    <x v="2"/>
    <n v="79"/>
    <n v="571145"/>
    <n v="123993"/>
    <n v="571145"/>
    <n v="516724"/>
    <n v="504233"/>
    <x v="0"/>
    <n v="8.5000000000000006E-2"/>
    <n v="42859.805"/>
    <n v="0.90471596529777898"/>
    <n v="7229.6835443037971"/>
  </r>
  <r>
    <s v="CROSSROADS BANK"/>
    <s v="Effingham"/>
    <x v="1"/>
    <n v="62401"/>
    <d v="2019-09-30T00:00:00"/>
    <x v="0"/>
    <n v="23"/>
    <n v="175642"/>
    <n v="14274"/>
    <n v="175642"/>
    <n v="150336"/>
    <n v="146109"/>
    <x v="0"/>
    <n v="0.08"/>
    <n v="11688.72"/>
    <n v="0.85592284305576116"/>
    <n v="7636.608695652174"/>
  </r>
  <r>
    <s v="CROSSROADS BANK"/>
    <s v="Effingham"/>
    <x v="1"/>
    <n v="62401"/>
    <d v="2020-09-30T00:00:00"/>
    <x v="1"/>
    <n v="24"/>
    <n v="202799"/>
    <n v="9335"/>
    <n v="202798"/>
    <n v="174684"/>
    <n v="164767"/>
    <x v="0"/>
    <n v="0.08"/>
    <n v="13181.36"/>
    <n v="0.86136519410845225"/>
    <n v="8449.9583333333339"/>
  </r>
  <r>
    <s v="CROSSROADS BANK"/>
    <s v="Effingham"/>
    <x v="1"/>
    <n v="62401"/>
    <d v="2021-09-30T00:00:00"/>
    <x v="2"/>
    <n v="28"/>
    <n v="212586"/>
    <n v="11647"/>
    <n v="212586"/>
    <n v="182557"/>
    <n v="174818"/>
    <x v="0"/>
    <n v="0.08"/>
    <n v="13985.44"/>
    <n v="0.85874422586623766"/>
    <n v="7592.3571428571431"/>
  </r>
  <r>
    <s v="CRYSTAL LAKE BANK AND TRUST COMPANY, NATIONAL ASSOCIATION"/>
    <s v="Crystal Lake"/>
    <x v="1"/>
    <n v="60014"/>
    <d v="2019-09-30T00:00:00"/>
    <x v="0"/>
    <n v="59"/>
    <n v="1171070"/>
    <n v="39596"/>
    <n v="1171070"/>
    <n v="1055262"/>
    <n v="1019634"/>
    <x v="1"/>
    <n v="7.4999999999999997E-2"/>
    <n v="76472.55"/>
    <n v="0.90110924197528752"/>
    <n v="19848.644067796609"/>
  </r>
  <r>
    <s v="CRYSTAL LAKE BANK AND TRUST COMPANY, NATIONAL ASSOCIATION"/>
    <s v="Crystal Lake"/>
    <x v="1"/>
    <n v="60014"/>
    <d v="2020-09-30T00:00:00"/>
    <x v="1"/>
    <n v="58"/>
    <n v="1287320"/>
    <n v="106108"/>
    <n v="1287320"/>
    <n v="1170415"/>
    <n v="1073587"/>
    <x v="1"/>
    <n v="7.4999999999999997E-2"/>
    <n v="80519.024999999994"/>
    <n v="0.90918730385607305"/>
    <n v="22195.172413793105"/>
  </r>
  <r>
    <s v="CRYSTAL LAKE BANK AND TRUST COMPANY, NATIONAL ASSOCIATION"/>
    <s v="Crystal Lake"/>
    <x v="1"/>
    <n v="60014"/>
    <d v="2021-09-30T00:00:00"/>
    <x v="2"/>
    <n v="59"/>
    <n v="1334012"/>
    <n v="91272"/>
    <n v="1334012"/>
    <n v="1205249"/>
    <n v="1112521"/>
    <x v="1"/>
    <n v="7.4999999999999997E-2"/>
    <n v="83439.074999999997"/>
    <n v="0.90347688026794359"/>
    <n v="22610.372881355932"/>
  </r>
  <r>
    <s v="CTBC BANK CORP. (USA)"/>
    <s v="Los Angeles"/>
    <x v="0"/>
    <n v="90017"/>
    <d v="2019-09-30T00:00:00"/>
    <x v="0"/>
    <n v="335"/>
    <n v="3563017"/>
    <n v="170476"/>
    <n v="3563017"/>
    <n v="3045105"/>
    <n v="3007490"/>
    <x v="1"/>
    <n v="0.08"/>
    <n v="240599.2"/>
    <n v="0.85464228770168649"/>
    <n v="10635.871641791045"/>
  </r>
  <r>
    <s v="CTBC BANK CORP. (USA)"/>
    <s v="Los Angeles"/>
    <x v="0"/>
    <n v="90017"/>
    <d v="2020-09-30T00:00:00"/>
    <x v="1"/>
    <n v="334"/>
    <n v="4181256"/>
    <n v="680568"/>
    <n v="4181256"/>
    <n v="3634986"/>
    <n v="3495850"/>
    <x v="1"/>
    <n v="0.08"/>
    <n v="279668"/>
    <n v="0.8693526538437254"/>
    <n v="12518.730538922156"/>
  </r>
  <r>
    <s v="CTBC BANK CORP. (USA)"/>
    <s v="Los Angeles"/>
    <x v="0"/>
    <n v="90017"/>
    <d v="2021-09-30T00:00:00"/>
    <x v="2"/>
    <n v="345"/>
    <n v="4193834"/>
    <n v="469385"/>
    <n v="4193834"/>
    <n v="3602663"/>
    <n v="3566997"/>
    <x v="1"/>
    <n v="0.08"/>
    <n v="285359.76"/>
    <n v="0.85903805443896919"/>
    <n v="12156.040579710145"/>
  </r>
  <r>
    <s v="DE WITT SAVINGS BANK"/>
    <s v="Clinton"/>
    <x v="1"/>
    <n v="61727"/>
    <d v="2019-09-30T00:00:00"/>
    <x v="0"/>
    <n v="23"/>
    <n v="117392"/>
    <n v="15535"/>
    <n v="117392"/>
    <n v="102154"/>
    <n v="96825"/>
    <x v="0"/>
    <n v="0.08"/>
    <n v="7746"/>
    <n v="0.8701955840261687"/>
    <n v="5104"/>
  </r>
  <r>
    <s v="DE WITT SAVINGS BANK"/>
    <s v="Clinton"/>
    <x v="1"/>
    <n v="61727"/>
    <d v="2020-09-30T00:00:00"/>
    <x v="1"/>
    <n v="25"/>
    <n v="132032"/>
    <n v="22326"/>
    <n v="132032"/>
    <n v="115537"/>
    <n v="106871"/>
    <x v="0"/>
    <n v="0.08"/>
    <n v="8549.68"/>
    <n v="0.87506816529326226"/>
    <n v="5281.28"/>
  </r>
  <r>
    <s v="DE WITT SAVINGS BANK"/>
    <s v="Clinton"/>
    <x v="1"/>
    <n v="61727"/>
    <d v="2021-09-30T00:00:00"/>
    <x v="2"/>
    <n v="26"/>
    <n v="132848"/>
    <n v="9170"/>
    <n v="132848"/>
    <n v="115698"/>
    <n v="103232"/>
    <x v="0"/>
    <n v="0.08"/>
    <n v="8258.56"/>
    <n v="0.87090509454414067"/>
    <n v="5109.5384615384619"/>
  </r>
  <r>
    <s v="DEAN CO-OPERATIVE BANK"/>
    <s v="Franklin"/>
    <x v="3"/>
    <n v="2038"/>
    <d v="2019-09-30T00:00:00"/>
    <x v="0"/>
    <n v="69"/>
    <n v="331362"/>
    <n v="8217"/>
    <n v="331362"/>
    <n v="301965"/>
    <n v="279598"/>
    <x v="0"/>
    <n v="8.5000000000000006E-2"/>
    <n v="23765.83"/>
    <n v="0.91128433556050481"/>
    <n v="4802.347826086957"/>
  </r>
  <r>
    <s v="DEAN CO-OPERATIVE BANK"/>
    <s v="Franklin"/>
    <x v="3"/>
    <n v="2038"/>
    <d v="2020-09-30T00:00:00"/>
    <x v="1"/>
    <n v="67"/>
    <n v="368646"/>
    <n v="30498"/>
    <n v="368645"/>
    <n v="336101"/>
    <n v="331680"/>
    <x v="0"/>
    <n v="8.5000000000000006E-2"/>
    <n v="28192.800000000003"/>
    <n v="0.91171747421645699"/>
    <n v="5502.1791044776119"/>
  </r>
  <r>
    <s v="DEAN CO-OPERATIVE BANK"/>
    <s v="Franklin"/>
    <x v="3"/>
    <n v="2038"/>
    <d v="2021-09-30T00:00:00"/>
    <x v="2"/>
    <n v="71"/>
    <n v="424759"/>
    <n v="20568"/>
    <n v="424759"/>
    <n v="390940"/>
    <n v="384717"/>
    <x v="0"/>
    <n v="8.5000000000000006E-2"/>
    <n v="32700.945000000003"/>
    <n v="0.9203807335453752"/>
    <n v="5982.5211267605637"/>
  </r>
  <r>
    <s v="DEDHAM INSTITUTION FOR SAVINGS"/>
    <s v="Dedham"/>
    <x v="3"/>
    <n v="2026"/>
    <d v="2019-09-30T00:00:00"/>
    <x v="0"/>
    <n v="205"/>
    <n v="1525262"/>
    <n v="11465"/>
    <n v="1525262"/>
    <n v="1342145"/>
    <n v="1290118"/>
    <x v="1"/>
    <n v="0.08"/>
    <n v="103209.44"/>
    <n v="0.87994390471932038"/>
    <n v="7440.30243902439"/>
  </r>
  <r>
    <s v="DEDHAM INSTITUTION FOR SAVINGS"/>
    <s v="Dedham"/>
    <x v="3"/>
    <n v="2026"/>
    <d v="2020-09-30T00:00:00"/>
    <x v="1"/>
    <n v="209"/>
    <n v="1720220"/>
    <n v="11665"/>
    <n v="1720220"/>
    <n v="1523245"/>
    <n v="1471596"/>
    <x v="1"/>
    <n v="0.08"/>
    <n v="117727.68000000001"/>
    <n v="0.88549429724105055"/>
    <n v="8230.7177033492826"/>
  </r>
  <r>
    <s v="DEDHAM INSTITUTION FOR SAVINGS"/>
    <s v="Dedham"/>
    <x v="3"/>
    <n v="2026"/>
    <d v="2021-09-30T00:00:00"/>
    <x v="2"/>
    <n v="211"/>
    <n v="1851016"/>
    <n v="53959"/>
    <n v="1851016"/>
    <n v="1642728"/>
    <n v="1598441"/>
    <x v="1"/>
    <n v="0.08"/>
    <n v="127875.28"/>
    <n v="0.88747369012477473"/>
    <n v="8772.5876777251178"/>
  </r>
  <r>
    <s v="DELTA NATIONAL BANK AND TRUST COMPANY"/>
    <s v="New York"/>
    <x v="2"/>
    <n v="10019"/>
    <d v="2019-09-30T00:00:00"/>
    <x v="0"/>
    <n v="61"/>
    <n v="409044"/>
    <n v="205567"/>
    <n v="409044"/>
    <n v="354373"/>
    <n v="281812"/>
    <x v="0"/>
    <n v="8.5000000000000006E-2"/>
    <n v="23954.02"/>
    <n v="0.86634445194160037"/>
    <n v="6705.6393442622948"/>
  </r>
  <r>
    <s v="DELTA NATIONAL BANK AND TRUST COMPANY"/>
    <s v="New York"/>
    <x v="2"/>
    <n v="10019"/>
    <d v="2020-09-30T00:00:00"/>
    <x v="1"/>
    <n v="62"/>
    <n v="330155"/>
    <n v="107746"/>
    <n v="330155"/>
    <n v="276600"/>
    <n v="258920"/>
    <x v="0"/>
    <n v="8.5000000000000006E-2"/>
    <n v="22008.2"/>
    <n v="0.83778831155063527"/>
    <n v="5325.0806451612907"/>
  </r>
  <r>
    <s v="DELTA NATIONAL BANK AND TRUST COMPANY"/>
    <s v="New York"/>
    <x v="2"/>
    <n v="10019"/>
    <d v="2021-09-30T00:00:00"/>
    <x v="2"/>
    <n v="59"/>
    <n v="334863"/>
    <n v="143847"/>
    <n v="334863"/>
    <n v="283354"/>
    <n v="249518"/>
    <x v="0"/>
    <n v="8.5000000000000006E-2"/>
    <n v="21209.030000000002"/>
    <n v="0.84617888509629313"/>
    <n v="5675.6440677966102"/>
  </r>
  <r>
    <s v="DEUTSCHE BANK TRUST COMPANY AMERICAS"/>
    <s v="New York"/>
    <x v="2"/>
    <n v="10005"/>
    <d v="2019-09-30T00:00:00"/>
    <x v="0"/>
    <n v="548"/>
    <n v="40272000"/>
    <n v="14717000"/>
    <n v="40272000"/>
    <n v="30759000"/>
    <n v="27156000"/>
    <x v="1"/>
    <n v="0.08"/>
    <n v="2172480"/>
    <n v="0.76378128724672234"/>
    <n v="73489.051094890514"/>
  </r>
  <r>
    <s v="DEUTSCHE BANK TRUST COMPANY AMERICAS"/>
    <s v="New York"/>
    <x v="2"/>
    <n v="10005"/>
    <d v="2020-09-30T00:00:00"/>
    <x v="1"/>
    <n v="469"/>
    <n v="46336000"/>
    <n v="15918000"/>
    <n v="46336000"/>
    <n v="37053000"/>
    <n v="32074000"/>
    <x v="1"/>
    <n v="0.08"/>
    <n v="2565920"/>
    <n v="0.79965901243093918"/>
    <n v="98797.441364605547"/>
  </r>
  <r>
    <s v="DEUTSCHE BANK TRUST COMPANY AMERICAS"/>
    <s v="New York"/>
    <x v="2"/>
    <n v="10019"/>
    <d v="2021-09-30T00:00:00"/>
    <x v="2"/>
    <n v="435"/>
    <n v="44620000"/>
    <n v="23285000"/>
    <n v="44620000"/>
    <n v="35290000"/>
    <n v="32743000"/>
    <x v="1"/>
    <n v="0.08"/>
    <n v="2619440"/>
    <n v="0.79090094128193633"/>
    <n v="102574.71264367815"/>
  </r>
  <r>
    <s v="DEVON BANK"/>
    <s v="Chicago"/>
    <x v="1"/>
    <n v="60645"/>
    <d v="2019-09-30T00:00:00"/>
    <x v="0"/>
    <n v="101"/>
    <n v="288837"/>
    <n v="20349"/>
    <n v="288837"/>
    <n v="262292"/>
    <n v="260779"/>
    <x v="0"/>
    <n v="0.08"/>
    <n v="20862.32"/>
    <n v="0.90809695433756754"/>
    <n v="2859.772277227723"/>
  </r>
  <r>
    <s v="DEVON BANK"/>
    <s v="Chicago"/>
    <x v="1"/>
    <n v="60645"/>
    <d v="2020-09-30T00:00:00"/>
    <x v="1"/>
    <n v="116"/>
    <n v="372390"/>
    <n v="12003"/>
    <n v="372390"/>
    <n v="343169"/>
    <n v="272665"/>
    <x v="0"/>
    <n v="0.08"/>
    <n v="21813.200000000001"/>
    <n v="0.92153119041864717"/>
    <n v="3210.2586206896553"/>
  </r>
  <r>
    <s v="DEVON BANK"/>
    <s v="Chicago"/>
    <x v="1"/>
    <n v="60645"/>
    <d v="2021-09-30T00:00:00"/>
    <x v="2"/>
    <n v="136"/>
    <n v="448995"/>
    <n v="12705"/>
    <n v="448995"/>
    <n v="418937"/>
    <n v="339742"/>
    <x v="0"/>
    <n v="0.08"/>
    <n v="27179.360000000001"/>
    <n v="0.93305493379659021"/>
    <n v="3301.4338235294117"/>
  </r>
  <r>
    <s v="DEWEY BANK"/>
    <s v="Dewey"/>
    <x v="1"/>
    <n v="61840"/>
    <d v="2019-09-30T00:00:00"/>
    <x v="0"/>
    <n v="9"/>
    <n v="21861"/>
    <n v="981"/>
    <n v="21861"/>
    <n v="18955"/>
    <n v="18912"/>
    <x v="2"/>
    <n v="0.09"/>
    <n v="1702.08"/>
    <n v="0.8670692100086913"/>
    <n v="2429"/>
  </r>
  <r>
    <s v="DEWEY BANK"/>
    <s v="Dewey"/>
    <x v="1"/>
    <n v="61840"/>
    <d v="2020-09-30T00:00:00"/>
    <x v="1"/>
    <n v="7"/>
    <n v="27433"/>
    <n v="5785"/>
    <n v="27433"/>
    <n v="24395"/>
    <n v="22349"/>
    <x v="2"/>
    <n v="0.09"/>
    <n v="2011.4099999999999"/>
    <n v="0.8892574636386833"/>
    <n v="3919"/>
  </r>
  <r>
    <s v="DEWEY BANK"/>
    <s v="Dewey"/>
    <x v="1"/>
    <n v="61840"/>
    <d v="2021-09-30T00:00:00"/>
    <x v="2"/>
    <n v="7"/>
    <n v="27412"/>
    <n v="3799"/>
    <n v="27412"/>
    <n v="24321"/>
    <n v="24291"/>
    <x v="2"/>
    <n v="0.09"/>
    <n v="2186.19"/>
    <n v="0.887239165329053"/>
    <n v="3916"/>
  </r>
  <r>
    <s v="DIETERICH BANK"/>
    <s v="Effingham"/>
    <x v="1"/>
    <n v="62401"/>
    <d v="2019-09-30T00:00:00"/>
    <x v="0"/>
    <n v="123"/>
    <n v="709133"/>
    <n v="20341"/>
    <n v="709133"/>
    <n v="636438"/>
    <n v="567703"/>
    <x v="0"/>
    <n v="0.08"/>
    <n v="45416.24"/>
    <n v="0.89748749529354865"/>
    <n v="5765.3089430894306"/>
  </r>
  <r>
    <s v="DIETERICH BANK"/>
    <s v="Effingham"/>
    <x v="1"/>
    <n v="62401"/>
    <d v="2020-09-30T00:00:00"/>
    <x v="1"/>
    <n v="164"/>
    <n v="1090781"/>
    <n v="149959"/>
    <n v="1090781"/>
    <n v="979309"/>
    <n v="911072"/>
    <x v="1"/>
    <n v="7.4999999999999997E-2"/>
    <n v="68330.399999999994"/>
    <n v="0.89780533397629769"/>
    <n v="6651.1036585365855"/>
  </r>
  <r>
    <s v="DIETERICH BANK"/>
    <s v="Effingham"/>
    <x v="1"/>
    <n v="62401"/>
    <d v="2021-09-30T00:00:00"/>
    <x v="2"/>
    <n v="170"/>
    <n v="1275264"/>
    <n v="152243"/>
    <n v="1275264"/>
    <n v="1153974"/>
    <n v="1063995"/>
    <x v="1"/>
    <n v="7.4999999999999997E-2"/>
    <n v="79799.625"/>
    <n v="0.90489028154170426"/>
    <n v="7501.552941176471"/>
  </r>
  <r>
    <s v="DIME COMMUNITY BANK"/>
    <s v="Brooklyn"/>
    <x v="2"/>
    <n v="11249"/>
    <d v="2019-09-30T00:00:00"/>
    <x v="0"/>
    <n v="426"/>
    <n v="6417504"/>
    <n v="112541"/>
    <n v="6417504"/>
    <n v="5744326"/>
    <n v="4545297"/>
    <x v="1"/>
    <n v="0.08"/>
    <n v="363623.76"/>
    <n v="0.89510283125651346"/>
    <n v="15064.56338028169"/>
  </r>
  <r>
    <s v="DIME COMMUNITY BANK"/>
    <s v="Brooklyn"/>
    <x v="2"/>
    <n v="11249"/>
    <d v="2020-09-30T00:00:00"/>
    <x v="1"/>
    <n v="417"/>
    <n v="6612107"/>
    <n v="147283"/>
    <n v="6612107"/>
    <n v="5925596"/>
    <n v="4608592"/>
    <x v="1"/>
    <n v="0.08"/>
    <n v="368687.35999999999"/>
    <n v="0.89617364026323232"/>
    <n v="15856.371702637889"/>
  </r>
  <r>
    <s v="DIME COMMUNITY BANK"/>
    <s v="Hauppauge"/>
    <x v="2"/>
    <n v="11788"/>
    <d v="2021-09-30T00:00:00"/>
    <x v="2"/>
    <n v="787"/>
    <n v="12350102"/>
    <n v="623764"/>
    <n v="12350102"/>
    <n v="11006898"/>
    <n v="10728041"/>
    <x v="1"/>
    <n v="0.08"/>
    <n v="858243.28"/>
    <n v="0.89123944077546891"/>
    <n v="15692.632782719187"/>
  </r>
  <r>
    <s v="DU QUOIN STATE BANK"/>
    <s v="Du Quoin"/>
    <x v="1"/>
    <n v="62832"/>
    <d v="2019-09-30T00:00:00"/>
    <x v="0"/>
    <n v="19"/>
    <n v="108365"/>
    <n v="4373"/>
    <n v="108365"/>
    <n v="93492"/>
    <n v="83328"/>
    <x v="0"/>
    <n v="0.08"/>
    <n v="6666.24"/>
    <n v="0.86275088820191026"/>
    <n v="5703.4210526315792"/>
  </r>
  <r>
    <s v="DU QUOIN STATE BANK"/>
    <s v="Du Quoin"/>
    <x v="1"/>
    <n v="62832"/>
    <d v="2020-09-30T00:00:00"/>
    <x v="1"/>
    <n v="19"/>
    <n v="119776"/>
    <n v="1065"/>
    <n v="119776"/>
    <n v="100852"/>
    <n v="88237"/>
    <x v="0"/>
    <n v="0.08"/>
    <n v="7058.96"/>
    <n v="0.84200507614213194"/>
    <n v="6304"/>
  </r>
  <r>
    <s v="DU QUOIN STATE BANK"/>
    <s v="Du Quoin"/>
    <x v="1"/>
    <n v="62832"/>
    <d v="2021-09-30T00:00:00"/>
    <x v="2"/>
    <n v="17"/>
    <n v="132295"/>
    <n v="2374"/>
    <n v="132295"/>
    <n v="113962"/>
    <n v="102753"/>
    <x v="0"/>
    <n v="0.08"/>
    <n v="8220.24"/>
    <n v="0.8614233342152009"/>
    <n v="7782.0588235294117"/>
  </r>
  <r>
    <s v="DURAND STATE BANK"/>
    <s v="Durand"/>
    <x v="1"/>
    <n v="61024"/>
    <d v="2019-09-30T00:00:00"/>
    <x v="0"/>
    <n v="21"/>
    <n v="105849"/>
    <n v="12082"/>
    <n v="105849"/>
    <n v="93770"/>
    <n v="93257"/>
    <x v="0"/>
    <n v="0.08"/>
    <n v="7460.56"/>
    <n v="0.88588460920745593"/>
    <n v="5040.4285714285716"/>
  </r>
  <r>
    <s v="DURAND STATE BANK"/>
    <s v="Durand"/>
    <x v="1"/>
    <n v="61024"/>
    <d v="2020-09-30T00:00:00"/>
    <x v="1"/>
    <n v="20"/>
    <n v="118450"/>
    <n v="27559"/>
    <n v="118450"/>
    <n v="105389"/>
    <n v="104717"/>
    <x v="0"/>
    <n v="0.08"/>
    <n v="8377.36"/>
    <n v="0.88973406500633179"/>
    <n v="5922.5"/>
  </r>
  <r>
    <s v="DURAND STATE BANK"/>
    <s v="Durand"/>
    <x v="1"/>
    <n v="61024"/>
    <d v="2021-09-30T00:00:00"/>
    <x v="2"/>
    <n v="20"/>
    <n v="138670"/>
    <n v="32128"/>
    <n v="138670"/>
    <n v="122043"/>
    <n v="121420"/>
    <x v="0"/>
    <n v="0.08"/>
    <n v="9713.6"/>
    <n v="0.88009663229249302"/>
    <n v="6933.5"/>
  </r>
  <r>
    <s v="EAGLE BANK"/>
    <s v="Everett"/>
    <x v="3"/>
    <n v="2149"/>
    <d v="2019-09-30T00:00:00"/>
    <x v="0"/>
    <n v="74"/>
    <n v="459745"/>
    <n v="20246"/>
    <n v="459745"/>
    <n v="405721"/>
    <n v="401206"/>
    <x v="0"/>
    <n v="8.5000000000000006E-2"/>
    <n v="34102.51"/>
    <n v="0.88249138109169212"/>
    <n v="6212.77027027027"/>
  </r>
  <r>
    <s v="EAGLE BANK"/>
    <s v="Everett"/>
    <x v="3"/>
    <n v="2149"/>
    <d v="2020-09-30T00:00:00"/>
    <x v="1"/>
    <n v="75"/>
    <n v="501398"/>
    <n v="46834"/>
    <n v="501398"/>
    <n v="444369"/>
    <n v="440040"/>
    <x v="0"/>
    <n v="8.5000000000000006E-2"/>
    <n v="37403.4"/>
    <n v="0.88626001699248902"/>
    <n v="6685.3066666666664"/>
  </r>
  <r>
    <s v="EAGLE BANK"/>
    <s v="Everett"/>
    <x v="3"/>
    <n v="2149"/>
    <d v="2021-09-30T00:00:00"/>
    <x v="2"/>
    <n v="74"/>
    <n v="543608"/>
    <n v="32947"/>
    <n v="543608"/>
    <n v="484017"/>
    <n v="480094"/>
    <x v="0"/>
    <n v="8.5000000000000006E-2"/>
    <n v="40807.990000000005"/>
    <n v="0.89037872878986324"/>
    <n v="7346.0540540540542"/>
  </r>
  <r>
    <s v="EAST BOSTON SAVINGS BANK"/>
    <s v="Boston"/>
    <x v="3"/>
    <n v="2128"/>
    <d v="2019-09-30T00:00:00"/>
    <x v="0"/>
    <n v="514"/>
    <n v="6352561"/>
    <n v="417818"/>
    <n v="6352561"/>
    <n v="5687789"/>
    <n v="4976379"/>
    <x v="1"/>
    <n v="0.08"/>
    <n v="398110.32"/>
    <n v="0.89535370065710507"/>
    <n v="12359.068093385215"/>
  </r>
  <r>
    <s v="EAST BOSTON SAVINGS BANK"/>
    <s v="Boston"/>
    <x v="3"/>
    <n v="2128"/>
    <d v="2020-09-30T00:00:00"/>
    <x v="1"/>
    <n v="472"/>
    <n v="6566449"/>
    <n v="702138"/>
    <n v="6566449"/>
    <n v="5849715"/>
    <n v="4967844"/>
    <x v="1"/>
    <n v="0.08"/>
    <n v="397427.52"/>
    <n v="0.89084907230681298"/>
    <n v="13911.968220338984"/>
  </r>
  <r>
    <s v="EAST BOSTON SAVINGS BANK"/>
    <s v="Boston"/>
    <x v="3"/>
    <n v="2128"/>
    <d v="2021-09-30T00:00:00"/>
    <x v="2"/>
    <n v="427"/>
    <n v="6127605"/>
    <n v="1052553"/>
    <n v="6127605"/>
    <n v="5364824"/>
    <n v="4730515"/>
    <x v="1"/>
    <n v="0.08"/>
    <n v="378441.2"/>
    <n v="0.87551726979790634"/>
    <n v="14350.36299765808"/>
  </r>
  <r>
    <s v="EAST CAMBRIDGE SAVINGS BANK"/>
    <s v="Cambridge"/>
    <x v="3"/>
    <n v="2141"/>
    <d v="2019-09-30T00:00:00"/>
    <x v="0"/>
    <n v="146"/>
    <n v="1136811"/>
    <n v="90648"/>
    <n v="1136811"/>
    <n v="1021806"/>
    <n v="942991"/>
    <x v="1"/>
    <n v="0.08"/>
    <n v="75439.28"/>
    <n v="0.89883542646930759"/>
    <n v="7786.3767123287671"/>
  </r>
  <r>
    <s v="EAST CAMBRIDGE SAVINGS BANK"/>
    <s v="Cambridge"/>
    <x v="3"/>
    <n v="2141"/>
    <d v="2020-09-30T00:00:00"/>
    <x v="1"/>
    <n v="148"/>
    <n v="1199451"/>
    <n v="106204"/>
    <n v="1199451"/>
    <n v="1080440"/>
    <n v="1031137"/>
    <x v="1"/>
    <n v="0.08"/>
    <n v="82490.960000000006"/>
    <n v="0.90077877295529374"/>
    <n v="8104.3986486486483"/>
  </r>
  <r>
    <s v="EAST CAMBRIDGE SAVINGS BANK"/>
    <s v="Cambridge"/>
    <x v="3"/>
    <n v="2141"/>
    <d v="2021-09-30T00:00:00"/>
    <x v="2"/>
    <n v="151"/>
    <n v="1285805"/>
    <n v="69313"/>
    <n v="1285805"/>
    <n v="1156883"/>
    <n v="1132378"/>
    <x v="1"/>
    <n v="0.08"/>
    <n v="90590.24"/>
    <n v="0.89973440762790624"/>
    <n v="8515.2649006622523"/>
  </r>
  <r>
    <s v="EAST WEST BANK"/>
    <s v="Pasadena"/>
    <x v="0"/>
    <n v="91101"/>
    <d v="2019-09-30T00:00:00"/>
    <x v="0"/>
    <n v="3282"/>
    <n v="43243487"/>
    <n v="3199088"/>
    <n v="43243487"/>
    <n v="38383877"/>
    <n v="36856012"/>
    <x v="1"/>
    <n v="0.08"/>
    <n v="2948480.96"/>
    <n v="0.88762215220988072"/>
    <n v="13175.955819622182"/>
  </r>
  <r>
    <s v="EAST WEST BANK"/>
    <s v="Pasadena"/>
    <x v="0"/>
    <n v="91101"/>
    <d v="2020-09-30T00:00:00"/>
    <x v="1"/>
    <n v="3208"/>
    <n v="50396229"/>
    <n v="5205637"/>
    <n v="50396229"/>
    <n v="45530709"/>
    <n v="42169284"/>
    <x v="1"/>
    <n v="0.08"/>
    <n v="3373542.72"/>
    <n v="0.90345468110322302"/>
    <n v="15709.547693266833"/>
  </r>
  <r>
    <s v="EAST WEST BANK"/>
    <s v="Pasadena"/>
    <x v="0"/>
    <n v="91101"/>
    <d v="2021-09-30T00:00:00"/>
    <x v="2"/>
    <n v="3085"/>
    <n v="60941947"/>
    <n v="5707586"/>
    <n v="60941947"/>
    <n v="55459943"/>
    <n v="53774332"/>
    <x v="1"/>
    <n v="0.08"/>
    <n v="4301946.5600000005"/>
    <n v="0.91004547327639529"/>
    <n v="19754.27779578606"/>
  </r>
  <r>
    <s v="EASTBANK, NATIONAL ASSOCIATION"/>
    <s v="New York"/>
    <x v="2"/>
    <n v="10013"/>
    <d v="2019-09-30T00:00:00"/>
    <x v="0"/>
    <n v="33"/>
    <n v="177851"/>
    <n v="21951"/>
    <n v="177851"/>
    <n v="144137"/>
    <n v="138824"/>
    <x v="0"/>
    <n v="8.5000000000000006E-2"/>
    <n v="11800.04"/>
    <n v="0.81043682633215441"/>
    <n v="5389.424242424242"/>
  </r>
  <r>
    <s v="EASTBANK, NATIONAL ASSOCIATION"/>
    <s v="New York"/>
    <x v="2"/>
    <n v="10013"/>
    <d v="2020-09-30T00:00:00"/>
    <x v="1"/>
    <n v="30"/>
    <n v="158611"/>
    <n v="26806"/>
    <n v="158611"/>
    <n v="124348"/>
    <n v="120510"/>
    <x v="0"/>
    <n v="8.5000000000000006E-2"/>
    <n v="10243.35"/>
    <n v="0.78398093448751982"/>
    <n v="5287.0333333333338"/>
  </r>
  <r>
    <s v="EASTBANK, NATIONAL ASSOCIATION"/>
    <s v="New York"/>
    <x v="2"/>
    <n v="10013"/>
    <d v="2021-09-30T00:00:00"/>
    <x v="2"/>
    <n v="29"/>
    <n v="167328"/>
    <n v="24097"/>
    <n v="167328"/>
    <n v="133268"/>
    <n v="130611"/>
    <x v="0"/>
    <n v="8.5000000000000006E-2"/>
    <n v="11101.935000000001"/>
    <n v="0.79644769554408112"/>
    <n v="5769.9310344827591"/>
  </r>
  <r>
    <s v="EASTERN BANK"/>
    <s v="Boston"/>
    <x v="3"/>
    <n v="2110"/>
    <d v="2019-09-30T00:00:00"/>
    <x v="0"/>
    <n v="1784"/>
    <n v="11506995"/>
    <n v="353640"/>
    <n v="11506995"/>
    <n v="9915233"/>
    <n v="9434817"/>
    <x v="1"/>
    <n v="0.08"/>
    <n v="754785.36"/>
    <n v="0.86167005373687922"/>
    <n v="6450.1093049327355"/>
  </r>
  <r>
    <s v="EASTERN BANK"/>
    <s v="Boston"/>
    <x v="3"/>
    <n v="2110"/>
    <d v="2020-09-30T00:00:00"/>
    <x v="1"/>
    <n v="1811"/>
    <n v="15453689"/>
    <n v="2329941"/>
    <n v="15453689"/>
    <n v="13746123"/>
    <n v="13348964"/>
    <x v="1"/>
    <n v="0.08"/>
    <n v="1067917.1200000001"/>
    <n v="0.88950431188307211"/>
    <n v="8533.2352291551633"/>
  </r>
  <r>
    <s v="EASTERN BANK"/>
    <s v="Boston"/>
    <x v="3"/>
    <n v="2110"/>
    <d v="2021-09-30T00:00:00"/>
    <x v="2"/>
    <n v="1761"/>
    <n v="17449547"/>
    <n v="1248560"/>
    <n v="17449547"/>
    <n v="14804404"/>
    <n v="14438350"/>
    <x v="1"/>
    <n v="0.08"/>
    <n v="1155068"/>
    <n v="0.84841193871680454"/>
    <n v="9908.8852924474722"/>
  </r>
  <r>
    <s v="EASTERN INTERNATIONAL BANK"/>
    <s v="Los Angeles"/>
    <x v="0"/>
    <n v="90012"/>
    <d v="2019-09-30T00:00:00"/>
    <x v="0"/>
    <n v="28"/>
    <n v="122882"/>
    <n v="27413"/>
    <n v="122882"/>
    <n v="102574"/>
    <n v="102464"/>
    <x v="0"/>
    <n v="0.09"/>
    <n v="9221.76"/>
    <n v="0.83473576276427797"/>
    <n v="4388.6428571428569"/>
  </r>
  <r>
    <s v="EASTERN INTERNATIONAL BANK"/>
    <s v="Los Angeles"/>
    <x v="0"/>
    <n v="90012"/>
    <d v="2020-09-30T00:00:00"/>
    <x v="1"/>
    <n v="25"/>
    <n v="146554"/>
    <n v="33766"/>
    <n v="146554"/>
    <n v="126083"/>
    <n v="115888"/>
    <x v="0"/>
    <n v="0.09"/>
    <n v="10429.92"/>
    <n v="0.86031769859573948"/>
    <n v="5862.16"/>
  </r>
  <r>
    <s v="EASTERN INTERNATIONAL BANK"/>
    <s v="Los Angeles"/>
    <x v="0"/>
    <n v="90012"/>
    <d v="2021-09-30T00:00:00"/>
    <x v="2"/>
    <n v="25"/>
    <n v="138254"/>
    <n v="22381"/>
    <n v="138254"/>
    <n v="117781"/>
    <n v="117645"/>
    <x v="0"/>
    <n v="0.09"/>
    <n v="10588.05"/>
    <n v="0.85191748520838462"/>
    <n v="5530.16"/>
  </r>
  <r>
    <s v="EASTHAMPTON SAVINGS BANK"/>
    <s v="Easthampton"/>
    <x v="3"/>
    <n v="1027"/>
    <d v="2019-09-30T00:00:00"/>
    <x v="0"/>
    <n v="202"/>
    <n v="1421080"/>
    <n v="77803"/>
    <n v="1421080"/>
    <n v="1299562"/>
    <n v="1139156"/>
    <x v="1"/>
    <n v="0.08"/>
    <n v="91132.479999999996"/>
    <n v="0.9144889802122329"/>
    <n v="7035.0495049504952"/>
  </r>
  <r>
    <s v="EASTHAMPTON SAVINGS BANK"/>
    <s v="Easthampton"/>
    <x v="3"/>
    <n v="1027"/>
    <d v="2020-09-30T00:00:00"/>
    <x v="1"/>
    <n v="203"/>
    <n v="1640596"/>
    <n v="214417"/>
    <n v="1640596"/>
    <n v="1499393"/>
    <n v="1324443"/>
    <x v="1"/>
    <n v="0.08"/>
    <n v="105955.44"/>
    <n v="0.91393188816747084"/>
    <n v="8081.7536945812808"/>
  </r>
  <r>
    <s v="EASTHAMPTON SAVINGS BANK"/>
    <s v="Easthampton"/>
    <x v="3"/>
    <n v="1027"/>
    <d v="2021-09-30T00:00:00"/>
    <x v="2"/>
    <n v="193"/>
    <n v="1674734"/>
    <n v="200805"/>
    <n v="1674734"/>
    <n v="1521031"/>
    <n v="1422651"/>
    <x v="1"/>
    <n v="0.08"/>
    <n v="113812.08"/>
    <n v="0.90822244010093545"/>
    <n v="8677.3782383419693"/>
  </r>
  <r>
    <s v="EH NATIONAL BANK"/>
    <s v="Beverly Hills"/>
    <x v="0"/>
    <n v="90211"/>
    <d v="2019-09-30T00:00:00"/>
    <x v="0"/>
    <n v="40"/>
    <n v="236951"/>
    <n v="14871"/>
    <n v="236951"/>
    <n v="199018"/>
    <n v="153676"/>
    <x v="0"/>
    <n v="0.09"/>
    <n v="13830.84"/>
    <n v="0.83991204932665409"/>
    <n v="5923.7749999999996"/>
  </r>
  <r>
    <s v="EH NATIONAL BANK"/>
    <s v="Beverly Hills"/>
    <x v="0"/>
    <n v="90211"/>
    <d v="2020-09-30T00:00:00"/>
    <x v="1"/>
    <n v="44"/>
    <n v="281764"/>
    <n v="28745"/>
    <n v="281764"/>
    <n v="243941"/>
    <n v="225937"/>
    <x v="0"/>
    <n v="0.09"/>
    <n v="20334.329999999998"/>
    <n v="0.86576354679802958"/>
    <n v="6403.727272727273"/>
  </r>
  <r>
    <s v="EH NATIONAL BANK"/>
    <s v="Beverly Hills"/>
    <x v="0"/>
    <n v="90211"/>
    <d v="2021-09-30T00:00:00"/>
    <x v="2"/>
    <n v="43"/>
    <n v="298939"/>
    <n v="34316"/>
    <n v="298939"/>
    <n v="260029"/>
    <n v="239359"/>
    <x v="0"/>
    <n v="0.09"/>
    <n v="21542.309999999998"/>
    <n v="0.86983966628643306"/>
    <n v="6952.0697674418607"/>
  </r>
  <r>
    <s v="EL DORADO SAVINGS BANK, F.S.B."/>
    <s v="Placerville"/>
    <x v="0"/>
    <n v="95667"/>
    <d v="2019-09-30T00:00:00"/>
    <x v="0"/>
    <n v="283"/>
    <n v="2161211"/>
    <n v="329790"/>
    <n v="2161211"/>
    <n v="1913636"/>
    <n v="1901789"/>
    <x v="1"/>
    <n v="0.08"/>
    <n v="152143.12"/>
    <n v="0.88544616883774885"/>
    <n v="7636.7879858657243"/>
  </r>
  <r>
    <s v="EL DORADO SAVINGS BANK, F.S.B."/>
    <s v="Placerville"/>
    <x v="0"/>
    <n v="95667"/>
    <d v="2020-09-30T00:00:00"/>
    <x v="1"/>
    <n v="265"/>
    <n v="2448387"/>
    <n v="382804"/>
    <n v="2448387"/>
    <n v="2191508"/>
    <n v="2178984"/>
    <x v="1"/>
    <n v="0.08"/>
    <n v="174318.72"/>
    <n v="0.89508235421932891"/>
    <n v="9239.1962264150952"/>
  </r>
  <r>
    <s v="EL DORADO SAVINGS BANK, F.S.B."/>
    <s v="Placerville"/>
    <x v="0"/>
    <n v="95667"/>
    <d v="2021-09-30T00:00:00"/>
    <x v="2"/>
    <n v="266"/>
    <n v="2765296"/>
    <n v="705271"/>
    <n v="2765296"/>
    <n v="2503007"/>
    <n v="2490907"/>
    <x v="1"/>
    <n v="0.08"/>
    <n v="199272.56"/>
    <n v="0.90514975612014048"/>
    <n v="10395.849624060151"/>
  </r>
  <r>
    <s v="ELMIRA SAVINGS BANK"/>
    <s v="Elmira"/>
    <x v="2"/>
    <n v="14901"/>
    <d v="2019-09-30T00:00:00"/>
    <x v="0"/>
    <n v="127"/>
    <n v="615868"/>
    <n v="18608"/>
    <n v="615869"/>
    <n v="557447"/>
    <n v="522520"/>
    <x v="0"/>
    <n v="8.5000000000000006E-2"/>
    <n v="44414.200000000004"/>
    <n v="0.90514038722583412"/>
    <n v="4849.3543307086611"/>
  </r>
  <r>
    <s v="ELMIRA SAVINGS BANK"/>
    <s v="Elmira"/>
    <x v="2"/>
    <n v="14901"/>
    <d v="2020-09-30T00:00:00"/>
    <x v="1"/>
    <n v="115"/>
    <n v="674281"/>
    <n v="85381"/>
    <n v="674281"/>
    <n v="614321"/>
    <n v="552674"/>
    <x v="0"/>
    <n v="8.5000000000000006E-2"/>
    <n v="46977.29"/>
    <n v="0.91107564946958319"/>
    <n v="5863.3130434782606"/>
  </r>
  <r>
    <s v="ELMIRA SAVINGS BANK"/>
    <s v="Elmira"/>
    <x v="2"/>
    <n v="14901"/>
    <d v="2021-09-30T00:00:00"/>
    <x v="2"/>
    <n v="115"/>
    <n v="643804"/>
    <n v="111522"/>
    <n v="643804"/>
    <n v="580408"/>
    <n v="547694"/>
    <x v="0"/>
    <n v="8.5000000000000006E-2"/>
    <n v="46553.990000000005"/>
    <n v="0.90152903678759377"/>
    <n v="5598.2956521739134"/>
  </r>
  <r>
    <s v="EMIGRANT BANK"/>
    <s v="New York"/>
    <x v="2"/>
    <n v="10017"/>
    <d v="2019-09-30T00:00:00"/>
    <x v="0"/>
    <n v="488"/>
    <n v="5661961"/>
    <n v="213713"/>
    <n v="5661961"/>
    <n v="4440363"/>
    <n v="4353165"/>
    <x v="1"/>
    <n v="0.08"/>
    <n v="348253.2"/>
    <n v="0.78424471662733108"/>
    <n v="11602.379098360656"/>
  </r>
  <r>
    <s v="EMIGRANT BANK"/>
    <s v="New York"/>
    <x v="2"/>
    <n v="10017"/>
    <d v="2020-09-30T00:00:00"/>
    <x v="1"/>
    <n v="473"/>
    <n v="6380573"/>
    <n v="919022"/>
    <n v="6380573"/>
    <n v="5147259"/>
    <n v="4865703"/>
    <x v="1"/>
    <n v="0.08"/>
    <n v="389256.24"/>
    <n v="0.80670795553941632"/>
    <n v="13489.583509513743"/>
  </r>
  <r>
    <s v="EMIGRANT BANK"/>
    <s v="New York"/>
    <x v="2"/>
    <n v="10017"/>
    <d v="2021-09-30T00:00:00"/>
    <x v="2"/>
    <n v="459"/>
    <n v="5739920"/>
    <n v="401662"/>
    <n v="5739920"/>
    <n v="4450326"/>
    <n v="4237708"/>
    <x v="1"/>
    <n v="0.08"/>
    <n v="339016.64"/>
    <n v="0.77532892444493995"/>
    <n v="12505.272331154683"/>
  </r>
  <r>
    <s v="EMIGRANT MERCANTILE BANK"/>
    <s v="New York"/>
    <x v="2"/>
    <n v="10017"/>
    <d v="2019-09-30T00:00:00"/>
    <x v="0"/>
    <n v="5"/>
    <n v="3443"/>
    <n v="3443"/>
    <n v="3443"/>
    <n v="507"/>
    <n v="500"/>
    <x v="2"/>
    <n v="0.09"/>
    <n v="45"/>
    <n v="0.14725530060993319"/>
    <n v="688.6"/>
  </r>
  <r>
    <s v="EMIGRANT MERCANTILE BANK"/>
    <s v="New York"/>
    <x v="2"/>
    <n v="10017"/>
    <d v="2020-09-30T00:00:00"/>
    <x v="1"/>
    <n v="5"/>
    <n v="3421"/>
    <n v="3415"/>
    <n v="3421"/>
    <n v="504"/>
    <n v="500"/>
    <x v="2"/>
    <n v="0.09"/>
    <n v="45"/>
    <n v="0.14732534346682258"/>
    <n v="684.2"/>
  </r>
  <r>
    <s v="EMIGRANT MERCANTILE BANK"/>
    <s v="New York"/>
    <x v="2"/>
    <n v="10017"/>
    <d v="2021-09-30T00:00:00"/>
    <x v="2"/>
    <n v="7"/>
    <n v="3397"/>
    <n v="3391"/>
    <n v="3397"/>
    <n v="505"/>
    <n v="500"/>
    <x v="2"/>
    <n v="0.09"/>
    <n v="45"/>
    <n v="0.1486605828672358"/>
    <n v="485.28571428571428"/>
  </r>
  <r>
    <s v="EMPIRE NATIONAL BANK"/>
    <s v="Islandia"/>
    <x v="2"/>
    <n v="11749"/>
    <d v="2019-09-30T00:00:00"/>
    <x v="0"/>
    <n v="74"/>
    <n v="1012533"/>
    <n v="48984"/>
    <n v="1012533"/>
    <n v="918867"/>
    <n v="902325"/>
    <x v="1"/>
    <n v="0.08"/>
    <n v="72186"/>
    <n v="0.90749338540077207"/>
    <n v="13682.878378378378"/>
  </r>
  <r>
    <s v="EMPIRE NATIONAL BANK"/>
    <s v="Islandia"/>
    <x v="2"/>
    <n v="11749"/>
    <d v="2020-09-30T00:00:00"/>
    <x v="1"/>
    <n v="61"/>
    <n v="920864"/>
    <n v="48924"/>
    <n v="920864"/>
    <n v="818158"/>
    <n v="802963"/>
    <x v="0"/>
    <n v="8.5000000000000006E-2"/>
    <n v="68251.85500000001"/>
    <n v="0.88846778677415994"/>
    <n v="15096.131147540984"/>
  </r>
  <r>
    <s v="EMPIRE STATE BANK"/>
    <s v="Newburgh"/>
    <x v="2"/>
    <n v="12550"/>
    <d v="2019-09-30T00:00:00"/>
    <x v="0"/>
    <n v="55"/>
    <n v="421821"/>
    <n v="24722"/>
    <n v="421821"/>
    <n v="391249"/>
    <n v="328311"/>
    <x v="0"/>
    <n v="8.5000000000000006E-2"/>
    <n v="27906.435000000001"/>
    <n v="0.92752376007832704"/>
    <n v="7669.4727272727268"/>
  </r>
  <r>
    <s v="EMPIRE STATE BANK"/>
    <s v="Newburgh"/>
    <x v="2"/>
    <n v="12550"/>
    <d v="2020-09-30T00:00:00"/>
    <x v="1"/>
    <n v="54"/>
    <n v="495398"/>
    <n v="47246"/>
    <n v="495398"/>
    <n v="454560"/>
    <n v="357907"/>
    <x v="0"/>
    <n v="8.5000000000000006E-2"/>
    <n v="30422.095000000001"/>
    <n v="0.91756527075200145"/>
    <n v="9174.0370370370365"/>
  </r>
  <r>
    <s v="EMPIRE STATE BANK"/>
    <s v="Newburgh"/>
    <x v="2"/>
    <n v="12550"/>
    <d v="2021-09-30T00:00:00"/>
    <x v="2"/>
    <n v="63"/>
    <n v="504046"/>
    <n v="46108"/>
    <n v="504046"/>
    <n v="454695"/>
    <n v="424193"/>
    <x v="0"/>
    <n v="8.5000000000000006E-2"/>
    <n v="36056.405000000006"/>
    <n v="0.90209028541045855"/>
    <n v="8000.730158730159"/>
  </r>
  <r>
    <s v="ENDEAVOR BANK"/>
    <s v="San Diego"/>
    <x v="0"/>
    <n v="92101"/>
    <d v="2019-09-30T00:00:00"/>
    <x v="0"/>
    <n v="25"/>
    <n v="115943"/>
    <n v="31813"/>
    <n v="115943"/>
    <n v="97671"/>
    <n v="96595"/>
    <x v="0"/>
    <n v="0.09"/>
    <n v="8693.5499999999993"/>
    <n v="0.8424053198554462"/>
    <n v="4637.72"/>
  </r>
  <r>
    <s v="ENDEAVOR BANK"/>
    <s v="San Diego"/>
    <x v="0"/>
    <n v="92101"/>
    <d v="2020-09-30T00:00:00"/>
    <x v="1"/>
    <n v="31"/>
    <n v="360949"/>
    <n v="59040"/>
    <n v="360949"/>
    <n v="335306"/>
    <n v="188832"/>
    <x v="0"/>
    <n v="0.09"/>
    <n v="16994.88"/>
    <n v="0.92895672241784855"/>
    <n v="11643.516129032258"/>
  </r>
  <r>
    <s v="ENDEAVOR BANK"/>
    <s v="San Diego"/>
    <x v="0"/>
    <n v="92101"/>
    <d v="2021-09-30T00:00:00"/>
    <x v="2"/>
    <n v="40"/>
    <n v="439853"/>
    <n v="88456"/>
    <n v="439853"/>
    <n v="408631"/>
    <n v="299812"/>
    <x v="0"/>
    <n v="0.09"/>
    <n v="26983.079999999998"/>
    <n v="0.92901719438084995"/>
    <n v="10996.325000000001"/>
  </r>
  <r>
    <s v="ENTERPRISE BANK AND TRUST COMPANY"/>
    <s v="Lowell"/>
    <x v="3"/>
    <n v="1852"/>
    <d v="2019-09-30T00:00:00"/>
    <x v="0"/>
    <n v="519"/>
    <n v="3138724"/>
    <n v="82864"/>
    <n v="3138724"/>
    <n v="2833537"/>
    <n v="2784707"/>
    <x v="1"/>
    <n v="0.08"/>
    <n v="222776.56"/>
    <n v="0.90276717545091567"/>
    <n v="6047.6377649325623"/>
  </r>
  <r>
    <s v="ENTERPRISE BANK AND TRUST COMPANY"/>
    <s v="Lowell"/>
    <x v="3"/>
    <n v="1852"/>
    <d v="2020-09-30T00:00:00"/>
    <x v="1"/>
    <n v="523"/>
    <n v="4060547"/>
    <n v="308364"/>
    <n v="4060547"/>
    <n v="3664969"/>
    <n v="3614672"/>
    <x v="1"/>
    <n v="0.08"/>
    <n v="289173.76000000001"/>
    <n v="0.90258012036309399"/>
    <n v="7763.9521988527722"/>
  </r>
  <r>
    <s v="ENTERPRISE BANK AND TRUST COMPANY"/>
    <s v="Lowell"/>
    <x v="3"/>
    <n v="1852"/>
    <d v="2021-09-30T00:00:00"/>
    <x v="2"/>
    <n v="537"/>
    <n v="4451433"/>
    <n v="644376"/>
    <n v="4451433"/>
    <n v="4046082"/>
    <n v="3971314"/>
    <x v="1"/>
    <n v="0.08"/>
    <n v="317705.12"/>
    <n v="0.90893921126073329"/>
    <n v="8289.4469273743016"/>
  </r>
  <r>
    <s v="ENVISION BANK"/>
    <s v="Randolph"/>
    <x v="3"/>
    <n v="2368"/>
    <d v="2019-09-30T00:00:00"/>
    <x v="0"/>
    <n v="206"/>
    <n v="641763"/>
    <n v="9717"/>
    <n v="641763"/>
    <n v="569707"/>
    <n v="500868"/>
    <x v="0"/>
    <n v="8.5000000000000006E-2"/>
    <n v="42573.780000000006"/>
    <n v="0.88772179137781393"/>
    <n v="3115.3543689320391"/>
  </r>
  <r>
    <s v="ENVISION BANK"/>
    <s v="Randolph"/>
    <x v="3"/>
    <n v="2368"/>
    <d v="2020-09-30T00:00:00"/>
    <x v="1"/>
    <n v="199"/>
    <n v="725171"/>
    <n v="49091"/>
    <n v="725172"/>
    <n v="639611"/>
    <n v="529731"/>
    <x v="0"/>
    <n v="8.5000000000000006E-2"/>
    <n v="45027.135000000002"/>
    <n v="0.88201403531029232"/>
    <n v="3644.075376884422"/>
  </r>
  <r>
    <s v="ENVISION BANK"/>
    <s v="Randolph"/>
    <x v="3"/>
    <n v="2368"/>
    <d v="2021-09-30T00:00:00"/>
    <x v="2"/>
    <n v="184"/>
    <n v="751052"/>
    <n v="12974"/>
    <n v="751052"/>
    <n v="655899"/>
    <n v="576555"/>
    <x v="0"/>
    <n v="8.5000000000000006E-2"/>
    <n v="49007.175000000003"/>
    <n v="0.87330704132337045"/>
    <n v="4081.804347826087"/>
  </r>
  <r>
    <s v="ESQUIRE BANK, NATIONAL ASSOCIATION"/>
    <s v="Jericho"/>
    <x v="2"/>
    <n v="11753"/>
    <d v="2019-09-30T00:00:00"/>
    <x v="0"/>
    <n v="79"/>
    <n v="756642"/>
    <n v="61676"/>
    <n v="756641"/>
    <n v="659443"/>
    <n v="649993"/>
    <x v="0"/>
    <n v="8.5000000000000006E-2"/>
    <n v="55249.405000000006"/>
    <n v="0.87153898409023023"/>
    <n v="9577.7468354430384"/>
  </r>
  <r>
    <s v="ESQUIRE BANK, NATIONAL ASSOCIATION"/>
    <s v="Jericho"/>
    <x v="2"/>
    <n v="11753"/>
    <d v="2020-09-30T00:00:00"/>
    <x v="1"/>
    <n v="93"/>
    <n v="869519"/>
    <n v="104390"/>
    <n v="869519"/>
    <n v="761954"/>
    <n v="747797"/>
    <x v="0"/>
    <n v="8.5000000000000006E-2"/>
    <n v="63562.745000000003"/>
    <n v="0.87629367500882671"/>
    <n v="9349.6666666666661"/>
  </r>
  <r>
    <s v="ESQUIRE BANK, NATIONAL ASSOCIATION"/>
    <s v="Jericho"/>
    <x v="2"/>
    <n v="11753"/>
    <d v="2021-09-30T00:00:00"/>
    <x v="2"/>
    <n v="108"/>
    <n v="1101618"/>
    <n v="138053"/>
    <n v="1101618"/>
    <n v="986820"/>
    <n v="977445"/>
    <x v="1"/>
    <n v="0.08"/>
    <n v="78195.600000000006"/>
    <n v="0.89579146310245472"/>
    <n v="10200.166666666666"/>
  </r>
  <r>
    <s v="ETHIC"/>
    <s v="Boston"/>
    <x v="3"/>
    <n v="2110"/>
    <d v="2020-09-30T00:00:00"/>
    <x v="1"/>
    <n v="45"/>
    <n v="270134"/>
    <n v="40923"/>
    <n v="270134"/>
    <n v="244069"/>
    <n v="241206"/>
    <x v="0"/>
    <n v="8.5000000000000006E-2"/>
    <n v="20502.510000000002"/>
    <n v="0.90351085017065602"/>
    <n v="6002.9777777777781"/>
  </r>
  <r>
    <s v="ETHIC, A WEALTH BANK"/>
    <s v="Boston"/>
    <x v="3"/>
    <n v="2110"/>
    <d v="2021-09-30T00:00:00"/>
    <x v="2"/>
    <n v="28"/>
    <n v="239305"/>
    <n v="45352"/>
    <n v="239305"/>
    <n v="213681"/>
    <n v="211759"/>
    <x v="0"/>
    <n v="8.5000000000000006E-2"/>
    <n v="17999.515000000003"/>
    <n v="0.89292325693153085"/>
    <n v="8546.6071428571431"/>
  </r>
  <r>
    <s v="EUREKA SAVINGS BANK"/>
    <s v="La Salle"/>
    <x v="1"/>
    <n v="61301"/>
    <d v="2019-09-30T00:00:00"/>
    <x v="0"/>
    <n v="51"/>
    <n v="316029"/>
    <n v="25096"/>
    <n v="316029"/>
    <n v="238864"/>
    <n v="238080"/>
    <x v="0"/>
    <n v="0.08"/>
    <n v="19046.400000000001"/>
    <n v="0.75582937008945383"/>
    <n v="6196.6470588235297"/>
  </r>
  <r>
    <s v="EUREKA SAVINGS BANK"/>
    <s v="La Salle"/>
    <x v="1"/>
    <n v="61301"/>
    <d v="2020-09-30T00:00:00"/>
    <x v="1"/>
    <n v="49"/>
    <n v="360336"/>
    <n v="28330"/>
    <n v="360336"/>
    <n v="277433"/>
    <n v="257435"/>
    <x v="0"/>
    <n v="0.08"/>
    <n v="20594.8"/>
    <n v="0.76992862217485902"/>
    <n v="7353.7959183673465"/>
  </r>
  <r>
    <s v="EUREKA SAVINGS BANK"/>
    <s v="La Salle"/>
    <x v="1"/>
    <n v="61301"/>
    <d v="2021-09-30T00:00:00"/>
    <x v="2"/>
    <n v="51"/>
    <n v="417772"/>
    <n v="27649"/>
    <n v="417772"/>
    <n v="333583"/>
    <n v="315138"/>
    <x v="0"/>
    <n v="0.08"/>
    <n v="25211.040000000001"/>
    <n v="0.79848098963070768"/>
    <n v="8191.6078431372553"/>
  </r>
  <r>
    <s v="EVANS BANK, NATIONAL ASSOCIATION"/>
    <s v="Angola"/>
    <x v="2"/>
    <n v="14006"/>
    <d v="2019-09-30T00:00:00"/>
    <x v="0"/>
    <n v="242"/>
    <n v="1439855"/>
    <n v="34308"/>
    <n v="1439855"/>
    <n v="1298469"/>
    <n v="1263458"/>
    <x v="1"/>
    <n v="0.08"/>
    <n v="101076.64"/>
    <n v="0.90180539012608907"/>
    <n v="5949.8140495867765"/>
  </r>
  <r>
    <s v="EVANS BANK, NATIONAL ASSOCIATION"/>
    <s v="Angola"/>
    <x v="2"/>
    <n v="14006"/>
    <d v="2020-09-30T00:00:00"/>
    <x v="1"/>
    <n v="291"/>
    <n v="2040299"/>
    <n v="103601"/>
    <n v="2040299"/>
    <n v="1863418"/>
    <n v="1788248"/>
    <x v="1"/>
    <n v="0.08"/>
    <n v="143059.84"/>
    <n v="0.91330633402261141"/>
    <n v="7011.3367697594504"/>
  </r>
  <r>
    <s v="EVANS BANK, NATIONAL ASSOCIATION"/>
    <s v="Angola"/>
    <x v="2"/>
    <n v="14006"/>
    <d v="2021-09-30T00:00:00"/>
    <x v="2"/>
    <n v="305"/>
    <n v="2134915"/>
    <n v="191727"/>
    <n v="2134915"/>
    <n v="1938910"/>
    <n v="1878409"/>
    <x v="1"/>
    <n v="0.08"/>
    <n v="150272.72"/>
    <n v="0.90819072422087066"/>
    <n v="6999.7213114754095"/>
  </r>
  <r>
    <s v="EVERETT CO-OPERATIVE BANK"/>
    <s v="Everett"/>
    <x v="3"/>
    <n v="2149"/>
    <d v="2019-09-30T00:00:00"/>
    <x v="0"/>
    <n v="45"/>
    <n v="513780"/>
    <n v="11366"/>
    <n v="513780"/>
    <n v="446576"/>
    <n v="421237"/>
    <x v="0"/>
    <n v="8.5000000000000006E-2"/>
    <n v="35805.145000000004"/>
    <n v="0.86919693253921915"/>
    <n v="11417.333333333334"/>
  </r>
  <r>
    <s v="EVERETT CO-OPERATIVE BANK"/>
    <s v="Everett"/>
    <x v="3"/>
    <n v="2149"/>
    <d v="2020-09-30T00:00:00"/>
    <x v="1"/>
    <n v="46"/>
    <n v="562099"/>
    <n v="38731"/>
    <n v="562099"/>
    <n v="490120"/>
    <n v="464845"/>
    <x v="0"/>
    <n v="8.5000000000000006E-2"/>
    <n v="39511.825000000004"/>
    <n v="0.87194604509170093"/>
    <n v="12219.54347826087"/>
  </r>
  <r>
    <s v="EVERETT CO-OPERATIVE BANK"/>
    <s v="Everett"/>
    <x v="3"/>
    <n v="2149"/>
    <d v="2021-09-30T00:00:00"/>
    <x v="2"/>
    <n v="51"/>
    <n v="644538"/>
    <n v="61060"/>
    <n v="644538"/>
    <n v="567460"/>
    <n v="553090"/>
    <x v="0"/>
    <n v="8.5000000000000006E-2"/>
    <n v="47012.65"/>
    <n v="0.88041356754760769"/>
    <n v="12638"/>
  </r>
  <r>
    <s v="EVERGREEN BANK GROUP"/>
    <s v="Oak Brook"/>
    <x v="1"/>
    <n v="60523"/>
    <d v="2019-09-30T00:00:00"/>
    <x v="0"/>
    <n v="145"/>
    <n v="1071091"/>
    <n v="81438"/>
    <n v="1071091"/>
    <n v="953741"/>
    <n v="917526"/>
    <x v="1"/>
    <n v="7.4999999999999997E-2"/>
    <n v="68814.45"/>
    <n v="0.89043881425574489"/>
    <n v="7386.8344827586207"/>
  </r>
  <r>
    <s v="EVERGREEN BANK GROUP"/>
    <s v="Oak Brook"/>
    <x v="1"/>
    <n v="60523"/>
    <d v="2020-09-30T00:00:00"/>
    <x v="1"/>
    <n v="159"/>
    <n v="1261193"/>
    <n v="125103"/>
    <n v="1261193"/>
    <n v="1127044"/>
    <n v="1072166"/>
    <x v="1"/>
    <n v="7.4999999999999997E-2"/>
    <n v="80412.45"/>
    <n v="0.89363325042241748"/>
    <n v="7932.0314465408801"/>
  </r>
  <r>
    <s v="EVERGREEN BANK GROUP"/>
    <s v="Oak Brook"/>
    <x v="1"/>
    <n v="60523"/>
    <d v="2021-09-30T00:00:00"/>
    <x v="2"/>
    <n v="169"/>
    <n v="1215250"/>
    <n v="120594"/>
    <n v="1215250"/>
    <n v="1059388"/>
    <n v="1020135"/>
    <x v="1"/>
    <n v="7.4999999999999997E-2"/>
    <n v="76510.125"/>
    <n v="0.87174490845505037"/>
    <n v="7190.8284023668639"/>
  </r>
  <r>
    <s v="EVERTRUST BANK"/>
    <s v="Pasadena"/>
    <x v="0"/>
    <n v="91101"/>
    <d v="2019-09-30T00:00:00"/>
    <x v="0"/>
    <n v="102"/>
    <n v="933426"/>
    <n v="84478"/>
    <n v="933426"/>
    <n v="746099"/>
    <n v="734921"/>
    <x v="0"/>
    <n v="0.09"/>
    <n v="66142.89"/>
    <n v="0.79931242540919156"/>
    <n v="9151.2352941176468"/>
  </r>
  <r>
    <s v="EVERTRUST BANK"/>
    <s v="Pasadena"/>
    <x v="0"/>
    <n v="91101"/>
    <d v="2020-09-30T00:00:00"/>
    <x v="1"/>
    <n v="97"/>
    <n v="983879"/>
    <n v="182477"/>
    <n v="983879"/>
    <n v="786604"/>
    <n v="738140"/>
    <x v="0"/>
    <n v="0.09"/>
    <n v="66432.599999999991"/>
    <n v="0.79949262053565529"/>
    <n v="10143.082474226803"/>
  </r>
  <r>
    <s v="EVERTRUST BANK"/>
    <s v="Pasadena"/>
    <x v="0"/>
    <n v="91101"/>
    <d v="2021-09-30T00:00:00"/>
    <x v="2"/>
    <n v="92"/>
    <n v="1026418"/>
    <n v="231241"/>
    <n v="1026418"/>
    <n v="817390"/>
    <n v="778795"/>
    <x v="1"/>
    <n v="0.08"/>
    <n v="62303.6"/>
    <n v="0.79635197356242782"/>
    <n v="11156.717391304348"/>
  </r>
  <r>
    <s v="EXCHANGE BANK"/>
    <s v="Santa Rosa"/>
    <x v="0"/>
    <n v="95401"/>
    <d v="2019-09-30T00:00:00"/>
    <x v="0"/>
    <n v="415"/>
    <n v="2607873"/>
    <n v="204894"/>
    <n v="2607873"/>
    <n v="2345812"/>
    <n v="2296083"/>
    <x v="1"/>
    <n v="0.08"/>
    <n v="183686.64"/>
    <n v="0.89951159431460048"/>
    <n v="6284.0313253012046"/>
  </r>
  <r>
    <s v="EXCHANGE BANK"/>
    <s v="Santa Rosa"/>
    <x v="0"/>
    <n v="95401"/>
    <d v="2020-09-30T00:00:00"/>
    <x v="1"/>
    <n v="388"/>
    <n v="3038464"/>
    <n v="296339"/>
    <n v="3038464"/>
    <n v="2740386"/>
    <n v="2685030"/>
    <x v="1"/>
    <n v="0.08"/>
    <n v="214802.4"/>
    <n v="0.90189845922150136"/>
    <n v="7831.0927835051543"/>
  </r>
  <r>
    <s v="EXCHANGE BANK"/>
    <s v="Santa Rosa"/>
    <x v="0"/>
    <n v="95401"/>
    <d v="2021-09-30T00:00:00"/>
    <x v="2"/>
    <n v="372"/>
    <n v="3535757"/>
    <n v="572709"/>
    <n v="3535757"/>
    <n v="3219699"/>
    <n v="3171846"/>
    <x v="1"/>
    <n v="0.08"/>
    <n v="253747.68"/>
    <n v="0.91061093847795538"/>
    <n v="9504.7231182795695"/>
  </r>
  <r>
    <s v="EXCHANGE STATE BANK"/>
    <s v="Lanark"/>
    <x v="1"/>
    <n v="61046"/>
    <d v="2019-09-30T00:00:00"/>
    <x v="0"/>
    <n v="14"/>
    <n v="91489"/>
    <n v="5266"/>
    <n v="91489"/>
    <n v="79630"/>
    <n v="77571"/>
    <x v="2"/>
    <n v="0.09"/>
    <n v="6981.3899999999994"/>
    <n v="0.87037785963339853"/>
    <n v="6534.9285714285716"/>
  </r>
  <r>
    <s v="EXCHANGE STATE BANK"/>
    <s v="Lanark"/>
    <x v="1"/>
    <n v="61046"/>
    <d v="2020-09-30T00:00:00"/>
    <x v="1"/>
    <n v="15"/>
    <n v="101816"/>
    <n v="5431"/>
    <n v="101816"/>
    <n v="87873"/>
    <n v="81899"/>
    <x v="0"/>
    <n v="0.08"/>
    <n v="6551.92"/>
    <n v="0.86305688693329141"/>
    <n v="6787.7333333333336"/>
  </r>
  <r>
    <s v="EXCHANGE STATE BANK"/>
    <s v="Lanark"/>
    <x v="1"/>
    <n v="61046"/>
    <d v="2021-09-30T00:00:00"/>
    <x v="2"/>
    <n v="14"/>
    <n v="106911"/>
    <n v="5591"/>
    <n v="106911"/>
    <n v="93600"/>
    <n v="86688"/>
    <x v="0"/>
    <n v="0.08"/>
    <n v="6935.04"/>
    <n v="0.87549457025002109"/>
    <n v="7636.5"/>
  </r>
  <r>
    <s v="FAIRPORT SAVINGS BANK"/>
    <s v="Fairport"/>
    <x v="2"/>
    <n v="14450"/>
    <d v="2019-09-30T00:00:00"/>
    <x v="0"/>
    <n v="70"/>
    <n v="323122"/>
    <n v="3752"/>
    <n v="323122"/>
    <n v="292974"/>
    <n v="232896"/>
    <x v="0"/>
    <n v="8.5000000000000006E-2"/>
    <n v="19796.16"/>
    <n v="0.90669777978596322"/>
    <n v="4616.028571428571"/>
  </r>
  <r>
    <s v="FAIRVIEW STATE BANKING COMPANY"/>
    <s v="Fairview"/>
    <x v="1"/>
    <n v="61432"/>
    <d v="2019-09-30T00:00:00"/>
    <x v="0"/>
    <n v="6"/>
    <n v="28885"/>
    <n v="4633"/>
    <n v="28885"/>
    <n v="24979"/>
    <n v="24291"/>
    <x v="2"/>
    <n v="0.09"/>
    <n v="2186.19"/>
    <n v="0.86477410420633549"/>
    <n v="4814.166666666667"/>
  </r>
  <r>
    <s v="FAIRVIEW STATE BANKING COMPANY"/>
    <s v="Fairview"/>
    <x v="1"/>
    <n v="61432"/>
    <d v="2020-09-30T00:00:00"/>
    <x v="1"/>
    <n v="6"/>
    <n v="31338"/>
    <n v="3892"/>
    <n v="31338"/>
    <n v="27352"/>
    <n v="26653"/>
    <x v="2"/>
    <n v="0.09"/>
    <n v="2398.77"/>
    <n v="0.87280617780330594"/>
    <n v="5223"/>
  </r>
  <r>
    <s v="FAIRVIEW STATE BANKING COMPANY"/>
    <s v="Fairview"/>
    <x v="1"/>
    <n v="61432"/>
    <d v="2021-09-30T00:00:00"/>
    <x v="2"/>
    <n v="6"/>
    <n v="35845"/>
    <n v="5917"/>
    <n v="35845"/>
    <n v="31541"/>
    <n v="30770"/>
    <x v="2"/>
    <n v="0.09"/>
    <n v="2769.2999999999997"/>
    <n v="0.87992746547635659"/>
    <n v="5974.166666666667"/>
  </r>
  <r>
    <s v="FALL RIVER FIVE CENTS SAVINGS BANK"/>
    <s v="Fall River"/>
    <x v="3"/>
    <n v="2720"/>
    <d v="2019-09-30T00:00:00"/>
    <x v="0"/>
    <n v="203"/>
    <n v="1065470"/>
    <n v="23697"/>
    <n v="1065470"/>
    <n v="974217"/>
    <n v="919228"/>
    <x v="1"/>
    <n v="0.08"/>
    <n v="73538.240000000005"/>
    <n v="0.91435422865026705"/>
    <n v="5248.6206896551721"/>
  </r>
  <r>
    <s v="FALL RIVER FIVE CENTS SAVINGS BANK"/>
    <s v="Fall River"/>
    <x v="3"/>
    <n v="2720"/>
    <d v="2020-09-30T00:00:00"/>
    <x v="1"/>
    <n v="204"/>
    <n v="1216888"/>
    <n v="61669"/>
    <n v="1216888"/>
    <n v="1117600"/>
    <n v="1063528"/>
    <x v="1"/>
    <n v="0.08"/>
    <n v="85082.240000000005"/>
    <n v="0.91840826764665273"/>
    <n v="5965.1372549019607"/>
  </r>
  <r>
    <s v="FALL RIVER FIVE CENTS SAVINGS BANK"/>
    <s v="Fall River"/>
    <x v="3"/>
    <n v="2720"/>
    <d v="2021-09-30T00:00:00"/>
    <x v="2"/>
    <n v="220"/>
    <n v="1340639"/>
    <n v="26030"/>
    <n v="1340639"/>
    <n v="1215393"/>
    <n v="1169986"/>
    <x v="1"/>
    <n v="0.08"/>
    <n v="93598.88"/>
    <n v="0.90657738585853465"/>
    <n v="6093.8136363636368"/>
  </r>
  <r>
    <s v="FAMILY FEDERAL SAVINGS, F.A."/>
    <s v="Fitchburg"/>
    <x v="3"/>
    <n v="1420"/>
    <d v="2019-09-30T00:00:00"/>
    <x v="0"/>
    <n v="18"/>
    <n v="95703"/>
    <n v="4564"/>
    <n v="95703"/>
    <n v="84463"/>
    <n v="82861"/>
    <x v="2"/>
    <n v="9.5000000000000001E-2"/>
    <n v="7871.7950000000001"/>
    <n v="0.88255331598800457"/>
    <n v="5316.833333333333"/>
  </r>
  <r>
    <s v="FARMERS &amp; MECHANICS BANK"/>
    <s v="Galesburg"/>
    <x v="1"/>
    <n v="61401"/>
    <d v="2019-09-30T00:00:00"/>
    <x v="0"/>
    <n v="70"/>
    <n v="369674"/>
    <n v="5940"/>
    <n v="369674"/>
    <n v="318252"/>
    <n v="302495"/>
    <x v="0"/>
    <n v="0.08"/>
    <n v="24199.600000000002"/>
    <n v="0.86089906241715675"/>
    <n v="5281.0571428571429"/>
  </r>
  <r>
    <s v="FARMERS &amp; MECHANICS BANK"/>
    <s v="Galesburg"/>
    <x v="1"/>
    <n v="61401"/>
    <d v="2020-09-30T00:00:00"/>
    <x v="1"/>
    <n v="66"/>
    <n v="402990"/>
    <n v="9029"/>
    <n v="402990"/>
    <n v="353069"/>
    <n v="332868"/>
    <x v="0"/>
    <n v="0.08"/>
    <n v="26629.440000000002"/>
    <n v="0.87612347700935511"/>
    <n v="6105.909090909091"/>
  </r>
  <r>
    <s v="FARMERS &amp; MERCHANTS BANK OF CENTRAL CALIFORNIA"/>
    <s v="Lodi"/>
    <x v="0"/>
    <n v="95240"/>
    <d v="2019-09-30T00:00:00"/>
    <x v="0"/>
    <n v="368"/>
    <n v="3569064"/>
    <n v="224814"/>
    <n v="3569064"/>
    <n v="3204219"/>
    <n v="3141089"/>
    <x v="1"/>
    <n v="0.08"/>
    <n v="251287.12"/>
    <n v="0.89777571934826605"/>
    <n v="9698.54347826087"/>
  </r>
  <r>
    <s v="FARMERS &amp; MERCHANTS BANK OF CENTRAL CALIFORNIA"/>
    <s v="Lodi"/>
    <x v="0"/>
    <n v="95240"/>
    <d v="2020-09-30T00:00:00"/>
    <x v="1"/>
    <n v="360"/>
    <n v="4301259"/>
    <n v="359185"/>
    <n v="4301259"/>
    <n v="3874823"/>
    <n v="3815755"/>
    <x v="1"/>
    <n v="0.08"/>
    <n v="305260.40000000002"/>
    <n v="0.90085786510414745"/>
    <n v="11947.941666666668"/>
  </r>
  <r>
    <s v="FARMERS &amp; MERCHANTS BANK OF CENTRAL CALIFORNIA"/>
    <s v="Lodi"/>
    <x v="0"/>
    <n v="95240"/>
    <d v="2021-09-30T00:00:00"/>
    <x v="2"/>
    <n v="360"/>
    <n v="5103549"/>
    <n v="872211"/>
    <n v="5103549"/>
    <n v="4639366"/>
    <n v="4570375"/>
    <x v="1"/>
    <n v="0.08"/>
    <n v="365630"/>
    <n v="0.90904701806527188"/>
    <n v="14176.525"/>
  </r>
  <r>
    <s v="FARMERS &amp; MERCHANTS BANK OF HUTSONVILLE"/>
    <s v="Hutsonville"/>
    <x v="1"/>
    <n v="62433"/>
    <d v="2019-09-30T00:00:00"/>
    <x v="0"/>
    <n v="6"/>
    <n v="45591"/>
    <n v="8557"/>
    <n v="45591"/>
    <n v="37196"/>
    <n v="37150"/>
    <x v="2"/>
    <n v="0.09"/>
    <n v="3343.5"/>
    <n v="0.81586277993463618"/>
    <n v="7598.5"/>
  </r>
  <r>
    <s v="FARMERS &amp; MERCHANTS BANK OF HUTSONVILLE"/>
    <s v="Hutsonville"/>
    <x v="1"/>
    <n v="62433"/>
    <d v="2020-09-30T00:00:00"/>
    <x v="1"/>
    <n v="7"/>
    <n v="46350"/>
    <n v="10053"/>
    <n v="46350"/>
    <n v="37730"/>
    <n v="37692"/>
    <x v="2"/>
    <n v="0.09"/>
    <n v="3392.2799999999997"/>
    <n v="0.81402373247033444"/>
    <n v="6621.4285714285716"/>
  </r>
  <r>
    <s v="FARMERS &amp; MERCHANTS BANK OF HUTSONVILLE"/>
    <s v="Hutsonville"/>
    <x v="1"/>
    <n v="62433"/>
    <d v="2021-09-30T00:00:00"/>
    <x v="2"/>
    <n v="7"/>
    <n v="50542"/>
    <n v="4404"/>
    <n v="50542"/>
    <n v="41691"/>
    <n v="41655"/>
    <x v="2"/>
    <n v="0.09"/>
    <n v="3748.95"/>
    <n v="0.82487831902180364"/>
    <n v="7220.2857142857147"/>
  </r>
  <r>
    <s v="FARMERS AND MERCHANTS BANK OF LONG BEACH"/>
    <s v="Long Beach"/>
    <x v="0"/>
    <n v="90802"/>
    <d v="2019-09-30T00:00:00"/>
    <x v="0"/>
    <n v="762"/>
    <n v="7597080"/>
    <n v="159351"/>
    <n v="7597080"/>
    <n v="6528854"/>
    <n v="5849283"/>
    <x v="1"/>
    <n v="0.08"/>
    <n v="467942.64"/>
    <n v="0.85938992349692245"/>
    <n v="9969.9212598425202"/>
  </r>
  <r>
    <s v="FARMERS AND MERCHANTS BANK OF LONG BEACH"/>
    <s v="Long Beach"/>
    <x v="0"/>
    <n v="90802"/>
    <d v="2020-09-30T00:00:00"/>
    <x v="1"/>
    <n v="764"/>
    <n v="9682905"/>
    <n v="920062"/>
    <n v="9682905"/>
    <n v="8550037"/>
    <n v="7421329"/>
    <x v="1"/>
    <n v="0.08"/>
    <n v="593706.32000000007"/>
    <n v="0.88300329291674351"/>
    <n v="12673.959424083771"/>
  </r>
  <r>
    <s v="FARMERS AND MERCHANTS BANK OF LONG BEACH"/>
    <s v="Long Beach"/>
    <x v="0"/>
    <n v="90802"/>
    <d v="2021-09-30T00:00:00"/>
    <x v="2"/>
    <n v="749"/>
    <n v="11286280"/>
    <n v="1491538"/>
    <n v="11286280"/>
    <n v="10070270"/>
    <n v="8947240"/>
    <x v="1"/>
    <n v="0.08"/>
    <n v="715779.20000000007"/>
    <n v="0.89225767923531929"/>
    <n v="15068.464619492657"/>
  </r>
  <r>
    <s v="FARMERS AND MERCHANTS STATE BANK OF BUSHNELL"/>
    <s v="Bushnell"/>
    <x v="1"/>
    <n v="61422"/>
    <d v="2019-09-30T00:00:00"/>
    <x v="0"/>
    <n v="22"/>
    <n v="69490"/>
    <n v="17449"/>
    <n v="69490"/>
    <n v="62734"/>
    <n v="62641"/>
    <x v="2"/>
    <n v="0.09"/>
    <n v="5637.69"/>
    <n v="0.9027773780400058"/>
    <n v="3158.6363636363635"/>
  </r>
  <r>
    <s v="FARMERS AND MERCHANTS STATE BANK OF BUSHNELL"/>
    <s v="Bushnell"/>
    <x v="1"/>
    <n v="61422"/>
    <d v="2020-09-30T00:00:00"/>
    <x v="1"/>
    <n v="21"/>
    <n v="78311"/>
    <n v="23663"/>
    <n v="78311"/>
    <n v="71185"/>
    <n v="70930"/>
    <x v="2"/>
    <n v="0.09"/>
    <n v="6383.7"/>
    <n v="0.90900384364904041"/>
    <n v="3729.0952380952381"/>
  </r>
  <r>
    <s v="FARMERS AND MERCHANTS STATE BANK OF BUSHNELL"/>
    <s v="Bushnell"/>
    <x v="1"/>
    <n v="61422"/>
    <d v="2021-09-30T00:00:00"/>
    <x v="2"/>
    <n v="20"/>
    <n v="86513"/>
    <n v="22746"/>
    <n v="86513"/>
    <n v="79637"/>
    <n v="79593"/>
    <x v="2"/>
    <n v="0.09"/>
    <n v="7163.37"/>
    <n v="0.92052061539884178"/>
    <n v="4325.6499999999996"/>
  </r>
  <r>
    <s v="FARMERS NATIONAL BANK"/>
    <s v="Prophetstown"/>
    <x v="1"/>
    <n v="61277"/>
    <d v="2020-09-30T00:00:00"/>
    <x v="1"/>
    <n v="55"/>
    <n v="782493"/>
    <n v="29219"/>
    <n v="782492"/>
    <n v="669781"/>
    <n v="522962"/>
    <x v="0"/>
    <n v="0.08"/>
    <n v="41836.959999999999"/>
    <n v="0.85595781687503913"/>
    <n v="14227.145454545454"/>
  </r>
  <r>
    <s v="FARMERS NATIONAL BANK"/>
    <s v="Prophetstown"/>
    <x v="1"/>
    <n v="61277"/>
    <d v="2021-09-30T00:00:00"/>
    <x v="2"/>
    <n v="56"/>
    <n v="857869"/>
    <n v="25190"/>
    <n v="857869"/>
    <n v="736380"/>
    <n v="596698"/>
    <x v="0"/>
    <n v="0.08"/>
    <n v="47735.840000000004"/>
    <n v="0.85838280669892486"/>
    <n v="15319.089285714286"/>
  </r>
  <r>
    <s v="FARMERS NATIONAL BANK OF GRIGGSVILLE"/>
    <s v="Griggsville"/>
    <x v="1"/>
    <n v="62340"/>
    <d v="2019-09-30T00:00:00"/>
    <x v="0"/>
    <n v="23"/>
    <n v="91258"/>
    <n v="10669"/>
    <n v="91259"/>
    <n v="81102"/>
    <n v="79491"/>
    <x v="2"/>
    <n v="0.09"/>
    <n v="7154.19"/>
    <n v="0.8887111266957417"/>
    <n v="3967.7391304347825"/>
  </r>
  <r>
    <s v="FARMERS NATIONAL BANK OF GRIGGSVILLE"/>
    <s v="Griggsville"/>
    <x v="1"/>
    <n v="62340"/>
    <d v="2020-09-30T00:00:00"/>
    <x v="1"/>
    <n v="22"/>
    <n v="106436"/>
    <n v="11898"/>
    <n v="106436"/>
    <n v="95239"/>
    <n v="89654"/>
    <x v="0"/>
    <n v="0.08"/>
    <n v="7172.32"/>
    <n v="0.8948006313653275"/>
    <n v="4838"/>
  </r>
  <r>
    <s v="FARMERS NATIONAL BANK OF GRIGGSVILLE"/>
    <s v="Griggsville"/>
    <x v="1"/>
    <n v="62340"/>
    <d v="2021-09-30T00:00:00"/>
    <x v="2"/>
    <n v="24"/>
    <n v="123971"/>
    <n v="19706"/>
    <n v="123971"/>
    <n v="111504"/>
    <n v="104871"/>
    <x v="0"/>
    <n v="0.08"/>
    <n v="8389.68"/>
    <n v="0.89943615845641323"/>
    <n v="5165.458333333333"/>
  </r>
  <r>
    <s v="FARMERS STATE BANK"/>
    <s v="Pittsfield"/>
    <x v="1"/>
    <n v="62363"/>
    <d v="2019-09-30T00:00:00"/>
    <x v="0"/>
    <n v="51"/>
    <n v="252522"/>
    <n v="11258"/>
    <n v="252522"/>
    <n v="217540"/>
    <n v="215738"/>
    <x v="0"/>
    <n v="0.08"/>
    <n v="17259.04"/>
    <n v="0.86146949572710496"/>
    <n v="4951.411764705882"/>
  </r>
  <r>
    <s v="FARMERS STATE BANK"/>
    <s v="Elmwood"/>
    <x v="1"/>
    <n v="61529"/>
    <d v="2019-09-30T00:00:00"/>
    <x v="0"/>
    <n v="14"/>
    <n v="55345"/>
    <n v="4616"/>
    <n v="55345"/>
    <n v="50449"/>
    <n v="48911"/>
    <x v="2"/>
    <n v="0.09"/>
    <n v="4401.99"/>
    <n v="0.91153672418465981"/>
    <n v="3953.2142857142858"/>
  </r>
  <r>
    <s v="FARMERS STATE BANK"/>
    <s v="Pittsfield"/>
    <x v="1"/>
    <n v="62363"/>
    <d v="2020-09-30T00:00:00"/>
    <x v="1"/>
    <n v="50"/>
    <n v="285665"/>
    <n v="5917"/>
    <n v="285665"/>
    <n v="247701"/>
    <n v="241937"/>
    <x v="0"/>
    <n v="0.08"/>
    <n v="19354.96"/>
    <n v="0.86710307528048591"/>
    <n v="5713.3"/>
  </r>
  <r>
    <s v="FARMERS STATE BANK"/>
    <s v="Elmwood"/>
    <x v="1"/>
    <n v="61529"/>
    <d v="2020-09-30T00:00:00"/>
    <x v="1"/>
    <n v="13"/>
    <n v="59525"/>
    <n v="7343"/>
    <n v="59524"/>
    <n v="53918"/>
    <n v="52402"/>
    <x v="2"/>
    <n v="0.09"/>
    <n v="4716.1799999999994"/>
    <n v="0.90580428391432166"/>
    <n v="4578.8461538461543"/>
  </r>
  <r>
    <s v="FARMERS STATE BANK"/>
    <s v="Pittsfield"/>
    <x v="1"/>
    <n v="62363"/>
    <d v="2021-09-30T00:00:00"/>
    <x v="2"/>
    <n v="46"/>
    <n v="309325"/>
    <n v="4603"/>
    <n v="309325"/>
    <n v="268952"/>
    <n v="267287"/>
    <x v="0"/>
    <n v="0.08"/>
    <n v="21382.959999999999"/>
    <n v="0.86948032005172549"/>
    <n v="6724.45652173913"/>
  </r>
  <r>
    <s v="FARMERS STATE BANK"/>
    <s v="Elmwood"/>
    <x v="1"/>
    <n v="61529"/>
    <d v="2021-09-30T00:00:00"/>
    <x v="2"/>
    <n v="11"/>
    <n v="65923"/>
    <n v="5435"/>
    <n v="65923"/>
    <n v="60405"/>
    <n v="57434"/>
    <x v="2"/>
    <n v="0.09"/>
    <n v="5169.0599999999995"/>
    <n v="0.91629628505984251"/>
    <n v="5993"/>
  </r>
  <r>
    <s v="FARMERS STATE BANK &amp; TRUST CO."/>
    <s v="Mount Sterling"/>
    <x v="1"/>
    <n v="62353"/>
    <d v="2019-09-30T00:00:00"/>
    <x v="0"/>
    <n v="16"/>
    <n v="97011"/>
    <n v="8912"/>
    <n v="97011"/>
    <n v="88270"/>
    <n v="86815"/>
    <x v="2"/>
    <n v="0.09"/>
    <n v="7813.3499999999995"/>
    <n v="0.90989681582500959"/>
    <n v="6063.1875"/>
  </r>
  <r>
    <s v="FARMERS STATE BANK &amp; TRUST CO."/>
    <s v="Mount Sterling"/>
    <x v="1"/>
    <n v="62353"/>
    <d v="2020-09-30T00:00:00"/>
    <x v="1"/>
    <n v="16"/>
    <n v="120051"/>
    <n v="10203"/>
    <n v="120051"/>
    <n v="110545"/>
    <n v="105178"/>
    <x v="0"/>
    <n v="0.08"/>
    <n v="8414.24"/>
    <n v="0.92081698611423479"/>
    <n v="7503.1875"/>
  </r>
  <r>
    <s v="FARMERS STATE BANK &amp; TRUST CO."/>
    <s v="Mount Sterling"/>
    <x v="1"/>
    <n v="62353"/>
    <d v="2021-09-30T00:00:00"/>
    <x v="2"/>
    <n v="15"/>
    <n v="119542"/>
    <n v="23917"/>
    <n v="119542"/>
    <n v="109613"/>
    <n v="108385"/>
    <x v="0"/>
    <n v="0.08"/>
    <n v="8670.7999999999993"/>
    <n v="0.91694132606113332"/>
    <n v="7969.4666666666662"/>
  </r>
  <r>
    <s v="FARMERS STATE BANK OF ALTO PASS, ILL."/>
    <s v="Alto Pass"/>
    <x v="1"/>
    <n v="62905"/>
    <d v="2019-09-30T00:00:00"/>
    <x v="0"/>
    <n v="55"/>
    <n v="234753"/>
    <n v="5791"/>
    <n v="234753"/>
    <n v="214116"/>
    <n v="213454"/>
    <x v="0"/>
    <n v="0.08"/>
    <n v="17076.32"/>
    <n v="0.91209058031207269"/>
    <n v="4268.2363636363634"/>
  </r>
  <r>
    <s v="FARMERS STATE BANK OF ALTO PASS, ILL."/>
    <s v="Alto Pass"/>
    <x v="1"/>
    <n v="62905"/>
    <d v="2020-09-30T00:00:00"/>
    <x v="1"/>
    <n v="56"/>
    <n v="318062"/>
    <n v="18958"/>
    <n v="318062"/>
    <n v="295369"/>
    <n v="238478"/>
    <x v="0"/>
    <n v="0.08"/>
    <n v="19078.240000000002"/>
    <n v="0.92865227534254324"/>
    <n v="5679.6785714285716"/>
  </r>
  <r>
    <s v="FARMERS STATE BANK OF ALTO PASS, ILL."/>
    <s v="Alto Pass"/>
    <x v="1"/>
    <n v="62905"/>
    <d v="2021-09-30T00:00:00"/>
    <x v="2"/>
    <n v="61"/>
    <n v="293185"/>
    <n v="11310"/>
    <n v="293185"/>
    <n v="267262"/>
    <n v="265126"/>
    <x v="0"/>
    <n v="0.08"/>
    <n v="21210.080000000002"/>
    <n v="0.91158142469771641"/>
    <n v="4806.311475409836"/>
  </r>
  <r>
    <s v="FARMERS STATE BANK OF DANFORTH"/>
    <s v="Danforth"/>
    <x v="1"/>
    <n v="60930"/>
    <d v="2019-09-30T00:00:00"/>
    <x v="0"/>
    <n v="17"/>
    <n v="59631"/>
    <n v="2348"/>
    <n v="59631"/>
    <n v="51835"/>
    <n v="51346"/>
    <x v="2"/>
    <n v="0.09"/>
    <n v="4621.1399999999994"/>
    <n v="0.86926263185255992"/>
    <n v="3507.705882352941"/>
  </r>
  <r>
    <s v="FARMERS STATE BANK OF EMDEN"/>
    <s v="Emden"/>
    <x v="1"/>
    <n v="62635"/>
    <d v="2019-09-30T00:00:00"/>
    <x v="0"/>
    <n v="6"/>
    <n v="35019"/>
    <n v="1121"/>
    <n v="35019"/>
    <n v="25392"/>
    <n v="25215"/>
    <x v="2"/>
    <n v="0.09"/>
    <n v="2269.35"/>
    <n v="0.72509209286387388"/>
    <n v="5836.5"/>
  </r>
  <r>
    <s v="FARMERS STATE BANK OF EMDEN"/>
    <s v="Emden"/>
    <x v="1"/>
    <n v="62635"/>
    <d v="2020-09-30T00:00:00"/>
    <x v="1"/>
    <n v="6"/>
    <n v="37622"/>
    <n v="835"/>
    <n v="37622"/>
    <n v="27846"/>
    <n v="27699"/>
    <x v="2"/>
    <n v="0.09"/>
    <n v="2492.91"/>
    <n v="0.74015203870076018"/>
    <n v="6270.333333333333"/>
  </r>
  <r>
    <s v="FARMERS STATE BANK OF EMDEN"/>
    <s v="Emden"/>
    <x v="1"/>
    <n v="62635"/>
    <d v="2021-09-30T00:00:00"/>
    <x v="2"/>
    <n v="5"/>
    <n v="39891"/>
    <n v="847"/>
    <n v="39891"/>
    <n v="29992"/>
    <n v="29847"/>
    <x v="2"/>
    <n v="0.09"/>
    <n v="2686.23"/>
    <n v="0.75184878794715604"/>
    <n v="7978.2"/>
  </r>
  <r>
    <s v="FARMERS STATE BANK OF HOFFMAN"/>
    <s v="Hoffman"/>
    <x v="1"/>
    <n v="62250"/>
    <d v="2019-09-30T00:00:00"/>
    <x v="0"/>
    <n v="34"/>
    <n v="152128"/>
    <n v="10369"/>
    <n v="152128"/>
    <n v="127990"/>
    <n v="125827"/>
    <x v="0"/>
    <n v="0.08"/>
    <n v="10066.16"/>
    <n v="0.84133098443416066"/>
    <n v="4474.3529411764703"/>
  </r>
  <r>
    <s v="FARMERS STATE BANK OF HOFFMAN"/>
    <s v="Hoffman"/>
    <x v="1"/>
    <n v="62250"/>
    <d v="2020-09-30T00:00:00"/>
    <x v="1"/>
    <n v="32"/>
    <n v="163279"/>
    <n v="16533"/>
    <n v="163279"/>
    <n v="137750"/>
    <n v="131643"/>
    <x v="0"/>
    <n v="0.08"/>
    <n v="10531.44"/>
    <n v="0.84364798902492055"/>
    <n v="5102.46875"/>
  </r>
  <r>
    <s v="FARMERS STATE BANK OF HOFFMAN"/>
    <s v="Hoffman"/>
    <x v="1"/>
    <n v="62250"/>
    <d v="2021-09-30T00:00:00"/>
    <x v="2"/>
    <n v="35"/>
    <n v="186945"/>
    <n v="12445"/>
    <n v="186945"/>
    <n v="162007"/>
    <n v="151009"/>
    <x v="0"/>
    <n v="0.08"/>
    <n v="12080.72"/>
    <n v="0.86660247666425949"/>
    <n v="5341.2857142857147"/>
  </r>
  <r>
    <s v="FARMERS STATE BANK OF MEDORA"/>
    <s v="Medora"/>
    <x v="1"/>
    <n v="62063"/>
    <d v="2019-09-30T00:00:00"/>
    <x v="0"/>
    <n v="5"/>
    <n v="19581"/>
    <n v="3113"/>
    <n v="19581"/>
    <n v="16227"/>
    <n v="16164"/>
    <x v="2"/>
    <n v="0.09"/>
    <n v="1454.76"/>
    <n v="0.8287115060517849"/>
    <n v="3916.2"/>
  </r>
  <r>
    <s v="FARMERS STATE BANK OF MEDORA"/>
    <s v="Medora"/>
    <x v="1"/>
    <n v="62063"/>
    <d v="2020-09-30T00:00:00"/>
    <x v="1"/>
    <n v="5"/>
    <n v="22810"/>
    <n v="2361"/>
    <n v="22810"/>
    <n v="19362"/>
    <n v="19253"/>
    <x v="2"/>
    <n v="0.09"/>
    <n v="1732.77"/>
    <n v="0.84883822884699689"/>
    <n v="4562"/>
  </r>
  <r>
    <s v="FARMERS STATE BANK OF MEDORA"/>
    <s v="Medora"/>
    <x v="1"/>
    <n v="62063"/>
    <d v="2021-09-30T00:00:00"/>
    <x v="2"/>
    <n v="5"/>
    <n v="24830"/>
    <n v="2176"/>
    <n v="24830"/>
    <n v="21586"/>
    <n v="21497"/>
    <x v="2"/>
    <n v="0.09"/>
    <n v="1934.73"/>
    <n v="0.86935159081755942"/>
    <n v="4966"/>
  </r>
  <r>
    <s v="FARMERS STATE BANK OF WESTERN ILLINOIS"/>
    <s v="Alpha"/>
    <x v="1"/>
    <n v="61413"/>
    <d v="2019-09-30T00:00:00"/>
    <x v="0"/>
    <n v="40"/>
    <n v="144443"/>
    <n v="28223"/>
    <n v="144443"/>
    <n v="126342"/>
    <n v="123717"/>
    <x v="0"/>
    <n v="0.08"/>
    <n v="9897.36"/>
    <n v="0.87468413145669921"/>
    <n v="3611.0749999999998"/>
  </r>
  <r>
    <s v="FARMERS STATE BANK OF WESTERN ILLINOIS"/>
    <s v="Alpha"/>
    <x v="1"/>
    <n v="61413"/>
    <d v="2020-09-30T00:00:00"/>
    <x v="1"/>
    <n v="40"/>
    <n v="152495"/>
    <n v="36513"/>
    <n v="152495"/>
    <n v="132922"/>
    <n v="130144"/>
    <x v="0"/>
    <n v="0.08"/>
    <n v="10411.52"/>
    <n v="0.87164825076232011"/>
    <n v="3812.375"/>
  </r>
  <r>
    <s v="FARMERS STATE BANK OF WESTERN ILLINOIS"/>
    <s v="Alpha"/>
    <x v="1"/>
    <n v="61413"/>
    <d v="2021-09-30T00:00:00"/>
    <x v="2"/>
    <n v="39"/>
    <n v="172674"/>
    <n v="38322"/>
    <n v="172674"/>
    <n v="153305"/>
    <n v="150280"/>
    <x v="0"/>
    <n v="0.08"/>
    <n v="12022.4"/>
    <n v="0.8878290883398775"/>
    <n v="4427.5384615384619"/>
  </r>
  <r>
    <s v="FARMERS-MERCHANTS BANK OF ILLINOIS"/>
    <s v="Joy"/>
    <x v="1"/>
    <n v="61260"/>
    <d v="2019-09-30T00:00:00"/>
    <x v="0"/>
    <n v="34"/>
    <n v="191166"/>
    <n v="4487"/>
    <n v="191166"/>
    <n v="160909"/>
    <n v="146762"/>
    <x v="0"/>
    <n v="0.08"/>
    <n v="11740.960000000001"/>
    <n v="0.84172394672692841"/>
    <n v="5622.5294117647063"/>
  </r>
  <r>
    <s v="FARMERS-MERCHANTS BANK OF ILLINOIS"/>
    <s v="Joy"/>
    <x v="1"/>
    <n v="61260"/>
    <d v="2020-09-30T00:00:00"/>
    <x v="1"/>
    <n v="34"/>
    <n v="250184"/>
    <n v="2630"/>
    <n v="250184"/>
    <n v="216689"/>
    <n v="179420"/>
    <x v="0"/>
    <n v="0.08"/>
    <n v="14353.6"/>
    <n v="0.86611853675694683"/>
    <n v="7358.3529411764703"/>
  </r>
  <r>
    <s v="FARMERS-MERCHANTS BANK OF ILLINOIS"/>
    <s v="Joy"/>
    <x v="1"/>
    <n v="61260"/>
    <d v="2021-09-30T00:00:00"/>
    <x v="2"/>
    <n v="29"/>
    <n v="302204"/>
    <n v="2911"/>
    <n v="302204"/>
    <n v="265260"/>
    <n v="205228"/>
    <x v="0"/>
    <n v="0.08"/>
    <n v="16418.240000000002"/>
    <n v="0.87775145266111632"/>
    <n v="10420.827586206897"/>
  </r>
  <r>
    <s v="FCB BANKS"/>
    <s v="Collinsville"/>
    <x v="1"/>
    <n v="62234"/>
    <d v="2019-09-30T00:00:00"/>
    <x v="0"/>
    <n v="210"/>
    <n v="1681608"/>
    <n v="147399"/>
    <n v="1681608"/>
    <n v="1533296"/>
    <n v="1384625"/>
    <x v="1"/>
    <n v="7.4999999999999997E-2"/>
    <n v="103846.875"/>
    <n v="0.91180346430321457"/>
    <n v="8007.6571428571433"/>
  </r>
  <r>
    <s v="FCB BANKS"/>
    <s v="Collinsville"/>
    <x v="1"/>
    <n v="62234"/>
    <d v="2020-09-30T00:00:00"/>
    <x v="1"/>
    <n v="224"/>
    <n v="1935960"/>
    <n v="180870"/>
    <n v="1935960"/>
    <n v="1772002"/>
    <n v="1624236"/>
    <x v="1"/>
    <n v="7.4999999999999997E-2"/>
    <n v="121817.7"/>
    <n v="0.91530920060331822"/>
    <n v="8642.6785714285706"/>
  </r>
  <r>
    <s v="FCB BANKS"/>
    <s v="Collinsville"/>
    <x v="1"/>
    <n v="62234"/>
    <d v="2021-09-30T00:00:00"/>
    <x v="2"/>
    <n v="204"/>
    <n v="2034931"/>
    <n v="348831"/>
    <n v="2034931"/>
    <n v="1861123"/>
    <n v="1782505"/>
    <x v="1"/>
    <n v="7.4999999999999997E-2"/>
    <n v="133687.875"/>
    <n v="0.91458776734935976"/>
    <n v="9975.1519607843129"/>
  </r>
  <r>
    <s v="FEDERATED BANK"/>
    <s v="Onarga"/>
    <x v="1"/>
    <n v="60955"/>
    <d v="2019-09-30T00:00:00"/>
    <x v="0"/>
    <n v="27"/>
    <n v="97078"/>
    <n v="24372"/>
    <n v="97078"/>
    <n v="85471"/>
    <n v="85336"/>
    <x v="2"/>
    <n v="0.09"/>
    <n v="7680.24"/>
    <n v="0.88043635015142463"/>
    <n v="3595.4814814814813"/>
  </r>
  <r>
    <s v="FEDERATED BANK"/>
    <s v="Onarga"/>
    <x v="1"/>
    <n v="60955"/>
    <d v="2020-09-30T00:00:00"/>
    <x v="1"/>
    <n v="28"/>
    <n v="105187"/>
    <n v="13933"/>
    <n v="105187"/>
    <n v="92340"/>
    <n v="87982"/>
    <x v="0"/>
    <n v="0.08"/>
    <n v="7038.56"/>
    <n v="0.87786513542548028"/>
    <n v="3756.6785714285716"/>
  </r>
  <r>
    <s v="FEDERATED BANK"/>
    <s v="Onarga"/>
    <x v="1"/>
    <n v="60955"/>
    <d v="2021-09-30T00:00:00"/>
    <x v="2"/>
    <n v="29"/>
    <n v="115181"/>
    <n v="26744"/>
    <n v="115181"/>
    <n v="101755"/>
    <n v="96125"/>
    <x v="0"/>
    <n v="0.08"/>
    <n v="7690"/>
    <n v="0.88343563608581277"/>
    <n v="3971.7586206896553"/>
  </r>
  <r>
    <s v="FIDELITY CO-OPERATIVE BANK"/>
    <s v="Fitchburg"/>
    <x v="3"/>
    <n v="1420"/>
    <d v="2019-09-30T00:00:00"/>
    <x v="0"/>
    <n v="163"/>
    <n v="1001999"/>
    <n v="53786"/>
    <n v="1001998"/>
    <n v="917841"/>
    <n v="854670"/>
    <x v="1"/>
    <n v="0.08"/>
    <n v="68373.600000000006"/>
    <n v="0.91600989621746132"/>
    <n v="6147.2331288343557"/>
  </r>
  <r>
    <s v="FIDELITY CO-OPERATIVE BANK"/>
    <s v="Leominster"/>
    <x v="3"/>
    <n v="1453"/>
    <d v="2020-09-30T00:00:00"/>
    <x v="1"/>
    <n v="152"/>
    <n v="1129451"/>
    <n v="30133"/>
    <n v="1129451"/>
    <n v="1028085"/>
    <n v="948680"/>
    <x v="1"/>
    <n v="0.08"/>
    <n v="75894.400000000009"/>
    <n v="0.91025197197576524"/>
    <n v="7430.5986842105267"/>
  </r>
  <r>
    <s v="FIDELITY CO-OPERATIVE BANK"/>
    <s v="Leominster"/>
    <x v="3"/>
    <n v="1453"/>
    <d v="2021-09-30T00:00:00"/>
    <x v="2"/>
    <n v="158"/>
    <n v="1190288"/>
    <n v="29417"/>
    <n v="1190288"/>
    <n v="1069396"/>
    <n v="1049261"/>
    <x v="1"/>
    <n v="0.08"/>
    <n v="83940.88"/>
    <n v="0.89843466455177234"/>
    <n v="7533.4683544303798"/>
  </r>
  <r>
    <s v="FIDELITY PERSONAL TRUST COMPANY, FSB"/>
    <s v="Boston"/>
    <x v="3"/>
    <n v="2210"/>
    <d v="2019-09-30T00:00:00"/>
    <x v="0"/>
    <n v="35"/>
    <n v="98221"/>
    <n v="64"/>
    <n v="98221"/>
    <n v="4984"/>
    <n v="500"/>
    <x v="2"/>
    <n v="9.5000000000000001E-2"/>
    <n v="47.5"/>
    <n v="5.0742712861811631E-2"/>
    <n v="2806.3142857142857"/>
  </r>
  <r>
    <s v="FIDELITY PERSONAL TRUST COMPANY, FSB"/>
    <s v="Boston"/>
    <x v="3"/>
    <n v="2210"/>
    <d v="2020-09-30T00:00:00"/>
    <x v="1"/>
    <n v="35"/>
    <n v="103358"/>
    <n v="75"/>
    <n v="103358"/>
    <n v="1898"/>
    <n v="500"/>
    <x v="0"/>
    <n v="8.5000000000000006E-2"/>
    <n v="42.5"/>
    <n v="1.8363358424118115E-2"/>
    <n v="2953.0857142857144"/>
  </r>
  <r>
    <s v="FIDELITY PERSONAL TRUST COMPANY, FSB"/>
    <s v="Boston"/>
    <x v="3"/>
    <n v="2210"/>
    <d v="2021-09-30T00:00:00"/>
    <x v="2"/>
    <n v="37"/>
    <n v="117024"/>
    <n v="78"/>
    <n v="117024"/>
    <n v="2627"/>
    <n v="500"/>
    <x v="0"/>
    <n v="8.5000000000000006E-2"/>
    <n v="42.5"/>
    <n v="2.2448386655728739E-2"/>
    <n v="3162.8108108108108"/>
  </r>
  <r>
    <s v="FIRST AMERICAN BANK"/>
    <s v="Elk Grove Villag"/>
    <x v="1"/>
    <n v="60007"/>
    <d v="2019-09-30T00:00:00"/>
    <x v="0"/>
    <n v="735"/>
    <n v="4495916"/>
    <n v="150041"/>
    <n v="4495916"/>
    <n v="4081130"/>
    <n v="3421138"/>
    <x v="1"/>
    <n v="7.4999999999999997E-2"/>
    <n v="256585.34999999998"/>
    <n v="0.90774160371323664"/>
    <n v="6116.8925170068023"/>
  </r>
  <r>
    <s v="FIRST AMERICAN BANK"/>
    <s v="Elk Grove Villag"/>
    <x v="1"/>
    <n v="60007"/>
    <d v="2020-09-30T00:00:00"/>
    <x v="1"/>
    <n v="835"/>
    <n v="5878877"/>
    <n v="214986"/>
    <n v="5878877"/>
    <n v="5455284"/>
    <n v="4362471"/>
    <x v="1"/>
    <n v="7.4999999999999997E-2"/>
    <n v="327185.32500000001"/>
    <n v="0.92794661293304825"/>
    <n v="7040.5712574850295"/>
  </r>
  <r>
    <s v="FIRST AMERICAN BANK"/>
    <s v="Elk Grove Villag"/>
    <x v="1"/>
    <n v="60007"/>
    <d v="2021-09-30T00:00:00"/>
    <x v="2"/>
    <n v="851"/>
    <n v="6036315"/>
    <n v="254052"/>
    <n v="6036315"/>
    <n v="5562831"/>
    <n v="4759498"/>
    <x v="1"/>
    <n v="7.4999999999999997E-2"/>
    <n v="356962.35"/>
    <n v="0.92156075353920397"/>
    <n v="7093.2021151586368"/>
  </r>
  <r>
    <s v="FIRST AMERICAN TRUST, FSB"/>
    <s v="Santa Ana"/>
    <x v="0"/>
    <n v="92707"/>
    <d v="2019-09-30T00:00:00"/>
    <x v="0"/>
    <n v="112"/>
    <n v="4248423"/>
    <n v="889891"/>
    <n v="4248423"/>
    <n v="3896210"/>
    <n v="3874310"/>
    <x v="1"/>
    <n v="0.08"/>
    <n v="309944.8"/>
    <n v="0.91709559052853262"/>
    <n v="37932.348214285717"/>
  </r>
  <r>
    <s v="FIRST AMERICAN TRUST, FSB"/>
    <s v="Santa Ana"/>
    <x v="0"/>
    <n v="92707"/>
    <d v="2020-09-30T00:00:00"/>
    <x v="1"/>
    <n v="126"/>
    <n v="4481920"/>
    <n v="963531"/>
    <n v="4481920"/>
    <n v="4082554"/>
    <n v="4043509"/>
    <x v="1"/>
    <n v="0.08"/>
    <n v="323480.72000000003"/>
    <n v="0.91089399186063114"/>
    <n v="35570.793650793654"/>
  </r>
  <r>
    <s v="FIRST AMERICAN TRUST, FSB"/>
    <s v="Santa Ana"/>
    <x v="0"/>
    <n v="92707"/>
    <d v="2021-09-30T00:00:00"/>
    <x v="2"/>
    <n v="142"/>
    <n v="7818152"/>
    <n v="1344329"/>
    <n v="7818152"/>
    <n v="7313163"/>
    <n v="7136810"/>
    <x v="1"/>
    <n v="0.08"/>
    <n v="570944.80000000005"/>
    <n v="0.93540813737057049"/>
    <n v="55057.408450704228"/>
  </r>
  <r>
    <s v="FIRST BANK AND TRUST COMPANY OF ILLINOIS"/>
    <s v="Palatine"/>
    <x v="1"/>
    <n v="60067"/>
    <d v="2019-09-30T00:00:00"/>
    <x v="0"/>
    <n v="31"/>
    <n v="187042"/>
    <n v="35125"/>
    <n v="187042"/>
    <n v="169760"/>
    <n v="169259"/>
    <x v="0"/>
    <n v="0.08"/>
    <n v="13540.720000000001"/>
    <n v="0.90760363982421055"/>
    <n v="6033.6129032258068"/>
  </r>
  <r>
    <s v="FIRST BANK AND TRUST COMPANY OF ILLINOIS"/>
    <s v="Palatine"/>
    <x v="1"/>
    <n v="60067"/>
    <d v="2020-09-30T00:00:00"/>
    <x v="1"/>
    <n v="26"/>
    <n v="189995"/>
    <n v="36732"/>
    <n v="189995"/>
    <n v="174160"/>
    <n v="173464"/>
    <x v="0"/>
    <n v="0.08"/>
    <n v="13877.12"/>
    <n v="0.91665570146582809"/>
    <n v="7307.5"/>
  </r>
  <r>
    <s v="FIRST BANK AND TRUST COMPANY OF ILLINOIS"/>
    <s v="Palatine"/>
    <x v="1"/>
    <n v="60067"/>
    <d v="2021-09-30T00:00:00"/>
    <x v="2"/>
    <n v="28"/>
    <n v="213358"/>
    <n v="73632"/>
    <n v="213358"/>
    <n v="195016"/>
    <n v="194235"/>
    <x v="0"/>
    <n v="0.08"/>
    <n v="15538.800000000001"/>
    <n v="0.91403181507138243"/>
    <n v="7619.9285714285716"/>
  </r>
  <r>
    <s v="FIRST BANK OF HIGHLAND PARK"/>
    <s v="Highland Park"/>
    <x v="1"/>
    <n v="60035"/>
    <d v="2019-09-30T00:00:00"/>
    <x v="0"/>
    <n v="133"/>
    <n v="1825747"/>
    <n v="119299"/>
    <n v="1825747"/>
    <n v="1645592"/>
    <n v="1500851"/>
    <x v="1"/>
    <n v="7.4999999999999997E-2"/>
    <n v="112563.825"/>
    <n v="0.90132532054003101"/>
    <n v="13727.421052631578"/>
  </r>
  <r>
    <s v="FIRST BANK OF HIGHLAND PARK"/>
    <s v="Highland Park"/>
    <x v="1"/>
    <n v="60035"/>
    <d v="2020-09-30T00:00:00"/>
    <x v="1"/>
    <n v="137"/>
    <n v="1936299"/>
    <n v="151428"/>
    <n v="1936299"/>
    <n v="1750680"/>
    <n v="1568804"/>
    <x v="1"/>
    <n v="7.4999999999999997E-2"/>
    <n v="117660.3"/>
    <n v="0.90413722260869833"/>
    <n v="14133.569343065694"/>
  </r>
  <r>
    <s v="FIRST BANK OF HIGHLAND PARK"/>
    <s v="Highland Park"/>
    <x v="1"/>
    <n v="60035"/>
    <d v="2021-09-30T00:00:00"/>
    <x v="2"/>
    <n v="140"/>
    <n v="1927836"/>
    <n v="246578"/>
    <n v="1927836"/>
    <n v="1741040"/>
    <n v="1419943"/>
    <x v="1"/>
    <n v="7.4999999999999997E-2"/>
    <n v="106495.72499999999"/>
    <n v="0.90310586585165953"/>
    <n v="13770.257142857143"/>
  </r>
  <r>
    <s v="FIRST BANK OF MANHATTAN"/>
    <s v="Manhattan"/>
    <x v="1"/>
    <n v="60442"/>
    <d v="2019-09-30T00:00:00"/>
    <x v="0"/>
    <n v="45"/>
    <n v="176978"/>
    <n v="42757"/>
    <n v="176977"/>
    <n v="159543"/>
    <n v="159233"/>
    <x v="0"/>
    <n v="0.08"/>
    <n v="12738.64"/>
    <n v="0.90148493033032351"/>
    <n v="3932.8444444444444"/>
  </r>
  <r>
    <s v="FIRST BANK OF MANHATTAN"/>
    <s v="Manhattan"/>
    <x v="1"/>
    <n v="60442"/>
    <d v="2020-09-30T00:00:00"/>
    <x v="1"/>
    <n v="43"/>
    <n v="212893"/>
    <n v="49520"/>
    <n v="212893"/>
    <n v="194633"/>
    <n v="189791"/>
    <x v="0"/>
    <n v="0.08"/>
    <n v="15183.28"/>
    <n v="0.91422921373647792"/>
    <n v="4951"/>
  </r>
  <r>
    <s v="FIRST BANK OF MANHATTAN"/>
    <s v="Manhattan"/>
    <x v="1"/>
    <n v="60442"/>
    <d v="2021-09-30T00:00:00"/>
    <x v="2"/>
    <n v="44"/>
    <n v="233046"/>
    <n v="44575"/>
    <n v="233046"/>
    <n v="214299"/>
    <n v="209098"/>
    <x v="0"/>
    <n v="0.08"/>
    <n v="16727.84"/>
    <n v="0.91955665405113152"/>
    <n v="5296.5"/>
  </r>
  <r>
    <s v="FIRST BANKERS TRUST COMPANY, NATIONAL ASSOCIATION"/>
    <s v="Quincy"/>
    <x v="1"/>
    <n v="62301"/>
    <d v="2019-09-30T00:00:00"/>
    <x v="0"/>
    <n v="168"/>
    <n v="906599"/>
    <n v="33999"/>
    <n v="906599"/>
    <n v="809212"/>
    <n v="720349"/>
    <x v="0"/>
    <n v="0.08"/>
    <n v="57627.92"/>
    <n v="0.89257985062855794"/>
    <n v="5396.4226190476193"/>
  </r>
  <r>
    <s v="FIRST BANKERS TRUST COMPANY, NATIONAL ASSOCIATION"/>
    <s v="Quincy"/>
    <x v="1"/>
    <n v="62301"/>
    <d v="2020-09-30T00:00:00"/>
    <x v="1"/>
    <n v="169"/>
    <n v="1079100"/>
    <n v="40580"/>
    <n v="1079100"/>
    <n v="972205"/>
    <n v="816725"/>
    <x v="1"/>
    <n v="7.4999999999999997E-2"/>
    <n v="61254.375"/>
    <n v="0.9009405986470207"/>
    <n v="6385.207100591716"/>
  </r>
  <r>
    <s v="FIRST BANKERS TRUST COMPANY, NATIONAL ASSOCIATION"/>
    <s v="Quincy"/>
    <x v="1"/>
    <n v="62301"/>
    <d v="2021-09-30T00:00:00"/>
    <x v="2"/>
    <n v="166"/>
    <n v="1242942"/>
    <n v="48864"/>
    <n v="1242942"/>
    <n v="1135350"/>
    <n v="977466"/>
    <x v="1"/>
    <n v="7.4999999999999997E-2"/>
    <n v="73309.95"/>
    <n v="0.91343763425807478"/>
    <n v="7487.6024096385545"/>
  </r>
  <r>
    <s v="FIRST CENTRAL SAVINGS BANK"/>
    <s v="Glen Cove"/>
    <x v="2"/>
    <n v="11542"/>
    <d v="2019-09-30T00:00:00"/>
    <x v="0"/>
    <n v="77"/>
    <n v="595175"/>
    <n v="35118"/>
    <n v="595175"/>
    <n v="537060"/>
    <n v="524588"/>
    <x v="0"/>
    <n v="8.5000000000000006E-2"/>
    <n v="44589.98"/>
    <n v="0.90235644978367702"/>
    <n v="7729.545454545455"/>
  </r>
  <r>
    <s v="FIRST CENTRAL SAVINGS BANK"/>
    <s v="Glen Cove"/>
    <x v="2"/>
    <n v="11542"/>
    <d v="2020-09-30T00:00:00"/>
    <x v="1"/>
    <n v="84"/>
    <n v="681228"/>
    <n v="56364"/>
    <n v="681228"/>
    <n v="618381"/>
    <n v="606900"/>
    <x v="0"/>
    <n v="8.5000000000000006E-2"/>
    <n v="51586.500000000007"/>
    <n v="0.90774454367700685"/>
    <n v="8109.8571428571431"/>
  </r>
  <r>
    <s v="FIRST CENTRAL SAVINGS BANK"/>
    <s v="Glen Cove"/>
    <x v="2"/>
    <n v="11542"/>
    <d v="2021-09-30T00:00:00"/>
    <x v="2"/>
    <n v="90"/>
    <n v="707436"/>
    <n v="67047"/>
    <n v="707436"/>
    <n v="637876"/>
    <n v="635695"/>
    <x v="0"/>
    <n v="8.5000000000000006E-2"/>
    <n v="54034.075000000004"/>
    <n v="0.90167308420832415"/>
    <n v="7860.4"/>
  </r>
  <r>
    <s v="FIRST CHOICE BANK"/>
    <s v="Cerritos"/>
    <x v="0"/>
    <n v="90703"/>
    <d v="2019-09-30T00:00:00"/>
    <x v="0"/>
    <n v="181"/>
    <n v="1655635"/>
    <n v="180615"/>
    <n v="1655635"/>
    <n v="1383961"/>
    <n v="1339767"/>
    <x v="1"/>
    <n v="0.08"/>
    <n v="107181.36"/>
    <n v="0.83590948488042349"/>
    <n v="9147.1546961325967"/>
  </r>
  <r>
    <s v="FIRST CHOICE BANK"/>
    <s v="Cerritos"/>
    <x v="0"/>
    <n v="90703"/>
    <d v="2020-09-30T00:00:00"/>
    <x v="1"/>
    <n v="180"/>
    <n v="2256077"/>
    <n v="181536"/>
    <n v="2256077"/>
    <n v="1980223"/>
    <n v="1560534"/>
    <x v="1"/>
    <n v="0.08"/>
    <n v="124842.72"/>
    <n v="0.8777284640550832"/>
    <n v="12533.761111111111"/>
  </r>
  <r>
    <s v="FIRST COMMERCIAL BANK (USA)"/>
    <s v="Alhambra"/>
    <x v="0"/>
    <n v="91801"/>
    <d v="2019-09-30T00:00:00"/>
    <x v="0"/>
    <n v="92"/>
    <n v="622172"/>
    <n v="17894"/>
    <n v="622172"/>
    <n v="490409"/>
    <n v="486470"/>
    <x v="0"/>
    <n v="0.09"/>
    <n v="43782.299999999996"/>
    <n v="0.78822094211889959"/>
    <n v="6762.739130434783"/>
  </r>
  <r>
    <s v="FIRST COMMERCIAL BANK (USA)"/>
    <s v="Alhambra"/>
    <x v="0"/>
    <n v="91801"/>
    <d v="2020-09-30T00:00:00"/>
    <x v="1"/>
    <n v="91"/>
    <n v="746448"/>
    <n v="60816"/>
    <n v="746448"/>
    <n v="607865"/>
    <n v="521153"/>
    <x v="0"/>
    <n v="0.09"/>
    <n v="46903.77"/>
    <n v="0.81434339699483416"/>
    <n v="8202.7252747252751"/>
  </r>
  <r>
    <s v="FIRST COMMERCIAL BANK (USA)"/>
    <s v="Alhambra"/>
    <x v="0"/>
    <n v="91801"/>
    <d v="2021-09-30T00:00:00"/>
    <x v="2"/>
    <n v="86"/>
    <n v="802362"/>
    <n v="30968"/>
    <n v="802362"/>
    <n v="656667"/>
    <n v="592763"/>
    <x v="0"/>
    <n v="0.09"/>
    <n v="53348.67"/>
    <n v="0.81841737270708237"/>
    <n v="9329.790697674418"/>
  </r>
  <r>
    <s v="FIRST COMMUNITY BANK AND TRUST"/>
    <s v="Beecher"/>
    <x v="1"/>
    <n v="60401"/>
    <d v="2019-09-30T00:00:00"/>
    <x v="0"/>
    <n v="31"/>
    <n v="156244"/>
    <n v="31036"/>
    <n v="156244"/>
    <n v="136774"/>
    <n v="130452"/>
    <x v="0"/>
    <n v="0.08"/>
    <n v="10436.16"/>
    <n v="0.87538721486905102"/>
    <n v="5040.1290322580644"/>
  </r>
  <r>
    <s v="FIRST COMMUNITY BANK AND TRUST"/>
    <s v="Beecher"/>
    <x v="1"/>
    <n v="60401"/>
    <d v="2020-09-30T00:00:00"/>
    <x v="1"/>
    <n v="28"/>
    <n v="177024"/>
    <n v="45187"/>
    <n v="177024"/>
    <n v="155853"/>
    <n v="143540"/>
    <x v="0"/>
    <n v="0.08"/>
    <n v="11483.2"/>
    <n v="0.88040604663774402"/>
    <n v="6322.2857142857147"/>
  </r>
  <r>
    <s v="FIRST COMMUNITY BANK AND TRUST"/>
    <s v="Beecher"/>
    <x v="1"/>
    <n v="60401"/>
    <d v="2021-09-30T00:00:00"/>
    <x v="2"/>
    <n v="28"/>
    <n v="199773"/>
    <n v="94928"/>
    <n v="199773"/>
    <n v="177571"/>
    <n v="162887"/>
    <x v="0"/>
    <n v="0.08"/>
    <n v="13030.960000000001"/>
    <n v="0.88886386048164667"/>
    <n v="7134.75"/>
  </r>
  <r>
    <s v="FIRST COMMUNITY BANK OF HILLSBORO"/>
    <s v="Hillsboro"/>
    <x v="1"/>
    <n v="62049"/>
    <d v="2019-09-30T00:00:00"/>
    <x v="0"/>
    <n v="22"/>
    <n v="112485"/>
    <n v="11301"/>
    <n v="112484"/>
    <n v="102301"/>
    <n v="97923"/>
    <x v="0"/>
    <n v="0.08"/>
    <n v="7833.84"/>
    <n v="0.90946348402009158"/>
    <n v="5112.954545454545"/>
  </r>
  <r>
    <s v="FIRST COMMUNITY BANK OF HILLSBORO"/>
    <s v="Hillsboro"/>
    <x v="1"/>
    <n v="62049"/>
    <d v="2020-09-30T00:00:00"/>
    <x v="1"/>
    <n v="22"/>
    <n v="134383"/>
    <n v="15465"/>
    <n v="134382"/>
    <n v="123223"/>
    <n v="107918"/>
    <x v="0"/>
    <n v="0.08"/>
    <n v="8633.44"/>
    <n v="0.9169537813562727"/>
    <n v="6108.318181818182"/>
  </r>
  <r>
    <s v="FIRST COMMUNITY BANK OF HILLSBORO"/>
    <s v="Hillsboro"/>
    <x v="1"/>
    <n v="62049"/>
    <d v="2021-09-30T00:00:00"/>
    <x v="2"/>
    <n v="23"/>
    <n v="144024"/>
    <n v="7350"/>
    <n v="144024"/>
    <n v="132345"/>
    <n v="118636"/>
    <x v="0"/>
    <n v="0.08"/>
    <n v="9490.880000000001"/>
    <n v="0.9189093484419264"/>
    <n v="6261.913043478261"/>
  </r>
  <r>
    <s v="FIRST COMMUNITY BANK OF MOULTRIE COUNTY"/>
    <s v="Sullivan"/>
    <x v="1"/>
    <n v="61951"/>
    <d v="2019-09-30T00:00:00"/>
    <x v="0"/>
    <n v="21"/>
    <n v="90132"/>
    <n v="25666"/>
    <n v="90132"/>
    <n v="80800"/>
    <n v="80183"/>
    <x v="2"/>
    <n v="0.09"/>
    <n v="7216.4699999999993"/>
    <n v="0.89646296542848269"/>
    <n v="4292"/>
  </r>
  <r>
    <s v="FIRST COMMUNITY BANK OF MOULTRIE COUNTY"/>
    <s v="Sullivan"/>
    <x v="1"/>
    <n v="61951"/>
    <d v="2020-09-30T00:00:00"/>
    <x v="1"/>
    <n v="22"/>
    <n v="97811"/>
    <n v="24827"/>
    <n v="97810"/>
    <n v="88046"/>
    <n v="87438"/>
    <x v="2"/>
    <n v="0.09"/>
    <n v="7869.42"/>
    <n v="0.90016460316324343"/>
    <n v="4445.954545454545"/>
  </r>
  <r>
    <s v="FIRST COMMUNITY BANK OF MOULTRIE COUNTY"/>
    <s v="Sullivan"/>
    <x v="1"/>
    <n v="61951"/>
    <d v="2021-09-30T00:00:00"/>
    <x v="2"/>
    <n v="22"/>
    <n v="111624"/>
    <n v="31047"/>
    <n v="111624"/>
    <n v="102344"/>
    <n v="101724"/>
    <x v="0"/>
    <n v="0.08"/>
    <n v="8137.92"/>
    <n v="0.91686375689815813"/>
    <n v="5073.818181818182"/>
  </r>
  <r>
    <s v="FIRST COMMUNITY BANK, XENIA-FLORA"/>
    <s v="Xenia"/>
    <x v="1"/>
    <n v="62899"/>
    <d v="2019-09-30T00:00:00"/>
    <x v="0"/>
    <n v="11"/>
    <n v="41114"/>
    <n v="4333"/>
    <n v="41114"/>
    <n v="35956"/>
    <n v="31028"/>
    <x v="2"/>
    <n v="0.09"/>
    <n v="2792.52"/>
    <n v="0.87454395096560777"/>
    <n v="3737.6363636363635"/>
  </r>
  <r>
    <s v="FIRST COMMUNITY BANK, XENIA-FLORA"/>
    <s v="Xenia"/>
    <x v="1"/>
    <n v="62899"/>
    <d v="2020-09-30T00:00:00"/>
    <x v="1"/>
    <n v="11"/>
    <n v="48766"/>
    <n v="4131"/>
    <n v="48766"/>
    <n v="43378"/>
    <n v="38750"/>
    <x v="2"/>
    <n v="0.09"/>
    <n v="3487.5"/>
    <n v="0.88951318541606861"/>
    <n v="4433.272727272727"/>
  </r>
  <r>
    <s v="FIRST COMMUNITY BANK, XENIA-FLORA"/>
    <s v="Xenia"/>
    <x v="1"/>
    <n v="62899"/>
    <d v="2021-09-30T00:00:00"/>
    <x v="2"/>
    <n v="12"/>
    <n v="51823"/>
    <n v="6993"/>
    <n v="51823"/>
    <n v="46561"/>
    <n v="42191"/>
    <x v="2"/>
    <n v="0.09"/>
    <n v="3797.19"/>
    <n v="0.8984620728248075"/>
    <n v="4318.583333333333"/>
  </r>
  <r>
    <s v="FIRST CREDIT BANK"/>
    <s v="Los Angeles"/>
    <x v="0"/>
    <n v="90069"/>
    <d v="2019-09-30T00:00:00"/>
    <x v="0"/>
    <n v="25"/>
    <n v="454648"/>
    <n v="68164"/>
    <n v="454648"/>
    <n v="249364"/>
    <n v="240092"/>
    <x v="0"/>
    <n v="0.09"/>
    <n v="21608.28"/>
    <n v="0.54847706357445758"/>
    <n v="18185.919999999998"/>
  </r>
  <r>
    <s v="FIRST CREDIT BANK"/>
    <s v="Los Angeles"/>
    <x v="0"/>
    <n v="90069"/>
    <d v="2020-09-30T00:00:00"/>
    <x v="1"/>
    <n v="25"/>
    <n v="412451"/>
    <n v="115709"/>
    <n v="412451"/>
    <n v="218438"/>
    <n v="209887"/>
    <x v="0"/>
    <n v="0.09"/>
    <n v="18889.829999999998"/>
    <n v="0.52960957786500695"/>
    <n v="16498.04"/>
  </r>
  <r>
    <s v="FIRST CREDIT BANK"/>
    <s v="Los Angeles"/>
    <x v="0"/>
    <n v="90069"/>
    <d v="2021-09-30T00:00:00"/>
    <x v="2"/>
    <n v="25"/>
    <n v="444196"/>
    <n v="88043"/>
    <n v="444196"/>
    <n v="240644"/>
    <n v="233315"/>
    <x v="0"/>
    <n v="0.09"/>
    <n v="20998.35"/>
    <n v="0.54175183927815651"/>
    <n v="17767.84"/>
  </r>
  <r>
    <s v="FIRST EAGLE BANK"/>
    <s v="Chicago"/>
    <x v="1"/>
    <n v="60607"/>
    <d v="2019-09-30T00:00:00"/>
    <x v="0"/>
    <n v="42"/>
    <n v="528748"/>
    <n v="5151"/>
    <n v="528748"/>
    <n v="435782"/>
    <n v="419300"/>
    <x v="0"/>
    <n v="0.08"/>
    <n v="33544"/>
    <n v="0.82417711272666749"/>
    <n v="12589.238095238095"/>
  </r>
  <r>
    <s v="FIRST EAGLE BANK"/>
    <s v="Chicago"/>
    <x v="1"/>
    <n v="60607"/>
    <d v="2020-09-30T00:00:00"/>
    <x v="1"/>
    <n v="43"/>
    <n v="559825"/>
    <n v="5200"/>
    <n v="559825"/>
    <n v="454984"/>
    <n v="431093"/>
    <x v="0"/>
    <n v="0.08"/>
    <n v="34487.440000000002"/>
    <n v="0.81272540526057246"/>
    <n v="13019.186046511628"/>
  </r>
  <r>
    <s v="FIRST EAGLE BANK"/>
    <s v="Chicago"/>
    <x v="1"/>
    <n v="60607"/>
    <d v="2021-09-30T00:00:00"/>
    <x v="2"/>
    <n v="45"/>
    <n v="623362"/>
    <n v="33162"/>
    <n v="623362"/>
    <n v="508989"/>
    <n v="466253"/>
    <x v="0"/>
    <n v="0.08"/>
    <n v="37300.239999999998"/>
    <n v="0.81652234175326699"/>
    <n v="13852.488888888889"/>
  </r>
  <r>
    <s v="FIRST FARMERS STATE BANK"/>
    <s v="Minier"/>
    <x v="1"/>
    <n v="61759"/>
    <d v="2019-09-30T00:00:00"/>
    <x v="0"/>
    <n v="33"/>
    <n v="172135"/>
    <n v="3461"/>
    <n v="172135"/>
    <n v="150178"/>
    <n v="143416"/>
    <x v="0"/>
    <n v="0.08"/>
    <n v="11473.28"/>
    <n v="0.87244314055828276"/>
    <n v="5216.212121212121"/>
  </r>
  <r>
    <s v="FIRST FARMERS STATE BANK"/>
    <s v="Minier"/>
    <x v="1"/>
    <n v="61759"/>
    <d v="2020-09-30T00:00:00"/>
    <x v="1"/>
    <n v="32"/>
    <n v="196820"/>
    <n v="13878"/>
    <n v="196820"/>
    <n v="172883"/>
    <n v="161934"/>
    <x v="0"/>
    <n v="0.08"/>
    <n v="12954.720000000001"/>
    <n v="0.87838126206686318"/>
    <n v="6150.625"/>
  </r>
  <r>
    <s v="FIRST FEDERAL SAVINGS AND LOAN ASSOCIATION OF CENTRAL ILLINOIS, S.B."/>
    <s v="Shelbyville"/>
    <x v="1"/>
    <n v="62565"/>
    <d v="2019-09-30T00:00:00"/>
    <x v="0"/>
    <n v="31"/>
    <n v="128471"/>
    <n v="6375"/>
    <n v="128472"/>
    <n v="112953"/>
    <n v="111809"/>
    <x v="0"/>
    <n v="0.08"/>
    <n v="8944.7199999999993"/>
    <n v="0.87921009410684126"/>
    <n v="4144.2258064516127"/>
  </r>
  <r>
    <s v="FIRST FEDERAL SAVINGS AND LOAN ASSOCIATION OF CENTRAL ILLINOIS, S.B."/>
    <s v="Shelbyville"/>
    <x v="1"/>
    <n v="62565"/>
    <d v="2020-09-30T00:00:00"/>
    <x v="1"/>
    <n v="34"/>
    <n v="148580"/>
    <n v="11014"/>
    <n v="148579"/>
    <n v="131008"/>
    <n v="125578"/>
    <x v="0"/>
    <n v="0.08"/>
    <n v="10046.24"/>
    <n v="0.88173374613003097"/>
    <n v="4370"/>
  </r>
  <r>
    <s v="FIRST FEDERAL SAVINGS AND LOAN ASSOCIATION OF CENTRAL ILLINOIS, S.B."/>
    <s v="Shelbyville"/>
    <x v="1"/>
    <n v="62565"/>
    <d v="2021-09-30T00:00:00"/>
    <x v="2"/>
    <n v="33"/>
    <n v="172378"/>
    <n v="18521"/>
    <n v="172378"/>
    <n v="153302"/>
    <n v="152143"/>
    <x v="0"/>
    <n v="0.08"/>
    <n v="12171.44"/>
    <n v="0.88933622620055919"/>
    <n v="5223.575757575758"/>
  </r>
  <r>
    <s v="FIRST FEDERAL SAVINGS AND LOAN ASSOCIATION OF SAN RAFAEL"/>
    <s v="San Rafael"/>
    <x v="0"/>
    <n v="94901"/>
    <d v="2019-09-30T00:00:00"/>
    <x v="0"/>
    <n v="36"/>
    <n v="205936"/>
    <n v="6154"/>
    <n v="205936"/>
    <n v="165056"/>
    <n v="151343"/>
    <x v="0"/>
    <n v="0.09"/>
    <n v="13620.869999999999"/>
    <n v="0.80149172558464765"/>
    <n v="5720.4444444444443"/>
  </r>
  <r>
    <s v="FIRST FEDERAL SAVINGS AND LOAN ASSOCIATION OF SAN RAFAEL"/>
    <s v="San Rafael"/>
    <x v="0"/>
    <n v="94901"/>
    <d v="2020-09-30T00:00:00"/>
    <x v="1"/>
    <n v="34"/>
    <n v="222382"/>
    <n v="30945"/>
    <n v="222382"/>
    <n v="180781"/>
    <n v="160981"/>
    <x v="0"/>
    <n v="0.09"/>
    <n v="14488.289999999999"/>
    <n v="0.81293000332760745"/>
    <n v="6540.6470588235297"/>
  </r>
  <r>
    <s v="FIRST FEDERAL SAVINGS AND LOAN ASSOCIATION OF SAN RAFAEL"/>
    <s v="San Rafael"/>
    <x v="0"/>
    <n v="94901"/>
    <d v="2021-09-30T00:00:00"/>
    <x v="2"/>
    <n v="34"/>
    <n v="240910"/>
    <n v="41615"/>
    <n v="240910"/>
    <n v="198513"/>
    <n v="197471"/>
    <x v="0"/>
    <n v="0.09"/>
    <n v="17772.39"/>
    <n v="0.82401311693163426"/>
    <n v="7085.588235294118"/>
  </r>
  <r>
    <s v="FIRST FEDERAL SAVINGS BANK"/>
    <s v="Ottawa"/>
    <x v="1"/>
    <n v="61350"/>
    <d v="2019-09-30T00:00:00"/>
    <x v="0"/>
    <n v="107"/>
    <n v="364070"/>
    <n v="72917"/>
    <n v="364070"/>
    <n v="320889"/>
    <n v="315943"/>
    <x v="0"/>
    <n v="0.08"/>
    <n v="25275.440000000002"/>
    <n v="0.88139368802702778"/>
    <n v="3402.5233644859813"/>
  </r>
  <r>
    <s v="FIRST FEDERAL SAVINGS BANK"/>
    <s v="Ottawa"/>
    <x v="1"/>
    <n v="61350"/>
    <d v="2020-09-30T00:00:00"/>
    <x v="1"/>
    <n v="104"/>
    <n v="375078"/>
    <n v="125099"/>
    <n v="375078"/>
    <n v="331406"/>
    <n v="322390"/>
    <x v="0"/>
    <n v="0.08"/>
    <n v="25791.200000000001"/>
    <n v="0.88356555169857998"/>
    <n v="3606.5192307692309"/>
  </r>
  <r>
    <s v="FIRST FEDERAL SAVINGS BANK"/>
    <s v="Ottawa"/>
    <x v="1"/>
    <n v="61350"/>
    <d v="2021-09-30T00:00:00"/>
    <x v="2"/>
    <n v="108"/>
    <n v="368644"/>
    <n v="100941"/>
    <n v="368644"/>
    <n v="323399"/>
    <n v="313837"/>
    <x v="0"/>
    <n v="0.08"/>
    <n v="25106.959999999999"/>
    <n v="0.87726641420991525"/>
    <n v="3413.3703703703704"/>
  </r>
  <r>
    <s v="FIRST FEDERAL SAVINGS BANK OF CHAMPAIGN URBANA"/>
    <s v="Champaign"/>
    <x v="1"/>
    <n v="61820"/>
    <d v="2019-09-30T00:00:00"/>
    <x v="0"/>
    <n v="59"/>
    <n v="167658"/>
    <n v="63843"/>
    <n v="167658"/>
    <n v="149971"/>
    <n v="146910"/>
    <x v="0"/>
    <n v="0.08"/>
    <n v="11752.800000000001"/>
    <n v="0.89450548139665276"/>
    <n v="2841.6610169491523"/>
  </r>
  <r>
    <s v="FIRST FEDERAL SAVINGS BANK OF CHAMPAIGN URBANA"/>
    <s v="Champaign"/>
    <x v="1"/>
    <n v="61820"/>
    <d v="2020-09-30T00:00:00"/>
    <x v="1"/>
    <n v="54"/>
    <n v="198994"/>
    <n v="96888"/>
    <n v="198994"/>
    <n v="180295"/>
    <n v="172992"/>
    <x v="0"/>
    <n v="0.08"/>
    <n v="13839.36"/>
    <n v="0.90603234268369903"/>
    <n v="3685.0740740740739"/>
  </r>
  <r>
    <s v="FIRST FEDERAL SAVINGS BANK OF CHAMPAIGN URBANA"/>
    <s v="Champaign"/>
    <x v="1"/>
    <n v="61820"/>
    <d v="2021-09-30T00:00:00"/>
    <x v="2"/>
    <n v="53"/>
    <n v="210212"/>
    <n v="114814"/>
    <n v="210212"/>
    <n v="192164"/>
    <n v="188412"/>
    <x v="0"/>
    <n v="0.08"/>
    <n v="15072.960000000001"/>
    <n v="0.91414381671836054"/>
    <n v="3966.2641509433961"/>
  </r>
  <r>
    <s v="FIRST FEDERAL SAVINGS OF MIDDLETOWN"/>
    <s v="Middletown"/>
    <x v="2"/>
    <n v="10940"/>
    <d v="2019-09-30T00:00:00"/>
    <x v="0"/>
    <n v="12"/>
    <n v="148169"/>
    <n v="51969"/>
    <n v="148169"/>
    <n v="93423"/>
    <n v="86006"/>
    <x v="0"/>
    <n v="8.5000000000000006E-2"/>
    <n v="7310.51"/>
    <n v="0.6305165048019491"/>
    <n v="12347.416666666666"/>
  </r>
  <r>
    <s v="FIRST FEDERAL SAVINGS OF MIDDLETOWN"/>
    <s v="Middletown"/>
    <x v="2"/>
    <n v="10940"/>
    <d v="2020-09-30T00:00:00"/>
    <x v="1"/>
    <n v="12"/>
    <n v="162861"/>
    <n v="57409"/>
    <n v="162861"/>
    <n v="107364"/>
    <n v="97639"/>
    <x v="0"/>
    <n v="8.5000000000000006E-2"/>
    <n v="8299.3150000000005"/>
    <n v="0.65923701807062463"/>
    <n v="13571.75"/>
  </r>
  <r>
    <s v="FIRST FEDERAL SAVINGS OF MIDDLETOWN"/>
    <s v="Middletown"/>
    <x v="2"/>
    <n v="10940"/>
    <d v="2021-09-30T00:00:00"/>
    <x v="2"/>
    <n v="12"/>
    <n v="170950"/>
    <n v="50690"/>
    <n v="170950"/>
    <n v="114878"/>
    <n v="105453"/>
    <x v="0"/>
    <n v="8.5000000000000006E-2"/>
    <n v="8963.505000000001"/>
    <n v="0.67199766013454232"/>
    <n v="14245.833333333334"/>
  </r>
  <r>
    <s v="FIRST FOUNDATION BANK"/>
    <s v="Irvine"/>
    <x v="0"/>
    <n v="92612"/>
    <d v="2019-09-30T00:00:00"/>
    <x v="0"/>
    <n v="426"/>
    <n v="6342041"/>
    <n v="268107"/>
    <n v="6342041"/>
    <n v="5728288"/>
    <n v="5185376"/>
    <x v="1"/>
    <n v="0.08"/>
    <n v="414830.08000000002"/>
    <n v="0.90322468744683293"/>
    <n v="14887.420187793427"/>
  </r>
  <r>
    <s v="FIRST FOUNDATION BANK"/>
    <s v="Irvine"/>
    <x v="0"/>
    <n v="92612"/>
    <d v="2020-09-30T00:00:00"/>
    <x v="1"/>
    <n v="437"/>
    <n v="6465382"/>
    <n v="282513"/>
    <n v="6465382"/>
    <n v="5788158"/>
    <n v="5474122"/>
    <x v="1"/>
    <n v="0.08"/>
    <n v="437929.76"/>
    <n v="0.89525383032278683"/>
    <n v="14794.924485125857"/>
  </r>
  <r>
    <s v="FIRST FOUNDATION BANK"/>
    <s v="Irvine"/>
    <x v="0"/>
    <n v="92612"/>
    <d v="2021-09-30T00:00:00"/>
    <x v="2"/>
    <n v="491"/>
    <n v="7709843"/>
    <n v="782760"/>
    <n v="7709843"/>
    <n v="6953808"/>
    <n v="6865478"/>
    <x v="1"/>
    <n v="0.08"/>
    <n v="549238.24"/>
    <n v="0.90193898890029278"/>
    <n v="15702.327902240326"/>
  </r>
  <r>
    <s v="FIRST FSB OF MASCOUTAH"/>
    <s v="Mascoutah"/>
    <x v="1"/>
    <n v="62258"/>
    <d v="2019-09-30T00:00:00"/>
    <x v="0"/>
    <n v="16"/>
    <n v="108960"/>
    <n v="5489"/>
    <n v="108960"/>
    <n v="95191"/>
    <n v="94971"/>
    <x v="0"/>
    <n v="0.08"/>
    <n v="7597.68"/>
    <n v="0.87363252569750371"/>
    <n v="6810"/>
  </r>
  <r>
    <s v="FIRST FSB OF MASCOUTAH"/>
    <s v="Mascoutah"/>
    <x v="1"/>
    <n v="62258"/>
    <d v="2020-09-30T00:00:00"/>
    <x v="1"/>
    <n v="15"/>
    <n v="124966"/>
    <n v="6726"/>
    <n v="124966"/>
    <n v="110092"/>
    <n v="105688"/>
    <x v="0"/>
    <n v="0.08"/>
    <n v="8455.0400000000009"/>
    <n v="0.88097562537010066"/>
    <n v="8331.0666666666675"/>
  </r>
  <r>
    <s v="FIRST FSB OF MASCOUTAH"/>
    <s v="Mascoutah"/>
    <x v="1"/>
    <n v="62258"/>
    <d v="2021-09-30T00:00:00"/>
    <x v="2"/>
    <n v="19"/>
    <n v="147329"/>
    <n v="4995"/>
    <n v="147329"/>
    <n v="131795"/>
    <n v="125306"/>
    <x v="0"/>
    <n v="0.08"/>
    <n v="10024.48"/>
    <n v="0.8945625097570743"/>
    <n v="7754.1578947368425"/>
  </r>
  <r>
    <s v="FIRST GENERAL BANK"/>
    <s v="Rowland Heights"/>
    <x v="0"/>
    <n v="91748"/>
    <d v="2019-09-30T00:00:00"/>
    <x v="0"/>
    <n v="67"/>
    <n v="982769"/>
    <n v="23397"/>
    <n v="982769"/>
    <n v="844111"/>
    <n v="819276"/>
    <x v="0"/>
    <n v="0.09"/>
    <n v="73734.84"/>
    <n v="0.85891089360775519"/>
    <n v="14668.194029850747"/>
  </r>
  <r>
    <s v="FIRST GENERAL BANK"/>
    <s v="Rowland Heights"/>
    <x v="0"/>
    <n v="91748"/>
    <d v="2020-09-30T00:00:00"/>
    <x v="1"/>
    <n v="70"/>
    <n v="1066779"/>
    <n v="24223"/>
    <n v="1066779"/>
    <n v="911886"/>
    <n v="817996"/>
    <x v="1"/>
    <n v="0.08"/>
    <n v="65439.68"/>
    <n v="0.85480310354815758"/>
    <n v="15239.7"/>
  </r>
  <r>
    <s v="FIRST GENERAL BANK"/>
    <s v="Rowland Heights"/>
    <x v="0"/>
    <n v="91748"/>
    <d v="2021-09-30T00:00:00"/>
    <x v="2"/>
    <n v="68"/>
    <n v="1202225"/>
    <n v="89048"/>
    <n v="1202225"/>
    <n v="1026161"/>
    <n v="959874"/>
    <x v="1"/>
    <n v="0.08"/>
    <n v="76789.919999999998"/>
    <n v="0.85355153985318888"/>
    <n v="17679.779411764706"/>
  </r>
  <r>
    <s v="FIRST IPSWICH BANK"/>
    <s v="Ipswich"/>
    <x v="3"/>
    <n v="1938"/>
    <d v="2019-09-30T00:00:00"/>
    <x v="0"/>
    <n v="65"/>
    <n v="464951"/>
    <n v="31997"/>
    <n v="464951"/>
    <n v="420911"/>
    <n v="372488"/>
    <x v="0"/>
    <n v="8.5000000000000006E-2"/>
    <n v="31661.480000000003"/>
    <n v="0.90528034136930557"/>
    <n v="7153.0923076923073"/>
  </r>
  <r>
    <s v="FIRST MID BANK &amp; TRUST, NATIONAL ASSOCIATION"/>
    <s v="Mattoon"/>
    <x v="1"/>
    <n v="61938"/>
    <d v="2019-09-30T00:00:00"/>
    <x v="0"/>
    <n v="671"/>
    <n v="3809029"/>
    <n v="112665"/>
    <n v="3809029"/>
    <n v="3305556"/>
    <n v="3023473"/>
    <x v="1"/>
    <n v="7.4999999999999997E-2"/>
    <n v="226760.47500000001"/>
    <n v="0.86782116912210439"/>
    <n v="5676.6453055141583"/>
  </r>
  <r>
    <s v="FIRST MID BANK &amp; TRUST, NATIONAL ASSOCIATION"/>
    <s v="Mattoon"/>
    <x v="1"/>
    <n v="61938"/>
    <d v="2020-09-30T00:00:00"/>
    <x v="1"/>
    <n v="656"/>
    <n v="4480001"/>
    <n v="232312"/>
    <n v="4480001"/>
    <n v="3963938"/>
    <n v="3668586"/>
    <x v="1"/>
    <n v="7.4999999999999997E-2"/>
    <n v="275143.95"/>
    <n v="0.88480739178406431"/>
    <n v="6829.269817073171"/>
  </r>
  <r>
    <s v="FIRST MID BANK &amp; TRUST, NATIONAL ASSOCIATION"/>
    <s v="Mattoon"/>
    <x v="1"/>
    <n v="61938"/>
    <d v="2021-09-30T00:00:00"/>
    <x v="2"/>
    <n v="779"/>
    <n v="6011453"/>
    <n v="345092"/>
    <n v="6011453"/>
    <n v="5328392"/>
    <n v="5029608"/>
    <x v="1"/>
    <n v="7.4999999999999997E-2"/>
    <n v="377220.6"/>
    <n v="0.8863733942526042"/>
    <n v="7716.8844672657251"/>
  </r>
  <r>
    <s v="FIRST MIDWEST BANK"/>
    <s v="Chicago"/>
    <x v="1"/>
    <n v="60631"/>
    <d v="2019-09-30T00:00:00"/>
    <x v="0"/>
    <n v="2112"/>
    <n v="17919012"/>
    <n v="475667"/>
    <n v="17919012"/>
    <n v="15584616"/>
    <n v="13640378"/>
    <x v="1"/>
    <n v="7.4999999999999997E-2"/>
    <n v="1023028.35"/>
    <n v="0.86972518350900152"/>
    <n v="8484.380681818182"/>
  </r>
  <r>
    <s v="FIRST MIDWEST BANK"/>
    <s v="Chicago"/>
    <x v="1"/>
    <n v="60631"/>
    <d v="2020-09-30T00:00:00"/>
    <x v="1"/>
    <n v="2143"/>
    <n v="20986099"/>
    <n v="1190740"/>
    <n v="20986099"/>
    <n v="18571932"/>
    <n v="16202704"/>
    <x v="1"/>
    <n v="7.4999999999999997E-2"/>
    <n v="1215202.8"/>
    <n v="0.88496351799350603"/>
    <n v="9792.8600093327113"/>
  </r>
  <r>
    <s v="FIRST MIDWEST BANK"/>
    <s v="Chicago"/>
    <x v="1"/>
    <n v="60631"/>
    <d v="2021-09-30T00:00:00"/>
    <x v="2"/>
    <n v="1943"/>
    <n v="21622180"/>
    <n v="1924937"/>
    <n v="21622180"/>
    <n v="19123791"/>
    <n v="17555874"/>
    <x v="1"/>
    <n v="7.4999999999999997E-2"/>
    <n v="1316690.55"/>
    <n v="0.88445249276437432"/>
    <n v="11128.244981986618"/>
  </r>
  <r>
    <s v="FIRST NATIONAL BANK &amp; TRUST COMPANY"/>
    <s v="Clinton"/>
    <x v="1"/>
    <n v="61727"/>
    <d v="2019-09-30T00:00:00"/>
    <x v="0"/>
    <n v="26"/>
    <n v="192948"/>
    <n v="2979"/>
    <n v="192947"/>
    <n v="174695"/>
    <n v="163582"/>
    <x v="0"/>
    <n v="0.08"/>
    <n v="13086.56"/>
    <n v="0.90539938221697036"/>
    <n v="7421.0769230769229"/>
  </r>
  <r>
    <s v="FIRST NATIONAL BANK &amp; TRUST COMPANY"/>
    <s v="Clinton"/>
    <x v="1"/>
    <n v="61727"/>
    <d v="2020-09-30T00:00:00"/>
    <x v="1"/>
    <n v="29"/>
    <n v="204335"/>
    <n v="2901"/>
    <n v="204334"/>
    <n v="185943"/>
    <n v="172159"/>
    <x v="0"/>
    <n v="0.08"/>
    <n v="13772.720000000001"/>
    <n v="0.90999094624024279"/>
    <n v="7046.0344827586205"/>
  </r>
  <r>
    <s v="FIRST NATIONAL BANK &amp; TRUST COMPANY"/>
    <s v="Clinton"/>
    <x v="1"/>
    <n v="61727"/>
    <d v="2021-09-30T00:00:00"/>
    <x v="2"/>
    <n v="30"/>
    <n v="235906"/>
    <n v="3518"/>
    <n v="235906"/>
    <n v="200442"/>
    <n v="192441"/>
    <x v="0"/>
    <n v="0.08"/>
    <n v="15395.28"/>
    <n v="0.84966893593210857"/>
    <n v="7863.5333333333338"/>
  </r>
  <r>
    <s v="FIRST NATIONAL BANK IN OLNEY"/>
    <s v="Olney"/>
    <x v="1"/>
    <n v="62450"/>
    <d v="2019-09-30T00:00:00"/>
    <x v="0"/>
    <n v="70"/>
    <n v="356680"/>
    <n v="39464"/>
    <n v="356680"/>
    <n v="312336"/>
    <n v="306036"/>
    <x v="0"/>
    <n v="0.08"/>
    <n v="24482.880000000001"/>
    <n v="0.87567567567567572"/>
    <n v="5095.4285714285716"/>
  </r>
  <r>
    <s v="FIRST NATIONAL BANK IN OLNEY"/>
    <s v="Olney"/>
    <x v="1"/>
    <n v="62450"/>
    <d v="2020-09-30T00:00:00"/>
    <x v="1"/>
    <n v="67"/>
    <n v="387660"/>
    <n v="33219"/>
    <n v="387660"/>
    <n v="338949"/>
    <n v="327762"/>
    <x v="0"/>
    <n v="0.08"/>
    <n v="26220.959999999999"/>
    <n v="0.87434607645875251"/>
    <n v="5785.9701492537315"/>
  </r>
  <r>
    <s v="FIRST NATIONAL BANK IN OLNEY"/>
    <s v="Olney"/>
    <x v="1"/>
    <n v="62450"/>
    <d v="2021-09-30T00:00:00"/>
    <x v="2"/>
    <n v="68"/>
    <n v="415103"/>
    <n v="34615"/>
    <n v="415103"/>
    <n v="365143"/>
    <n v="352505"/>
    <x v="0"/>
    <n v="0.08"/>
    <n v="28200.400000000001"/>
    <n v="0.87964432923876723"/>
    <n v="6104.4558823529414"/>
  </r>
  <r>
    <s v="FIRST NATIONAL BANK IN PINCKNEYVILLE"/>
    <s v="Pinckneyville"/>
    <x v="1"/>
    <n v="62274"/>
    <d v="2019-09-30T00:00:00"/>
    <x v="0"/>
    <n v="24"/>
    <n v="104823"/>
    <n v="3626"/>
    <n v="104823"/>
    <n v="87915"/>
    <n v="80390"/>
    <x v="0"/>
    <n v="0.08"/>
    <n v="6431.2"/>
    <n v="0.83869952205145815"/>
    <n v="4367.625"/>
  </r>
  <r>
    <s v="FIRST NATIONAL BANK IN PINCKNEYVILLE"/>
    <s v="Pinckneyville"/>
    <x v="1"/>
    <n v="62274"/>
    <d v="2020-09-30T00:00:00"/>
    <x v="1"/>
    <n v="22"/>
    <n v="122518"/>
    <n v="20807"/>
    <n v="122518"/>
    <n v="104231"/>
    <n v="96453"/>
    <x v="0"/>
    <n v="0.08"/>
    <n v="7716.24"/>
    <n v="0.85074029938458018"/>
    <n v="5569"/>
  </r>
  <r>
    <s v="FIRST NATIONAL BANK IN PINCKNEYVILLE"/>
    <s v="Pinckneyville"/>
    <x v="1"/>
    <n v="62274"/>
    <d v="2021-09-30T00:00:00"/>
    <x v="2"/>
    <n v="21"/>
    <n v="143097"/>
    <n v="19722"/>
    <n v="143097"/>
    <n v="126344"/>
    <n v="113606"/>
    <x v="0"/>
    <n v="0.08"/>
    <n v="9088.48"/>
    <n v="0.88292556797137611"/>
    <n v="6814.1428571428569"/>
  </r>
  <r>
    <s v="FIRST NATIONAL BANK IN TAYLORVILLE"/>
    <s v="Taylorville"/>
    <x v="1"/>
    <n v="62568"/>
    <d v="2019-09-30T00:00:00"/>
    <x v="0"/>
    <n v="29"/>
    <n v="195680"/>
    <n v="11274"/>
    <n v="195680"/>
    <n v="159443"/>
    <n v="158011"/>
    <x v="0"/>
    <n v="0.08"/>
    <n v="12640.880000000001"/>
    <n v="0.81481500408830743"/>
    <n v="6747.5862068965516"/>
  </r>
  <r>
    <s v="FIRST NATIONAL BANK IN TAYLORVILLE"/>
    <s v="Taylorville"/>
    <x v="1"/>
    <n v="62568"/>
    <d v="2020-09-30T00:00:00"/>
    <x v="1"/>
    <n v="27"/>
    <n v="215257"/>
    <n v="14593"/>
    <n v="215257"/>
    <n v="176124"/>
    <n v="167600"/>
    <x v="0"/>
    <n v="0.08"/>
    <n v="13408"/>
    <n v="0.81820335691754509"/>
    <n v="7972.4814814814818"/>
  </r>
  <r>
    <s v="FIRST NATIONAL BANK IN TAYLORVILLE"/>
    <s v="Taylorville"/>
    <x v="1"/>
    <n v="62568"/>
    <d v="2021-09-30T00:00:00"/>
    <x v="2"/>
    <n v="27"/>
    <n v="236494"/>
    <n v="14469"/>
    <n v="236494"/>
    <n v="203943"/>
    <n v="194373"/>
    <x v="0"/>
    <n v="0.08"/>
    <n v="15549.84"/>
    <n v="0.8623601444434108"/>
    <n v="8759.0370370370365"/>
  </r>
  <r>
    <s v="FIRST NATIONAL BANK OF BROOKFIELD"/>
    <s v="Brookfield"/>
    <x v="1"/>
    <n v="60513"/>
    <d v="2019-09-30T00:00:00"/>
    <x v="0"/>
    <n v="31"/>
    <n v="205202"/>
    <n v="42575"/>
    <n v="205202"/>
    <n v="182927"/>
    <n v="154331"/>
    <x v="0"/>
    <n v="0.08"/>
    <n v="12346.48"/>
    <n v="0.89144842642859234"/>
    <n v="6619.4193548387093"/>
  </r>
  <r>
    <s v="FIRST NATIONAL BANK OF BROOKFIELD"/>
    <s v="Brookfield"/>
    <x v="1"/>
    <n v="60513"/>
    <d v="2020-09-30T00:00:00"/>
    <x v="1"/>
    <n v="32"/>
    <n v="255882"/>
    <n v="58649"/>
    <n v="255882"/>
    <n v="230966"/>
    <n v="188542"/>
    <x v="0"/>
    <n v="0.08"/>
    <n v="15083.36"/>
    <n v="0.90262699212918451"/>
    <n v="7996.3125"/>
  </r>
  <r>
    <s v="FIRST NATIONAL BANK OF BROOKFIELD"/>
    <s v="Brookfield"/>
    <x v="1"/>
    <n v="60513"/>
    <d v="2021-09-30T00:00:00"/>
    <x v="2"/>
    <n v="35"/>
    <n v="310456"/>
    <n v="76525"/>
    <n v="310456"/>
    <n v="282160"/>
    <n v="242751"/>
    <x v="0"/>
    <n v="0.08"/>
    <n v="19420.080000000002"/>
    <n v="0.90885664957353052"/>
    <n v="8870.1714285714279"/>
  </r>
  <r>
    <s v="FIRST NATIONAL BANK OF NOKOMIS"/>
    <s v="Nokomis"/>
    <x v="1"/>
    <n v="62075"/>
    <d v="2019-09-30T00:00:00"/>
    <x v="0"/>
    <n v="43"/>
    <n v="151940"/>
    <n v="12241"/>
    <n v="151940"/>
    <n v="133096"/>
    <n v="131991"/>
    <x v="0"/>
    <n v="0.08"/>
    <n v="10559.28"/>
    <n v="0.87597735948400679"/>
    <n v="3533.4883720930234"/>
  </r>
  <r>
    <s v="FIRST NATIONAL BANK OF NOKOMIS"/>
    <s v="Nokomis"/>
    <x v="1"/>
    <n v="62075"/>
    <d v="2020-09-30T00:00:00"/>
    <x v="1"/>
    <n v="40"/>
    <n v="165503"/>
    <n v="13219"/>
    <n v="165503"/>
    <n v="145186"/>
    <n v="140091"/>
    <x v="0"/>
    <n v="0.08"/>
    <n v="11207.28"/>
    <n v="0.87724089593542109"/>
    <n v="4137.5749999999998"/>
  </r>
  <r>
    <s v="FIRST NATIONAL BANK OF NOKOMIS"/>
    <s v="Nokomis"/>
    <x v="1"/>
    <n v="62075"/>
    <d v="2021-09-30T00:00:00"/>
    <x v="2"/>
    <n v="41"/>
    <n v="174216"/>
    <n v="10789"/>
    <n v="174216"/>
    <n v="154609"/>
    <n v="153535"/>
    <x v="0"/>
    <n v="0.08"/>
    <n v="12282.800000000001"/>
    <n v="0.88745580199292828"/>
    <n v="4249.1707317073169"/>
  </r>
  <r>
    <s v="FIRST NATIONAL BANK OF PANA"/>
    <s v="Pana"/>
    <x v="1"/>
    <n v="62557"/>
    <d v="2019-09-30T00:00:00"/>
    <x v="0"/>
    <n v="39"/>
    <n v="187557"/>
    <n v="19716"/>
    <n v="187557"/>
    <n v="165670"/>
    <n v="164754"/>
    <x v="0"/>
    <n v="0.08"/>
    <n v="13180.32"/>
    <n v="0.88330480867149719"/>
    <n v="4809.1538461538457"/>
  </r>
  <r>
    <s v="FIRST NATIONAL BANK OF PANA"/>
    <s v="Pana"/>
    <x v="1"/>
    <n v="62557"/>
    <d v="2020-09-30T00:00:00"/>
    <x v="1"/>
    <n v="38"/>
    <n v="225324"/>
    <n v="32707"/>
    <n v="225324"/>
    <n v="201317"/>
    <n v="195840"/>
    <x v="0"/>
    <n v="0.08"/>
    <n v="15667.2"/>
    <n v="0.89345564609184991"/>
    <n v="5929.5789473684208"/>
  </r>
  <r>
    <s v="FIRST NATIONAL BANK OF PANA"/>
    <s v="Pana"/>
    <x v="1"/>
    <n v="62557"/>
    <d v="2021-09-30T00:00:00"/>
    <x v="2"/>
    <n v="40"/>
    <n v="248684"/>
    <n v="35591"/>
    <n v="248684"/>
    <n v="222361"/>
    <n v="215872"/>
    <x v="0"/>
    <n v="0.08"/>
    <n v="17269.760000000002"/>
    <n v="0.89415080986311946"/>
    <n v="6217.1"/>
  </r>
  <r>
    <s v="FIRST NATIONAL BANK OF SCOTIA"/>
    <s v="Scotia"/>
    <x v="2"/>
    <n v="12302"/>
    <d v="2019-09-30T00:00:00"/>
    <x v="0"/>
    <n v="144"/>
    <n v="508037"/>
    <n v="32780"/>
    <n v="508037"/>
    <n v="470014"/>
    <n v="461734"/>
    <x v="0"/>
    <n v="8.5000000000000006E-2"/>
    <n v="39247.39"/>
    <n v="0.92515702596464433"/>
    <n v="3528.0347222222222"/>
  </r>
  <r>
    <s v="FIRST NATIONAL BANK OF SCOTIA"/>
    <s v="Scotia"/>
    <x v="2"/>
    <n v="12302"/>
    <d v="2020-09-30T00:00:00"/>
    <x v="1"/>
    <n v="136"/>
    <n v="603009"/>
    <n v="110574"/>
    <n v="603009"/>
    <n v="562399"/>
    <n v="553820"/>
    <x v="0"/>
    <n v="8.5000000000000006E-2"/>
    <n v="47074.700000000004"/>
    <n v="0.932654404826462"/>
    <n v="4433.8897058823532"/>
  </r>
  <r>
    <s v="FIRST NATIONAL BANK OF SCOTIA"/>
    <s v="Scotia"/>
    <x v="2"/>
    <n v="12302"/>
    <d v="2021-09-30T00:00:00"/>
    <x v="2"/>
    <n v="135"/>
    <n v="682110"/>
    <n v="114199"/>
    <n v="682110"/>
    <n v="635069"/>
    <n v="625252"/>
    <x v="0"/>
    <n v="8.5000000000000006E-2"/>
    <n v="53146.420000000006"/>
    <n v="0.93103604990397448"/>
    <n v="5052.666666666667"/>
  </r>
  <r>
    <s v="FIRST NATIONAL BANK OF STEELEVILLE"/>
    <s v="Steeleville"/>
    <x v="1"/>
    <n v="62288"/>
    <d v="2019-09-30T00:00:00"/>
    <x v="0"/>
    <n v="42"/>
    <n v="204451"/>
    <n v="5723"/>
    <n v="204451"/>
    <n v="172944"/>
    <n v="168242"/>
    <x v="0"/>
    <n v="0.08"/>
    <n v="13459.36"/>
    <n v="0.84589461533570387"/>
    <n v="4867.8809523809523"/>
  </r>
  <r>
    <s v="FIRST NATIONAL BANK OF STEELEVILLE"/>
    <s v="Steeleville"/>
    <x v="1"/>
    <n v="62288"/>
    <d v="2020-09-30T00:00:00"/>
    <x v="1"/>
    <n v="40"/>
    <n v="234865"/>
    <n v="4800"/>
    <n v="234865"/>
    <n v="200751"/>
    <n v="190898"/>
    <x v="0"/>
    <n v="0.08"/>
    <n v="15271.84"/>
    <n v="0.85475060140932024"/>
    <n v="5871.625"/>
  </r>
  <r>
    <s v="FIRST NATIONAL BANK OF STEELEVILLE"/>
    <s v="Steeleville"/>
    <x v="1"/>
    <n v="62288"/>
    <d v="2021-09-30T00:00:00"/>
    <x v="2"/>
    <n v="39"/>
    <n v="244689"/>
    <n v="5016"/>
    <n v="244689"/>
    <n v="211034"/>
    <n v="201296"/>
    <x v="0"/>
    <n v="0.08"/>
    <n v="16103.68"/>
    <n v="0.86245805900551309"/>
    <n v="6274.0769230769229"/>
  </r>
  <r>
    <s v="FIRST NATIONAL BANK OF WATERLOO"/>
    <s v="Waterloo"/>
    <x v="1"/>
    <n v="62298"/>
    <d v="2019-09-30T00:00:00"/>
    <x v="0"/>
    <n v="106"/>
    <n v="485473"/>
    <n v="23431"/>
    <n v="485473"/>
    <n v="430514"/>
    <n v="401281"/>
    <x v="0"/>
    <n v="0.08"/>
    <n v="32102.48"/>
    <n v="0.88679288034555992"/>
    <n v="4579.933962264151"/>
  </r>
  <r>
    <s v="FIRST NATIONAL BANK OF WATERLOO"/>
    <s v="Waterloo"/>
    <x v="1"/>
    <n v="62298"/>
    <d v="2020-09-30T00:00:00"/>
    <x v="1"/>
    <n v="132"/>
    <n v="731136"/>
    <n v="95056"/>
    <n v="731136"/>
    <n v="662654"/>
    <n v="615204"/>
    <x v="0"/>
    <n v="0.08"/>
    <n v="49216.32"/>
    <n v="0.90633479954481788"/>
    <n v="5538.909090909091"/>
  </r>
  <r>
    <s v="FIRST NATIONAL BANK OF WATERLOO"/>
    <s v="Waterloo"/>
    <x v="1"/>
    <n v="62298"/>
    <d v="2021-09-30T00:00:00"/>
    <x v="2"/>
    <n v="141"/>
    <n v="820792"/>
    <n v="47604"/>
    <n v="820792"/>
    <n v="749927"/>
    <n v="710440"/>
    <x v="0"/>
    <n v="0.08"/>
    <n v="56835.200000000004"/>
    <n v="0.91366265753077514"/>
    <n v="5821.2198581560287"/>
  </r>
  <r>
    <s v="FIRST NATIONS BANK"/>
    <s v="Chicago"/>
    <x v="1"/>
    <n v="60631"/>
    <d v="2019-09-30T00:00:00"/>
    <x v="0"/>
    <n v="39"/>
    <n v="358961"/>
    <n v="45826"/>
    <n v="358961"/>
    <n v="311668"/>
    <n v="288506"/>
    <x v="0"/>
    <n v="0.08"/>
    <n v="23080.48"/>
    <n v="0.86825031131515684"/>
    <n v="9204.1282051282051"/>
  </r>
  <r>
    <s v="FIRST NATIONS BANK"/>
    <s v="Chicago"/>
    <x v="1"/>
    <n v="60631"/>
    <d v="2020-09-30T00:00:00"/>
    <x v="1"/>
    <n v="39"/>
    <n v="408552"/>
    <n v="82329"/>
    <n v="408552"/>
    <n v="358069"/>
    <n v="333578"/>
    <x v="0"/>
    <n v="0.08"/>
    <n v="26686.240000000002"/>
    <n v="0.87643433394035519"/>
    <n v="10475.692307692309"/>
  </r>
  <r>
    <s v="FIRST NATIONS BANK"/>
    <s v="Chicago"/>
    <x v="1"/>
    <n v="60631"/>
    <d v="2021-09-30T00:00:00"/>
    <x v="2"/>
    <n v="40"/>
    <n v="484056"/>
    <n v="160588"/>
    <n v="484056"/>
    <n v="432240"/>
    <n v="413285"/>
    <x v="0"/>
    <n v="0.08"/>
    <n v="33062.800000000003"/>
    <n v="0.89295453418612725"/>
    <n v="12101.4"/>
  </r>
  <r>
    <s v="FIRST NEIGHBOR BANK, NATIONAL ASSOCIATION"/>
    <s v="Toledo"/>
    <x v="1"/>
    <n v="62468"/>
    <d v="2019-09-30T00:00:00"/>
    <x v="0"/>
    <n v="109"/>
    <n v="437713"/>
    <n v="26568"/>
    <n v="437713"/>
    <n v="387260"/>
    <n v="345422"/>
    <x v="0"/>
    <n v="0.08"/>
    <n v="27633.760000000002"/>
    <n v="0.88473497474372476"/>
    <n v="4015.7155963302753"/>
  </r>
  <r>
    <s v="FIRST NEIGHBOR BANK, NATIONAL ASSOCIATION"/>
    <s v="Toledo"/>
    <x v="1"/>
    <n v="62468"/>
    <d v="2020-09-30T00:00:00"/>
    <x v="1"/>
    <n v="120"/>
    <n v="508582"/>
    <n v="65950"/>
    <n v="508582"/>
    <n v="455341"/>
    <n v="397988"/>
    <x v="0"/>
    <n v="0.08"/>
    <n v="31839.040000000001"/>
    <n v="0.89531481648976963"/>
    <n v="4238.1833333333334"/>
  </r>
  <r>
    <s v="FIRST NEIGHBOR BANK, NATIONAL ASSOCIATION"/>
    <s v="Toledo"/>
    <x v="1"/>
    <n v="62468"/>
    <d v="2021-09-30T00:00:00"/>
    <x v="2"/>
    <n v="123"/>
    <n v="544354"/>
    <n v="110345"/>
    <n v="544354"/>
    <n v="487899"/>
    <n v="437291"/>
    <x v="0"/>
    <n v="0.08"/>
    <n v="34983.279999999999"/>
    <n v="0.89628991428371974"/>
    <n v="4425.6422764227646"/>
  </r>
  <r>
    <s v="FIRST NORTHERN BANK OF DIXON"/>
    <s v="Dixon"/>
    <x v="0"/>
    <n v="95620"/>
    <d v="2019-09-30T00:00:00"/>
    <x v="0"/>
    <n v="209"/>
    <n v="1287263"/>
    <n v="151038"/>
    <n v="1287263"/>
    <n v="1161110"/>
    <n v="1141403"/>
    <x v="1"/>
    <n v="0.08"/>
    <n v="91312.24"/>
    <n v="0.90199904759167315"/>
    <n v="6159.1531100478469"/>
  </r>
  <r>
    <s v="FIRST NORTHERN BANK OF DIXON"/>
    <s v="Dixon"/>
    <x v="0"/>
    <n v="95620"/>
    <d v="2020-09-30T00:00:00"/>
    <x v="1"/>
    <n v="211"/>
    <n v="1677266"/>
    <n v="293785"/>
    <n v="1677266"/>
    <n v="1532736"/>
    <n v="1502841"/>
    <x v="1"/>
    <n v="0.08"/>
    <n v="120227.28"/>
    <n v="0.91383000668945769"/>
    <n v="7949.1279620853084"/>
  </r>
  <r>
    <s v="FIRST NORTHERN BANK OF DIXON"/>
    <s v="Dixon"/>
    <x v="0"/>
    <n v="95620"/>
    <d v="2021-09-30T00:00:00"/>
    <x v="2"/>
    <n v="189"/>
    <n v="1924456"/>
    <n v="429139"/>
    <n v="1924456"/>
    <n v="1771876"/>
    <n v="1751620"/>
    <x v="1"/>
    <n v="0.08"/>
    <n v="140129.60000000001"/>
    <n v="0.9207152566751331"/>
    <n v="10182.306878306877"/>
  </r>
  <r>
    <s v="FIRST REPUBLIC BANK"/>
    <s v="San Francisco"/>
    <x v="0"/>
    <n v="94111"/>
    <d v="2019-09-30T00:00:00"/>
    <x v="0"/>
    <n v="4880"/>
    <n v="111028735"/>
    <n v="2181600"/>
    <n v="111028735"/>
    <n v="101597529"/>
    <n v="85720519"/>
    <x v="1"/>
    <n v="0.08"/>
    <n v="6857641.5200000005"/>
    <n v="0.915056169918535"/>
    <n v="22751.789959016394"/>
  </r>
  <r>
    <s v="FIRST REPUBLIC BANK"/>
    <s v="San Francisco"/>
    <x v="0"/>
    <n v="94111"/>
    <d v="2020-09-30T00:00:00"/>
    <x v="1"/>
    <n v="5294"/>
    <n v="133225771"/>
    <n v="3691149"/>
    <n v="133225771"/>
    <n v="121881162"/>
    <n v="104403376"/>
    <x v="1"/>
    <n v="0.08"/>
    <n v="8352270.0800000001"/>
    <n v="0.91484673787326032"/>
    <n v="25165.427087268607"/>
  </r>
  <r>
    <s v="FIRST REPUBLIC BANK"/>
    <s v="San Francisco"/>
    <x v="0"/>
    <n v="94111"/>
    <d v="2021-09-30T00:00:00"/>
    <x v="2"/>
    <n v="6154"/>
    <n v="172570503"/>
    <n v="12279447"/>
    <n v="172570503"/>
    <n v="157768709"/>
    <n v="145326345"/>
    <x v="1"/>
    <n v="0.08"/>
    <n v="11626107.6"/>
    <n v="0.91422755486782115"/>
    <n v="28042.005687357818"/>
  </r>
  <r>
    <s v="FIRST ROBINSON SAVINGS BANK, NATIONAL ASSOCIATION"/>
    <s v="Robinson"/>
    <x v="1"/>
    <n v="62454"/>
    <d v="2019-09-30T00:00:00"/>
    <x v="0"/>
    <n v="87"/>
    <n v="338010"/>
    <n v="48685"/>
    <n v="338010"/>
    <n v="305500"/>
    <n v="278664"/>
    <x v="0"/>
    <n v="0.08"/>
    <n v="22293.119999999999"/>
    <n v="0.90381941362681573"/>
    <n v="3885.1724137931033"/>
  </r>
  <r>
    <s v="FIRST ROBINSON SAVINGS BANK, NATIONAL ASSOCIATION"/>
    <s v="Robinson"/>
    <x v="1"/>
    <n v="62454"/>
    <d v="2020-09-30T00:00:00"/>
    <x v="1"/>
    <n v="86"/>
    <n v="390480"/>
    <n v="30511"/>
    <n v="390480"/>
    <n v="355488"/>
    <n v="329582"/>
    <x v="0"/>
    <n v="0.08"/>
    <n v="26366.560000000001"/>
    <n v="0.91038721573448067"/>
    <n v="4540.4651162790697"/>
  </r>
  <r>
    <s v="FIRST ROBINSON SAVINGS BANK, NATIONAL ASSOCIATION"/>
    <s v="Robinson"/>
    <x v="1"/>
    <n v="62454"/>
    <d v="2021-09-30T00:00:00"/>
    <x v="2"/>
    <n v="89"/>
    <n v="437078"/>
    <n v="32491"/>
    <n v="437078"/>
    <n v="401674"/>
    <n v="366836"/>
    <x v="0"/>
    <n v="0.08"/>
    <n v="29346.880000000001"/>
    <n v="0.91899843963777628"/>
    <n v="4910.9887640449442"/>
  </r>
  <r>
    <s v="FIRST SAVANNA SAVINGS BANK"/>
    <s v="Savanna"/>
    <x v="1"/>
    <n v="61074"/>
    <d v="2019-09-30T00:00:00"/>
    <x v="0"/>
    <n v="6"/>
    <n v="11819"/>
    <n v="1167"/>
    <n v="11819"/>
    <n v="10629"/>
    <n v="10522"/>
    <x v="2"/>
    <n v="0.09"/>
    <n v="946.98"/>
    <n v="0.89931466283103478"/>
    <n v="1969.8333333333333"/>
  </r>
  <r>
    <s v="FIRST SAVANNA SAVINGS BANK"/>
    <s v="Savanna"/>
    <x v="1"/>
    <n v="61074"/>
    <d v="2020-09-30T00:00:00"/>
    <x v="1"/>
    <n v="6"/>
    <n v="11624"/>
    <n v="2268"/>
    <n v="11624"/>
    <n v="10775"/>
    <n v="10686"/>
    <x v="2"/>
    <n v="0.09"/>
    <n v="961.74"/>
    <n v="0.92696145905024085"/>
    <n v="1937.3333333333333"/>
  </r>
  <r>
    <s v="FIRST SAVANNA SAVINGS BANK"/>
    <s v="Savanna"/>
    <x v="1"/>
    <n v="61074"/>
    <d v="2021-09-30T00:00:00"/>
    <x v="2"/>
    <n v="6"/>
    <n v="10484"/>
    <n v="1571"/>
    <n v="10484"/>
    <n v="9919"/>
    <n v="9850"/>
    <x v="2"/>
    <n v="0.09"/>
    <n v="886.5"/>
    <n v="0.94610835558946971"/>
    <n v="1747.3333333333333"/>
  </r>
  <r>
    <s v="FIRST SAVINGS BANK"/>
    <s v="Danville"/>
    <x v="1"/>
    <n v="61832"/>
    <d v="2019-09-30T00:00:00"/>
    <x v="0"/>
    <n v="7"/>
    <n v="36121"/>
    <n v="4086"/>
    <n v="36121"/>
    <n v="26846"/>
    <n v="25773"/>
    <x v="2"/>
    <n v="0.09"/>
    <n v="2319.5699999999997"/>
    <n v="0.74322416322914653"/>
    <n v="5160.1428571428569"/>
  </r>
  <r>
    <s v="FIRST SAVINGS BANK"/>
    <s v="Danville"/>
    <x v="1"/>
    <n v="61832"/>
    <d v="2020-09-30T00:00:00"/>
    <x v="1"/>
    <n v="6"/>
    <n v="43404"/>
    <n v="6569"/>
    <n v="43404"/>
    <n v="33363"/>
    <n v="26379"/>
    <x v="2"/>
    <n v="0.09"/>
    <n v="2374.11"/>
    <n v="0.7686618744816146"/>
    <n v="7234"/>
  </r>
  <r>
    <s v="FIRST SAVINGS BANK"/>
    <s v="Danville"/>
    <x v="1"/>
    <n v="61832"/>
    <d v="2021-09-30T00:00:00"/>
    <x v="2"/>
    <n v="6"/>
    <n v="40992"/>
    <n v="6543"/>
    <n v="40992"/>
    <n v="30950"/>
    <n v="26182"/>
    <x v="2"/>
    <n v="0.09"/>
    <n v="2356.38"/>
    <n v="0.75502537080405929"/>
    <n v="6832"/>
  </r>
  <r>
    <s v="FIRST SAVINGS BANK OF HEGEWISCH"/>
    <s v="Chicago"/>
    <x v="1"/>
    <n v="60633"/>
    <d v="2019-09-30T00:00:00"/>
    <x v="0"/>
    <n v="117"/>
    <n v="673155"/>
    <n v="112393"/>
    <n v="673155"/>
    <n v="564620"/>
    <n v="562308"/>
    <x v="0"/>
    <n v="0.08"/>
    <n v="44984.639999999999"/>
    <n v="0.83876670306244472"/>
    <n v="5753.4615384615381"/>
  </r>
  <r>
    <s v="FIRST SAVINGS BANK OF HEGEWISCH"/>
    <s v="Chicago"/>
    <x v="1"/>
    <n v="60633"/>
    <d v="2020-09-30T00:00:00"/>
    <x v="1"/>
    <n v="111"/>
    <n v="722960"/>
    <n v="200586"/>
    <n v="722960"/>
    <n v="612741"/>
    <n v="610712"/>
    <x v="0"/>
    <n v="0.08"/>
    <n v="48856.959999999999"/>
    <n v="0.84754481575744167"/>
    <n v="6513.1531531531527"/>
  </r>
  <r>
    <s v="FIRST SAVINGS BANK OF HEGEWISCH"/>
    <s v="Chicago"/>
    <x v="1"/>
    <n v="60633"/>
    <d v="2021-09-30T00:00:00"/>
    <x v="2"/>
    <n v="102"/>
    <n v="781644"/>
    <n v="140926"/>
    <n v="781644"/>
    <n v="669834"/>
    <n v="667784"/>
    <x v="0"/>
    <n v="0.08"/>
    <n v="53422.720000000001"/>
    <n v="0.85695534028278864"/>
    <n v="7663.1764705882351"/>
  </r>
  <r>
    <s v="FIRST SECURE BANK AND TRUST CO."/>
    <s v="Palos Hills"/>
    <x v="1"/>
    <n v="60465"/>
    <d v="2019-09-30T00:00:00"/>
    <x v="0"/>
    <n v="31"/>
    <n v="169404"/>
    <n v="17143"/>
    <n v="169404"/>
    <n v="149989"/>
    <n v="146049"/>
    <x v="0"/>
    <n v="0.08"/>
    <n v="11683.92"/>
    <n v="0.88539231659228823"/>
    <n v="5464.6451612903229"/>
  </r>
  <r>
    <s v="FIRST SECURE BANK AND TRUST CO."/>
    <s v="Palos Hills"/>
    <x v="1"/>
    <n v="60465"/>
    <d v="2020-09-30T00:00:00"/>
    <x v="1"/>
    <n v="39"/>
    <n v="360903"/>
    <n v="37252"/>
    <n v="360903"/>
    <n v="339322"/>
    <n v="230091"/>
    <x v="0"/>
    <n v="0.08"/>
    <n v="18407.28"/>
    <n v="0.94020276916512191"/>
    <n v="9253.9230769230762"/>
  </r>
  <r>
    <s v="FIRST SECURE BANK AND TRUST CO."/>
    <s v="Palos Hills"/>
    <x v="1"/>
    <n v="60465"/>
    <d v="2021-09-30T00:00:00"/>
    <x v="2"/>
    <n v="41"/>
    <n v="355668"/>
    <n v="48772"/>
    <n v="355668"/>
    <n v="327479"/>
    <n v="273332"/>
    <x v="0"/>
    <n v="0.08"/>
    <n v="21866.560000000001"/>
    <n v="0.92074350236737634"/>
    <n v="8674.8292682926822"/>
  </r>
  <r>
    <s v="FIRST SECURE COMMUNITY BANK"/>
    <s v="Sugar Grove"/>
    <x v="1"/>
    <n v="60554"/>
    <d v="2019-09-30T00:00:00"/>
    <x v="0"/>
    <n v="40"/>
    <n v="361050"/>
    <n v="34180"/>
    <n v="361050"/>
    <n v="326358"/>
    <n v="295341"/>
    <x v="0"/>
    <n v="0.08"/>
    <n v="23627.279999999999"/>
    <n v="0.90391358537598665"/>
    <n v="9026.25"/>
  </r>
  <r>
    <s v="FIRST SECURE COMMUNITY BANK"/>
    <s v="Sugar Grove"/>
    <x v="1"/>
    <n v="60554"/>
    <d v="2020-09-30T00:00:00"/>
    <x v="1"/>
    <n v="59"/>
    <n v="436232"/>
    <n v="24114"/>
    <n v="436232"/>
    <n v="398247"/>
    <n v="366593"/>
    <x v="0"/>
    <n v="0.08"/>
    <n v="29327.440000000002"/>
    <n v="0.91292477397348204"/>
    <n v="7393.7627118644068"/>
  </r>
  <r>
    <s v="FIRST SECURE COMMUNITY BANK"/>
    <s v="Sugar Grove"/>
    <x v="1"/>
    <n v="60554"/>
    <d v="2021-09-30T00:00:00"/>
    <x v="2"/>
    <n v="48"/>
    <n v="490089"/>
    <n v="105474"/>
    <n v="490089"/>
    <n v="449776"/>
    <n v="422553"/>
    <x v="0"/>
    <n v="0.08"/>
    <n v="33804.239999999998"/>
    <n v="0.91774351189273784"/>
    <n v="10210.1875"/>
  </r>
  <r>
    <s v="FIRST SECURITY BANK"/>
    <s v="Mackinaw"/>
    <x v="1"/>
    <n v="61755"/>
    <d v="2019-09-30T00:00:00"/>
    <x v="0"/>
    <n v="20"/>
    <n v="84281"/>
    <n v="9446"/>
    <n v="84281"/>
    <n v="75766"/>
    <n v="74234"/>
    <x v="2"/>
    <n v="0.09"/>
    <n v="6681.0599999999995"/>
    <n v="0.89896892538057216"/>
    <n v="4214.05"/>
  </r>
  <r>
    <s v="FIRST SECURITY BANK"/>
    <s v="Mackinaw"/>
    <x v="1"/>
    <n v="61755"/>
    <d v="2020-09-30T00:00:00"/>
    <x v="1"/>
    <n v="20"/>
    <n v="91652"/>
    <n v="14542"/>
    <n v="91652"/>
    <n v="82917"/>
    <n v="77881"/>
    <x v="2"/>
    <n v="0.09"/>
    <n v="7009.29"/>
    <n v="0.90469384192379876"/>
    <n v="4582.6000000000004"/>
  </r>
  <r>
    <s v="FIRST SECURITY BANK"/>
    <s v="Mackinaw"/>
    <x v="1"/>
    <n v="61755"/>
    <d v="2021-09-30T00:00:00"/>
    <x v="2"/>
    <n v="20"/>
    <n v="101185"/>
    <n v="25591"/>
    <n v="101185"/>
    <n v="92470"/>
    <n v="87058"/>
    <x v="0"/>
    <n v="0.08"/>
    <n v="6964.64"/>
    <n v="0.91387063299896232"/>
    <n v="5059.25"/>
  </r>
  <r>
    <s v="FIRST SECURITY TRUST AND SAVINGS BANK"/>
    <s v="Elmwood Park"/>
    <x v="1"/>
    <n v="60707"/>
    <d v="2019-09-30T00:00:00"/>
    <x v="0"/>
    <n v="40"/>
    <n v="332791"/>
    <n v="138809"/>
    <n v="332791"/>
    <n v="303663"/>
    <n v="302096"/>
    <x v="0"/>
    <n v="0.08"/>
    <n v="24167.68"/>
    <n v="0.91247359453831378"/>
    <n v="8319.7749999999996"/>
  </r>
  <r>
    <s v="FIRST SECURITY TRUST AND SAVINGS BANK"/>
    <s v="Elmwood Park"/>
    <x v="1"/>
    <n v="60707"/>
    <d v="2020-09-30T00:00:00"/>
    <x v="1"/>
    <n v="37"/>
    <n v="308805"/>
    <n v="124991"/>
    <n v="308805"/>
    <n v="278207"/>
    <n v="276976"/>
    <x v="0"/>
    <n v="0.08"/>
    <n v="22158.080000000002"/>
    <n v="0.9009148167937695"/>
    <n v="8346.0810810810817"/>
  </r>
  <r>
    <s v="FIRST SECURITY TRUST AND SAVINGS BANK"/>
    <s v="Elmwood Park"/>
    <x v="1"/>
    <n v="60707"/>
    <d v="2021-09-30T00:00:00"/>
    <x v="2"/>
    <n v="36"/>
    <n v="371550"/>
    <n v="101710"/>
    <n v="371550"/>
    <n v="342055"/>
    <n v="340604"/>
    <x v="0"/>
    <n v="0.08"/>
    <n v="27248.32"/>
    <n v="0.92061633696676082"/>
    <n v="10320.833333333334"/>
  </r>
  <r>
    <s v="FIRST SOUTHERN BANK"/>
    <s v="Marion"/>
    <x v="1"/>
    <n v="62959"/>
    <d v="2019-09-30T00:00:00"/>
    <x v="0"/>
    <n v="148"/>
    <n v="702909"/>
    <n v="33793"/>
    <n v="702909"/>
    <n v="603716"/>
    <n v="559230"/>
    <x v="0"/>
    <n v="0.08"/>
    <n v="44738.400000000001"/>
    <n v="0.85888215971057424"/>
    <n v="4749.385135135135"/>
  </r>
  <r>
    <s v="FIRST SOUTHERN BANK"/>
    <s v="Marion"/>
    <x v="1"/>
    <n v="62959"/>
    <d v="2020-09-30T00:00:00"/>
    <x v="1"/>
    <n v="142"/>
    <n v="758721"/>
    <n v="30976"/>
    <n v="758721"/>
    <n v="656077"/>
    <n v="624655"/>
    <x v="0"/>
    <n v="0.08"/>
    <n v="49972.4"/>
    <n v="0.86471443389599079"/>
    <n v="5343.1056338028166"/>
  </r>
  <r>
    <s v="FIRST SOUTHERN BANK"/>
    <s v="Marion"/>
    <x v="1"/>
    <n v="62959"/>
    <d v="2021-09-30T00:00:00"/>
    <x v="2"/>
    <n v="132"/>
    <n v="781000"/>
    <n v="17482"/>
    <n v="781000"/>
    <n v="674055"/>
    <n v="641702"/>
    <x v="0"/>
    <n v="0.08"/>
    <n v="51336.160000000003"/>
    <n v="0.86306658130601788"/>
    <n v="5916.666666666667"/>
  </r>
  <r>
    <s v="FIRST STATE BANK"/>
    <s v="Mendota"/>
    <x v="1"/>
    <n v="61342"/>
    <d v="2019-09-30T00:00:00"/>
    <x v="0"/>
    <n v="307"/>
    <n v="1136645"/>
    <n v="31844"/>
    <n v="1136645"/>
    <n v="1017828"/>
    <n v="961285"/>
    <x v="1"/>
    <n v="7.4999999999999997E-2"/>
    <n v="72096.375"/>
    <n v="0.89546692239001624"/>
    <n v="3702.4267100977199"/>
  </r>
  <r>
    <s v="FIRST STATE BANK"/>
    <s v="Monticello"/>
    <x v="1"/>
    <n v="61856"/>
    <d v="2019-09-30T00:00:00"/>
    <x v="0"/>
    <n v="66"/>
    <n v="271849"/>
    <n v="41376"/>
    <n v="271849"/>
    <n v="247615"/>
    <n v="244218"/>
    <x v="0"/>
    <n v="0.08"/>
    <n v="19537.439999999999"/>
    <n v="0.91085492313747707"/>
    <n v="4118.924242424242"/>
  </r>
  <r>
    <s v="FIRST STATE BANK"/>
    <s v="Mendota"/>
    <x v="1"/>
    <n v="61342"/>
    <d v="2020-09-30T00:00:00"/>
    <x v="1"/>
    <n v="329"/>
    <n v="1319671"/>
    <n v="78551"/>
    <n v="1319671"/>
    <n v="1183200"/>
    <n v="1127993"/>
    <x v="1"/>
    <n v="7.4999999999999997E-2"/>
    <n v="84599.474999999991"/>
    <n v="0.89658710390695862"/>
    <n v="4011.1580547112462"/>
  </r>
  <r>
    <s v="FIRST STATE BANK"/>
    <s v="Monticello"/>
    <x v="1"/>
    <n v="61856"/>
    <d v="2020-09-30T00:00:00"/>
    <x v="1"/>
    <n v="66"/>
    <n v="288474"/>
    <n v="50006"/>
    <n v="288474"/>
    <n v="261562"/>
    <n v="255356"/>
    <x v="0"/>
    <n v="0.08"/>
    <n v="20428.48"/>
    <n v="0.9067090968336835"/>
    <n v="4370.818181818182"/>
  </r>
  <r>
    <s v="FIRST STATE BANK"/>
    <s v="Mendota"/>
    <x v="1"/>
    <n v="61342"/>
    <d v="2021-09-30T00:00:00"/>
    <x v="2"/>
    <n v="331"/>
    <n v="1374935"/>
    <n v="159009"/>
    <n v="1374935"/>
    <n v="1226186"/>
    <n v="1179731"/>
    <x v="1"/>
    <n v="7.4999999999999997E-2"/>
    <n v="88479.824999999997"/>
    <n v="0.89181379483393763"/>
    <n v="4153.8821752265858"/>
  </r>
  <r>
    <s v="FIRST STATE BANK"/>
    <s v="Monticello"/>
    <x v="1"/>
    <n v="61856"/>
    <d v="2021-09-30T00:00:00"/>
    <x v="2"/>
    <n v="63"/>
    <n v="327718"/>
    <n v="85478"/>
    <n v="327718"/>
    <n v="301296"/>
    <n v="295795"/>
    <x v="0"/>
    <n v="0.08"/>
    <n v="23663.600000000002"/>
    <n v="0.91937580480779202"/>
    <n v="5201.8730158730159"/>
  </r>
  <r>
    <s v="FIRST STATE BANK OF BEECHER CITY"/>
    <s v="Beecher City"/>
    <x v="1"/>
    <n v="62414"/>
    <d v="2019-09-30T00:00:00"/>
    <x v="0"/>
    <n v="14"/>
    <n v="72663"/>
    <n v="10276"/>
    <n v="72663"/>
    <n v="59158"/>
    <n v="58968"/>
    <x v="2"/>
    <n v="0.09"/>
    <n v="5307.12"/>
    <n v="0.81414199799072429"/>
    <n v="5190.2142857142853"/>
  </r>
  <r>
    <s v="FIRST STATE BANK OF BEECHER CITY"/>
    <s v="Beecher City"/>
    <x v="1"/>
    <n v="62414"/>
    <d v="2020-09-30T00:00:00"/>
    <x v="1"/>
    <n v="13"/>
    <n v="81707"/>
    <n v="14663"/>
    <n v="81707"/>
    <n v="70331"/>
    <n v="70110"/>
    <x v="2"/>
    <n v="0.09"/>
    <n v="6309.9"/>
    <n v="0.86077080299117581"/>
    <n v="6285.1538461538457"/>
  </r>
  <r>
    <s v="FIRST STATE BANK OF BEECHER CITY"/>
    <s v="Beecher City"/>
    <x v="1"/>
    <n v="62414"/>
    <d v="2021-09-30T00:00:00"/>
    <x v="2"/>
    <n v="13"/>
    <n v="92049"/>
    <n v="4254"/>
    <n v="92049"/>
    <n v="79958"/>
    <n v="79775"/>
    <x v="2"/>
    <n v="0.09"/>
    <n v="7179.75"/>
    <n v="0.86864604721398386"/>
    <n v="7080.6923076923076"/>
  </r>
  <r>
    <s v="FIRST STATE BANK OF BLOOMINGTON"/>
    <s v="Bloomington"/>
    <x v="1"/>
    <n v="61704"/>
    <d v="2019-09-30T00:00:00"/>
    <x v="0"/>
    <n v="38"/>
    <n v="121525"/>
    <n v="20059"/>
    <n v="121525"/>
    <n v="110120"/>
    <n v="109878"/>
    <x v="0"/>
    <n v="0.08"/>
    <n v="8790.24"/>
    <n v="0.90615099773709118"/>
    <n v="3198.0263157894738"/>
  </r>
  <r>
    <s v="FIRST STATE BANK OF BLOOMINGTON"/>
    <s v="Bloomington"/>
    <x v="1"/>
    <n v="61704"/>
    <d v="2020-09-30T00:00:00"/>
    <x v="1"/>
    <n v="36"/>
    <n v="142501"/>
    <n v="26630"/>
    <n v="142501"/>
    <n v="129709"/>
    <n v="125182"/>
    <x v="0"/>
    <n v="0.08"/>
    <n v="10014.56"/>
    <n v="0.91023220889677969"/>
    <n v="3958.3611111111113"/>
  </r>
  <r>
    <s v="FIRST STATE BANK OF BLOOMINGTON"/>
    <s v="Bloomington"/>
    <x v="1"/>
    <n v="61704"/>
    <d v="2021-09-30T00:00:00"/>
    <x v="2"/>
    <n v="36"/>
    <n v="161323"/>
    <n v="43590"/>
    <n v="161323"/>
    <n v="148377"/>
    <n v="148002"/>
    <x v="0"/>
    <n v="0.08"/>
    <n v="11840.16"/>
    <n v="0.91975105843556093"/>
    <n v="4481.1944444444443"/>
  </r>
  <r>
    <s v="FIRST STATE BANK OF CAMPBELL HILL"/>
    <s v="Campbell Hill"/>
    <x v="1"/>
    <n v="62916"/>
    <d v="2019-09-30T00:00:00"/>
    <x v="0"/>
    <n v="31"/>
    <n v="115752"/>
    <n v="11388"/>
    <n v="115752"/>
    <n v="102583"/>
    <n v="101118"/>
    <x v="0"/>
    <n v="0.08"/>
    <n v="8089.4400000000005"/>
    <n v="0.88623090745732258"/>
    <n v="3733.9354838709678"/>
  </r>
  <r>
    <s v="FIRST STATE BANK OF CAMPBELL HILL"/>
    <s v="Campbell Hill"/>
    <x v="1"/>
    <n v="62916"/>
    <d v="2020-09-30T00:00:00"/>
    <x v="1"/>
    <n v="30"/>
    <n v="130365"/>
    <n v="14677"/>
    <n v="130365"/>
    <n v="115663"/>
    <n v="110034"/>
    <x v="0"/>
    <n v="0.08"/>
    <n v="8802.7199999999993"/>
    <n v="0.88722433168411763"/>
    <n v="4345.5"/>
  </r>
  <r>
    <s v="FIRST STATE BANK OF CAMPBELL HILL"/>
    <s v="Campbell Hill"/>
    <x v="1"/>
    <n v="62916"/>
    <d v="2021-09-30T00:00:00"/>
    <x v="2"/>
    <n v="30"/>
    <n v="138821"/>
    <n v="15622"/>
    <n v="138821"/>
    <n v="122899"/>
    <n v="121320"/>
    <x v="0"/>
    <n v="0.08"/>
    <n v="9705.6"/>
    <n v="0.88530553734665507"/>
    <n v="4627.3666666666668"/>
  </r>
  <r>
    <s v="FIRST STATE BANK OF FORREST"/>
    <s v="Forrest"/>
    <x v="1"/>
    <n v="61741"/>
    <d v="2019-09-30T00:00:00"/>
    <x v="0"/>
    <n v="53"/>
    <n v="229272"/>
    <n v="20315"/>
    <n v="229272"/>
    <n v="210604"/>
    <n v="198326"/>
    <x v="0"/>
    <n v="0.08"/>
    <n v="15866.08"/>
    <n v="0.91857706130709371"/>
    <n v="4325.8867924528304"/>
  </r>
  <r>
    <s v="FIRST STATE BANK OF FORREST"/>
    <s v="Forrest"/>
    <x v="1"/>
    <n v="61741"/>
    <d v="2020-09-30T00:00:00"/>
    <x v="1"/>
    <n v="51"/>
    <n v="236737"/>
    <n v="27879"/>
    <n v="236737"/>
    <n v="216997"/>
    <n v="210495"/>
    <x v="0"/>
    <n v="0.08"/>
    <n v="16839.599999999999"/>
    <n v="0.91661632951334182"/>
    <n v="4641.9019607843138"/>
  </r>
  <r>
    <s v="FIRST STATE BANK OF FORREST"/>
    <s v="Forrest"/>
    <x v="1"/>
    <n v="61741"/>
    <d v="2021-09-30T00:00:00"/>
    <x v="2"/>
    <n v="54"/>
    <n v="243659"/>
    <n v="18951"/>
    <n v="243659"/>
    <n v="221916"/>
    <n v="217497"/>
    <x v="0"/>
    <n v="0.08"/>
    <n v="17399.760000000002"/>
    <n v="0.91076463418137643"/>
    <n v="4512.2037037037035"/>
  </r>
  <r>
    <s v="FIRST STATE BANK OF OLMSTED"/>
    <s v="Olmsted"/>
    <x v="1"/>
    <n v="62970"/>
    <d v="2019-09-30T00:00:00"/>
    <x v="0"/>
    <n v="17"/>
    <n v="50895"/>
    <n v="2428"/>
    <n v="50895"/>
    <n v="44150"/>
    <n v="43869"/>
    <x v="2"/>
    <n v="0.09"/>
    <n v="3948.21"/>
    <n v="0.86747224678259161"/>
    <n v="2993.8235294117649"/>
  </r>
  <r>
    <s v="FIRST STATE BANK OF OLMSTED"/>
    <s v="Olmsted"/>
    <x v="1"/>
    <n v="62970"/>
    <d v="2020-09-30T00:00:00"/>
    <x v="1"/>
    <n v="18"/>
    <n v="61143"/>
    <n v="6476"/>
    <n v="61143"/>
    <n v="53900"/>
    <n v="49596"/>
    <x v="2"/>
    <n v="0.09"/>
    <n v="4463.6399999999994"/>
    <n v="0.88153999640187752"/>
    <n v="3396.8333333333335"/>
  </r>
  <r>
    <s v="FIRST STATE BANK OF OLMSTED"/>
    <s v="Olmsted"/>
    <x v="1"/>
    <n v="62970"/>
    <d v="2021-09-30T00:00:00"/>
    <x v="2"/>
    <n v="17"/>
    <n v="65238"/>
    <n v="5824"/>
    <n v="65238"/>
    <n v="57540"/>
    <n v="56309"/>
    <x v="2"/>
    <n v="0.09"/>
    <n v="5067.8099999999995"/>
    <n v="0.88200128759312058"/>
    <n v="3837.5294117647059"/>
  </r>
  <r>
    <s v="FIRST STATE BANK OF ST. PETER"/>
    <s v="Saint Peter"/>
    <x v="1"/>
    <n v="62880"/>
    <d v="2019-09-30T00:00:00"/>
    <x v="0"/>
    <n v="5"/>
    <n v="28640"/>
    <n v="2668"/>
    <n v="28640"/>
    <n v="23650"/>
    <n v="23516"/>
    <x v="2"/>
    <n v="0.09"/>
    <n v="2116.44"/>
    <n v="0.82576815642458101"/>
    <n v="5728"/>
  </r>
  <r>
    <s v="FIRST STATE BANK OF ST. PETER"/>
    <s v="Saint Peter"/>
    <x v="1"/>
    <n v="62880"/>
    <d v="2020-09-30T00:00:00"/>
    <x v="1"/>
    <n v="5"/>
    <n v="29980"/>
    <n v="9188"/>
    <n v="29980"/>
    <n v="24905"/>
    <n v="24738"/>
    <x v="2"/>
    <n v="0.09"/>
    <n v="2226.42"/>
    <n v="0.83072048032021351"/>
    <n v="5996"/>
  </r>
  <r>
    <s v="FIRST STATE BANK OF ST. PETER"/>
    <s v="Saint Peter"/>
    <x v="1"/>
    <n v="62880"/>
    <d v="2021-09-30T00:00:00"/>
    <x v="2"/>
    <n v="5"/>
    <n v="33530"/>
    <n v="13956"/>
    <n v="33530"/>
    <n v="28389"/>
    <n v="28265"/>
    <x v="2"/>
    <n v="0.09"/>
    <n v="2543.85"/>
    <n v="0.84667461974351332"/>
    <n v="6706"/>
  </r>
  <r>
    <s v="FIRST STATE BANK OF VAN ORIN"/>
    <s v="Van Orin"/>
    <x v="1"/>
    <n v="61374"/>
    <d v="2019-09-30T00:00:00"/>
    <x v="0"/>
    <n v="7"/>
    <n v="40461"/>
    <n v="12386"/>
    <n v="40461"/>
    <n v="36116"/>
    <n v="35678"/>
    <x v="2"/>
    <n v="0.09"/>
    <n v="3211.02"/>
    <n v="0.8926126393317021"/>
    <n v="5780.1428571428569"/>
  </r>
  <r>
    <s v="FIRST STATE BANK OF VAN ORIN"/>
    <s v="Van Orin"/>
    <x v="1"/>
    <n v="61374"/>
    <d v="2020-09-30T00:00:00"/>
    <x v="1"/>
    <n v="8"/>
    <n v="42582"/>
    <n v="15915"/>
    <n v="42582"/>
    <n v="37813"/>
    <n v="37379"/>
    <x v="2"/>
    <n v="0.09"/>
    <n v="3364.1099999999997"/>
    <n v="0.88800432107463245"/>
    <n v="5322.75"/>
  </r>
  <r>
    <s v="FIRST STATE BANK OF VAN ORIN"/>
    <s v="Van Orin"/>
    <x v="1"/>
    <n v="61374"/>
    <d v="2021-09-30T00:00:00"/>
    <x v="2"/>
    <n v="7"/>
    <n v="46170"/>
    <n v="16477"/>
    <n v="46170"/>
    <n v="41511"/>
    <n v="41101"/>
    <x v="2"/>
    <n v="0.09"/>
    <n v="3699.0899999999997"/>
    <n v="0.89909031838856401"/>
    <n v="6595.7142857142853"/>
  </r>
  <r>
    <s v="FIRST STATE BANK SHANNON-POLO"/>
    <s v="Shannon"/>
    <x v="1"/>
    <n v="61078"/>
    <d v="2019-09-30T00:00:00"/>
    <x v="0"/>
    <n v="41"/>
    <n v="165158"/>
    <n v="4828"/>
    <n v="165158"/>
    <n v="147739"/>
    <n v="142465"/>
    <x v="0"/>
    <n v="0.08"/>
    <n v="11397.2"/>
    <n v="0.89453129730318848"/>
    <n v="4028.2439024390242"/>
  </r>
  <r>
    <s v="FIRST STATE BANK SHANNON-POLO"/>
    <s v="Shannon"/>
    <x v="1"/>
    <n v="61078"/>
    <d v="2020-09-30T00:00:00"/>
    <x v="1"/>
    <n v="42"/>
    <n v="186653"/>
    <n v="17885"/>
    <n v="186653"/>
    <n v="167076"/>
    <n v="162697"/>
    <x v="0"/>
    <n v="0.08"/>
    <n v="13015.76"/>
    <n v="0.89511553524454468"/>
    <n v="4444.1190476190477"/>
  </r>
  <r>
    <s v="FIRST STATE BANK SHANNON-POLO"/>
    <s v="Shannon"/>
    <x v="1"/>
    <n v="61078"/>
    <d v="2021-09-30T00:00:00"/>
    <x v="2"/>
    <n v="42"/>
    <n v="209574"/>
    <n v="9151"/>
    <n v="209574"/>
    <n v="190190"/>
    <n v="184439"/>
    <x v="0"/>
    <n v="0.08"/>
    <n v="14755.12"/>
    <n v="0.90750761067689689"/>
    <n v="4989.8571428571431"/>
  </r>
  <r>
    <s v="FIRST TRUST &amp; SAVINGS BANK OF ALBANY, ILLINOIS"/>
    <s v="Albany"/>
    <x v="1"/>
    <n v="61230"/>
    <d v="2019-09-30T00:00:00"/>
    <x v="0"/>
    <n v="29"/>
    <n v="172553"/>
    <n v="6732"/>
    <n v="172553"/>
    <n v="146501"/>
    <n v="146035"/>
    <x v="0"/>
    <n v="0.08"/>
    <n v="11682.800000000001"/>
    <n v="0.84902030100896542"/>
    <n v="5950.1034482758623"/>
  </r>
  <r>
    <s v="FIRST TRUST BANK OF ILLINOIS"/>
    <s v="Kankakee"/>
    <x v="1"/>
    <n v="60901"/>
    <d v="2019-09-30T00:00:00"/>
    <x v="0"/>
    <n v="31"/>
    <n v="233546"/>
    <n v="8648"/>
    <n v="233546"/>
    <n v="206079"/>
    <n v="181803"/>
    <x v="0"/>
    <n v="0.08"/>
    <n v="14544.24"/>
    <n v="0.88239147748195212"/>
    <n v="7533.7419354838712"/>
  </r>
  <r>
    <s v="FIRST TRUST BANK OF ILLINOIS"/>
    <s v="Kankakee"/>
    <x v="1"/>
    <n v="60901"/>
    <d v="2020-09-30T00:00:00"/>
    <x v="1"/>
    <n v="47"/>
    <n v="342385"/>
    <n v="28309"/>
    <n v="342385"/>
    <n v="306150"/>
    <n v="260825"/>
    <x v="0"/>
    <n v="0.08"/>
    <n v="20866"/>
    <n v="0.89416884501365423"/>
    <n v="7284.7872340425529"/>
  </r>
  <r>
    <s v="FIRST TRUST BANK OF ILLINOIS"/>
    <s v="Kankakee"/>
    <x v="1"/>
    <n v="60901"/>
    <d v="2021-09-30T00:00:00"/>
    <x v="2"/>
    <n v="47"/>
    <n v="381686"/>
    <n v="37968"/>
    <n v="381686"/>
    <n v="343825"/>
    <n v="295720"/>
    <x v="0"/>
    <n v="0.08"/>
    <n v="23657.600000000002"/>
    <n v="0.90080589804184596"/>
    <n v="8120.9787234042551"/>
  </r>
  <r>
    <s v="FIVE STAR BANK"/>
    <s v="Warsaw"/>
    <x v="2"/>
    <n v="14569"/>
    <d v="2019-09-30T00:00:00"/>
    <x v="0"/>
    <n v="639"/>
    <n v="4299352"/>
    <n v="136815"/>
    <n v="4299352"/>
    <n v="3863810"/>
    <n v="3600633"/>
    <x v="1"/>
    <n v="0.08"/>
    <n v="288050.64"/>
    <n v="0.89869589649789083"/>
    <n v="6728.2503912363063"/>
  </r>
  <r>
    <s v="FIVE STAR BANK"/>
    <s v="Roseville"/>
    <x v="0"/>
    <n v="95661"/>
    <d v="2019-09-30T00:00:00"/>
    <x v="0"/>
    <n v="108"/>
    <n v="1423428"/>
    <n v="183226"/>
    <n v="1423428"/>
    <n v="1293493"/>
    <n v="1235877"/>
    <x v="1"/>
    <n v="0.08"/>
    <n v="98870.16"/>
    <n v="0.90871684412558973"/>
    <n v="13179.888888888889"/>
  </r>
  <r>
    <s v="FIVE STAR BANK"/>
    <s v="Warsaw"/>
    <x v="2"/>
    <n v="14569"/>
    <d v="2020-09-30T00:00:00"/>
    <x v="1"/>
    <n v="572"/>
    <n v="4922251"/>
    <n v="277537"/>
    <n v="4922251"/>
    <n v="4464057"/>
    <n v="4375465"/>
    <x v="1"/>
    <n v="0.08"/>
    <n v="350037.2"/>
    <n v="0.90691372707324347"/>
    <n v="8605.3339160839168"/>
  </r>
  <r>
    <s v="FIVE STAR BANK"/>
    <s v="Roseville"/>
    <x v="0"/>
    <n v="95661"/>
    <d v="2020-09-30T00:00:00"/>
    <x v="1"/>
    <n v="130"/>
    <n v="2057242"/>
    <n v="363592"/>
    <n v="2057242"/>
    <n v="1900989"/>
    <n v="1894769"/>
    <x v="1"/>
    <n v="0.08"/>
    <n v="151581.51999999999"/>
    <n v="0.92404734105175768"/>
    <n v="15824.938461538462"/>
  </r>
  <r>
    <s v="FIVE STAR BANK"/>
    <s v="Warsaw"/>
    <x v="2"/>
    <n v="14569"/>
    <d v="2021-09-30T00:00:00"/>
    <x v="2"/>
    <n v="561"/>
    <n v="5583776"/>
    <n v="283785"/>
    <n v="5583776"/>
    <n v="5075950"/>
    <n v="5006219"/>
    <x v="1"/>
    <n v="0.08"/>
    <n v="400497.52"/>
    <n v="0.9090533001323835"/>
    <n v="9953.254901960785"/>
  </r>
  <r>
    <s v="FIVE STAR BANK"/>
    <s v="Roseville"/>
    <x v="0"/>
    <n v="95661"/>
    <d v="2021-09-30T00:00:00"/>
    <x v="2"/>
    <n v="145"/>
    <n v="2433819"/>
    <n v="548036"/>
    <n v="2433819"/>
    <n v="2184592"/>
    <n v="2173697"/>
    <x v="1"/>
    <n v="0.08"/>
    <n v="173895.76"/>
    <n v="0.89759838344593412"/>
    <n v="16784.958620689657"/>
  </r>
  <r>
    <s v="FLANAGAN STATE BANK"/>
    <s v="Flanagan"/>
    <x v="1"/>
    <n v="61740"/>
    <d v="2019-09-30T00:00:00"/>
    <x v="0"/>
    <n v="166"/>
    <n v="187732"/>
    <n v="3469"/>
    <n v="187732"/>
    <n v="167420"/>
    <n v="165384"/>
    <x v="0"/>
    <n v="0.08"/>
    <n v="13230.720000000001"/>
    <n v="0.89180320882960817"/>
    <n v="1130.9156626506024"/>
  </r>
  <r>
    <s v="FLANAGAN STATE BANK"/>
    <s v="Flanagan"/>
    <x v="1"/>
    <n v="61740"/>
    <d v="2020-09-30T00:00:00"/>
    <x v="1"/>
    <n v="170"/>
    <n v="215258"/>
    <n v="3865"/>
    <n v="215257"/>
    <n v="188659"/>
    <n v="186013"/>
    <x v="0"/>
    <n v="0.08"/>
    <n v="14881.04"/>
    <n v="0.87643200252719988"/>
    <n v="1266.2235294117647"/>
  </r>
  <r>
    <s v="FLANAGAN STATE BANK"/>
    <s v="Flanagan"/>
    <x v="1"/>
    <n v="61740"/>
    <d v="2021-09-30T00:00:00"/>
    <x v="2"/>
    <n v="181"/>
    <n v="247329"/>
    <n v="7816"/>
    <n v="247329"/>
    <n v="218932"/>
    <n v="217038"/>
    <x v="0"/>
    <n v="0.08"/>
    <n v="17363.04"/>
    <n v="0.88518531995843597"/>
    <n v="1366.4585635359117"/>
  </r>
  <r>
    <s v="FLORA BANK &amp; TRUST"/>
    <s v="Flora"/>
    <x v="1"/>
    <n v="62839"/>
    <d v="2019-09-30T00:00:00"/>
    <x v="0"/>
    <n v="20"/>
    <n v="69314"/>
    <n v="14930"/>
    <n v="69314"/>
    <n v="60698"/>
    <n v="60379"/>
    <x v="2"/>
    <n v="0.09"/>
    <n v="5434.11"/>
    <n v="0.87569610756845662"/>
    <n v="3465.7"/>
  </r>
  <r>
    <s v="FLORA BANK &amp; TRUST"/>
    <s v="Flora"/>
    <x v="1"/>
    <n v="62839"/>
    <d v="2020-09-30T00:00:00"/>
    <x v="1"/>
    <n v="18"/>
    <n v="95387"/>
    <n v="20884"/>
    <n v="95387"/>
    <n v="86216"/>
    <n v="81752"/>
    <x v="2"/>
    <n v="0.09"/>
    <n v="7357.6799999999994"/>
    <n v="0.90385482298426412"/>
    <n v="5299.2777777777774"/>
  </r>
  <r>
    <s v="FLORA BANK &amp; TRUST"/>
    <s v="Flora"/>
    <x v="1"/>
    <n v="62839"/>
    <d v="2021-09-30T00:00:00"/>
    <x v="2"/>
    <n v="16"/>
    <n v="101863"/>
    <n v="13941"/>
    <n v="101863"/>
    <n v="92208"/>
    <n v="91799"/>
    <x v="0"/>
    <n v="0.08"/>
    <n v="7343.92"/>
    <n v="0.90521582910379628"/>
    <n v="6366.4375"/>
  </r>
  <r>
    <s v="FLORENCE BANK"/>
    <s v="Florence"/>
    <x v="3"/>
    <n v="1062"/>
    <d v="2019-09-30T00:00:00"/>
    <x v="0"/>
    <n v="207"/>
    <n v="1415613"/>
    <n v="41784"/>
    <n v="1415613"/>
    <n v="1259821"/>
    <n v="1219573"/>
    <x v="1"/>
    <n v="0.08"/>
    <n v="97565.84"/>
    <n v="0.88994732317377701"/>
    <n v="6838.710144927536"/>
  </r>
  <r>
    <s v="FLORENCE BANK"/>
    <s v="Florence"/>
    <x v="3"/>
    <n v="1062"/>
    <d v="2020-09-30T00:00:00"/>
    <x v="1"/>
    <n v="197"/>
    <n v="1680243"/>
    <n v="195168"/>
    <n v="1680243"/>
    <n v="1512635"/>
    <n v="1484401"/>
    <x v="1"/>
    <n v="0.08"/>
    <n v="118752.08"/>
    <n v="0.90024776178207555"/>
    <n v="8529.1522842639588"/>
  </r>
  <r>
    <s v="FLORENCE BANK"/>
    <s v="Florence"/>
    <x v="3"/>
    <n v="1062"/>
    <d v="2021-09-30T00:00:00"/>
    <x v="2"/>
    <n v="202"/>
    <n v="1870255"/>
    <n v="265135"/>
    <n v="1870255"/>
    <n v="1695105"/>
    <n v="1669105"/>
    <x v="1"/>
    <n v="0.08"/>
    <n v="133528.4"/>
    <n v="0.90634966889541801"/>
    <n v="9258.6881188118805"/>
  </r>
  <r>
    <s v="FLUSHING BANK"/>
    <s v="Uniondale"/>
    <x v="2"/>
    <n v="11556"/>
    <d v="2019-09-30T00:00:00"/>
    <x v="0"/>
    <n v="460"/>
    <n v="7110871"/>
    <n v="86481"/>
    <n v="7110871"/>
    <n v="6437021"/>
    <n v="4986969"/>
    <x v="1"/>
    <n v="0.08"/>
    <n v="398957.52"/>
    <n v="0.90523664400605774"/>
    <n v="15458.415217391304"/>
  </r>
  <r>
    <s v="FLUSHING BANK"/>
    <s v="Uniondale"/>
    <x v="2"/>
    <n v="11556"/>
    <d v="2020-09-30T00:00:00"/>
    <x v="1"/>
    <n v="475"/>
    <n v="7065502"/>
    <n v="74994"/>
    <n v="7065502"/>
    <n v="6382153"/>
    <n v="4983114"/>
    <x v="1"/>
    <n v="0.08"/>
    <n v="398649.12"/>
    <n v="0.90328372987510297"/>
    <n v="14874.74105263158"/>
  </r>
  <r>
    <s v="FLUSHING BANK"/>
    <s v="Uniondale"/>
    <x v="2"/>
    <n v="11556"/>
    <d v="2021-09-30T00:00:00"/>
    <x v="2"/>
    <n v="531"/>
    <n v="8078144"/>
    <n v="178001"/>
    <n v="8078144"/>
    <n v="7275243"/>
    <n v="6497088"/>
    <x v="1"/>
    <n v="0.08"/>
    <n v="519767.04000000004"/>
    <n v="0.90060823377251009"/>
    <n v="15213.077212806027"/>
  </r>
  <r>
    <s v="FNBC BANK &amp; TRUST"/>
    <s v="La Grange"/>
    <x v="1"/>
    <n v="60525"/>
    <d v="2019-09-30T00:00:00"/>
    <x v="0"/>
    <n v="99"/>
    <n v="520178"/>
    <n v="42034"/>
    <n v="520178"/>
    <n v="463522"/>
    <n v="461352"/>
    <x v="0"/>
    <n v="0.08"/>
    <n v="36908.160000000003"/>
    <n v="0.89108343682354885"/>
    <n v="5254.3232323232323"/>
  </r>
  <r>
    <s v="FNBC BANK &amp; TRUST"/>
    <s v="La Grange"/>
    <x v="1"/>
    <n v="60525"/>
    <d v="2020-09-30T00:00:00"/>
    <x v="1"/>
    <n v="96"/>
    <n v="584768"/>
    <n v="81867"/>
    <n v="584768"/>
    <n v="523579"/>
    <n v="520323"/>
    <x v="0"/>
    <n v="0.08"/>
    <n v="41625.840000000004"/>
    <n v="0.89536192130896353"/>
    <n v="6091.333333333333"/>
  </r>
  <r>
    <s v="FNBC BANK &amp; TRUST"/>
    <s v="La Grange"/>
    <x v="1"/>
    <n v="60525"/>
    <d v="2021-09-30T00:00:00"/>
    <x v="2"/>
    <n v="94"/>
    <n v="656849"/>
    <n v="73362"/>
    <n v="656849"/>
    <n v="597217"/>
    <n v="594530"/>
    <x v="0"/>
    <n v="0.08"/>
    <n v="47562.400000000001"/>
    <n v="0.90921505551504223"/>
    <n v="6987.755319148936"/>
  </r>
  <r>
    <s v="FOREST PARK NATIONAL BANK AND TRUST COMPANY"/>
    <s v="Forest Park"/>
    <x v="1"/>
    <n v="60130"/>
    <d v="2019-09-30T00:00:00"/>
    <x v="0"/>
    <n v="50"/>
    <n v="237535"/>
    <n v="21559"/>
    <n v="237535"/>
    <n v="216549"/>
    <n v="213968"/>
    <x v="0"/>
    <n v="0.08"/>
    <n v="17117.439999999999"/>
    <n v="0.9116509146020586"/>
    <n v="4750.7"/>
  </r>
  <r>
    <s v="FOREST PARK NATIONAL BANK AND TRUST COMPANY"/>
    <s v="Forest Park"/>
    <x v="1"/>
    <n v="60130"/>
    <d v="2020-09-30T00:00:00"/>
    <x v="1"/>
    <n v="53"/>
    <n v="290345"/>
    <n v="40218"/>
    <n v="290345"/>
    <n v="268115"/>
    <n v="261091"/>
    <x v="0"/>
    <n v="0.08"/>
    <n v="20887.28"/>
    <n v="0.92343591244898315"/>
    <n v="5478.2075471698117"/>
  </r>
  <r>
    <s v="FOREST PARK NATIONAL BANK AND TRUST COMPANY"/>
    <s v="Forest Park"/>
    <x v="1"/>
    <n v="60130"/>
    <d v="2021-09-30T00:00:00"/>
    <x v="2"/>
    <n v="50"/>
    <n v="316053"/>
    <n v="41686"/>
    <n v="316053"/>
    <n v="292630"/>
    <n v="289383"/>
    <x v="0"/>
    <n v="0.08"/>
    <n v="23150.639999999999"/>
    <n v="0.92588901228591403"/>
    <n v="6321.06"/>
  </r>
  <r>
    <s v="FORRESTON STATE BANK"/>
    <s v="Forreston"/>
    <x v="1"/>
    <n v="61030"/>
    <d v="2019-09-30T00:00:00"/>
    <x v="0"/>
    <n v="32"/>
    <n v="221395"/>
    <n v="2459"/>
    <n v="221395"/>
    <n v="195410"/>
    <n v="168783"/>
    <x v="0"/>
    <n v="0.08"/>
    <n v="13502.64"/>
    <n v="0.88263059238013508"/>
    <n v="6918.59375"/>
  </r>
  <r>
    <s v="FORTRESS BANK"/>
    <s v="Peoria"/>
    <x v="1"/>
    <n v="61615"/>
    <d v="2019-09-30T00:00:00"/>
    <x v="0"/>
    <n v="90"/>
    <n v="446633"/>
    <n v="14836"/>
    <n v="446633"/>
    <n v="399890"/>
    <n v="379636"/>
    <x v="0"/>
    <n v="0.08"/>
    <n v="30370.880000000001"/>
    <n v="0.89534360425673876"/>
    <n v="4962.5888888888885"/>
  </r>
  <r>
    <s v="FORTRESS BANK"/>
    <s v="Peoria"/>
    <x v="1"/>
    <n v="61615"/>
    <d v="2020-09-30T00:00:00"/>
    <x v="1"/>
    <n v="100"/>
    <n v="552516"/>
    <n v="17715"/>
    <n v="552516"/>
    <n v="500807"/>
    <n v="422640"/>
    <x v="0"/>
    <n v="0.08"/>
    <n v="33811.199999999997"/>
    <n v="0.9064117600214292"/>
    <n v="5525.16"/>
  </r>
  <r>
    <s v="FORTRESS BANK"/>
    <s v="Peoria"/>
    <x v="1"/>
    <n v="61615"/>
    <d v="2021-09-30T00:00:00"/>
    <x v="2"/>
    <n v="111"/>
    <n v="538229"/>
    <n v="28920"/>
    <n v="538229"/>
    <n v="482627"/>
    <n v="433003"/>
    <x v="0"/>
    <n v="0.08"/>
    <n v="34640.239999999998"/>
    <n v="0.89669452965187679"/>
    <n v="4848.9099099099103"/>
  </r>
  <r>
    <s v="FOXBORO FEDERAL SAVINGS"/>
    <s v="Foxboro"/>
    <x v="3"/>
    <n v="2035"/>
    <d v="2019-09-30T00:00:00"/>
    <x v="0"/>
    <n v="23"/>
    <n v="165732"/>
    <n v="22394"/>
    <n v="165732"/>
    <n v="137337"/>
    <n v="136018"/>
    <x v="0"/>
    <n v="8.5000000000000006E-2"/>
    <n v="11561.53"/>
    <n v="0.82866917674317575"/>
    <n v="7205.739130434783"/>
  </r>
  <r>
    <s v="FOXBORO FEDERAL SAVINGS"/>
    <s v="Foxboro"/>
    <x v="3"/>
    <n v="2035"/>
    <d v="2020-09-30T00:00:00"/>
    <x v="1"/>
    <n v="23"/>
    <n v="183450"/>
    <n v="19783"/>
    <n v="183450"/>
    <n v="153697"/>
    <n v="152283"/>
    <x v="0"/>
    <n v="8.5000000000000006E-2"/>
    <n v="12944.055"/>
    <n v="0.83781411828836194"/>
    <n v="7976.086956521739"/>
  </r>
  <r>
    <s v="FOXBORO FEDERAL SAVINGS"/>
    <s v="Foxboro"/>
    <x v="3"/>
    <n v="2035"/>
    <d v="2021-09-30T00:00:00"/>
    <x v="2"/>
    <n v="22"/>
    <n v="202007"/>
    <n v="23635"/>
    <n v="202007"/>
    <n v="171659"/>
    <n v="170135"/>
    <x v="0"/>
    <n v="8.5000000000000006E-2"/>
    <n v="14461.475"/>
    <n v="0.84976758231150407"/>
    <n v="9182.136363636364"/>
  </r>
  <r>
    <s v="FREDERICK COMMUNITY BANK, THE"/>
    <s v="Paxton"/>
    <x v="1"/>
    <n v="60957"/>
    <d v="2019-09-30T00:00:00"/>
    <x v="0"/>
    <n v="28"/>
    <n v="140458"/>
    <n v="15328"/>
    <n v="140458"/>
    <n v="125201"/>
    <n v="124853"/>
    <x v="0"/>
    <n v="0.08"/>
    <n v="9988.24"/>
    <n v="0.89137678167138934"/>
    <n v="5016.3571428571431"/>
  </r>
  <r>
    <s v="FREDERICK COMMUNITY BANK, THE"/>
    <s v="Paxton"/>
    <x v="1"/>
    <n v="60957"/>
    <d v="2020-09-30T00:00:00"/>
    <x v="1"/>
    <n v="25"/>
    <n v="157545"/>
    <n v="33816"/>
    <n v="157545"/>
    <n v="140984"/>
    <n v="140547"/>
    <x v="0"/>
    <n v="0.08"/>
    <n v="11243.76"/>
    <n v="0.8948808277000222"/>
    <n v="6301.8"/>
  </r>
  <r>
    <s v="FREDERICK COMMUNITY BANK, THE"/>
    <s v="Paxton"/>
    <x v="1"/>
    <n v="60957"/>
    <d v="2021-09-30T00:00:00"/>
    <x v="2"/>
    <n v="27"/>
    <n v="171134"/>
    <n v="63809"/>
    <n v="171134"/>
    <n v="154742"/>
    <n v="154278"/>
    <x v="0"/>
    <n v="0.08"/>
    <n v="12342.24"/>
    <n v="0.90421541014643492"/>
    <n v="6338.2962962962965"/>
  </r>
  <r>
    <s v="FREMONT BANK"/>
    <s v="Fremont"/>
    <x v="0"/>
    <n v="94538"/>
    <d v="2019-09-30T00:00:00"/>
    <x v="0"/>
    <n v="852"/>
    <n v="4507206"/>
    <n v="592237"/>
    <n v="4507206"/>
    <n v="4171445"/>
    <n v="4125713"/>
    <x v="1"/>
    <n v="0.08"/>
    <n v="330057.03999999998"/>
    <n v="0.92550573459478003"/>
    <n v="5290.1478873239439"/>
  </r>
  <r>
    <s v="FREMONT BANK"/>
    <s v="Fremont"/>
    <x v="0"/>
    <n v="94538"/>
    <d v="2020-09-30T00:00:00"/>
    <x v="1"/>
    <n v="997"/>
    <n v="5119606"/>
    <n v="709487"/>
    <n v="5119606"/>
    <n v="4763966"/>
    <n v="4693271"/>
    <x v="1"/>
    <n v="0.08"/>
    <n v="375461.68"/>
    <n v="0.93053371685242969"/>
    <n v="5135.0110330992975"/>
  </r>
  <r>
    <s v="FREMONT BANK"/>
    <s v="Fremont"/>
    <x v="0"/>
    <n v="94538"/>
    <d v="2021-09-30T00:00:00"/>
    <x v="2"/>
    <n v="972"/>
    <n v="5658450"/>
    <n v="1101130"/>
    <n v="5658450"/>
    <n v="5263985"/>
    <n v="5201798"/>
    <x v="1"/>
    <n v="0.08"/>
    <n v="416143.84"/>
    <n v="0.93028744620876747"/>
    <n v="5821.450617283951"/>
  </r>
  <r>
    <s v="FRESNO FIRST BANK"/>
    <s v="Fresno"/>
    <x v="0"/>
    <n v="93711"/>
    <d v="2019-09-30T00:00:00"/>
    <x v="0"/>
    <n v="52"/>
    <n v="538656"/>
    <n v="65203"/>
    <n v="538656"/>
    <n v="490127"/>
    <n v="487215"/>
    <x v="0"/>
    <n v="0.09"/>
    <n v="43849.35"/>
    <n v="0.90990725063862654"/>
    <n v="10358.76923076923"/>
  </r>
  <r>
    <s v="FRESNO FIRST BANK"/>
    <s v="Fresno"/>
    <x v="0"/>
    <n v="93711"/>
    <d v="2020-09-30T00:00:00"/>
    <x v="1"/>
    <n v="61"/>
    <n v="830913"/>
    <n v="25982"/>
    <n v="830913"/>
    <n v="767839"/>
    <n v="754557"/>
    <x v="0"/>
    <n v="0.09"/>
    <n v="67910.13"/>
    <n v="0.92409072911363765"/>
    <n v="13621.524590163934"/>
  </r>
  <r>
    <s v="FRESNO FIRST BANK"/>
    <s v="Fresno"/>
    <x v="0"/>
    <n v="93711"/>
    <d v="2021-09-30T00:00:00"/>
    <x v="2"/>
    <n v="76"/>
    <n v="1022685"/>
    <n v="41013"/>
    <n v="1022685"/>
    <n v="902260"/>
    <n v="896335"/>
    <x v="1"/>
    <n v="0.08"/>
    <n v="71706.8"/>
    <n v="0.88224624395586126"/>
    <n v="13456.381578947368"/>
  </r>
  <r>
    <s v="FRIENDLY HILLS BANK"/>
    <s v="Whittier"/>
    <x v="0"/>
    <n v="90603"/>
    <d v="2019-09-30T00:00:00"/>
    <x v="0"/>
    <n v="24"/>
    <n v="160246"/>
    <n v="15130"/>
    <n v="160245"/>
    <n v="141385"/>
    <n v="119842"/>
    <x v="0"/>
    <n v="0.09"/>
    <n v="10785.779999999999"/>
    <n v="0.88229971418943376"/>
    <n v="6676.916666666667"/>
  </r>
  <r>
    <s v="FRIENDLY HILLS BANK"/>
    <s v="Whittier"/>
    <x v="0"/>
    <n v="90603"/>
    <d v="2020-09-30T00:00:00"/>
    <x v="1"/>
    <n v="24"/>
    <n v="236335"/>
    <n v="63581"/>
    <n v="236335"/>
    <n v="216273"/>
    <n v="159589"/>
    <x v="0"/>
    <n v="0.09"/>
    <n v="14363.01"/>
    <n v="0.91511202318742468"/>
    <n v="9847.2916666666661"/>
  </r>
  <r>
    <s v="FRIENDLY HILLS BANK"/>
    <s v="Whittier"/>
    <x v="0"/>
    <n v="90603"/>
    <d v="2021-09-30T00:00:00"/>
    <x v="2"/>
    <n v="32"/>
    <n v="315118"/>
    <n v="166375"/>
    <n v="315118"/>
    <n v="294092"/>
    <n v="269894"/>
    <x v="0"/>
    <n v="0.09"/>
    <n v="24290.46"/>
    <n v="0.93327578875215"/>
    <n v="9847.4375"/>
  </r>
  <r>
    <s v="FULTON SAVINGS BANK"/>
    <s v="Fulton"/>
    <x v="2"/>
    <n v="13069"/>
    <d v="2019-09-30T00:00:00"/>
    <x v="0"/>
    <n v="77"/>
    <n v="378498"/>
    <n v="76111"/>
    <n v="378498"/>
    <n v="269705"/>
    <n v="247902"/>
    <x v="0"/>
    <n v="8.5000000000000006E-2"/>
    <n v="21071.670000000002"/>
    <n v="0.71256651290099282"/>
    <n v="4915.5584415584417"/>
  </r>
  <r>
    <s v="FULTON SAVINGS BANK"/>
    <s v="Fulton"/>
    <x v="2"/>
    <n v="13069"/>
    <d v="2020-09-30T00:00:00"/>
    <x v="1"/>
    <n v="75"/>
    <n v="413247"/>
    <n v="57661"/>
    <n v="413247"/>
    <n v="298017"/>
    <n v="281728"/>
    <x v="0"/>
    <n v="8.5000000000000006E-2"/>
    <n v="23946.880000000001"/>
    <n v="0.7211595002504555"/>
    <n v="5509.96"/>
  </r>
  <r>
    <s v="FULTON SAVINGS BANK"/>
    <s v="Fulton"/>
    <x v="2"/>
    <n v="13069"/>
    <d v="2021-09-30T00:00:00"/>
    <x v="2"/>
    <n v="73"/>
    <n v="448366"/>
    <n v="44835"/>
    <n v="448366"/>
    <n v="327934"/>
    <n v="312712"/>
    <x v="0"/>
    <n v="8.5000000000000006E-2"/>
    <n v="26580.52"/>
    <n v="0.7313980096617495"/>
    <n v="6142"/>
  </r>
  <r>
    <s v="FWBANK"/>
    <s v="Chicago"/>
    <x v="1"/>
    <n v="60642"/>
    <d v="2021-09-30T00:00:00"/>
    <x v="2"/>
    <n v="13"/>
    <n v="55199"/>
    <n v="54807"/>
    <n v="55199"/>
    <n v="32563"/>
    <n v="32309"/>
    <x v="2"/>
    <n v="0.09"/>
    <n v="2907.81"/>
    <n v="0.58992010724831967"/>
    <n v="4246.0769230769229"/>
  </r>
  <r>
    <s v="GATEWAY BANK, F.S.B."/>
    <s v="Oakland"/>
    <x v="0"/>
    <n v="94607"/>
    <d v="2019-09-30T00:00:00"/>
    <x v="0"/>
    <n v="18"/>
    <n v="118452"/>
    <n v="5017"/>
    <n v="118452"/>
    <n v="102705"/>
    <n v="85816"/>
    <x v="0"/>
    <n v="0.09"/>
    <n v="7723.44"/>
    <n v="0.86706007496707527"/>
    <n v="6580.666666666667"/>
  </r>
  <r>
    <s v="GATEWAY BANK, F.S.B."/>
    <s v="Oakland"/>
    <x v="0"/>
    <n v="94607"/>
    <d v="2020-09-30T00:00:00"/>
    <x v="1"/>
    <n v="25"/>
    <n v="173523"/>
    <n v="13421"/>
    <n v="173523"/>
    <n v="157468"/>
    <n v="124557"/>
    <x v="0"/>
    <n v="0.09"/>
    <n v="11210.13"/>
    <n v="0.90747624234251367"/>
    <n v="6940.92"/>
  </r>
  <r>
    <s v="GATEWAY BANK, F.S.B."/>
    <s v="Oakland"/>
    <x v="0"/>
    <n v="94607"/>
    <d v="2021-09-30T00:00:00"/>
    <x v="2"/>
    <n v="22"/>
    <n v="172397"/>
    <n v="18226"/>
    <n v="172397"/>
    <n v="156478"/>
    <n v="147464"/>
    <x v="0"/>
    <n v="0.09"/>
    <n v="13271.76"/>
    <n v="0.90766080616252021"/>
    <n v="7836.227272727273"/>
  </r>
  <r>
    <s v="GBC INTERNATIONAL BANK"/>
    <s v="Los Angeles"/>
    <x v="0"/>
    <n v="90036"/>
    <d v="2019-09-30T00:00:00"/>
    <x v="0"/>
    <n v="98"/>
    <n v="582551"/>
    <n v="33392"/>
    <n v="582551"/>
    <n v="518190"/>
    <n v="472744"/>
    <x v="0"/>
    <n v="0.09"/>
    <n v="42546.96"/>
    <n v="0.88951868591762784"/>
    <n v="5944.3979591836733"/>
  </r>
  <r>
    <s v="GBC INTERNATIONAL BANK"/>
    <s v="Los Angeles"/>
    <x v="0"/>
    <n v="90036"/>
    <d v="2020-09-30T00:00:00"/>
    <x v="1"/>
    <n v="101"/>
    <n v="705121"/>
    <n v="97658"/>
    <n v="705121"/>
    <n v="635044"/>
    <n v="578709"/>
    <x v="0"/>
    <n v="0.09"/>
    <n v="52083.81"/>
    <n v="0.90061705721429375"/>
    <n v="6981.3960396039602"/>
  </r>
  <r>
    <s v="GBC INTERNATIONAL BANK"/>
    <s v="Los Angeles"/>
    <x v="0"/>
    <n v="90071"/>
    <d v="2021-09-30T00:00:00"/>
    <x v="2"/>
    <n v="90"/>
    <n v="695801"/>
    <n v="140097"/>
    <n v="695801"/>
    <n v="617596"/>
    <n v="586204"/>
    <x v="0"/>
    <n v="0.09"/>
    <n v="52758.36"/>
    <n v="0.88760435814262983"/>
    <n v="7731.1222222222223"/>
  </r>
  <r>
    <s v="GEDDES FEDERAL SAVINGS AND LOAN ASSOCIATION"/>
    <s v="Syracuse"/>
    <x v="2"/>
    <n v="13219"/>
    <d v="2019-09-30T00:00:00"/>
    <x v="0"/>
    <n v="37"/>
    <n v="558412"/>
    <n v="16874"/>
    <n v="558412"/>
    <n v="468542"/>
    <n v="410745"/>
    <x v="0"/>
    <n v="8.5000000000000006E-2"/>
    <n v="34913.325000000004"/>
    <n v="0.8390614814867875"/>
    <n v="15092.216216216217"/>
  </r>
  <r>
    <s v="GEDDES FEDERAL SAVINGS AND LOAN ASSOCIATION"/>
    <s v="Syracuse"/>
    <x v="2"/>
    <n v="13219"/>
    <d v="2020-09-30T00:00:00"/>
    <x v="1"/>
    <n v="41"/>
    <n v="581779"/>
    <n v="28822"/>
    <n v="581779"/>
    <n v="489311"/>
    <n v="421408"/>
    <x v="0"/>
    <n v="8.5000000000000006E-2"/>
    <n v="35819.68"/>
    <n v="0.84105992137908037"/>
    <n v="14189.731707317073"/>
  </r>
  <r>
    <s v="GEDDES FEDERAL SAVINGS AND LOAN ASSOCIATION"/>
    <s v="Syracuse"/>
    <x v="2"/>
    <n v="13219"/>
    <d v="2021-09-30T00:00:00"/>
    <x v="2"/>
    <n v="41"/>
    <n v="590348"/>
    <n v="27211"/>
    <n v="590348"/>
    <n v="496041"/>
    <n v="427959"/>
    <x v="0"/>
    <n v="8.5000000000000006E-2"/>
    <n v="36376.514999999999"/>
    <n v="0.84025185145033099"/>
    <n v="14398.731707317073"/>
  </r>
  <r>
    <s v="GENERATIONS BANK"/>
    <s v="Seneca Falls"/>
    <x v="2"/>
    <n v="13148"/>
    <d v="2019-09-30T00:00:00"/>
    <x v="0"/>
    <n v="100"/>
    <n v="323229"/>
    <n v="8073"/>
    <n v="323229"/>
    <n v="294209"/>
    <n v="257893"/>
    <x v="0"/>
    <n v="8.5000000000000006E-2"/>
    <n v="21920.905000000002"/>
    <n v="0.91021845193345896"/>
    <n v="3232.29"/>
  </r>
  <r>
    <s v="GENERATIONS BANK"/>
    <s v="Seneca Falls"/>
    <x v="2"/>
    <n v="13148"/>
    <d v="2020-09-30T00:00:00"/>
    <x v="1"/>
    <n v="99"/>
    <n v="368775"/>
    <n v="12248"/>
    <n v="368775"/>
    <n v="336692"/>
    <n v="304710"/>
    <x v="0"/>
    <n v="8.5000000000000006E-2"/>
    <n v="25900.350000000002"/>
    <n v="0.91300115246423974"/>
    <n v="3725"/>
  </r>
  <r>
    <s v="GENERATIONS BANK"/>
    <s v="Seneca Falls"/>
    <x v="2"/>
    <n v="13148"/>
    <d v="2021-09-30T00:00:00"/>
    <x v="2"/>
    <n v="91"/>
    <n v="377738"/>
    <n v="12185"/>
    <n v="377738"/>
    <n v="336868"/>
    <n v="314740"/>
    <x v="0"/>
    <n v="8.5000000000000006E-2"/>
    <n v="26752.9"/>
    <n v="0.89180331340770591"/>
    <n v="4150.9670329670325"/>
  </r>
  <r>
    <s v="GENERATIONS COMMERCIAL BANK"/>
    <s v="Seneca Falls"/>
    <x v="2"/>
    <n v="13148"/>
    <d v="2019-09-30T00:00:00"/>
    <x v="0"/>
    <n v="33"/>
    <n v="12400"/>
    <n v="8157"/>
    <n v="12400"/>
    <n v="9763"/>
    <n v="9046"/>
    <x v="2"/>
    <n v="0.09"/>
    <n v="814.14"/>
    <n v="0.78733870967741937"/>
    <n v="375.75757575757575"/>
  </r>
  <r>
    <s v="GENERATIONS COMMERCIAL BANK"/>
    <s v="Seneca Falls"/>
    <x v="2"/>
    <n v="13148"/>
    <d v="2020-09-30T00:00:00"/>
    <x v="1"/>
    <n v="34"/>
    <n v="50219"/>
    <n v="44057"/>
    <n v="50219"/>
    <n v="43759"/>
    <n v="43525"/>
    <x v="2"/>
    <n v="0.09"/>
    <n v="3917.25"/>
    <n v="0.8713634281845517"/>
    <n v="1477.0294117647059"/>
  </r>
  <r>
    <s v="GENERATIONS COMMERCIAL BANK"/>
    <s v="Seneca Falls"/>
    <x v="2"/>
    <n v="13148"/>
    <d v="2021-09-30T00:00:00"/>
    <x v="2"/>
    <n v="35"/>
    <n v="14852"/>
    <n v="3827"/>
    <n v="14852"/>
    <n v="5102"/>
    <n v="4969"/>
    <x v="2"/>
    <n v="0.09"/>
    <n v="447.21"/>
    <n v="0.3435227578777269"/>
    <n v="424.34285714285716"/>
  </r>
  <r>
    <s v="GENESEE REGIONAL BANK"/>
    <s v="Rochester"/>
    <x v="2"/>
    <n v="14618"/>
    <d v="2019-09-30T00:00:00"/>
    <x v="0"/>
    <n v="128"/>
    <n v="596514"/>
    <n v="37485"/>
    <n v="596514"/>
    <n v="530295"/>
    <n v="497898"/>
    <x v="0"/>
    <n v="8.5000000000000006E-2"/>
    <n v="42321.33"/>
    <n v="0.88899003208642213"/>
    <n v="4660.265625"/>
  </r>
  <r>
    <s v="GENESEE REGIONAL BANK"/>
    <s v="Rochester"/>
    <x v="2"/>
    <n v="14618"/>
    <d v="2020-09-30T00:00:00"/>
    <x v="1"/>
    <n v="138"/>
    <n v="746410"/>
    <n v="45354"/>
    <n v="746410"/>
    <n v="668677"/>
    <n v="665482"/>
    <x v="0"/>
    <n v="8.5000000000000006E-2"/>
    <n v="56565.97"/>
    <n v="0.89585750458863089"/>
    <n v="5408.768115942029"/>
  </r>
  <r>
    <s v="GENESEE REGIONAL BANK"/>
    <s v="Rochester"/>
    <x v="2"/>
    <n v="14618"/>
    <d v="2021-09-30T00:00:00"/>
    <x v="2"/>
    <n v="157"/>
    <n v="975069"/>
    <n v="49653"/>
    <n v="975069"/>
    <n v="881340"/>
    <n v="809792"/>
    <x v="0"/>
    <n v="8.5000000000000006E-2"/>
    <n v="68832.320000000007"/>
    <n v="0.90387449503573591"/>
    <n v="6210.6305732484079"/>
  </r>
  <r>
    <s v="GENESIS BANK"/>
    <s v="Newport Beach"/>
    <x v="0"/>
    <n v="92660"/>
    <d v="2021-09-30T00:00:00"/>
    <x v="2"/>
    <n v="35"/>
    <n v="57217"/>
    <n v="48828"/>
    <n v="57217"/>
    <n v="7801"/>
    <n v="869"/>
    <x v="2"/>
    <n v="0.1"/>
    <n v="86.9"/>
    <n v="0.13634059807399898"/>
    <n v="1634.7714285714285"/>
  </r>
  <r>
    <s v="GERMAN-AMERICAN STATE BANK"/>
    <s v="German Valley"/>
    <x v="1"/>
    <n v="61039"/>
    <d v="2019-09-30T00:00:00"/>
    <x v="0"/>
    <n v="41"/>
    <n v="246554"/>
    <n v="8075"/>
    <n v="246554"/>
    <n v="220541"/>
    <n v="217235"/>
    <x v="0"/>
    <n v="0.08"/>
    <n v="17378.8"/>
    <n v="0.89449370117702409"/>
    <n v="6013.5121951219517"/>
  </r>
  <r>
    <s v="GERMAN-AMERICAN STATE BANK"/>
    <s v="German Valley"/>
    <x v="1"/>
    <n v="61039"/>
    <d v="2020-09-30T00:00:00"/>
    <x v="1"/>
    <n v="45"/>
    <n v="274349"/>
    <n v="21749"/>
    <n v="274349"/>
    <n v="247199"/>
    <n v="240788"/>
    <x v="0"/>
    <n v="0.08"/>
    <n v="19263.04"/>
    <n v="0.90103845831404528"/>
    <n v="6096.6444444444442"/>
  </r>
  <r>
    <s v="GERMAN-AMERICAN STATE BANK"/>
    <s v="German Valley"/>
    <x v="1"/>
    <n v="61039"/>
    <d v="2021-09-30T00:00:00"/>
    <x v="2"/>
    <n v="46"/>
    <n v="305777"/>
    <n v="29750"/>
    <n v="305777"/>
    <n v="276828"/>
    <n v="269297"/>
    <x v="0"/>
    <n v="0.08"/>
    <n v="21543.760000000002"/>
    <n v="0.9053264306994967"/>
    <n v="6647.326086956522"/>
  </r>
  <r>
    <s v="GERMANTOWN TRUST &amp; SAVINGS BANK"/>
    <s v="Breese"/>
    <x v="1"/>
    <n v="62230"/>
    <d v="2019-09-30T00:00:00"/>
    <x v="0"/>
    <n v="42"/>
    <n v="394113"/>
    <n v="7881"/>
    <n v="394113"/>
    <n v="340801"/>
    <n v="309344"/>
    <x v="0"/>
    <n v="0.08"/>
    <n v="24747.52"/>
    <n v="0.86472915128402261"/>
    <n v="9383.6428571428569"/>
  </r>
  <r>
    <s v="GERMANTOWN TRUST &amp; SAVINGS BANK"/>
    <s v="Breese"/>
    <x v="1"/>
    <n v="62230"/>
    <d v="2020-09-30T00:00:00"/>
    <x v="1"/>
    <n v="41"/>
    <n v="435847"/>
    <n v="7693"/>
    <n v="435847"/>
    <n v="376350"/>
    <n v="345560"/>
    <x v="0"/>
    <n v="0.08"/>
    <n v="27644.799999999999"/>
    <n v="0.86349108746876768"/>
    <n v="10630.414634146342"/>
  </r>
  <r>
    <s v="GERMANTOWN TRUST &amp; SAVINGS BANK"/>
    <s v="Breese"/>
    <x v="1"/>
    <n v="62230"/>
    <d v="2021-09-30T00:00:00"/>
    <x v="2"/>
    <n v="45"/>
    <n v="454585"/>
    <n v="5873"/>
    <n v="454585"/>
    <n v="396319"/>
    <n v="364650"/>
    <x v="0"/>
    <n v="0.08"/>
    <n v="29172"/>
    <n v="0.87182595114225059"/>
    <n v="10101.888888888889"/>
  </r>
  <r>
    <s v="GLASFORD STATE BANK"/>
    <s v="Glasford"/>
    <x v="1"/>
    <n v="61533"/>
    <d v="2019-09-30T00:00:00"/>
    <x v="0"/>
    <n v="10"/>
    <n v="41669"/>
    <n v="9830"/>
    <n v="41669"/>
    <n v="37992"/>
    <n v="37881"/>
    <x v="2"/>
    <n v="0.09"/>
    <n v="3409.29"/>
    <n v="0.91175694161126974"/>
    <n v="4166.8999999999996"/>
  </r>
  <r>
    <s v="GLASFORD STATE BANK"/>
    <s v="Glasford"/>
    <x v="1"/>
    <n v="61533"/>
    <d v="2020-09-30T00:00:00"/>
    <x v="1"/>
    <n v="10"/>
    <n v="53920"/>
    <n v="14378"/>
    <n v="53919"/>
    <n v="49628"/>
    <n v="45502"/>
    <x v="2"/>
    <n v="0.09"/>
    <n v="4095.18"/>
    <n v="0.92040059347181014"/>
    <n v="5392"/>
  </r>
  <r>
    <s v="GLASFORD STATE BANK"/>
    <s v="Glasford"/>
    <x v="1"/>
    <n v="61533"/>
    <d v="2021-09-30T00:00:00"/>
    <x v="2"/>
    <n v="10"/>
    <n v="60720"/>
    <n v="13486"/>
    <n v="60720"/>
    <n v="56371"/>
    <n v="56215"/>
    <x v="2"/>
    <n v="0.09"/>
    <n v="5059.3499999999995"/>
    <n v="0.92837615283267461"/>
    <n v="6072"/>
  </r>
  <r>
    <s v="GLENS FALLS NATIONAL BANK AND TRUST COMPANY"/>
    <s v="Glens Falls"/>
    <x v="2"/>
    <n v="12801"/>
    <d v="2019-09-30T00:00:00"/>
    <x v="0"/>
    <n v="466"/>
    <n v="2526366"/>
    <n v="73918"/>
    <n v="2526366"/>
    <n v="2283307"/>
    <n v="2103312"/>
    <x v="1"/>
    <n v="0.08"/>
    <n v="168264.95999999999"/>
    <n v="0.90379105798605586"/>
    <n v="5421.3862660944205"/>
  </r>
  <r>
    <s v="GLENS FALLS NATIONAL BANK AND TRUST COMPANY"/>
    <s v="Glens Falls"/>
    <x v="2"/>
    <n v="12801"/>
    <d v="2020-09-30T00:00:00"/>
    <x v="1"/>
    <n v="464"/>
    <n v="2979182"/>
    <n v="384981"/>
    <n v="2979182"/>
    <n v="2713050"/>
    <n v="2566084"/>
    <x v="1"/>
    <n v="0.08"/>
    <n v="205286.72"/>
    <n v="0.91066943879225903"/>
    <n v="6420.6508620689656"/>
  </r>
  <r>
    <s v="GLENS FALLS NATIONAL BANK AND TRUST COMPANY"/>
    <s v="Glens Falls"/>
    <x v="2"/>
    <n v="12801"/>
    <d v="2021-09-30T00:00:00"/>
    <x v="2"/>
    <n v="459"/>
    <n v="3223349"/>
    <n v="543175"/>
    <n v="3223349"/>
    <n v="2937732"/>
    <n v="2865117"/>
    <x v="1"/>
    <n v="0.08"/>
    <n v="229209.36000000002"/>
    <n v="0.91139122695060326"/>
    <n v="7022.5468409586056"/>
  </r>
  <r>
    <s v="GLENVIEW STATE BANK"/>
    <s v="Glenview"/>
    <x v="1"/>
    <n v="60025"/>
    <d v="2019-09-30T00:00:00"/>
    <x v="0"/>
    <n v="151"/>
    <n v="1269258"/>
    <n v="42102"/>
    <n v="1269258"/>
    <n v="1114197"/>
    <n v="1072261"/>
    <x v="1"/>
    <n v="7.4999999999999997E-2"/>
    <n v="80419.574999999997"/>
    <n v="0.87783334830270909"/>
    <n v="8405.6821192052976"/>
  </r>
  <r>
    <s v="GLENVIEW STATE BANK"/>
    <s v="Glenview"/>
    <x v="1"/>
    <n v="60025"/>
    <d v="2020-09-30T00:00:00"/>
    <x v="1"/>
    <n v="145"/>
    <n v="1395429"/>
    <n v="70230"/>
    <n v="1395429"/>
    <n v="1220330"/>
    <n v="1198692"/>
    <x v="1"/>
    <n v="7.4999999999999997E-2"/>
    <n v="89901.9"/>
    <n v="0.87451959218276243"/>
    <n v="9623.6482758620696"/>
  </r>
  <r>
    <s v="GLOBAL BANK"/>
    <s v="New York"/>
    <x v="2"/>
    <n v="10038"/>
    <d v="2019-09-30T00:00:00"/>
    <x v="0"/>
    <n v="33"/>
    <n v="179114"/>
    <n v="10954"/>
    <n v="179114"/>
    <n v="154947"/>
    <n v="130772"/>
    <x v="0"/>
    <n v="8.5000000000000006E-2"/>
    <n v="11115.62"/>
    <n v="0.86507475685876034"/>
    <n v="5427.69696969697"/>
  </r>
  <r>
    <s v="GLOBAL BANK"/>
    <s v="New York"/>
    <x v="2"/>
    <n v="10038"/>
    <d v="2020-09-30T00:00:00"/>
    <x v="1"/>
    <n v="32"/>
    <n v="199623"/>
    <n v="10346"/>
    <n v="199623"/>
    <n v="174252"/>
    <n v="152648"/>
    <x v="0"/>
    <n v="8.5000000000000006E-2"/>
    <n v="12975.080000000002"/>
    <n v="0.87290542672938487"/>
    <n v="6238.21875"/>
  </r>
  <r>
    <s v="GLOBAL BANK"/>
    <s v="New York"/>
    <x v="2"/>
    <n v="10038"/>
    <d v="2021-09-30T00:00:00"/>
    <x v="2"/>
    <n v="36"/>
    <n v="230883"/>
    <n v="13612"/>
    <n v="230883"/>
    <n v="202508"/>
    <n v="192623"/>
    <x v="0"/>
    <n v="8.5000000000000006E-2"/>
    <n v="16372.955000000002"/>
    <n v="0.87710225525482599"/>
    <n v="6413.416666666667"/>
  </r>
  <r>
    <s v="GN BANK"/>
    <s v="Chicago"/>
    <x v="1"/>
    <n v="60653"/>
    <d v="2019-09-30T00:00:00"/>
    <x v="0"/>
    <n v="29"/>
    <n v="135832"/>
    <n v="39721"/>
    <n v="135833"/>
    <n v="123901"/>
    <n v="123684"/>
    <x v="0"/>
    <n v="0.08"/>
    <n v="9894.7199999999993"/>
    <n v="0.91216355497968082"/>
    <n v="4683.8620689655172"/>
  </r>
  <r>
    <s v="GN BANK"/>
    <s v="Chicago"/>
    <x v="1"/>
    <n v="60653"/>
    <d v="2020-09-30T00:00:00"/>
    <x v="1"/>
    <n v="14"/>
    <n v="104916"/>
    <n v="24567"/>
    <n v="104917"/>
    <n v="94296"/>
    <n v="87933"/>
    <x v="0"/>
    <n v="0.08"/>
    <n v="7034.64"/>
    <n v="0.89877616378817338"/>
    <n v="7494"/>
  </r>
  <r>
    <s v="GN BANK"/>
    <s v="Chicago"/>
    <x v="1"/>
    <n v="60653"/>
    <d v="2021-09-30T00:00:00"/>
    <x v="2"/>
    <n v="9"/>
    <n v="88240"/>
    <n v="13765"/>
    <n v="88240"/>
    <n v="78251"/>
    <n v="77862"/>
    <x v="2"/>
    <n v="0.09"/>
    <n v="7007.58"/>
    <n v="0.88679737080689025"/>
    <n v="9804.4444444444453"/>
  </r>
  <r>
    <s v="GOLD COAST BANK"/>
    <s v="Chicago"/>
    <x v="1"/>
    <n v="60610"/>
    <d v="2019-09-30T00:00:00"/>
    <x v="0"/>
    <n v="35"/>
    <n v="378983"/>
    <n v="101230"/>
    <n v="378983"/>
    <n v="329375"/>
    <n v="319446"/>
    <x v="0"/>
    <n v="0.08"/>
    <n v="25555.68"/>
    <n v="0.86910230801909316"/>
    <n v="10828.085714285715"/>
  </r>
  <r>
    <s v="GOLD COAST BANK"/>
    <s v="Islandia"/>
    <x v="2"/>
    <n v="11749"/>
    <d v="2019-09-30T00:00:00"/>
    <x v="0"/>
    <n v="51"/>
    <n v="561722"/>
    <n v="26405"/>
    <n v="561722"/>
    <n v="501627"/>
    <n v="467277"/>
    <x v="0"/>
    <n v="8.5000000000000006E-2"/>
    <n v="39718.545000000006"/>
    <n v="0.89301647434140019"/>
    <n v="11014.156862745098"/>
  </r>
  <r>
    <s v="GOLD COAST BANK"/>
    <s v="Chicago"/>
    <x v="1"/>
    <n v="60610"/>
    <d v="2020-09-30T00:00:00"/>
    <x v="1"/>
    <n v="43"/>
    <n v="397487"/>
    <n v="106388"/>
    <n v="397487"/>
    <n v="349940"/>
    <n v="334776"/>
    <x v="0"/>
    <n v="0.08"/>
    <n v="26782.080000000002"/>
    <n v="0.88038099359224331"/>
    <n v="9243.8837209302328"/>
  </r>
  <r>
    <s v="GOLD COAST BANK"/>
    <s v="Chicago"/>
    <x v="1"/>
    <n v="60610"/>
    <d v="2021-09-30T00:00:00"/>
    <x v="2"/>
    <n v="39"/>
    <n v="461687"/>
    <n v="90194"/>
    <n v="461687"/>
    <n v="409949"/>
    <n v="392058"/>
    <x v="0"/>
    <n v="0.08"/>
    <n v="31364.639999999999"/>
    <n v="0.88793706558772501"/>
    <n v="11838.128205128205"/>
  </r>
  <r>
    <s v="GOLDEN PACIFIC BANK, NATIONAL ASSOCIATION"/>
    <s v="Sacramento"/>
    <x v="0"/>
    <n v="95814"/>
    <d v="2019-09-30T00:00:00"/>
    <x v="0"/>
    <n v="33"/>
    <n v="131926"/>
    <n v="18736"/>
    <n v="131926"/>
    <n v="115786"/>
    <n v="115295"/>
    <x v="0"/>
    <n v="0.09"/>
    <n v="10376.549999999999"/>
    <n v="0.8776586874459924"/>
    <n v="3997.757575757576"/>
  </r>
  <r>
    <s v="GOLDEN PACIFIC BANK, NATIONAL ASSOCIATION"/>
    <s v="Sacramento"/>
    <x v="0"/>
    <n v="95814"/>
    <d v="2020-09-30T00:00:00"/>
    <x v="1"/>
    <n v="31"/>
    <n v="168926"/>
    <n v="32100"/>
    <n v="168926"/>
    <n v="152729"/>
    <n v="152396"/>
    <x v="0"/>
    <n v="0.09"/>
    <n v="13715.64"/>
    <n v="0.90411777938268822"/>
    <n v="5449.2258064516127"/>
  </r>
  <r>
    <s v="GOLDEN PACIFIC BANK, NATIONAL ASSOCIATION"/>
    <s v="Sacramento"/>
    <x v="0"/>
    <n v="95814"/>
    <d v="2021-09-30T00:00:00"/>
    <x v="2"/>
    <n v="30"/>
    <n v="169887"/>
    <n v="57903"/>
    <n v="169887"/>
    <n v="151717"/>
    <n v="150955"/>
    <x v="0"/>
    <n v="0.09"/>
    <n v="13585.949999999999"/>
    <n v="0.89304655447444481"/>
    <n v="5662.9"/>
  </r>
  <r>
    <s v="GOLDEN STATE BANK"/>
    <s v="Glendale"/>
    <x v="0"/>
    <n v="91203"/>
    <d v="2019-09-30T00:00:00"/>
    <x v="0"/>
    <n v="42"/>
    <n v="352523"/>
    <n v="42973"/>
    <n v="352523"/>
    <n v="316654"/>
    <n v="294168"/>
    <x v="0"/>
    <n v="0.09"/>
    <n v="26475.119999999999"/>
    <n v="0.89825061059845746"/>
    <n v="8393.4047619047615"/>
  </r>
  <r>
    <s v="GOLDEN STATE BANK"/>
    <s v="Glendale"/>
    <x v="0"/>
    <n v="91203"/>
    <d v="2020-09-30T00:00:00"/>
    <x v="1"/>
    <n v="52"/>
    <n v="444566"/>
    <n v="144387"/>
    <n v="444566"/>
    <n v="408971"/>
    <n v="375757"/>
    <x v="0"/>
    <n v="0.09"/>
    <n v="33818.129999999997"/>
    <n v="0.91993314828394435"/>
    <n v="8549.3461538461543"/>
  </r>
  <r>
    <s v="GOLDEN STATE BANK"/>
    <s v="Glendale"/>
    <x v="0"/>
    <n v="91203"/>
    <d v="2021-09-30T00:00:00"/>
    <x v="2"/>
    <n v="50"/>
    <n v="539473"/>
    <n v="133279"/>
    <n v="539473"/>
    <n v="497198"/>
    <n v="466195"/>
    <x v="0"/>
    <n v="0.09"/>
    <n v="41957.549999999996"/>
    <n v="0.9216364859779822"/>
    <n v="10789.46"/>
  </r>
  <r>
    <s v="GOLDEN VALLEY BANK"/>
    <s v="Chico"/>
    <x v="0"/>
    <n v="95926"/>
    <d v="2019-09-30T00:00:00"/>
    <x v="0"/>
    <n v="50"/>
    <n v="343837"/>
    <n v="59840"/>
    <n v="343837"/>
    <n v="315097"/>
    <n v="304419"/>
    <x v="0"/>
    <n v="0.09"/>
    <n v="27397.71"/>
    <n v="0.91641388215927899"/>
    <n v="6876.74"/>
  </r>
  <r>
    <s v="GOLDEN VALLEY BANK"/>
    <s v="Chico"/>
    <x v="0"/>
    <n v="95926"/>
    <d v="2020-09-30T00:00:00"/>
    <x v="1"/>
    <n v="50"/>
    <n v="413983"/>
    <n v="28065"/>
    <n v="413983"/>
    <n v="379800"/>
    <n v="364995"/>
    <x v="0"/>
    <n v="0.09"/>
    <n v="32849.549999999996"/>
    <n v="0.91742897655217726"/>
    <n v="8279.66"/>
  </r>
  <r>
    <s v="GOLDEN VALLEY BANK"/>
    <s v="Chico"/>
    <x v="0"/>
    <n v="95926"/>
    <d v="2021-09-30T00:00:00"/>
    <x v="2"/>
    <n v="53"/>
    <n v="465313"/>
    <n v="75071"/>
    <n v="465313"/>
    <n v="427235"/>
    <n v="425159"/>
    <x v="0"/>
    <n v="0.09"/>
    <n v="38264.31"/>
    <n v="0.91816691130486361"/>
    <n v="8779.4905660377353"/>
  </r>
  <r>
    <s v="GOLDMAN SACHS BANK USA"/>
    <s v="New York"/>
    <x v="2"/>
    <n v="10282"/>
    <d v="2019-09-30T00:00:00"/>
    <x v="0"/>
    <n v="2127"/>
    <n v="211831000"/>
    <n v="28587000"/>
    <n v="211831000"/>
    <n v="182913000"/>
    <n v="149776000"/>
    <x v="1"/>
    <n v="0.08"/>
    <n v="11982080"/>
    <n v="0.86348551439590993"/>
    <n v="99591.4433474377"/>
  </r>
  <r>
    <s v="GOLDMAN SACHS BANK USA"/>
    <s v="New York"/>
    <x v="2"/>
    <n v="10282"/>
    <d v="2020-09-30T00:00:00"/>
    <x v="1"/>
    <n v="2392"/>
    <n v="277943000"/>
    <n v="66666000"/>
    <n v="277943000"/>
    <n v="248063000"/>
    <n v="218776000"/>
    <x v="1"/>
    <n v="0.08"/>
    <n v="17502080"/>
    <n v="0.89249594341285798"/>
    <n v="116196.90635451506"/>
  </r>
  <r>
    <s v="GOLDMAN SACHS BANK USA"/>
    <s v="New York"/>
    <x v="2"/>
    <n v="10282"/>
    <d v="2021-09-30T00:00:00"/>
    <x v="2"/>
    <n v="3580"/>
    <n v="387383000"/>
    <n v="119465000"/>
    <n v="387383000"/>
    <n v="347142000"/>
    <n v="272182000"/>
    <x v="1"/>
    <n v="0.08"/>
    <n v="21774560"/>
    <n v="0.8961208932761634"/>
    <n v="108207.54189944133"/>
  </r>
  <r>
    <s v="GOODFIELD STATE BANK"/>
    <s v="Goodfield"/>
    <x v="1"/>
    <n v="61742"/>
    <d v="2019-09-30T00:00:00"/>
    <x v="0"/>
    <n v="28"/>
    <n v="129173"/>
    <n v="8197"/>
    <n v="129173"/>
    <n v="112380"/>
    <n v="111138"/>
    <x v="0"/>
    <n v="0.08"/>
    <n v="8891.0400000000009"/>
    <n v="0.86999605180649209"/>
    <n v="4613.3214285714284"/>
  </r>
  <r>
    <s v="GOODFIELD STATE BANK"/>
    <s v="Goodfield"/>
    <x v="1"/>
    <n v="61742"/>
    <d v="2020-09-30T00:00:00"/>
    <x v="1"/>
    <n v="29"/>
    <n v="153177"/>
    <n v="24760"/>
    <n v="153177"/>
    <n v="134260"/>
    <n v="133991"/>
    <x v="0"/>
    <n v="0.08"/>
    <n v="10719.28"/>
    <n v="0.87650234695809426"/>
    <n v="5281.9655172413795"/>
  </r>
  <r>
    <s v="GOODFIELD STATE BANK"/>
    <s v="Goodfield"/>
    <x v="1"/>
    <n v="61742"/>
    <d v="2021-09-30T00:00:00"/>
    <x v="2"/>
    <n v="28"/>
    <n v="182244"/>
    <n v="34676"/>
    <n v="182244"/>
    <n v="161654"/>
    <n v="161435"/>
    <x v="0"/>
    <n v="0.08"/>
    <n v="12914.800000000001"/>
    <n v="0.88701960009657388"/>
    <n v="6508.7142857142853"/>
  </r>
  <r>
    <s v="GOUVERNEUR SAVINGS AND LOAN ASSOCIATION"/>
    <s v="Gouverneur"/>
    <x v="2"/>
    <n v="13642"/>
    <d v="2019-09-30T00:00:00"/>
    <x v="0"/>
    <n v="34"/>
    <n v="125268"/>
    <n v="3701"/>
    <n v="125268"/>
    <n v="95886"/>
    <n v="80147"/>
    <x v="0"/>
    <n v="8.5000000000000006E-2"/>
    <n v="6812.4950000000008"/>
    <n v="0.76544688188523802"/>
    <n v="3684.3529411764707"/>
  </r>
  <r>
    <s v="GOUVERNEUR SAVINGS AND LOAN ASSOCIATION"/>
    <s v="Gouverneur"/>
    <x v="2"/>
    <n v="13642"/>
    <d v="2020-09-30T00:00:00"/>
    <x v="1"/>
    <n v="31"/>
    <n v="129261"/>
    <n v="7702"/>
    <n v="129261"/>
    <n v="102669"/>
    <n v="91818"/>
    <x v="0"/>
    <n v="8.5000000000000006E-2"/>
    <n v="7804.5300000000007"/>
    <n v="0.79427669598718875"/>
    <n v="4169.7096774193551"/>
  </r>
  <r>
    <s v="GOUVERNEUR SAVINGS AND LOAN ASSOCIATION"/>
    <s v="Gouverneur"/>
    <x v="2"/>
    <n v="13642"/>
    <d v="2021-09-30T00:00:00"/>
    <x v="2"/>
    <n v="30"/>
    <n v="134729"/>
    <n v="10914"/>
    <n v="134729"/>
    <n v="107588"/>
    <n v="101378"/>
    <x v="0"/>
    <n v="8.5000000000000006E-2"/>
    <n v="8617.130000000001"/>
    <n v="0.79855116567331463"/>
    <n v="4490.9666666666662"/>
  </r>
  <r>
    <s v="GRAND RIDGE NATIONAL BANK"/>
    <s v="Grand Ridge"/>
    <x v="1"/>
    <n v="61325"/>
    <d v="2019-09-30T00:00:00"/>
    <x v="0"/>
    <n v="26"/>
    <n v="223707"/>
    <n v="30942"/>
    <n v="223708"/>
    <n v="196745"/>
    <n v="195645"/>
    <x v="0"/>
    <n v="0.08"/>
    <n v="15651.6"/>
    <n v="0.87947627924025618"/>
    <n v="8604.1153846153848"/>
  </r>
  <r>
    <s v="GRAND RIDGE NATIONAL BANK"/>
    <s v="Grand Ridge"/>
    <x v="1"/>
    <n v="61325"/>
    <d v="2020-09-30T00:00:00"/>
    <x v="1"/>
    <n v="28"/>
    <n v="265381"/>
    <n v="38486"/>
    <n v="265381"/>
    <n v="234546"/>
    <n v="228502"/>
    <x v="0"/>
    <n v="0.08"/>
    <n v="18280.16"/>
    <n v="0.88380856202968561"/>
    <n v="9477.8928571428569"/>
  </r>
  <r>
    <s v="GRAND RIDGE NATIONAL BANK"/>
    <s v="Grand Ridge"/>
    <x v="1"/>
    <n v="61325"/>
    <d v="2021-09-30T00:00:00"/>
    <x v="2"/>
    <n v="33"/>
    <n v="304205"/>
    <n v="57292"/>
    <n v="304205"/>
    <n v="269606"/>
    <n v="260101"/>
    <x v="0"/>
    <n v="0.08"/>
    <n v="20808.080000000002"/>
    <n v="0.88626419684094604"/>
    <n v="9218.3333333333339"/>
  </r>
  <r>
    <s v="GRAND RIVERS COMMUNITY BANK"/>
    <s v="Grand Chain"/>
    <x v="1"/>
    <n v="62941"/>
    <d v="2019-09-30T00:00:00"/>
    <x v="0"/>
    <n v="11"/>
    <n v="31814"/>
    <n v="7946"/>
    <n v="31814"/>
    <n v="29736"/>
    <n v="28446"/>
    <x v="2"/>
    <n v="0.09"/>
    <n v="2560.14"/>
    <n v="0.93468284403092983"/>
    <n v="2892.181818181818"/>
  </r>
  <r>
    <s v="GRAND RIVERS COMMUNITY BANK"/>
    <s v="Grand Chain"/>
    <x v="1"/>
    <n v="62941"/>
    <d v="2020-09-30T00:00:00"/>
    <x v="1"/>
    <n v="10"/>
    <n v="25591"/>
    <n v="6801"/>
    <n v="25591"/>
    <n v="24774"/>
    <n v="23640"/>
    <x v="2"/>
    <n v="0.09"/>
    <n v="2127.6"/>
    <n v="0.96807471376655851"/>
    <n v="2559.1"/>
  </r>
  <r>
    <s v="GRAND RIVERS COMMUNITY BANK"/>
    <s v="Grand Chain"/>
    <x v="1"/>
    <n v="62941"/>
    <d v="2021-09-30T00:00:00"/>
    <x v="2"/>
    <n v="9"/>
    <n v="19367"/>
    <n v="3433"/>
    <n v="19367"/>
    <n v="18689"/>
    <n v="17678"/>
    <x v="2"/>
    <n v="0.09"/>
    <n v="1591.02"/>
    <n v="0.96499199669540969"/>
    <n v="2151.8888888888887"/>
  </r>
  <r>
    <s v="GRASSHOPPER BANK, N.A."/>
    <s v="New York"/>
    <x v="2"/>
    <n v="10010"/>
    <d v="2019-09-30T00:00:00"/>
    <x v="0"/>
    <n v="41"/>
    <n v="99157"/>
    <n v="3244"/>
    <n v="99157"/>
    <n v="8662"/>
    <n v="7715"/>
    <x v="2"/>
    <n v="0.09"/>
    <n v="694.35"/>
    <n v="8.735641457486612E-2"/>
    <n v="2418.4634146341464"/>
  </r>
  <r>
    <s v="GRASSHOPPER BANK, N.A."/>
    <s v="New York"/>
    <x v="2"/>
    <n v="10010"/>
    <d v="2020-09-30T00:00:00"/>
    <x v="1"/>
    <n v="53"/>
    <n v="175331"/>
    <n v="7705"/>
    <n v="175331"/>
    <n v="99082"/>
    <n v="95671"/>
    <x v="0"/>
    <n v="8.5000000000000006E-2"/>
    <n v="8132.0350000000008"/>
    <n v="0.56511398440663663"/>
    <n v="3308.132075471698"/>
  </r>
  <r>
    <s v="GRASSHOPPER BANK, N.A."/>
    <s v="New York"/>
    <x v="2"/>
    <n v="10010"/>
    <d v="2021-09-30T00:00:00"/>
    <x v="2"/>
    <n v="60"/>
    <n v="257618"/>
    <n v="31129"/>
    <n v="257618"/>
    <n v="202492"/>
    <n v="199604"/>
    <x v="0"/>
    <n v="8.5000000000000006E-2"/>
    <n v="16966.34"/>
    <n v="0.78601650505787635"/>
    <n v="4293.6333333333332"/>
  </r>
  <r>
    <s v="GREAT RIVERS BANK"/>
    <s v="Barry"/>
    <x v="1"/>
    <n v="62312"/>
    <d v="2019-09-30T00:00:00"/>
    <x v="0"/>
    <n v="30"/>
    <n v="132233"/>
    <n v="20098"/>
    <n v="132233"/>
    <n v="116536"/>
    <n v="116244"/>
    <x v="0"/>
    <n v="0.08"/>
    <n v="9299.52"/>
    <n v="0.88129286940476281"/>
    <n v="4407.7666666666664"/>
  </r>
  <r>
    <s v="GREAT RIVERS BANK"/>
    <s v="Barry"/>
    <x v="1"/>
    <n v="62312"/>
    <d v="2020-09-30T00:00:00"/>
    <x v="1"/>
    <n v="31"/>
    <n v="140753"/>
    <n v="16098"/>
    <n v="140753"/>
    <n v="123804"/>
    <n v="119638"/>
    <x v="0"/>
    <n v="0.08"/>
    <n v="9571.0400000000009"/>
    <n v="0.87958338365789712"/>
    <n v="4540.4193548387093"/>
  </r>
  <r>
    <s v="GREAT RIVERS BANK"/>
    <s v="Barry"/>
    <x v="1"/>
    <n v="62312"/>
    <d v="2021-09-30T00:00:00"/>
    <x v="2"/>
    <n v="32"/>
    <n v="158125"/>
    <n v="18744"/>
    <n v="158125"/>
    <n v="140215"/>
    <n v="134740"/>
    <x v="0"/>
    <n v="0.08"/>
    <n v="10779.2"/>
    <n v="0.88673517786561262"/>
    <n v="4941.40625"/>
  </r>
  <r>
    <s v="GREENE COUNTY COMMERCIAL BANK"/>
    <s v="Catskill"/>
    <x v="2"/>
    <n v="12414"/>
    <d v="2019-09-30T00:00:00"/>
    <x v="0"/>
    <n v="58"/>
    <n v="595440"/>
    <n v="141312"/>
    <n v="595440"/>
    <n v="545746"/>
    <n v="545523"/>
    <x v="0"/>
    <n v="8.5000000000000006E-2"/>
    <n v="46369.455000000002"/>
    <n v="0.91654238882171168"/>
    <n v="10266.206896551725"/>
  </r>
  <r>
    <s v="GREENE COUNTY COMMERCIAL BANK"/>
    <s v="Catskill"/>
    <x v="2"/>
    <n v="12414"/>
    <d v="2020-09-30T00:00:00"/>
    <x v="1"/>
    <n v="65"/>
    <n v="684187"/>
    <n v="34820"/>
    <n v="684187"/>
    <n v="620239"/>
    <n v="619671"/>
    <x v="0"/>
    <n v="8.5000000000000006E-2"/>
    <n v="52672.035000000003"/>
    <n v="0.90653432468024098"/>
    <n v="10525.953846153847"/>
  </r>
  <r>
    <s v="GREENE COUNTY COMMERCIAL BANK"/>
    <s v="Catskill"/>
    <x v="2"/>
    <n v="12414"/>
    <d v="2021-09-30T00:00:00"/>
    <x v="2"/>
    <n v="134"/>
    <n v="974012"/>
    <n v="367"/>
    <n v="974012"/>
    <n v="904972"/>
    <n v="832387"/>
    <x v="0"/>
    <n v="8.5000000000000006E-2"/>
    <n v="70752.895000000004"/>
    <n v="0.92911791641170749"/>
    <n v="7268.746268656716"/>
  </r>
  <r>
    <s v="GREENFIELD CO-OPERATIVE BANK"/>
    <s v="Greenfield"/>
    <x v="3"/>
    <n v="1301"/>
    <d v="2019-09-30T00:00:00"/>
    <x v="0"/>
    <n v="96"/>
    <n v="656888"/>
    <n v="57516"/>
    <n v="656888"/>
    <n v="579570"/>
    <n v="555919"/>
    <x v="0"/>
    <n v="8.5000000000000006E-2"/>
    <n v="47253.115000000005"/>
    <n v="0.88229652543508175"/>
    <n v="6842.583333333333"/>
  </r>
  <r>
    <s v="GREENFIELD CO-OPERATIVE BANK"/>
    <s v="Greenfield"/>
    <x v="3"/>
    <n v="1301"/>
    <d v="2020-09-30T00:00:00"/>
    <x v="1"/>
    <n v="99"/>
    <n v="732349"/>
    <n v="105323"/>
    <n v="732349"/>
    <n v="650696"/>
    <n v="631357"/>
    <x v="0"/>
    <n v="8.5000000000000006E-2"/>
    <n v="53665.345000000001"/>
    <n v="0.88850534376369739"/>
    <n v="7397.4646464646466"/>
  </r>
  <r>
    <s v="GREENFIELD CO-OPERATIVE BANK"/>
    <s v="Greenfield"/>
    <x v="3"/>
    <n v="1301"/>
    <d v="2021-09-30T00:00:00"/>
    <x v="2"/>
    <n v="104"/>
    <n v="808523"/>
    <n v="174845"/>
    <n v="808523"/>
    <n v="724368"/>
    <n v="711081"/>
    <x v="0"/>
    <n v="8.5000000000000006E-2"/>
    <n v="60441.885000000002"/>
    <n v="0.89591514403424521"/>
    <n v="7774.2596153846152"/>
  </r>
  <r>
    <s v="GREENFIELD SAVINGS BANK"/>
    <s v="Greenfield"/>
    <x v="3"/>
    <n v="1301"/>
    <d v="2019-09-30T00:00:00"/>
    <x v="0"/>
    <n v="166"/>
    <n v="874454"/>
    <n v="17750"/>
    <n v="874455"/>
    <n v="769014"/>
    <n v="725500"/>
    <x v="0"/>
    <n v="8.5000000000000006E-2"/>
    <n v="61667.500000000007"/>
    <n v="0.87942190212406823"/>
    <n v="5267.7951807228919"/>
  </r>
  <r>
    <s v="GREENFIELD SAVINGS BANK"/>
    <s v="Greenfield"/>
    <x v="3"/>
    <n v="1301"/>
    <d v="2020-09-30T00:00:00"/>
    <x v="1"/>
    <n v="155"/>
    <n v="994372"/>
    <n v="73590"/>
    <n v="994373"/>
    <n v="881038"/>
    <n v="840929"/>
    <x v="0"/>
    <n v="8.5000000000000006E-2"/>
    <n v="71478.965000000011"/>
    <n v="0.88602454614570803"/>
    <n v="6415.3032258064513"/>
  </r>
  <r>
    <s v="GREENFIELD SAVINGS BANK"/>
    <s v="Greenfield"/>
    <x v="3"/>
    <n v="1301"/>
    <d v="2021-09-30T00:00:00"/>
    <x v="2"/>
    <n v="157"/>
    <n v="1123194"/>
    <n v="206891"/>
    <n v="1123194"/>
    <n v="1003558"/>
    <n v="982377"/>
    <x v="1"/>
    <n v="0.08"/>
    <n v="78590.16"/>
    <n v="0.89348589825088098"/>
    <n v="7154.1019108280252"/>
  </r>
  <r>
    <s v="GRUNDY BANK"/>
    <s v="Morris"/>
    <x v="1"/>
    <n v="60450"/>
    <d v="2019-09-30T00:00:00"/>
    <x v="0"/>
    <n v="57"/>
    <n v="277932"/>
    <n v="57642"/>
    <n v="277932"/>
    <n v="247201"/>
    <n v="245901"/>
    <x v="0"/>
    <n v="0.08"/>
    <n v="19672.080000000002"/>
    <n v="0.88942978858137967"/>
    <n v="4876"/>
  </r>
  <r>
    <s v="GRUNDY BANK"/>
    <s v="Morris"/>
    <x v="1"/>
    <n v="60450"/>
    <d v="2020-09-30T00:00:00"/>
    <x v="1"/>
    <n v="50"/>
    <n v="319907"/>
    <n v="85206"/>
    <n v="319907"/>
    <n v="286442"/>
    <n v="281131"/>
    <x v="0"/>
    <n v="0.08"/>
    <n v="22490.48"/>
    <n v="0.89539147314688328"/>
    <n v="6398.14"/>
  </r>
  <r>
    <s v="GRUNDY BANK"/>
    <s v="Morris"/>
    <x v="1"/>
    <n v="60450"/>
    <d v="2021-09-30T00:00:00"/>
    <x v="2"/>
    <n v="50"/>
    <n v="408232"/>
    <n v="182359"/>
    <n v="408232"/>
    <n v="372935"/>
    <n v="366497"/>
    <x v="0"/>
    <n v="0.08"/>
    <n v="29319.760000000002"/>
    <n v="0.9135369103842913"/>
    <n v="8164.64"/>
  </r>
  <r>
    <s v="GUARDIAN SAVINGS BANK"/>
    <s v="Granite City"/>
    <x v="1"/>
    <n v="62040"/>
    <d v="2019-09-30T00:00:00"/>
    <x v="0"/>
    <n v="8"/>
    <n v="37365"/>
    <n v="6527"/>
    <n v="37365"/>
    <n v="30016"/>
    <n v="27502"/>
    <x v="2"/>
    <n v="0.09"/>
    <n v="2475.1799999999998"/>
    <n v="0.80331861367589996"/>
    <n v="4670.625"/>
  </r>
  <r>
    <s v="GUARDIAN SAVINGS BANK"/>
    <s v="Granite City"/>
    <x v="1"/>
    <n v="62040"/>
    <d v="2020-09-30T00:00:00"/>
    <x v="1"/>
    <n v="7"/>
    <n v="37168"/>
    <n v="7832"/>
    <n v="37168"/>
    <n v="30285"/>
    <n v="27046"/>
    <x v="2"/>
    <n v="0.09"/>
    <n v="2434.14"/>
    <n v="0.81481381833835553"/>
    <n v="5309.7142857142853"/>
  </r>
  <r>
    <s v="GUARDIAN SAVINGS BANK"/>
    <s v="Granite City"/>
    <x v="1"/>
    <n v="62040"/>
    <d v="2021-09-30T00:00:00"/>
    <x v="2"/>
    <n v="9"/>
    <n v="36549"/>
    <n v="9587"/>
    <n v="36549"/>
    <n v="29816"/>
    <n v="29222"/>
    <x v="2"/>
    <n v="0.09"/>
    <n v="2629.98"/>
    <n v="0.81578155353087634"/>
    <n v="4061"/>
  </r>
  <r>
    <s v="H. F. GEHANT BANKING CO."/>
    <s v="West Brooklyn"/>
    <x v="1"/>
    <n v="61378"/>
    <d v="2019-09-30T00:00:00"/>
    <x v="0"/>
    <n v="12"/>
    <n v="58448"/>
    <n v="8927"/>
    <n v="58448"/>
    <n v="49149"/>
    <n v="49005"/>
    <x v="2"/>
    <n v="0.09"/>
    <n v="4410.45"/>
    <n v="0.84090131398850265"/>
    <n v="4870.666666666667"/>
  </r>
  <r>
    <s v="HABIB AMERICAN BANK"/>
    <s v="New York"/>
    <x v="2"/>
    <n v="10016"/>
    <d v="2019-09-30T00:00:00"/>
    <x v="0"/>
    <n v="140"/>
    <n v="1834740"/>
    <n v="769153"/>
    <n v="1834740"/>
    <n v="1677545"/>
    <n v="1648895"/>
    <x v="1"/>
    <n v="0.08"/>
    <n v="131911.6"/>
    <n v="0.91432301034479002"/>
    <n v="13105.285714285714"/>
  </r>
  <r>
    <s v="HABIB AMERICAN BANK"/>
    <s v="New York"/>
    <x v="2"/>
    <n v="10016"/>
    <d v="2020-09-30T00:00:00"/>
    <x v="1"/>
    <n v="140"/>
    <n v="1789285"/>
    <n v="377139"/>
    <n v="1789285"/>
    <n v="1614358"/>
    <n v="1485995"/>
    <x v="1"/>
    <n v="0.08"/>
    <n v="118879.6"/>
    <n v="0.90223636815823083"/>
    <n v="12780.607142857143"/>
  </r>
  <r>
    <s v="HABIB AMERICAN BANK"/>
    <s v="New York"/>
    <x v="2"/>
    <n v="10016"/>
    <d v="2021-09-30T00:00:00"/>
    <x v="2"/>
    <n v="151"/>
    <n v="1942084"/>
    <n v="438437"/>
    <n v="1942084"/>
    <n v="1750318"/>
    <n v="1615836"/>
    <x v="1"/>
    <n v="0.08"/>
    <n v="129266.88"/>
    <n v="0.90125761810508709"/>
    <n v="12861.48344370861"/>
  </r>
  <r>
    <s v="HANMI BANK"/>
    <s v="Los Angeles"/>
    <x v="0"/>
    <n v="90010"/>
    <d v="2019-09-30T00:00:00"/>
    <x v="0"/>
    <n v="635"/>
    <n v="5512619"/>
    <n v="150679"/>
    <n v="5512619"/>
    <n v="4841975"/>
    <n v="4697001"/>
    <x v="1"/>
    <n v="0.08"/>
    <n v="375760.08"/>
    <n v="0.87834385071778043"/>
    <n v="8681.2897637795268"/>
  </r>
  <r>
    <s v="HANMI BANK"/>
    <s v="Los Angeles"/>
    <x v="0"/>
    <n v="90010"/>
    <d v="2020-09-30T00:00:00"/>
    <x v="1"/>
    <n v="600"/>
    <n v="6103789"/>
    <n v="359755"/>
    <n v="6103789"/>
    <n v="5440560"/>
    <n v="5210428"/>
    <x v="1"/>
    <n v="0.08"/>
    <n v="416834.24"/>
    <n v="0.89134142743138733"/>
    <n v="10172.981666666667"/>
  </r>
  <r>
    <s v="HANMI BANK"/>
    <s v="Los Angeles"/>
    <x v="0"/>
    <n v="90010"/>
    <d v="2021-09-30T00:00:00"/>
    <x v="2"/>
    <n v="606"/>
    <n v="6775618"/>
    <n v="824347"/>
    <n v="6775618"/>
    <n v="6045980"/>
    <n v="5824018"/>
    <x v="1"/>
    <n v="0.08"/>
    <n v="465921.44"/>
    <n v="0.89231417709794147"/>
    <n v="11180.887788778879"/>
  </r>
  <r>
    <s v="HANOVER COMMUNITY BANK"/>
    <s v="Garden City Park"/>
    <x v="2"/>
    <n v="11040"/>
    <d v="2019-09-30T00:00:00"/>
    <x v="0"/>
    <n v="102"/>
    <n v="848837"/>
    <n v="66275"/>
    <n v="848837"/>
    <n v="763623"/>
    <n v="651454"/>
    <x v="0"/>
    <n v="8.5000000000000006E-2"/>
    <n v="55373.590000000004"/>
    <n v="0.89961087935610728"/>
    <n v="8321.9313725490192"/>
  </r>
  <r>
    <s v="HANOVER COMMUNITY BANK"/>
    <s v="Garden City Park"/>
    <x v="2"/>
    <n v="11040"/>
    <d v="2020-09-30T00:00:00"/>
    <x v="1"/>
    <n v="94"/>
    <n v="851606"/>
    <n v="80209"/>
    <n v="851606"/>
    <n v="759814"/>
    <n v="665274"/>
    <x v="0"/>
    <n v="8.5000000000000006E-2"/>
    <n v="56548.29"/>
    <n v="0.89221306566651715"/>
    <n v="9059.6382978723395"/>
  </r>
  <r>
    <s v="HANOVER COMMUNITY BANK"/>
    <s v="Garden City Park"/>
    <x v="2"/>
    <n v="11040"/>
    <d v="2021-09-30T00:00:00"/>
    <x v="2"/>
    <n v="136"/>
    <n v="1484641"/>
    <n v="151684"/>
    <n v="1484641"/>
    <n v="1338409"/>
    <n v="1165232"/>
    <x v="1"/>
    <n v="0.08"/>
    <n v="93218.559999999998"/>
    <n v="0.90150346110608559"/>
    <n v="10916.47794117647"/>
  </r>
  <r>
    <s v="HARBORONE BANK"/>
    <s v="Brockton"/>
    <x v="3"/>
    <n v="2301"/>
    <d v="2019-09-30T00:00:00"/>
    <x v="0"/>
    <n v="657"/>
    <n v="3818755"/>
    <n v="113619"/>
    <n v="3818755"/>
    <n v="3295806"/>
    <n v="2932304"/>
    <x v="1"/>
    <n v="0.08"/>
    <n v="234584.32000000001"/>
    <n v="0.86305772431067196"/>
    <n v="5812.4124809741252"/>
  </r>
  <r>
    <s v="HARBORONE BANK"/>
    <s v="Brockton"/>
    <x v="3"/>
    <n v="2301"/>
    <d v="2020-09-30T00:00:00"/>
    <x v="1"/>
    <n v="630"/>
    <n v="4432932"/>
    <n v="140402"/>
    <n v="4432932"/>
    <n v="3871362"/>
    <n v="3506440"/>
    <x v="1"/>
    <n v="0.08"/>
    <n v="280515.20000000001"/>
    <n v="0.87331860718819965"/>
    <n v="7036.4"/>
  </r>
  <r>
    <s v="HARBORONE BANK"/>
    <s v="Brockton"/>
    <x v="3"/>
    <n v="2301"/>
    <d v="2021-09-30T00:00:00"/>
    <x v="2"/>
    <n v="634"/>
    <n v="4570043"/>
    <n v="323728"/>
    <n v="4570043"/>
    <n v="3939074"/>
    <n v="3755688"/>
    <x v="1"/>
    <n v="0.08"/>
    <n v="300455.03999999998"/>
    <n v="0.8619336842125993"/>
    <n v="7208.2697160883281"/>
  </r>
  <r>
    <s v="HARTSBURG STATE BANK"/>
    <s v="Hartsburg"/>
    <x v="1"/>
    <n v="62643"/>
    <d v="2019-09-30T00:00:00"/>
    <x v="0"/>
    <n v="3"/>
    <n v="16160"/>
    <n v="877"/>
    <n v="16160"/>
    <n v="14090"/>
    <n v="14017"/>
    <x v="2"/>
    <n v="0.09"/>
    <n v="1261.53"/>
    <n v="0.87190594059405946"/>
    <n v="5386.666666666667"/>
  </r>
  <r>
    <s v="HARTSBURG STATE BANK"/>
    <s v="Hartsburg"/>
    <x v="1"/>
    <n v="62643"/>
    <d v="2020-09-30T00:00:00"/>
    <x v="1"/>
    <n v="3"/>
    <n v="17240"/>
    <n v="685"/>
    <n v="17240"/>
    <n v="15128"/>
    <n v="15036"/>
    <x v="2"/>
    <n v="0.09"/>
    <n v="1353.24"/>
    <n v="0.87749419953596286"/>
    <n v="5746.666666666667"/>
  </r>
  <r>
    <s v="HARTSBURG STATE BANK"/>
    <s v="Hartsburg"/>
    <x v="1"/>
    <n v="62643"/>
    <d v="2021-09-30T00:00:00"/>
    <x v="2"/>
    <n v="3"/>
    <n v="19114"/>
    <n v="1529"/>
    <n v="19114"/>
    <n v="17129"/>
    <n v="17061"/>
    <x v="2"/>
    <n v="0.09"/>
    <n v="1535.49"/>
    <n v="0.89614941927383074"/>
    <n v="6371.333333333333"/>
  </r>
  <r>
    <s v="HATCH BANK"/>
    <s v="San Marcos"/>
    <x v="0"/>
    <n v="92078"/>
    <d v="2019-09-30T00:00:00"/>
    <x v="0"/>
    <n v="4"/>
    <n v="68473"/>
    <n v="5018"/>
    <n v="68473"/>
    <n v="41551"/>
    <n v="37790"/>
    <x v="2"/>
    <n v="0.1"/>
    <n v="3779"/>
    <n v="0.60682312736407051"/>
    <n v="17118.25"/>
  </r>
  <r>
    <s v="HATCH BANK"/>
    <s v="San Marcos"/>
    <x v="0"/>
    <n v="92078"/>
    <d v="2020-09-30T00:00:00"/>
    <x v="1"/>
    <n v="5"/>
    <n v="110191"/>
    <n v="57502"/>
    <n v="110191"/>
    <n v="82432"/>
    <n v="69525"/>
    <x v="0"/>
    <n v="0.09"/>
    <n v="6257.25"/>
    <n v="0.74808287428192866"/>
    <n v="22038.2"/>
  </r>
  <r>
    <s v="HATCH BANK"/>
    <s v="San Marcos"/>
    <x v="0"/>
    <n v="92078"/>
    <d v="2021-09-30T00:00:00"/>
    <x v="2"/>
    <n v="7"/>
    <n v="466319"/>
    <n v="353410"/>
    <n v="466319"/>
    <n v="437775"/>
    <n v="436008"/>
    <x v="0"/>
    <n v="0.09"/>
    <n v="39240.720000000001"/>
    <n v="0.93878868328333176"/>
    <n v="66617"/>
  </r>
  <r>
    <s v="HAVERHILL BANK"/>
    <s v="Haverhill"/>
    <x v="3"/>
    <n v="1830"/>
    <d v="2019-09-30T00:00:00"/>
    <x v="0"/>
    <n v="72"/>
    <n v="412900"/>
    <n v="25513"/>
    <n v="412900"/>
    <n v="367425"/>
    <n v="343465"/>
    <x v="0"/>
    <n v="8.5000000000000006E-2"/>
    <n v="29194.525000000001"/>
    <n v="0.88986437394042139"/>
    <n v="5734.7222222222226"/>
  </r>
  <r>
    <s v="HAVERHILL BANK"/>
    <s v="Haverhill"/>
    <x v="3"/>
    <n v="1830"/>
    <d v="2020-09-30T00:00:00"/>
    <x v="1"/>
    <n v="70"/>
    <n v="488757"/>
    <n v="70416"/>
    <n v="488757"/>
    <n v="440147"/>
    <n v="412103"/>
    <x v="0"/>
    <n v="8.5000000000000006E-2"/>
    <n v="35028.755000000005"/>
    <n v="0.90054362392763687"/>
    <n v="6982.2428571428572"/>
  </r>
  <r>
    <s v="HAVERHILL BANK"/>
    <s v="Haverhill"/>
    <x v="3"/>
    <n v="1830"/>
    <d v="2021-09-30T00:00:00"/>
    <x v="2"/>
    <n v="69"/>
    <n v="546469"/>
    <n v="87716"/>
    <n v="546469"/>
    <n v="494160"/>
    <n v="473347"/>
    <x v="0"/>
    <n v="8.5000000000000006E-2"/>
    <n v="40234.495000000003"/>
    <n v="0.90427819327354342"/>
    <n v="7919.840579710145"/>
  </r>
  <r>
    <s v="HEARTLAND BANK AND TRUST COMPANY"/>
    <s v="Bloomington"/>
    <x v="1"/>
    <n v="61702"/>
    <d v="2019-09-30T00:00:00"/>
    <x v="0"/>
    <n v="669"/>
    <n v="2818116"/>
    <n v="107653"/>
    <n v="2818116"/>
    <n v="2472725"/>
    <n v="2401146"/>
    <x v="1"/>
    <n v="7.4999999999999997E-2"/>
    <n v="180085.94999999998"/>
    <n v="0.87743904083437307"/>
    <n v="4212.4304932735422"/>
  </r>
  <r>
    <s v="HEARTLAND BANK AND TRUST COMPANY"/>
    <s v="Bloomington"/>
    <x v="1"/>
    <n v="61702"/>
    <d v="2020-09-30T00:00:00"/>
    <x v="1"/>
    <n v="680"/>
    <n v="3184069"/>
    <n v="189114"/>
    <n v="3184069"/>
    <n v="2836099"/>
    <n v="2753846"/>
    <x v="1"/>
    <n v="7.4999999999999997E-2"/>
    <n v="206538.44999999998"/>
    <n v="0.89071530799112708"/>
    <n v="4682.4544117647056"/>
  </r>
  <r>
    <s v="HEARTLAND BANK AND TRUST COMPANY"/>
    <s v="Bloomington"/>
    <x v="1"/>
    <n v="61704"/>
    <d v="2021-09-30T00:00:00"/>
    <x v="2"/>
    <n v="687"/>
    <n v="3935438"/>
    <n v="460266"/>
    <n v="3935438"/>
    <n v="3505204"/>
    <n v="3433414"/>
    <x v="1"/>
    <n v="7.4999999999999997E-2"/>
    <n v="257506.05"/>
    <n v="0.89067697166109594"/>
    <n v="5728.4395924308592"/>
  </r>
  <r>
    <s v="HERITAGE BANK OF COMMERCE"/>
    <s v="San Jose"/>
    <x v="0"/>
    <n v="95113"/>
    <d v="2019-09-30T00:00:00"/>
    <x v="0"/>
    <n v="308"/>
    <n v="3181132"/>
    <n v="415783"/>
    <n v="3181132"/>
    <n v="2767660"/>
    <n v="2709807"/>
    <x v="1"/>
    <n v="0.08"/>
    <n v="216784.56"/>
    <n v="0.87002362680957601"/>
    <n v="10328.35064935065"/>
  </r>
  <r>
    <s v="HERITAGE BANK OF COMMERCE"/>
    <s v="San Jose"/>
    <x v="0"/>
    <n v="95110"/>
    <d v="2020-09-30T00:00:00"/>
    <x v="1"/>
    <n v="342"/>
    <n v="4605351"/>
    <n v="960268"/>
    <n v="4605351"/>
    <n v="4010157"/>
    <n v="3912098"/>
    <x v="1"/>
    <n v="0.08"/>
    <n v="312967.84000000003"/>
    <n v="0.87076033943992548"/>
    <n v="13465.938596491229"/>
  </r>
  <r>
    <s v="HERITAGE BANK OF COMMERCE"/>
    <s v="San Jose"/>
    <x v="0"/>
    <n v="95110"/>
    <d v="2021-09-30T00:00:00"/>
    <x v="2"/>
    <n v="325"/>
    <n v="5460770"/>
    <n v="1621347"/>
    <n v="5460770"/>
    <n v="4852562"/>
    <n v="4746778"/>
    <x v="1"/>
    <n v="0.08"/>
    <n v="379742.24"/>
    <n v="0.88862230051805879"/>
    <n v="16802.369230769229"/>
  </r>
  <r>
    <s v="HERITAGE BANK OF SCHAUMBURG"/>
    <s v="Schaumburg"/>
    <x v="1"/>
    <n v="60194"/>
    <d v="2019-09-30T00:00:00"/>
    <x v="0"/>
    <n v="17"/>
    <n v="137036"/>
    <n v="32922"/>
    <n v="137036"/>
    <n v="116828"/>
    <n v="111275"/>
    <x v="0"/>
    <n v="0.08"/>
    <n v="8902"/>
    <n v="0.85253510026562362"/>
    <n v="8060.9411764705883"/>
  </r>
  <r>
    <s v="HERITAGE BANK OF SCHAUMBURG"/>
    <s v="Schaumburg"/>
    <x v="1"/>
    <n v="60194"/>
    <d v="2020-09-30T00:00:00"/>
    <x v="1"/>
    <n v="18"/>
    <n v="144216"/>
    <n v="31739"/>
    <n v="144216"/>
    <n v="123604"/>
    <n v="123283"/>
    <x v="0"/>
    <n v="0.08"/>
    <n v="9862.64"/>
    <n v="0.85707549786431458"/>
    <n v="8012"/>
  </r>
  <r>
    <s v="HERITAGE BANK OF SCHAUMBURG"/>
    <s v="Schaumburg"/>
    <x v="1"/>
    <n v="60194"/>
    <d v="2021-09-30T00:00:00"/>
    <x v="2"/>
    <n v="16"/>
    <n v="164143"/>
    <n v="50552"/>
    <n v="164143"/>
    <n v="142969"/>
    <n v="142761"/>
    <x v="0"/>
    <n v="0.08"/>
    <n v="11420.880000000001"/>
    <n v="0.87100272323522787"/>
    <n v="10258.9375"/>
  </r>
  <r>
    <s v="HERITAGE STATE BANK"/>
    <s v="Lawrenceville"/>
    <x v="1"/>
    <n v="62439"/>
    <d v="2019-09-30T00:00:00"/>
    <x v="0"/>
    <n v="11"/>
    <n v="82200"/>
    <n v="8890"/>
    <n v="82200"/>
    <n v="72319"/>
    <n v="72189"/>
    <x v="2"/>
    <n v="0.09"/>
    <n v="6497.0099999999993"/>
    <n v="0.87979318734793188"/>
    <n v="7472.727272727273"/>
  </r>
  <r>
    <s v="HERITAGE STATE BANK"/>
    <s v="Lawrenceville"/>
    <x v="1"/>
    <n v="62439"/>
    <d v="2020-09-30T00:00:00"/>
    <x v="1"/>
    <n v="11"/>
    <n v="79214"/>
    <n v="18055"/>
    <n v="79214"/>
    <n v="70058"/>
    <n v="69975"/>
    <x v="2"/>
    <n v="0.09"/>
    <n v="6297.75"/>
    <n v="0.88441437119701061"/>
    <n v="7201.272727272727"/>
  </r>
  <r>
    <s v="HICKORY POINT BANK AND TRUST"/>
    <s v="Decatur"/>
    <x v="1"/>
    <n v="62523"/>
    <d v="2019-09-30T00:00:00"/>
    <x v="0"/>
    <n v="144"/>
    <n v="639622"/>
    <n v="34165"/>
    <n v="639622"/>
    <n v="571093"/>
    <n v="565335"/>
    <x v="0"/>
    <n v="0.08"/>
    <n v="45226.8"/>
    <n v="0.89286015803083696"/>
    <n v="4441.8194444444443"/>
  </r>
  <r>
    <s v="HICKORY POINT BANK AND TRUST"/>
    <s v="Decatur"/>
    <x v="1"/>
    <n v="62523"/>
    <d v="2020-09-30T00:00:00"/>
    <x v="1"/>
    <n v="148"/>
    <n v="770287"/>
    <n v="141202"/>
    <n v="770287"/>
    <n v="699492"/>
    <n v="637023"/>
    <x v="0"/>
    <n v="0.08"/>
    <n v="50961.840000000004"/>
    <n v="0.90809269791649083"/>
    <n v="5204.6418918918916"/>
  </r>
  <r>
    <s v="HICKORY POINT BANK AND TRUST"/>
    <s v="Decatur"/>
    <x v="1"/>
    <n v="62523"/>
    <d v="2021-09-30T00:00:00"/>
    <x v="2"/>
    <n v="143"/>
    <n v="764149"/>
    <n v="138476"/>
    <n v="764149"/>
    <n v="691930"/>
    <n v="630580"/>
    <x v="0"/>
    <n v="0.08"/>
    <n v="50446.400000000001"/>
    <n v="0.90549094482882264"/>
    <n v="5343.6993006993007"/>
  </r>
  <r>
    <s v="HINGHAM INSTITUTION FOR SAVINGS"/>
    <s v="Hingham"/>
    <x v="3"/>
    <n v="2043"/>
    <d v="2019-09-30T00:00:00"/>
    <x v="0"/>
    <n v="85"/>
    <n v="2480411"/>
    <n v="231174"/>
    <n v="2480411"/>
    <n v="2242558"/>
    <n v="1714018"/>
    <x v="1"/>
    <n v="0.08"/>
    <n v="137121.44"/>
    <n v="0.90410742413253287"/>
    <n v="29181.305882352943"/>
  </r>
  <r>
    <s v="HINGHAM INSTITUTION FOR SAVINGS"/>
    <s v="Hingham"/>
    <x v="3"/>
    <n v="2043"/>
    <d v="2020-09-30T00:00:00"/>
    <x v="1"/>
    <n v="86"/>
    <n v="2719181"/>
    <n v="236292"/>
    <n v="2719181"/>
    <n v="2440869"/>
    <n v="2035421"/>
    <x v="1"/>
    <n v="0.08"/>
    <n v="162833.68"/>
    <n v="0.89764859345516168"/>
    <n v="31618.383720930233"/>
  </r>
  <r>
    <s v="HINGHAM INSTITUTION FOR SAVINGS"/>
    <s v="Hingham"/>
    <x v="3"/>
    <n v="2043"/>
    <d v="2021-09-30T00:00:00"/>
    <x v="2"/>
    <n v="72"/>
    <n v="3164872"/>
    <n v="219069"/>
    <n v="3164872"/>
    <n v="2824156"/>
    <n v="2425846"/>
    <x v="1"/>
    <n v="0.08"/>
    <n v="194067.68"/>
    <n v="0.89234446132418621"/>
    <n v="43956.555555555555"/>
  </r>
  <r>
    <s v="HINSDALE BANK &amp; TRUST COMPANY"/>
    <s v="Hinsdale"/>
    <x v="1"/>
    <n v="60521"/>
    <d v="2019-09-30T00:00:00"/>
    <x v="0"/>
    <n v="176"/>
    <n v="2659294"/>
    <n v="144435"/>
    <n v="2659294"/>
    <n v="2320813"/>
    <n v="2216177"/>
    <x v="1"/>
    <n v="7.4999999999999997E-2"/>
    <n v="166213.27499999999"/>
    <n v="0.87271772132001957"/>
    <n v="15109.625"/>
  </r>
  <r>
    <s v="HINSDALE BANK &amp; TRUST COMPANY, NATIONAL ASSOCIATION"/>
    <s v="Hinsdale"/>
    <x v="1"/>
    <n v="60521"/>
    <d v="2020-09-30T00:00:00"/>
    <x v="1"/>
    <n v="212"/>
    <n v="3829564"/>
    <n v="414320"/>
    <n v="3829564"/>
    <n v="3402969"/>
    <n v="3194650"/>
    <x v="1"/>
    <n v="7.4999999999999997E-2"/>
    <n v="239598.75"/>
    <n v="0.88860481245384593"/>
    <n v="18063.981132075471"/>
  </r>
  <r>
    <s v="HINSDALE BANK &amp; TRUST COMPANY, NATIONAL ASSOCIATION"/>
    <s v="Hinsdale"/>
    <x v="1"/>
    <n v="60521"/>
    <d v="2021-09-30T00:00:00"/>
    <x v="2"/>
    <n v="208"/>
    <n v="4087990"/>
    <n v="372263"/>
    <n v="4087990"/>
    <n v="3631879"/>
    <n v="3439721"/>
    <x v="1"/>
    <n v="7.4999999999999997E-2"/>
    <n v="257979.07499999998"/>
    <n v="0.8884265861707098"/>
    <n v="19653.798076923078"/>
  </r>
  <r>
    <s v="HOLCOMB BANK"/>
    <s v="Rochelle"/>
    <x v="1"/>
    <n v="61068"/>
    <d v="2019-09-30T00:00:00"/>
    <x v="0"/>
    <n v="54"/>
    <n v="187766"/>
    <n v="11216"/>
    <n v="187766"/>
    <n v="167865"/>
    <n v="166939"/>
    <x v="0"/>
    <n v="0.08"/>
    <n v="13355.12"/>
    <n v="0.89401169540811432"/>
    <n v="3477.1481481481483"/>
  </r>
  <r>
    <s v="HOLCOMB BANK"/>
    <s v="Rochelle"/>
    <x v="1"/>
    <n v="61068"/>
    <d v="2020-09-30T00:00:00"/>
    <x v="1"/>
    <n v="53"/>
    <n v="238929"/>
    <n v="9349"/>
    <n v="238929"/>
    <n v="212830"/>
    <n v="193110"/>
    <x v="0"/>
    <n v="0.08"/>
    <n v="15448.800000000001"/>
    <n v="0.89076671312398248"/>
    <n v="4508.0943396226412"/>
  </r>
  <r>
    <s v="HOLCOMB BANK"/>
    <s v="Rochelle"/>
    <x v="1"/>
    <n v="61068"/>
    <d v="2021-09-30T00:00:00"/>
    <x v="2"/>
    <n v="52"/>
    <n v="255939"/>
    <n v="24840"/>
    <n v="255939"/>
    <n v="228332"/>
    <n v="210536"/>
    <x v="0"/>
    <n v="0.08"/>
    <n v="16842.88"/>
    <n v="0.8921344539128464"/>
    <n v="4921.9038461538457"/>
  </r>
  <r>
    <s v="HOME BANK OF CALIFORNIA"/>
    <s v="San Diego"/>
    <x v="0"/>
    <n v="92123"/>
    <d v="2019-09-30T00:00:00"/>
    <x v="0"/>
    <n v="21"/>
    <n v="175844"/>
    <n v="13842"/>
    <n v="175844"/>
    <n v="151497"/>
    <n v="127883"/>
    <x v="0"/>
    <n v="0.09"/>
    <n v="11509.47"/>
    <n v="0.86154204863401651"/>
    <n v="8373.5238095238092"/>
  </r>
  <r>
    <s v="HOME BANK OF CALIFORNIA"/>
    <s v="San Diego"/>
    <x v="0"/>
    <n v="92123"/>
    <d v="2020-09-30T00:00:00"/>
    <x v="1"/>
    <n v="23"/>
    <n v="205853"/>
    <n v="25500"/>
    <n v="205853"/>
    <n v="181208"/>
    <n v="159373"/>
    <x v="0"/>
    <n v="0.09"/>
    <n v="14343.57"/>
    <n v="0.8802786454411643"/>
    <n v="8950.1304347826081"/>
  </r>
  <r>
    <s v="HOME BANK OF CALIFORNIA"/>
    <s v="San Diego"/>
    <x v="0"/>
    <n v="92123"/>
    <d v="2021-09-30T00:00:00"/>
    <x v="2"/>
    <n v="24"/>
    <n v="200860"/>
    <n v="21646"/>
    <n v="200860"/>
    <n v="173966"/>
    <n v="152921"/>
    <x v="0"/>
    <n v="0.09"/>
    <n v="13762.89"/>
    <n v="0.86610574529523054"/>
    <n v="8369.1666666666661"/>
  </r>
  <r>
    <s v="HOME STATE BANK, NATIONAL ASSOCIATION"/>
    <s v="Crystal Lake"/>
    <x v="1"/>
    <n v="60014"/>
    <d v="2019-09-30T00:00:00"/>
    <x v="0"/>
    <n v="168"/>
    <n v="603667"/>
    <n v="33630"/>
    <n v="603668"/>
    <n v="525542"/>
    <n v="511202"/>
    <x v="0"/>
    <n v="0.08"/>
    <n v="40896.160000000003"/>
    <n v="0.87058262253858498"/>
    <n v="3593.2559523809523"/>
  </r>
  <r>
    <s v="HOME STATE BANK, NATIONAL ASSOCIATION"/>
    <s v="Crystal Lake"/>
    <x v="1"/>
    <n v="60014"/>
    <d v="2020-09-30T00:00:00"/>
    <x v="1"/>
    <n v="161"/>
    <n v="690027"/>
    <n v="76598"/>
    <n v="690027"/>
    <n v="609207"/>
    <n v="587216"/>
    <x v="0"/>
    <n v="0.08"/>
    <n v="46977.279999999999"/>
    <n v="0.88287414840288858"/>
    <n v="4285.8819875776398"/>
  </r>
  <r>
    <s v="HOME STATE BANK, NATIONAL ASSOCIATION"/>
    <s v="Crystal Lake"/>
    <x v="1"/>
    <n v="60014"/>
    <d v="2021-09-30T00:00:00"/>
    <x v="2"/>
    <n v="146"/>
    <n v="781267"/>
    <n v="188833"/>
    <n v="781267"/>
    <n v="701414"/>
    <n v="690426"/>
    <x v="0"/>
    <n v="0.08"/>
    <n v="55234.080000000002"/>
    <n v="0.89779038408124234"/>
    <n v="5351.1438356164381"/>
  </r>
  <r>
    <s v="HOMESTAR BANK AND FINANCIAL SERVICES"/>
    <s v="Manteno"/>
    <x v="1"/>
    <n v="60950"/>
    <d v="2019-09-30T00:00:00"/>
    <x v="0"/>
    <n v="88"/>
    <n v="396808"/>
    <n v="80945"/>
    <n v="396808"/>
    <n v="359895"/>
    <n v="344651"/>
    <x v="0"/>
    <n v="0.08"/>
    <n v="27572.080000000002"/>
    <n v="0.90697516179109294"/>
    <n v="4509.181818181818"/>
  </r>
  <r>
    <s v="HOMETOWN BANK"/>
    <s v="Oxford"/>
    <x v="3"/>
    <n v="1540"/>
    <d v="2019-09-30T00:00:00"/>
    <x v="0"/>
    <n v="120"/>
    <n v="796973"/>
    <n v="57796"/>
    <n v="796973"/>
    <n v="714812"/>
    <n v="681797"/>
    <x v="0"/>
    <n v="8.5000000000000006E-2"/>
    <n v="57952.745000000003"/>
    <n v="0.89690867821118159"/>
    <n v="6641.4416666666666"/>
  </r>
  <r>
    <s v="HOMETOWN BANK"/>
    <s v="Oxford"/>
    <x v="3"/>
    <n v="1540"/>
    <d v="2020-09-30T00:00:00"/>
    <x v="1"/>
    <n v="155"/>
    <n v="1228602"/>
    <n v="252367"/>
    <n v="1228602"/>
    <n v="1102913"/>
    <n v="1063005"/>
    <x v="1"/>
    <n v="0.08"/>
    <n v="85040.400000000009"/>
    <n v="0.89769754566572413"/>
    <n v="7926.4645161290318"/>
  </r>
  <r>
    <s v="HOMETOWN BANK"/>
    <s v="Oxford"/>
    <x v="3"/>
    <n v="1540"/>
    <d v="2021-09-30T00:00:00"/>
    <x v="2"/>
    <n v="149"/>
    <n v="1351976"/>
    <n v="410847"/>
    <n v="1351976"/>
    <n v="1219483"/>
    <n v="1201549"/>
    <x v="1"/>
    <n v="0.08"/>
    <n v="96123.92"/>
    <n v="0.90200047929844906"/>
    <n v="9073.6644295302012"/>
  </r>
  <r>
    <s v="HOMETOWN NATIONAL BANK"/>
    <s v="La Salle"/>
    <x v="1"/>
    <n v="61301"/>
    <d v="2019-09-30T00:00:00"/>
    <x v="0"/>
    <n v="45"/>
    <n v="218932"/>
    <n v="31312"/>
    <n v="218932"/>
    <n v="192988"/>
    <n v="191203"/>
    <x v="0"/>
    <n v="0.08"/>
    <n v="15296.24"/>
    <n v="0.88149745126340595"/>
    <n v="4865.1555555555551"/>
  </r>
  <r>
    <s v="HOMETOWN NATIONAL BANK"/>
    <s v="La Salle"/>
    <x v="1"/>
    <n v="61301"/>
    <d v="2020-09-30T00:00:00"/>
    <x v="1"/>
    <n v="46"/>
    <n v="300262"/>
    <n v="55578"/>
    <n v="300262"/>
    <n v="271402"/>
    <n v="264556"/>
    <x v="0"/>
    <n v="0.08"/>
    <n v="21164.48"/>
    <n v="0.90388394135788075"/>
    <n v="6527.434782608696"/>
  </r>
  <r>
    <s v="HOMETOWN NATIONAL BANK"/>
    <s v="La Salle"/>
    <x v="1"/>
    <n v="61301"/>
    <d v="2021-09-30T00:00:00"/>
    <x v="2"/>
    <n v="49"/>
    <n v="321554"/>
    <n v="83153"/>
    <n v="321554"/>
    <n v="292934"/>
    <n v="285817"/>
    <x v="0"/>
    <n v="0.08"/>
    <n v="22865.360000000001"/>
    <n v="0.91099473183353341"/>
    <n v="6562.3265306122448"/>
  </r>
  <r>
    <s v="HOYNE SAVINGS BANK"/>
    <s v="Chicago"/>
    <x v="1"/>
    <n v="60630"/>
    <d v="2019-09-30T00:00:00"/>
    <x v="0"/>
    <n v="83"/>
    <n v="443443"/>
    <n v="51450"/>
    <n v="443443"/>
    <n v="367304"/>
    <n v="365578"/>
    <x v="0"/>
    <n v="0.08"/>
    <n v="29246.240000000002"/>
    <n v="0.82830036780375382"/>
    <n v="5342.6867469879517"/>
  </r>
  <r>
    <s v="HOYNE SAVINGS BANK"/>
    <s v="Chicago"/>
    <x v="1"/>
    <n v="60630"/>
    <d v="2020-09-30T00:00:00"/>
    <x v="1"/>
    <n v="79"/>
    <n v="450331"/>
    <n v="56606"/>
    <n v="450331"/>
    <n v="372705"/>
    <n v="366663"/>
    <x v="0"/>
    <n v="0.08"/>
    <n v="29333.040000000001"/>
    <n v="0.82762456948333563"/>
    <n v="5700.3924050632913"/>
  </r>
  <r>
    <s v="HOYNE SAVINGS BANK"/>
    <s v="Chicago"/>
    <x v="1"/>
    <n v="60630"/>
    <d v="2021-09-30T00:00:00"/>
    <x v="2"/>
    <n v="79"/>
    <n v="528234"/>
    <n v="99718"/>
    <n v="528234"/>
    <n v="436805"/>
    <n v="430362"/>
    <x v="0"/>
    <n v="0.08"/>
    <n v="34428.959999999999"/>
    <n v="0.82691572295611415"/>
    <n v="6686.506329113924"/>
  </r>
  <r>
    <s v="ILLINI STATE BANK"/>
    <s v="Oglesby"/>
    <x v="1"/>
    <n v="61348"/>
    <d v="2019-09-30T00:00:00"/>
    <x v="0"/>
    <n v="18"/>
    <n v="125486"/>
    <n v="11321"/>
    <n v="125486"/>
    <n v="105382"/>
    <n v="86093"/>
    <x v="0"/>
    <n v="0.08"/>
    <n v="6887.4400000000005"/>
    <n v="0.83979089300798493"/>
    <n v="6971.4444444444443"/>
  </r>
  <r>
    <s v="ILLINI STATE BANK"/>
    <s v="Oglesby"/>
    <x v="1"/>
    <n v="61348"/>
    <d v="2020-09-30T00:00:00"/>
    <x v="1"/>
    <n v="19"/>
    <n v="145325"/>
    <n v="15234"/>
    <n v="145325"/>
    <n v="123158"/>
    <n v="102983"/>
    <x v="0"/>
    <n v="0.08"/>
    <n v="8238.64"/>
    <n v="0.84746602442800623"/>
    <n v="7648.6842105263158"/>
  </r>
  <r>
    <s v="ILLINI STATE BANK"/>
    <s v="Oglesby"/>
    <x v="1"/>
    <n v="61348"/>
    <d v="2021-09-30T00:00:00"/>
    <x v="2"/>
    <n v="19"/>
    <n v="153177"/>
    <n v="4571"/>
    <n v="153177"/>
    <n v="129684"/>
    <n v="109009"/>
    <x v="0"/>
    <n v="0.08"/>
    <n v="8720.7199999999993"/>
    <n v="0.84662841027047142"/>
    <n v="8061.9473684210525"/>
  </r>
  <r>
    <s v="ILLINOIS BANK &amp; TRUST"/>
    <s v="Rockford"/>
    <x v="1"/>
    <n v="61114"/>
    <d v="2019-09-30T00:00:00"/>
    <x v="0"/>
    <n v="86"/>
    <n v="871478"/>
    <n v="34301"/>
    <n v="871478"/>
    <n v="794481"/>
    <n v="768267"/>
    <x v="0"/>
    <n v="0.08"/>
    <n v="61461.36"/>
    <n v="0.91164779833799592"/>
    <n v="10133.465116279071"/>
  </r>
  <r>
    <s v="ILLINOIS BANK &amp; TRUST"/>
    <s v="Rockford"/>
    <x v="1"/>
    <n v="61114"/>
    <d v="2020-09-30T00:00:00"/>
    <x v="1"/>
    <n v="97"/>
    <n v="1500012"/>
    <n v="20528"/>
    <n v="1500012"/>
    <n v="1353321"/>
    <n v="1307513"/>
    <x v="1"/>
    <n v="7.4999999999999997E-2"/>
    <n v="98063.474999999991"/>
    <n v="0.90220678234574125"/>
    <n v="15464.041237113403"/>
  </r>
  <r>
    <s v="ILLINOIS BANK &amp; TRUST"/>
    <s v="Rockford"/>
    <x v="1"/>
    <n v="61107"/>
    <d v="2021-09-30T00:00:00"/>
    <x v="2"/>
    <n v="84"/>
    <n v="1680558"/>
    <n v="19775"/>
    <n v="1680558"/>
    <n v="1529911"/>
    <n v="1509847"/>
    <x v="1"/>
    <n v="7.4999999999999997E-2"/>
    <n v="113238.52499999999"/>
    <n v="0.91035894030435127"/>
    <n v="20006.642857142859"/>
  </r>
  <r>
    <s v="ILLINOIS NATIONAL BANK"/>
    <s v="Springfield"/>
    <x v="1"/>
    <n v="62701"/>
    <d v="2019-09-30T00:00:00"/>
    <x v="0"/>
    <n v="268"/>
    <n v="1185272"/>
    <n v="224027"/>
    <n v="1185272"/>
    <n v="1084737"/>
    <n v="1077351"/>
    <x v="1"/>
    <n v="7.4999999999999997E-2"/>
    <n v="80801.324999999997"/>
    <n v="0.91517980682914979"/>
    <n v="4422.6567164179105"/>
  </r>
  <r>
    <s v="INB, NATIONAL ASSOCIATION"/>
    <s v="Springfield"/>
    <x v="1"/>
    <n v="62701"/>
    <d v="2020-09-30T00:00:00"/>
    <x v="1"/>
    <n v="285"/>
    <n v="1432228"/>
    <n v="314179"/>
    <n v="1432228"/>
    <n v="1317048"/>
    <n v="1305433"/>
    <x v="1"/>
    <n v="7.4999999999999997E-2"/>
    <n v="97907.474999999991"/>
    <n v="0.91957984343274957"/>
    <n v="5025.3614035087721"/>
  </r>
  <r>
    <s v="INB, NATIONAL ASSOCIATION"/>
    <s v="Springfield"/>
    <x v="1"/>
    <n v="62701"/>
    <d v="2021-09-30T00:00:00"/>
    <x v="2"/>
    <n v="275"/>
    <n v="1629399"/>
    <n v="553908"/>
    <n v="1629399"/>
    <n v="1498686"/>
    <n v="1492404"/>
    <x v="1"/>
    <n v="7.4999999999999997E-2"/>
    <n v="111930.3"/>
    <n v="0.91977839681993179"/>
    <n v="5925.0872727272726"/>
  </r>
  <r>
    <s v="INDUSTRIAL AND COMMERCIAL BANK OF CHINA USA, NATIONAL ASSOCIATION"/>
    <s v="New York"/>
    <x v="2"/>
    <n v="10019"/>
    <d v="2019-09-30T00:00:00"/>
    <x v="0"/>
    <n v="301"/>
    <n v="2821957"/>
    <n v="250428"/>
    <n v="2821957"/>
    <n v="2386701"/>
    <n v="2162781"/>
    <x v="1"/>
    <n v="0.08"/>
    <n v="173022.48"/>
    <n v="0.84576093824250331"/>
    <n v="9375.2724252491698"/>
  </r>
  <r>
    <s v="INDUSTRIAL AND COMMERCIAL BANK OF CHINA USA, NATIONAL ASSOCIATION"/>
    <s v="New York"/>
    <x v="2"/>
    <n v="10019"/>
    <d v="2020-09-30T00:00:00"/>
    <x v="1"/>
    <n v="301"/>
    <n v="2986808"/>
    <n v="225938"/>
    <n v="2986808"/>
    <n v="2539991"/>
    <n v="2114902"/>
    <x v="1"/>
    <n v="0.08"/>
    <n v="169192.16"/>
    <n v="0.85040317288556877"/>
    <n v="9922.9501661129561"/>
  </r>
  <r>
    <s v="INDUSTRIAL AND COMMERCIAL BANK OF CHINA USA, NATIONAL ASSOCIATION"/>
    <s v="New York"/>
    <x v="2"/>
    <n v="10036"/>
    <d v="2021-09-30T00:00:00"/>
    <x v="2"/>
    <n v="301"/>
    <n v="3053536"/>
    <n v="220308"/>
    <n v="3053536"/>
    <n v="2649366"/>
    <n v="2333971"/>
    <x v="1"/>
    <n v="0.08"/>
    <n v="186717.68"/>
    <n v="0.86763869821741091"/>
    <n v="10144.637873754153"/>
  </r>
  <r>
    <s v="INFINITY BANK"/>
    <s v="Santa Ana"/>
    <x v="0"/>
    <n v="92707"/>
    <d v="2019-09-30T00:00:00"/>
    <x v="0"/>
    <n v="23"/>
    <n v="110115"/>
    <n v="26847"/>
    <n v="110115"/>
    <n v="83806"/>
    <n v="81900"/>
    <x v="0"/>
    <n v="0.09"/>
    <n v="7371"/>
    <n v="0.7610770558052945"/>
    <n v="4787.608695652174"/>
  </r>
  <r>
    <s v="INFINITY BANK"/>
    <s v="Santa Ana"/>
    <x v="0"/>
    <n v="92707"/>
    <d v="2020-09-30T00:00:00"/>
    <x v="1"/>
    <n v="25"/>
    <n v="189970"/>
    <n v="27952"/>
    <n v="189970"/>
    <n v="164456"/>
    <n v="152688"/>
    <x v="0"/>
    <n v="0.09"/>
    <n v="13741.92"/>
    <n v="0.86569458335526661"/>
    <n v="7598.8"/>
  </r>
  <r>
    <s v="INFINITY BANK"/>
    <s v="Santa Ana"/>
    <x v="0"/>
    <n v="92707"/>
    <d v="2021-09-30T00:00:00"/>
    <x v="2"/>
    <n v="25"/>
    <n v="329311"/>
    <n v="107900"/>
    <n v="329311"/>
    <n v="300851"/>
    <n v="299408"/>
    <x v="0"/>
    <n v="0.09"/>
    <n v="26946.719999999998"/>
    <n v="0.91357713529156326"/>
    <n v="13172.44"/>
  </r>
  <r>
    <s v="INLAND BANK &amp; TRUST"/>
    <s v="Oak Brook"/>
    <x v="1"/>
    <n v="60523"/>
    <d v="2019-09-30T00:00:00"/>
    <x v="0"/>
    <n v="279"/>
    <n v="1112405"/>
    <n v="25724"/>
    <n v="1112405"/>
    <n v="971356"/>
    <n v="961669"/>
    <x v="1"/>
    <n v="7.4999999999999997E-2"/>
    <n v="72125.175000000003"/>
    <n v="0.87320355446083031"/>
    <n v="3987.1146953405018"/>
  </r>
  <r>
    <s v="INLAND BANK &amp; TRUST"/>
    <s v="Oak Brook"/>
    <x v="1"/>
    <n v="60523"/>
    <d v="2020-09-30T00:00:00"/>
    <x v="1"/>
    <n v="296"/>
    <n v="1252239"/>
    <n v="77323"/>
    <n v="1252239"/>
    <n v="1095199"/>
    <n v="1077763"/>
    <x v="1"/>
    <n v="7.4999999999999997E-2"/>
    <n v="80832.224999999991"/>
    <n v="0.87459262968171414"/>
    <n v="4230.5371621621625"/>
  </r>
  <r>
    <s v="INLAND BANK &amp; TRUST"/>
    <s v="Oak Brook"/>
    <x v="1"/>
    <n v="60523"/>
    <d v="2021-09-30T00:00:00"/>
    <x v="2"/>
    <n v="317"/>
    <n v="1294662"/>
    <n v="151847"/>
    <n v="1294662"/>
    <n v="1122751"/>
    <n v="1107910"/>
    <x v="1"/>
    <n v="7.4999999999999997E-2"/>
    <n v="83093.25"/>
    <n v="0.86721553579235355"/>
    <n v="4084.1072555205046"/>
  </r>
  <r>
    <s v="INSTITUTION FOR SAVINGS IN NEWBURYPORT AND ITS VICINITY"/>
    <s v="Newburyport"/>
    <x v="3"/>
    <n v="1950"/>
    <d v="2019-09-30T00:00:00"/>
    <x v="0"/>
    <n v="203"/>
    <n v="3609643"/>
    <n v="91134"/>
    <n v="3609643"/>
    <n v="3217983"/>
    <n v="2730898"/>
    <x v="1"/>
    <n v="0.08"/>
    <n v="218471.84"/>
    <n v="0.89149619505308419"/>
    <n v="17781.492610837438"/>
  </r>
  <r>
    <s v="INSTITUTION FOR SAVINGS IN NEWBURYPORT AND ITS VICINITY"/>
    <s v="Newburyport"/>
    <x v="3"/>
    <n v="1950"/>
    <d v="2020-09-30T00:00:00"/>
    <x v="1"/>
    <n v="176"/>
    <n v="3869689"/>
    <n v="343599"/>
    <n v="3869689"/>
    <n v="3456920"/>
    <n v="2937219"/>
    <x v="1"/>
    <n v="0.08"/>
    <n v="234977.52000000002"/>
    <n v="0.89333277170335912"/>
    <n v="21986.86931818182"/>
  </r>
  <r>
    <s v="INSTITUTION FOR SAVINGS IN NEWBURYPORT AND ITS VICINITY"/>
    <s v="Newburyport"/>
    <x v="3"/>
    <n v="1950"/>
    <d v="2021-09-30T00:00:00"/>
    <x v="2"/>
    <n v="181"/>
    <n v="4347726"/>
    <n v="324801"/>
    <n v="4347726"/>
    <n v="3837283"/>
    <n v="3352364"/>
    <x v="1"/>
    <n v="0.08"/>
    <n v="268189.12"/>
    <n v="0.88259540734627706"/>
    <n v="24020.585635359115"/>
  </r>
  <r>
    <s v="INTERAUDI BANK"/>
    <s v="New York"/>
    <x v="2"/>
    <n v="10022"/>
    <d v="2019-09-30T00:00:00"/>
    <x v="0"/>
    <n v="106"/>
    <n v="2051738"/>
    <n v="667241"/>
    <n v="2051738"/>
    <n v="1881347"/>
    <n v="1760221"/>
    <x v="1"/>
    <n v="0.08"/>
    <n v="140817.68"/>
    <n v="0.91695284680597622"/>
    <n v="19356.018867924529"/>
  </r>
  <r>
    <s v="INTERAUDI BANK"/>
    <s v="New York"/>
    <x v="2"/>
    <n v="10022"/>
    <d v="2020-09-30T00:00:00"/>
    <x v="1"/>
    <n v="106"/>
    <n v="2093736"/>
    <n v="661959"/>
    <n v="2093736"/>
    <n v="1914041"/>
    <n v="1789433"/>
    <x v="1"/>
    <n v="0.08"/>
    <n v="143154.64000000001"/>
    <n v="0.91417494851308856"/>
    <n v="19752.226415094341"/>
  </r>
  <r>
    <s v="INTERAUDI BANK"/>
    <s v="New York"/>
    <x v="2"/>
    <n v="10022"/>
    <d v="2021-09-30T00:00:00"/>
    <x v="2"/>
    <n v="112"/>
    <n v="2297961"/>
    <n v="906140"/>
    <n v="2297961"/>
    <n v="2111648"/>
    <n v="1988812"/>
    <x v="1"/>
    <n v="0.08"/>
    <n v="159104.95999999999"/>
    <n v="0.9189224708339262"/>
    <n v="20517.508928571428"/>
  </r>
  <r>
    <s v="INTERNATIONAL BANK OF CHICAGO"/>
    <s v="Chicago"/>
    <x v="1"/>
    <n v="60640"/>
    <d v="2019-09-30T00:00:00"/>
    <x v="0"/>
    <n v="110"/>
    <n v="648663"/>
    <n v="40085"/>
    <n v="648663"/>
    <n v="566147"/>
    <n v="552456"/>
    <x v="0"/>
    <n v="0.08"/>
    <n v="44196.480000000003"/>
    <n v="0.87279064784024984"/>
    <n v="5896.9363636363632"/>
  </r>
  <r>
    <s v="INTERNATIONAL BANK OF CHICAGO"/>
    <s v="Chicago"/>
    <x v="1"/>
    <n v="60640"/>
    <d v="2020-09-30T00:00:00"/>
    <x v="1"/>
    <n v="122"/>
    <n v="754137"/>
    <n v="26906"/>
    <n v="754137"/>
    <n v="668901"/>
    <n v="617269"/>
    <x v="0"/>
    <n v="0.08"/>
    <n v="49381.520000000004"/>
    <n v="0.88697544345390822"/>
    <n v="6181.4508196721308"/>
  </r>
  <r>
    <s v="INTERNATIONAL BANK OF CHICAGO"/>
    <s v="Chicago"/>
    <x v="1"/>
    <n v="60640"/>
    <d v="2021-09-30T00:00:00"/>
    <x v="2"/>
    <n v="117"/>
    <n v="836562"/>
    <n v="36569"/>
    <n v="836562"/>
    <n v="739106"/>
    <n v="719590"/>
    <x v="0"/>
    <n v="0.08"/>
    <n v="57567.200000000004"/>
    <n v="0.88350415151536887"/>
    <n v="7150.1025641025644"/>
  </r>
  <r>
    <s v="INTERNATIONAL CITY BANK FEDERAL SAVINGS BANK"/>
    <s v="Long Beach"/>
    <x v="0"/>
    <n v="90802"/>
    <d v="2019-09-30T00:00:00"/>
    <x v="0"/>
    <n v="42"/>
    <n v="327171"/>
    <n v="5874"/>
    <n v="327171"/>
    <n v="286656"/>
    <n v="228905"/>
    <x v="0"/>
    <n v="0.09"/>
    <n v="20601.45"/>
    <n v="0.87616567483059316"/>
    <n v="7789.7857142857147"/>
  </r>
  <r>
    <s v="INTERNATIONAL CITY BANK FEDERAL SAVINGS BANK"/>
    <s v="Long Beach"/>
    <x v="0"/>
    <n v="90802"/>
    <d v="2020-09-30T00:00:00"/>
    <x v="1"/>
    <n v="42"/>
    <n v="440906"/>
    <n v="2429"/>
    <n v="440906"/>
    <n v="384514"/>
    <n v="313058"/>
    <x v="0"/>
    <n v="0.09"/>
    <n v="28175.219999999998"/>
    <n v="0.872099721936195"/>
    <n v="10497.761904761905"/>
  </r>
  <r>
    <s v="INTERNATIONAL CITY BANK FEDERAL SAVINGS BANK"/>
    <s v="Long Beach"/>
    <x v="0"/>
    <n v="90802"/>
    <d v="2021-09-30T00:00:00"/>
    <x v="2"/>
    <n v="43"/>
    <n v="512969"/>
    <n v="4624"/>
    <n v="512969"/>
    <n v="440933"/>
    <n v="311554"/>
    <x v="0"/>
    <n v="0.09"/>
    <n v="28039.86"/>
    <n v="0.85957046137290949"/>
    <n v="11929.511627906977"/>
  </r>
  <r>
    <s v="IPAVA STATE BANK"/>
    <s v="Ipava"/>
    <x v="1"/>
    <n v="61441"/>
    <d v="2019-09-30T00:00:00"/>
    <x v="0"/>
    <n v="34"/>
    <n v="142482"/>
    <n v="12304"/>
    <n v="142482"/>
    <n v="129678"/>
    <n v="129227"/>
    <x v="0"/>
    <n v="0.08"/>
    <n v="10338.16"/>
    <n v="0.91013601718111758"/>
    <n v="4190.6470588235297"/>
  </r>
  <r>
    <s v="IPAVA STATE BANK"/>
    <s v="Ipava"/>
    <x v="1"/>
    <n v="61441"/>
    <d v="2020-09-30T00:00:00"/>
    <x v="1"/>
    <n v="36"/>
    <n v="181697"/>
    <n v="38533"/>
    <n v="181697"/>
    <n v="167242"/>
    <n v="166743"/>
    <x v="0"/>
    <n v="0.08"/>
    <n v="13339.44"/>
    <n v="0.92044447624341619"/>
    <n v="5047.1388888888887"/>
  </r>
  <r>
    <s v="IPAVA STATE BANK"/>
    <s v="Ipava"/>
    <x v="1"/>
    <n v="61441"/>
    <d v="2021-09-30T00:00:00"/>
    <x v="2"/>
    <n v="37"/>
    <n v="189028"/>
    <n v="42180"/>
    <n v="189028"/>
    <n v="173000"/>
    <n v="172426"/>
    <x v="0"/>
    <n v="0.08"/>
    <n v="13794.08"/>
    <n v="0.91520832892481541"/>
    <n v="5108.864864864865"/>
  </r>
  <r>
    <s v="IROQUOIS FARMERS STATE BANK"/>
    <s v="Iroquois"/>
    <x v="1"/>
    <n v="60945"/>
    <d v="2019-09-30T00:00:00"/>
    <x v="0"/>
    <n v="24"/>
    <n v="113303"/>
    <n v="13697"/>
    <n v="113304"/>
    <n v="102802"/>
    <n v="102190"/>
    <x v="0"/>
    <n v="0.08"/>
    <n v="8175.2"/>
    <n v="0.90731931193348803"/>
    <n v="4720.958333333333"/>
  </r>
  <r>
    <s v="IROQUOIS FARMERS STATE BANK"/>
    <s v="Iroquois"/>
    <x v="1"/>
    <n v="60945"/>
    <d v="2020-09-30T00:00:00"/>
    <x v="1"/>
    <n v="26"/>
    <n v="120550"/>
    <n v="12202"/>
    <n v="120550"/>
    <n v="109696"/>
    <n v="109072"/>
    <x v="0"/>
    <n v="0.08"/>
    <n v="8725.76"/>
    <n v="0.90996267109083373"/>
    <n v="4636.5384615384619"/>
  </r>
  <r>
    <s v="IROQUOIS FARMERS STATE BANK"/>
    <s v="Iroquois"/>
    <x v="1"/>
    <n v="60945"/>
    <d v="2021-09-30T00:00:00"/>
    <x v="2"/>
    <n v="25"/>
    <n v="140337"/>
    <n v="11321"/>
    <n v="140337"/>
    <n v="129225"/>
    <n v="128604"/>
    <x v="0"/>
    <n v="0.08"/>
    <n v="10288.32"/>
    <n v="0.92081917099553223"/>
    <n v="5613.48"/>
  </r>
  <r>
    <s v="IROQUOIS FEDERAL SAVINGS AND LOAN ASSOCIATION"/>
    <s v="Watseka"/>
    <x v="1"/>
    <n v="60970"/>
    <d v="2019-09-30T00:00:00"/>
    <x v="0"/>
    <n v="105"/>
    <n v="678205"/>
    <n v="12376"/>
    <n v="678204"/>
    <n v="600148"/>
    <n v="559598"/>
    <x v="0"/>
    <n v="0.08"/>
    <n v="44767.840000000004"/>
    <n v="0.88490648107872993"/>
    <n v="6459.0952380952385"/>
  </r>
  <r>
    <s v="IROQUOIS FEDERAL SAVINGS AND LOAN ASSOCIATION"/>
    <s v="Watseka"/>
    <x v="1"/>
    <n v="60970"/>
    <d v="2020-09-30T00:00:00"/>
    <x v="1"/>
    <n v="109"/>
    <n v="726004"/>
    <n v="18696"/>
    <n v="726004"/>
    <n v="643889"/>
    <n v="605145"/>
    <x v="0"/>
    <n v="0.08"/>
    <n v="48411.6"/>
    <n v="0.88689456256439358"/>
    <n v="6660.5871559633024"/>
  </r>
  <r>
    <s v="IROQUOIS FEDERAL SAVINGS AND LOAN ASSOCIATION"/>
    <s v="Watseka"/>
    <x v="1"/>
    <n v="60970"/>
    <d v="2021-09-30T00:00:00"/>
    <x v="2"/>
    <n v="110"/>
    <n v="767055"/>
    <n v="31161"/>
    <n v="767055"/>
    <n v="685373"/>
    <n v="643910"/>
    <x v="0"/>
    <n v="0.08"/>
    <n v="51512.800000000003"/>
    <n v="0.89351219925559444"/>
    <n v="6973.227272727273"/>
  </r>
  <r>
    <s v="ISRAEL DISCOUNT BANK OF NEW YORK"/>
    <s v="New York"/>
    <x v="2"/>
    <n v="10017"/>
    <d v="2019-09-30T00:00:00"/>
    <x v="0"/>
    <n v="581"/>
    <n v="9701571"/>
    <n v="101114"/>
    <n v="9701571"/>
    <n v="8650043"/>
    <n v="7914537"/>
    <x v="1"/>
    <n v="0.08"/>
    <n v="633162.96"/>
    <n v="0.89161260583466329"/>
    <n v="16698.056798623064"/>
  </r>
  <r>
    <s v="ISRAEL DISCOUNT BANK OF NEW YORK"/>
    <s v="New York"/>
    <x v="2"/>
    <n v="10017"/>
    <d v="2020-09-30T00:00:00"/>
    <x v="1"/>
    <n v="562"/>
    <n v="10669451"/>
    <n v="322188"/>
    <n v="10669451"/>
    <n v="9529462"/>
    <n v="8783160"/>
    <x v="1"/>
    <n v="0.08"/>
    <n v="702652.8"/>
    <n v="0.89315392141545047"/>
    <n v="18984.788256227759"/>
  </r>
  <r>
    <s v="ISRAEL DISCOUNT BANK OF NEW YORK"/>
    <s v="New York"/>
    <x v="2"/>
    <n v="10036"/>
    <d v="2021-09-30T00:00:00"/>
    <x v="2"/>
    <n v="557"/>
    <n v="11724992"/>
    <n v="565007"/>
    <n v="11724992"/>
    <n v="10589426"/>
    <n v="10233912"/>
    <x v="1"/>
    <n v="0.08"/>
    <n v="818712.96"/>
    <n v="0.90314995524090758"/>
    <n v="21050.254937163376"/>
  </r>
  <r>
    <s v="ITASCA BANK &amp; TRUST CO."/>
    <s v="Itasca"/>
    <x v="1"/>
    <n v="60143"/>
    <d v="2019-09-30T00:00:00"/>
    <x v="0"/>
    <n v="95"/>
    <n v="579164"/>
    <n v="70426"/>
    <n v="579164"/>
    <n v="522894"/>
    <n v="520490"/>
    <x v="0"/>
    <n v="0.08"/>
    <n v="41639.200000000004"/>
    <n v="0.90284271812474537"/>
    <n v="6096.4631578947365"/>
  </r>
  <r>
    <s v="ITASCA BANK &amp; TRUST CO."/>
    <s v="Itasca"/>
    <x v="1"/>
    <n v="60143"/>
    <d v="2020-09-30T00:00:00"/>
    <x v="1"/>
    <n v="94"/>
    <n v="696246"/>
    <n v="32236"/>
    <n v="696246"/>
    <n v="633248"/>
    <n v="591858"/>
    <x v="0"/>
    <n v="0.08"/>
    <n v="47348.639999999999"/>
    <n v="0.90951761302757939"/>
    <n v="7406.8723404255315"/>
  </r>
  <r>
    <s v="ITASCA BANK &amp; TRUST CO."/>
    <s v="Itasca"/>
    <x v="1"/>
    <n v="60143"/>
    <d v="2021-09-30T00:00:00"/>
    <x v="2"/>
    <n v="95"/>
    <n v="734832"/>
    <n v="35396"/>
    <n v="734832"/>
    <n v="669382"/>
    <n v="663985"/>
    <x v="0"/>
    <n v="0.08"/>
    <n v="53118.8"/>
    <n v="0.91093202255753691"/>
    <n v="7735.0736842105262"/>
  </r>
  <r>
    <s v="JEFF BANK"/>
    <s v="Jeffersonville"/>
    <x v="2"/>
    <n v="12748"/>
    <d v="2019-09-30T00:00:00"/>
    <x v="0"/>
    <n v="126"/>
    <n v="512116"/>
    <n v="72350"/>
    <n v="512115"/>
    <n v="454220"/>
    <n v="447620"/>
    <x v="0"/>
    <n v="8.5000000000000006E-2"/>
    <n v="38047.700000000004"/>
    <n v="0.88694748845964588"/>
    <n v="4064.4126984126983"/>
  </r>
  <r>
    <s v="JEFF BANK"/>
    <s v="Jeffersonville"/>
    <x v="2"/>
    <n v="12748"/>
    <d v="2020-09-30T00:00:00"/>
    <x v="1"/>
    <n v="122"/>
    <n v="594735"/>
    <n v="110065"/>
    <n v="594734"/>
    <n v="533099"/>
    <n v="526803"/>
    <x v="0"/>
    <n v="8.5000000000000006E-2"/>
    <n v="44778.255000000005"/>
    <n v="0.89636392679092369"/>
    <n v="4874.877049180328"/>
  </r>
  <r>
    <s v="JEFF BANK"/>
    <s v="Jeffersonville"/>
    <x v="2"/>
    <n v="12748"/>
    <d v="2021-09-30T00:00:00"/>
    <x v="2"/>
    <n v="115"/>
    <n v="681801"/>
    <n v="165330"/>
    <n v="681801"/>
    <n v="616857"/>
    <n v="609982"/>
    <x v="0"/>
    <n v="8.5000000000000006E-2"/>
    <n v="51848.47"/>
    <n v="0.90474639960927017"/>
    <n v="5928.7043478260866"/>
  </r>
  <r>
    <s v="JERSEY STATE BANK"/>
    <s v="Jerseyville"/>
    <x v="1"/>
    <n v="62052"/>
    <d v="2019-09-30T00:00:00"/>
    <x v="0"/>
    <n v="31"/>
    <n v="154917"/>
    <n v="13771"/>
    <n v="154917"/>
    <n v="132939"/>
    <n v="130445"/>
    <x v="0"/>
    <n v="0.08"/>
    <n v="10435.6"/>
    <n v="0.8581304827746471"/>
    <n v="4997.322580645161"/>
  </r>
  <r>
    <s v="JERSEY STATE BANK"/>
    <s v="Jerseyville"/>
    <x v="1"/>
    <n v="62052"/>
    <d v="2020-09-30T00:00:00"/>
    <x v="1"/>
    <n v="32"/>
    <n v="188508"/>
    <n v="35983"/>
    <n v="188508"/>
    <n v="164703"/>
    <n v="157662"/>
    <x v="0"/>
    <n v="0.08"/>
    <n v="12612.960000000001"/>
    <n v="0.87371888726207902"/>
    <n v="5890.875"/>
  </r>
  <r>
    <s v="JERSEY STATE BANK"/>
    <s v="Jerseyville"/>
    <x v="1"/>
    <n v="62052"/>
    <d v="2021-09-30T00:00:00"/>
    <x v="2"/>
    <n v="29"/>
    <n v="179611"/>
    <n v="29439"/>
    <n v="179611"/>
    <n v="155196"/>
    <n v="152614"/>
    <x v="0"/>
    <n v="0.08"/>
    <n v="12209.12"/>
    <n v="0.86406734554119735"/>
    <n v="6193.4827586206893"/>
  </r>
  <r>
    <s v="KINMUNDY BANK"/>
    <s v="Kinmundy"/>
    <x v="1"/>
    <n v="62854"/>
    <d v="2019-09-30T00:00:00"/>
    <x v="0"/>
    <n v="9"/>
    <n v="48574"/>
    <n v="1669"/>
    <n v="48574"/>
    <n v="41929"/>
    <n v="41795"/>
    <x v="2"/>
    <n v="0.09"/>
    <n v="3761.5499999999997"/>
    <n v="0.86319841890723437"/>
    <n v="5397.1111111111113"/>
  </r>
  <r>
    <s v="KINMUNDY BANK"/>
    <s v="Kinmundy"/>
    <x v="1"/>
    <n v="62854"/>
    <d v="2020-09-30T00:00:00"/>
    <x v="1"/>
    <n v="9"/>
    <n v="53123"/>
    <n v="2332"/>
    <n v="53123"/>
    <n v="45832"/>
    <n v="45701"/>
    <x v="2"/>
    <n v="0.09"/>
    <n v="4113.09"/>
    <n v="0.86275248009336825"/>
    <n v="5902.5555555555557"/>
  </r>
  <r>
    <s v="KINMUNDY BANK"/>
    <s v="Kinmundy"/>
    <x v="1"/>
    <n v="62854"/>
    <d v="2021-09-30T00:00:00"/>
    <x v="2"/>
    <n v="8"/>
    <n v="59077"/>
    <n v="9358"/>
    <n v="59077"/>
    <n v="51201"/>
    <n v="51092"/>
    <x v="2"/>
    <n v="0.09"/>
    <n v="4598.28"/>
    <n v="0.86668246525720671"/>
    <n v="7384.625"/>
  </r>
  <r>
    <s v="LA SALLE STATE BANK"/>
    <s v="La Salle"/>
    <x v="1"/>
    <n v="61301"/>
    <d v="2019-09-30T00:00:00"/>
    <x v="0"/>
    <n v="31"/>
    <n v="141089"/>
    <n v="6009"/>
    <n v="141089"/>
    <n v="127304"/>
    <n v="97330"/>
    <x v="0"/>
    <n v="0.08"/>
    <n v="7786.4000000000005"/>
    <n v="0.90229571405283193"/>
    <n v="4551.2580645161288"/>
  </r>
  <r>
    <s v="LA SALLE STATE BANK"/>
    <s v="La Salle"/>
    <x v="1"/>
    <n v="61301"/>
    <d v="2020-09-30T00:00:00"/>
    <x v="1"/>
    <n v="30"/>
    <n v="155715"/>
    <n v="22852"/>
    <n v="155716"/>
    <n v="139971"/>
    <n v="103944"/>
    <x v="0"/>
    <n v="0.08"/>
    <n v="8315.52"/>
    <n v="0.89889220691648208"/>
    <n v="5190.5"/>
  </r>
  <r>
    <s v="LA SALLE STATE BANK"/>
    <s v="La Salle"/>
    <x v="1"/>
    <n v="61301"/>
    <d v="2021-09-30T00:00:00"/>
    <x v="2"/>
    <n v="28"/>
    <n v="182584"/>
    <n v="16284"/>
    <n v="182584"/>
    <n v="166343"/>
    <n v="126037"/>
    <x v="0"/>
    <n v="0.08"/>
    <n v="10082.960000000001"/>
    <n v="0.91104916093414534"/>
    <n v="6520.8571428571431"/>
  </r>
  <r>
    <s v="LAKE FOREST BANK &amp; TRUST COMPANY, NATIONAL ASSOCIATION"/>
    <s v="Lake Forest"/>
    <x v="1"/>
    <n v="60045"/>
    <d v="2019-09-30T00:00:00"/>
    <x v="0"/>
    <n v="505"/>
    <n v="4296635"/>
    <n v="374376"/>
    <n v="4296635"/>
    <n v="3847528"/>
    <n v="3416604"/>
    <x v="1"/>
    <n v="7.4999999999999997E-2"/>
    <n v="256245.3"/>
    <n v="0.89547471451496341"/>
    <n v="8508.1881188118805"/>
  </r>
  <r>
    <s v="LAKE FOREST BANK &amp; TRUST COMPANY, NATIONAL ASSOCIATION"/>
    <s v="Lake Forest"/>
    <x v="1"/>
    <n v="60045"/>
    <d v="2020-09-30T00:00:00"/>
    <x v="1"/>
    <n v="565"/>
    <n v="5427430"/>
    <n v="609968"/>
    <n v="5427430"/>
    <n v="4934509"/>
    <n v="4250743"/>
    <x v="1"/>
    <n v="7.4999999999999997E-2"/>
    <n v="318805.72499999998"/>
    <n v="0.90917966698787456"/>
    <n v="9606.070796460177"/>
  </r>
  <r>
    <s v="LAKE FOREST BANK &amp; TRUST COMPANY, NATIONAL ASSOCIATION"/>
    <s v="Lake Forest"/>
    <x v="1"/>
    <n v="60045"/>
    <d v="2021-09-30T00:00:00"/>
    <x v="2"/>
    <n v="565"/>
    <n v="6048383"/>
    <n v="858574"/>
    <n v="6048383"/>
    <n v="5453886"/>
    <n v="4820415"/>
    <x v="1"/>
    <n v="7.4999999999999997E-2"/>
    <n v="361531.125"/>
    <n v="0.90170976275807935"/>
    <n v="10705.102654867256"/>
  </r>
  <r>
    <s v="LAKE SHORE SAVINGS BANK"/>
    <s v="Dunkirk"/>
    <x v="2"/>
    <n v="14048"/>
    <d v="2019-09-30T00:00:00"/>
    <x v="0"/>
    <n v="113"/>
    <n v="596896"/>
    <n v="20516"/>
    <n v="596896"/>
    <n v="518417"/>
    <n v="475039"/>
    <x v="0"/>
    <n v="8.5000000000000006E-2"/>
    <n v="40378.315000000002"/>
    <n v="0.86852148447970834"/>
    <n v="5282.2654867256633"/>
  </r>
  <r>
    <s v="LAKE SHORE SAVINGS BANK"/>
    <s v="Dunkirk"/>
    <x v="2"/>
    <n v="14048"/>
    <d v="2020-09-30T00:00:00"/>
    <x v="1"/>
    <n v="113"/>
    <n v="682763"/>
    <n v="71096"/>
    <n v="682763"/>
    <n v="601463"/>
    <n v="559369"/>
    <x v="0"/>
    <n v="8.5000000000000006E-2"/>
    <n v="47546.365000000005"/>
    <n v="0.88092500618809166"/>
    <n v="6042.1504424778759"/>
  </r>
  <r>
    <s v="LAKE SHORE SAVINGS BANK"/>
    <s v="Dunkirk"/>
    <x v="2"/>
    <n v="14048"/>
    <d v="2021-09-30T00:00:00"/>
    <x v="2"/>
    <n v="111"/>
    <n v="708725"/>
    <n v="60721"/>
    <n v="708725"/>
    <n v="625416"/>
    <n v="594809"/>
    <x v="0"/>
    <n v="8.5000000000000006E-2"/>
    <n v="50558.765000000007"/>
    <n v="0.88245229108610534"/>
    <n v="6384.9099099099103"/>
  </r>
  <r>
    <s v="LAKESIDE BANK"/>
    <s v="Chicago"/>
    <x v="1"/>
    <n v="60601"/>
    <d v="2019-09-30T00:00:00"/>
    <x v="0"/>
    <n v="170"/>
    <n v="1775819"/>
    <n v="170360"/>
    <n v="1775819"/>
    <n v="1571073"/>
    <n v="1442343"/>
    <x v="1"/>
    <n v="7.4999999999999997E-2"/>
    <n v="108175.72499999999"/>
    <n v="0.88470333969847148"/>
    <n v="10445.994117647058"/>
  </r>
  <r>
    <s v="LAKESIDE BANK"/>
    <s v="Chicago"/>
    <x v="1"/>
    <n v="60601"/>
    <d v="2020-09-30T00:00:00"/>
    <x v="1"/>
    <n v="174"/>
    <n v="2084252"/>
    <n v="298146"/>
    <n v="2084252"/>
    <n v="1876667"/>
    <n v="1743832"/>
    <x v="1"/>
    <n v="7.4999999999999997E-2"/>
    <n v="130787.4"/>
    <n v="0.9004031182409804"/>
    <n v="11978.459770114943"/>
  </r>
  <r>
    <s v="LAKESIDE BANK"/>
    <s v="Chicago"/>
    <x v="1"/>
    <n v="60601"/>
    <d v="2021-09-30T00:00:00"/>
    <x v="2"/>
    <n v="187"/>
    <n v="2298808"/>
    <n v="399799"/>
    <n v="2298808"/>
    <n v="2075765"/>
    <n v="1953118"/>
    <x v="1"/>
    <n v="7.4999999999999997E-2"/>
    <n v="146483.85"/>
    <n v="0.90297449808770458"/>
    <n v="12293.09090909091"/>
  </r>
  <r>
    <s v="LEADER BANK, NATIONAL ASSOCIATION"/>
    <s v="Arlington"/>
    <x v="3"/>
    <n v="2476"/>
    <d v="2019-09-30T00:00:00"/>
    <x v="0"/>
    <n v="239"/>
    <n v="1545344"/>
    <n v="84056"/>
    <n v="1545344"/>
    <n v="1369287"/>
    <n v="1187348"/>
    <x v="1"/>
    <n v="0.08"/>
    <n v="94987.839999999997"/>
    <n v="0.88607261554708849"/>
    <n v="6465.8744769874475"/>
  </r>
  <r>
    <s v="LEADER BANK, NATIONAL ASSOCIATION"/>
    <s v="Arlington"/>
    <x v="3"/>
    <n v="2476"/>
    <d v="2020-09-30T00:00:00"/>
    <x v="1"/>
    <n v="300"/>
    <n v="1999550"/>
    <n v="136109"/>
    <n v="1999550"/>
    <n v="1773901"/>
    <n v="1593616"/>
    <x v="1"/>
    <n v="0.08"/>
    <n v="127489.28"/>
    <n v="0.88715010877447431"/>
    <n v="6665.166666666667"/>
  </r>
  <r>
    <s v="LEADER BANK, NATIONAL ASSOCIATION"/>
    <s v="Arlington"/>
    <x v="3"/>
    <n v="2474"/>
    <d v="2021-09-30T00:00:00"/>
    <x v="2"/>
    <n v="392"/>
    <n v="2774556"/>
    <n v="161222"/>
    <n v="2774556"/>
    <n v="2427119"/>
    <n v="2328944"/>
    <x v="1"/>
    <n v="0.08"/>
    <n v="186315.51999999999"/>
    <n v="0.87477744186817641"/>
    <n v="7077.9489795918371"/>
  </r>
  <r>
    <s v="LEE BANK"/>
    <s v="Lee"/>
    <x v="3"/>
    <n v="1238"/>
    <d v="2019-09-30T00:00:00"/>
    <x v="0"/>
    <n v="76"/>
    <n v="400354"/>
    <n v="16211"/>
    <n v="400354"/>
    <n v="366071"/>
    <n v="329650"/>
    <x v="0"/>
    <n v="8.5000000000000006E-2"/>
    <n v="28020.250000000004"/>
    <n v="0.91436828406859927"/>
    <n v="5267.8157894736842"/>
  </r>
  <r>
    <s v="LEE BANK"/>
    <s v="Lee"/>
    <x v="3"/>
    <n v="1238"/>
    <d v="2020-09-30T00:00:00"/>
    <x v="1"/>
    <n v="79"/>
    <n v="448584"/>
    <n v="45357"/>
    <n v="448584"/>
    <n v="412266"/>
    <n v="381657"/>
    <x v="0"/>
    <n v="8.5000000000000006E-2"/>
    <n v="32440.845000000001"/>
    <n v="0.91903857471510353"/>
    <n v="5678.2784810126586"/>
  </r>
  <r>
    <s v="LEE BANK"/>
    <s v="Lee"/>
    <x v="3"/>
    <n v="1238"/>
    <d v="2021-09-30T00:00:00"/>
    <x v="2"/>
    <n v="75"/>
    <n v="514282"/>
    <n v="62917"/>
    <n v="514282"/>
    <n v="473798"/>
    <n v="452513"/>
    <x v="0"/>
    <n v="8.5000000000000006E-2"/>
    <n v="38463.605000000003"/>
    <n v="0.92128054258169645"/>
    <n v="6857.0933333333332"/>
  </r>
  <r>
    <s v="LEGENCE BANK"/>
    <s v="Eldorado"/>
    <x v="1"/>
    <n v="62930"/>
    <d v="2019-09-30T00:00:00"/>
    <x v="0"/>
    <n v="148"/>
    <n v="477198"/>
    <n v="22932"/>
    <n v="477199"/>
    <n v="421474"/>
    <n v="416279"/>
    <x v="0"/>
    <n v="0.08"/>
    <n v="33302.32"/>
    <n v="0.88322666901370084"/>
    <n v="3224.3108108108108"/>
  </r>
  <r>
    <s v="LEGENCE BANK"/>
    <s v="Eldorado"/>
    <x v="1"/>
    <n v="62930"/>
    <d v="2020-09-30T00:00:00"/>
    <x v="1"/>
    <n v="136"/>
    <n v="576756"/>
    <n v="37647"/>
    <n v="576756"/>
    <n v="513965"/>
    <n v="502863"/>
    <x v="0"/>
    <n v="0.08"/>
    <n v="40229.040000000001"/>
    <n v="0.89113073812842869"/>
    <n v="4240.8529411764703"/>
  </r>
  <r>
    <s v="LEGENCE BANK"/>
    <s v="Eldorado"/>
    <x v="1"/>
    <n v="62930"/>
    <d v="2021-09-30T00:00:00"/>
    <x v="2"/>
    <n v="160"/>
    <n v="627646"/>
    <n v="76469"/>
    <n v="627646"/>
    <n v="557272"/>
    <n v="548305"/>
    <x v="0"/>
    <n v="0.08"/>
    <n v="43864.4"/>
    <n v="0.88787628695156184"/>
    <n v="3922.7874999999999"/>
  </r>
  <r>
    <s v="LENA STATE BANK"/>
    <s v="Lena"/>
    <x v="1"/>
    <n v="61048"/>
    <d v="2019-09-30T00:00:00"/>
    <x v="0"/>
    <n v="11"/>
    <n v="89929"/>
    <n v="4089"/>
    <n v="89929"/>
    <n v="78893"/>
    <n v="77282"/>
    <x v="2"/>
    <n v="0.09"/>
    <n v="6955.38"/>
    <n v="0.87728096609547535"/>
    <n v="8175.363636363636"/>
  </r>
  <r>
    <s v="LENA STATE BANK"/>
    <s v="Lena"/>
    <x v="1"/>
    <n v="61048"/>
    <d v="2020-09-30T00:00:00"/>
    <x v="1"/>
    <n v="10"/>
    <n v="94220"/>
    <n v="3538"/>
    <n v="94220"/>
    <n v="82811"/>
    <n v="78250"/>
    <x v="2"/>
    <n v="0.09"/>
    <n v="7042.5"/>
    <n v="0.87891105922309487"/>
    <n v="9422"/>
  </r>
  <r>
    <s v="LENA STATE BANK"/>
    <s v="Lena"/>
    <x v="1"/>
    <n v="61048"/>
    <d v="2021-09-30T00:00:00"/>
    <x v="2"/>
    <n v="9"/>
    <n v="96065"/>
    <n v="10685"/>
    <n v="96065"/>
    <n v="84470"/>
    <n v="84002"/>
    <x v="2"/>
    <n v="0.09"/>
    <n v="7560.1799999999994"/>
    <n v="0.87930047363764119"/>
    <n v="10673.888888888889"/>
  </r>
  <r>
    <s v="LIBERTY BANK"/>
    <s v="Liberty"/>
    <x v="1"/>
    <n v="62347"/>
    <d v="2019-09-30T00:00:00"/>
    <x v="0"/>
    <n v="26"/>
    <n v="101240"/>
    <n v="12324"/>
    <n v="101240"/>
    <n v="88605"/>
    <n v="87445"/>
    <x v="0"/>
    <n v="0.08"/>
    <n v="6995.6"/>
    <n v="0.87519755037534575"/>
    <n v="3893.8461538461538"/>
  </r>
  <r>
    <s v="LIBERTY BANK"/>
    <s v="South San Franci"/>
    <x v="0"/>
    <n v="94080"/>
    <d v="2019-09-30T00:00:00"/>
    <x v="0"/>
    <n v="45"/>
    <n v="271168"/>
    <n v="11587"/>
    <n v="271168"/>
    <n v="235405"/>
    <n v="233789"/>
    <x v="0"/>
    <n v="0.09"/>
    <n v="21041.01"/>
    <n v="0.86811496931791365"/>
    <n v="6025.9555555555553"/>
  </r>
  <r>
    <s v="LIBERTY BANK"/>
    <s v="Liberty"/>
    <x v="1"/>
    <n v="62347"/>
    <d v="2020-09-30T00:00:00"/>
    <x v="1"/>
    <n v="26"/>
    <n v="114870"/>
    <n v="23187"/>
    <n v="114870"/>
    <n v="101112"/>
    <n v="100017"/>
    <x v="0"/>
    <n v="0.08"/>
    <n v="8001.3600000000006"/>
    <n v="0.88022982501958735"/>
    <n v="4418.0769230769229"/>
  </r>
  <r>
    <s v="LIBERTY BANK"/>
    <s v="South San Franci"/>
    <x v="0"/>
    <n v="94080"/>
    <d v="2020-09-30T00:00:00"/>
    <x v="1"/>
    <n v="44"/>
    <n v="300029"/>
    <n v="34517"/>
    <n v="300029"/>
    <n v="263975"/>
    <n v="262520"/>
    <x v="0"/>
    <n v="0.09"/>
    <n v="23626.799999999999"/>
    <n v="0.87983161627709316"/>
    <n v="6818.840909090909"/>
  </r>
  <r>
    <s v="LIBERTY BANK"/>
    <s v="Liberty"/>
    <x v="1"/>
    <n v="62347"/>
    <d v="2021-09-30T00:00:00"/>
    <x v="2"/>
    <n v="26"/>
    <n v="124883"/>
    <n v="26527"/>
    <n v="124883"/>
    <n v="110206"/>
    <n v="109062"/>
    <x v="0"/>
    <n v="0.08"/>
    <n v="8724.9600000000009"/>
    <n v="0.88247399565993767"/>
    <n v="4803.1923076923076"/>
  </r>
  <r>
    <s v="LIBERTY BANK"/>
    <s v="South San Franci"/>
    <x v="0"/>
    <n v="94080"/>
    <d v="2021-09-30T00:00:00"/>
    <x v="2"/>
    <n v="41"/>
    <n v="298232"/>
    <n v="27936"/>
    <n v="298232"/>
    <n v="261964"/>
    <n v="260854"/>
    <x v="0"/>
    <n v="0.09"/>
    <n v="23476.86"/>
    <n v="0.87838997827194931"/>
    <n v="7273.9512195121952"/>
  </r>
  <r>
    <s v="LIBERTY BANK FOR SAVINGS"/>
    <s v="Chicago"/>
    <x v="1"/>
    <n v="60647"/>
    <d v="2019-09-30T00:00:00"/>
    <x v="0"/>
    <n v="102"/>
    <n v="825661"/>
    <n v="3098"/>
    <n v="825661"/>
    <n v="626568"/>
    <n v="617062"/>
    <x v="0"/>
    <n v="0.08"/>
    <n v="49364.959999999999"/>
    <n v="0.75886834911664713"/>
    <n v="8094.7156862745096"/>
  </r>
  <r>
    <s v="LIBERTY BANK FOR SAVINGS"/>
    <s v="Chicago"/>
    <x v="1"/>
    <n v="60647"/>
    <d v="2020-09-30T00:00:00"/>
    <x v="1"/>
    <n v="104"/>
    <n v="868509"/>
    <n v="24684"/>
    <n v="868508"/>
    <n v="662475"/>
    <n v="651019"/>
    <x v="0"/>
    <n v="0.08"/>
    <n v="52081.520000000004"/>
    <n v="0.76277275192312344"/>
    <n v="8351.0480769230762"/>
  </r>
  <r>
    <s v="LIBERTY BANK FOR SAVINGS"/>
    <s v="Chicago"/>
    <x v="1"/>
    <n v="60647"/>
    <d v="2021-09-30T00:00:00"/>
    <x v="2"/>
    <n v="101"/>
    <n v="901046"/>
    <n v="4183"/>
    <n v="901046"/>
    <n v="695311"/>
    <n v="684231"/>
    <x v="0"/>
    <n v="0.08"/>
    <n v="54738.48"/>
    <n v="0.77167092468087095"/>
    <n v="8921.2475247524744"/>
  </r>
  <r>
    <s v="LIBERTYVILLE BANK &amp; TRUST COMPANY"/>
    <s v="Libertyville"/>
    <x v="1"/>
    <n v="60048"/>
    <d v="2019-09-30T00:00:00"/>
    <x v="0"/>
    <n v="99"/>
    <n v="1684632"/>
    <n v="63792"/>
    <n v="1684632"/>
    <n v="1519838"/>
    <n v="1423712"/>
    <x v="1"/>
    <n v="7.4999999999999997E-2"/>
    <n v="106778.4"/>
    <n v="0.9021780424448782"/>
    <n v="17016.484848484848"/>
  </r>
  <r>
    <s v="LIBERTYVILLE BANK &amp; TRUST COMPANY, NATIONAL ASSOCIATION"/>
    <s v="Libertyville"/>
    <x v="1"/>
    <n v="60048"/>
    <d v="2020-09-30T00:00:00"/>
    <x v="1"/>
    <n v="98"/>
    <n v="2044230"/>
    <n v="271686"/>
    <n v="2044230"/>
    <n v="1873699"/>
    <n v="1709106"/>
    <x v="1"/>
    <n v="7.4999999999999997E-2"/>
    <n v="128182.95"/>
    <n v="0.91657934772506033"/>
    <n v="20859.489795918369"/>
  </r>
  <r>
    <s v="LIBERTYVILLE BANK &amp; TRUST COMPANY, NATIONAL ASSOCIATION"/>
    <s v="Libertyville"/>
    <x v="1"/>
    <n v="60048"/>
    <d v="2021-09-30T00:00:00"/>
    <x v="2"/>
    <n v="81"/>
    <n v="2249267"/>
    <n v="259551"/>
    <n v="2249267"/>
    <n v="2057555"/>
    <n v="1898251"/>
    <x v="1"/>
    <n v="7.4999999999999997E-2"/>
    <n v="142368.82499999998"/>
    <n v="0.91476689961663071"/>
    <n v="27768.728395061727"/>
  </r>
  <r>
    <s v="LIGHTHOUSE BANK"/>
    <s v="Santa Cruz"/>
    <x v="0"/>
    <n v="95060"/>
    <d v="2019-09-30T00:00:00"/>
    <x v="0"/>
    <n v="31"/>
    <n v="321822"/>
    <n v="73588"/>
    <n v="321822"/>
    <n v="278958"/>
    <n v="276995"/>
    <x v="0"/>
    <n v="0.09"/>
    <n v="24929.55"/>
    <n v="0.86680835990081473"/>
    <n v="10381.354838709678"/>
  </r>
  <r>
    <s v="LINCOLNWAY COMMUNITY BANK"/>
    <s v="New Lenox"/>
    <x v="1"/>
    <n v="60451"/>
    <d v="2019-09-30T00:00:00"/>
    <x v="0"/>
    <n v="34"/>
    <n v="225194"/>
    <n v="37932"/>
    <n v="225194"/>
    <n v="199125"/>
    <n v="197452"/>
    <x v="0"/>
    <n v="0.08"/>
    <n v="15796.16"/>
    <n v="0.88423759069957464"/>
    <n v="6623.3529411764703"/>
  </r>
  <r>
    <s v="LINCOLNWAY COMMUNITY BANK"/>
    <s v="New Lenox"/>
    <x v="1"/>
    <n v="60451"/>
    <d v="2020-09-30T00:00:00"/>
    <x v="1"/>
    <n v="35"/>
    <n v="257306"/>
    <n v="40180"/>
    <n v="257306"/>
    <n v="227916"/>
    <n v="226013"/>
    <x v="0"/>
    <n v="0.08"/>
    <n v="18081.04"/>
    <n v="0.88577802305426223"/>
    <n v="7351.6"/>
  </r>
  <r>
    <s v="LINCOLNWAY COMMUNITY BANK"/>
    <s v="New Lenox"/>
    <x v="1"/>
    <n v="60451"/>
    <d v="2021-09-30T00:00:00"/>
    <x v="2"/>
    <n v="34"/>
    <n v="278430"/>
    <n v="77568"/>
    <n v="278430"/>
    <n v="247602"/>
    <n v="245158"/>
    <x v="0"/>
    <n v="0.08"/>
    <n v="19612.64"/>
    <n v="0.88927917250296307"/>
    <n v="8189.1176470588234"/>
  </r>
  <r>
    <s v="LISLE SAVINGS BANK"/>
    <s v="Lisle"/>
    <x v="1"/>
    <n v="60532"/>
    <d v="2019-09-30T00:00:00"/>
    <x v="0"/>
    <n v="60"/>
    <n v="505730"/>
    <n v="28131"/>
    <n v="505730"/>
    <n v="379238"/>
    <n v="372276"/>
    <x v="0"/>
    <n v="0.08"/>
    <n v="29782.080000000002"/>
    <n v="0.74988234828861255"/>
    <n v="8428.8333333333339"/>
  </r>
  <r>
    <s v="LISLE SAVINGS BANK"/>
    <s v="Lisle"/>
    <x v="1"/>
    <n v="60532"/>
    <d v="2020-09-30T00:00:00"/>
    <x v="1"/>
    <n v="57"/>
    <n v="577252"/>
    <n v="42416"/>
    <n v="577252"/>
    <n v="445031"/>
    <n v="404129"/>
    <x v="0"/>
    <n v="0.08"/>
    <n v="32330.32"/>
    <n v="0.770947523785106"/>
    <n v="10127.228070175439"/>
  </r>
  <r>
    <s v="LISLE SAVINGS BANK"/>
    <s v="Lisle"/>
    <x v="1"/>
    <n v="60532"/>
    <d v="2021-09-30T00:00:00"/>
    <x v="2"/>
    <n v="60"/>
    <n v="606739"/>
    <n v="27101"/>
    <n v="606739"/>
    <n v="470338"/>
    <n v="428113"/>
    <x v="0"/>
    <n v="0.08"/>
    <n v="34249.040000000001"/>
    <n v="0.77518999108348075"/>
    <n v="10112.316666666668"/>
  </r>
  <r>
    <s v="LONGVIEW BANK"/>
    <s v="Ogden"/>
    <x v="1"/>
    <n v="61859"/>
    <d v="2019-09-30T00:00:00"/>
    <x v="0"/>
    <n v="42"/>
    <n v="207404"/>
    <n v="25816"/>
    <n v="207404"/>
    <n v="188166"/>
    <n v="186017"/>
    <x v="0"/>
    <n v="0.08"/>
    <n v="14881.36"/>
    <n v="0.9072438332915469"/>
    <n v="4938.1904761904761"/>
  </r>
  <r>
    <s v="LONGVIEW BANK"/>
    <s v="Ogden"/>
    <x v="1"/>
    <n v="61859"/>
    <d v="2020-09-30T00:00:00"/>
    <x v="1"/>
    <n v="42"/>
    <n v="218608"/>
    <n v="33609"/>
    <n v="218608"/>
    <n v="199481"/>
    <n v="195223"/>
    <x v="0"/>
    <n v="0.08"/>
    <n v="15617.84"/>
    <n v="0.9125054892776111"/>
    <n v="5204.9523809523807"/>
  </r>
  <r>
    <s v="LONGVIEW BANK"/>
    <s v="Ogden"/>
    <x v="1"/>
    <n v="61859"/>
    <d v="2021-09-30T00:00:00"/>
    <x v="2"/>
    <n v="43"/>
    <n v="255774"/>
    <n v="64036"/>
    <n v="255774"/>
    <n v="234896"/>
    <n v="233814"/>
    <x v="0"/>
    <n v="0.08"/>
    <n v="18705.12"/>
    <n v="0.91837325138598924"/>
    <n v="5948.2325581395353"/>
  </r>
  <r>
    <s v="LONGVIEW BANK AND TRUST"/>
    <s v="Chrisman"/>
    <x v="1"/>
    <n v="61924"/>
    <d v="2019-09-30T00:00:00"/>
    <x v="0"/>
    <n v="39"/>
    <n v="186586"/>
    <n v="41640"/>
    <n v="186586"/>
    <n v="169981"/>
    <n v="165990"/>
    <x v="0"/>
    <n v="0.08"/>
    <n v="13279.2"/>
    <n v="0.91100618481558104"/>
    <n v="4784.2564102564102"/>
  </r>
  <r>
    <s v="LONGVIEW BANK AND TRUST"/>
    <s v="Chrisman"/>
    <x v="1"/>
    <n v="61924"/>
    <d v="2020-09-30T00:00:00"/>
    <x v="1"/>
    <n v="39"/>
    <n v="202599"/>
    <n v="39664"/>
    <n v="202599"/>
    <n v="184863"/>
    <n v="176660"/>
    <x v="0"/>
    <n v="0.08"/>
    <n v="14132.800000000001"/>
    <n v="0.91245761331497199"/>
    <n v="5194.8461538461543"/>
  </r>
  <r>
    <s v="LONGVIEW BANK AND TRUST"/>
    <s v="Chrisman"/>
    <x v="1"/>
    <n v="61924"/>
    <d v="2021-09-30T00:00:00"/>
    <x v="2"/>
    <n v="42"/>
    <n v="219970"/>
    <n v="45011"/>
    <n v="219970"/>
    <n v="200133"/>
    <n v="196145"/>
    <x v="0"/>
    <n v="0.08"/>
    <n v="15691.6"/>
    <n v="0.90981952084375139"/>
    <n v="5237.3809523809523"/>
  </r>
  <r>
    <s v="LOOMIS FEDERAL SAVINGS AND LOAN ASSOCIATION"/>
    <s v="Chicago"/>
    <x v="1"/>
    <n v="60638"/>
    <d v="2019-09-30T00:00:00"/>
    <x v="0"/>
    <n v="15"/>
    <n v="61513"/>
    <n v="27404"/>
    <n v="61513"/>
    <n v="43606"/>
    <n v="43399"/>
    <x v="2"/>
    <n v="0.09"/>
    <n v="3905.91"/>
    <n v="0.70889080356997702"/>
    <n v="4100.8666666666668"/>
  </r>
  <r>
    <s v="LOOMIS FEDERAL SAVINGS AND LOAN ASSOCIATION"/>
    <s v="Chicago"/>
    <x v="1"/>
    <n v="60638"/>
    <d v="2020-09-30T00:00:00"/>
    <x v="1"/>
    <n v="14"/>
    <n v="63878"/>
    <n v="28880"/>
    <n v="63878"/>
    <n v="49561"/>
    <n v="43701"/>
    <x v="2"/>
    <n v="0.09"/>
    <n v="3933.0899999999997"/>
    <n v="0.77586962647546887"/>
    <n v="4562.7142857142853"/>
  </r>
  <r>
    <s v="LUTHER BURBANK SAVINGS"/>
    <s v="Santa Rosa"/>
    <x v="0"/>
    <n v="95401"/>
    <d v="2019-09-30T00:00:00"/>
    <x v="0"/>
    <n v="274"/>
    <n v="7158637"/>
    <n v="167365"/>
    <n v="7158637"/>
    <n v="6412870"/>
    <n v="5403809"/>
    <x v="1"/>
    <n v="0.08"/>
    <n v="432304.72000000003"/>
    <n v="0.89582276626123103"/>
    <n v="26126.412408759123"/>
  </r>
  <r>
    <s v="LUTHER BURBANK SAVINGS"/>
    <s v="Santa Rosa"/>
    <x v="0"/>
    <n v="95401"/>
    <d v="2020-09-30T00:00:00"/>
    <x v="1"/>
    <n v="282"/>
    <n v="7067694"/>
    <n v="214065"/>
    <n v="7067694"/>
    <n v="6316417"/>
    <n v="5314445"/>
    <x v="1"/>
    <n v="0.08"/>
    <n v="425155.60000000003"/>
    <n v="0.89370267020615213"/>
    <n v="25062.744680851065"/>
  </r>
  <r>
    <s v="LUTHER BURBANK SAVINGS"/>
    <s v="Santa Rosa"/>
    <x v="0"/>
    <n v="95401"/>
    <d v="2021-09-30T00:00:00"/>
    <x v="2"/>
    <n v="277"/>
    <n v="7217866"/>
    <n v="131225"/>
    <n v="7217866"/>
    <n v="6430109"/>
    <n v="5641588"/>
    <x v="1"/>
    <n v="0.08"/>
    <n v="451327.04000000004"/>
    <n v="0.89086012403111947"/>
    <n v="26057.277978339349"/>
  </r>
  <r>
    <s v="M.Y. SAFRA BANK, FSB"/>
    <s v="New York"/>
    <x v="2"/>
    <n v="10022"/>
    <d v="2019-09-30T00:00:00"/>
    <x v="0"/>
    <n v="25"/>
    <n v="431856"/>
    <n v="23617"/>
    <n v="431856"/>
    <n v="379988"/>
    <n v="377075"/>
    <x v="0"/>
    <n v="8.5000000000000006E-2"/>
    <n v="32051.375000000004"/>
    <n v="0.87989515023526366"/>
    <n v="17274.240000000002"/>
  </r>
  <r>
    <s v="M.Y. SAFRA BANK, FSB"/>
    <s v="New York"/>
    <x v="2"/>
    <n v="10022"/>
    <d v="2020-09-30T00:00:00"/>
    <x v="1"/>
    <n v="28"/>
    <n v="363513"/>
    <n v="48388"/>
    <n v="363513"/>
    <n v="318978"/>
    <n v="313856"/>
    <x v="0"/>
    <n v="8.5000000000000006E-2"/>
    <n v="26677.760000000002"/>
    <n v="0.87748718752836896"/>
    <n v="12982.607142857143"/>
  </r>
  <r>
    <s v="M.Y. SAFRA BANK, FSB"/>
    <s v="New York"/>
    <x v="2"/>
    <n v="10022"/>
    <d v="2021-09-30T00:00:00"/>
    <x v="2"/>
    <n v="24"/>
    <n v="382989"/>
    <n v="95609"/>
    <n v="382989"/>
    <n v="340262"/>
    <n v="333363"/>
    <x v="0"/>
    <n v="8.5000000000000006E-2"/>
    <n v="28335.855000000003"/>
    <n v="0.88843804913457047"/>
    <n v="15957.875"/>
  </r>
  <r>
    <s v="MAHOPAC BANK"/>
    <s v="Mahopac"/>
    <x v="2"/>
    <n v="10541"/>
    <d v="2019-09-30T00:00:00"/>
    <x v="0"/>
    <n v="118"/>
    <n v="1341751"/>
    <n v="27502"/>
    <n v="1341751"/>
    <n v="1204908"/>
    <n v="1090303"/>
    <x v="1"/>
    <n v="0.08"/>
    <n v="87224.24"/>
    <n v="0.89801162808896728"/>
    <n v="11370.771186440677"/>
  </r>
  <r>
    <s v="MAHOPAC BANK"/>
    <s v="Mahopac"/>
    <x v="2"/>
    <n v="10541"/>
    <d v="2020-09-30T00:00:00"/>
    <x v="1"/>
    <n v="118"/>
    <n v="1615134"/>
    <n v="139034"/>
    <n v="1615134"/>
    <n v="1468257"/>
    <n v="1395572"/>
    <x v="1"/>
    <n v="0.08"/>
    <n v="111645.76000000001"/>
    <n v="0.90906203448134959"/>
    <n v="13687.576271186441"/>
  </r>
  <r>
    <s v="MAHOPAC BANK"/>
    <s v="Mahopac"/>
    <x v="2"/>
    <n v="10541"/>
    <d v="2021-09-30T00:00:00"/>
    <x v="2"/>
    <n v="112"/>
    <n v="1663906"/>
    <n v="146275"/>
    <n v="1663906"/>
    <n v="1514524"/>
    <n v="1465877"/>
    <x v="1"/>
    <n v="0.08"/>
    <n v="117270.16"/>
    <n v="0.91022209187297842"/>
    <n v="14856.303571428571"/>
  </r>
  <r>
    <s v="MAIN STREET BANK"/>
    <s v="Marlborough"/>
    <x v="3"/>
    <n v="1752"/>
    <d v="2019-09-30T00:00:00"/>
    <x v="0"/>
    <n v="175"/>
    <n v="1032828"/>
    <n v="49159"/>
    <n v="1032828"/>
    <n v="907648"/>
    <n v="823490"/>
    <x v="1"/>
    <n v="0.08"/>
    <n v="65879.199999999997"/>
    <n v="0.8787987932162955"/>
    <n v="5901.8742857142861"/>
  </r>
  <r>
    <s v="MAIN STREET BANK"/>
    <s v="Marlborough"/>
    <x v="3"/>
    <n v="1752"/>
    <d v="2020-09-30T00:00:00"/>
    <x v="1"/>
    <n v="179"/>
    <n v="1192676"/>
    <n v="50365"/>
    <n v="1192676"/>
    <n v="1060898"/>
    <n v="969143"/>
    <x v="1"/>
    <n v="0.08"/>
    <n v="77531.44"/>
    <n v="0.88951064664670032"/>
    <n v="6662.9944134078214"/>
  </r>
  <r>
    <s v="MAIN STREET BANK"/>
    <s v="Marlborough"/>
    <x v="3"/>
    <n v="1752"/>
    <d v="2021-09-30T00:00:00"/>
    <x v="2"/>
    <n v="174"/>
    <n v="1317892"/>
    <n v="85518"/>
    <n v="1317892"/>
    <n v="1180051"/>
    <n v="1122226"/>
    <x v="1"/>
    <n v="0.08"/>
    <n v="89778.08"/>
    <n v="0.89540796969706171"/>
    <n v="7574.0919540229888"/>
  </r>
  <r>
    <s v="MALAGA BANK F.S.B."/>
    <s v="Palos Verdes Pen"/>
    <x v="0"/>
    <n v="90274"/>
    <d v="2019-09-30T00:00:00"/>
    <x v="0"/>
    <n v="76"/>
    <n v="1231343"/>
    <n v="24225"/>
    <n v="1231343"/>
    <n v="1077915"/>
    <n v="779326"/>
    <x v="1"/>
    <n v="0.08"/>
    <n v="62346.080000000002"/>
    <n v="0.87539783797041115"/>
    <n v="16201.881578947368"/>
  </r>
  <r>
    <s v="MALAGA BANK F.S.B."/>
    <s v="Palos Verdes Pen"/>
    <x v="0"/>
    <n v="90274"/>
    <d v="2020-09-30T00:00:00"/>
    <x v="1"/>
    <n v="72"/>
    <n v="1282413"/>
    <n v="10157"/>
    <n v="1282413"/>
    <n v="1118409"/>
    <n v="814275"/>
    <x v="1"/>
    <n v="0.08"/>
    <n v="65142"/>
    <n v="0.87211296204888755"/>
    <n v="17811.291666666668"/>
  </r>
  <r>
    <s v="MALAGA BANK F.S.B."/>
    <s v="Palos Verdes Pen"/>
    <x v="0"/>
    <n v="90274"/>
    <d v="2021-09-30T00:00:00"/>
    <x v="2"/>
    <n v="72"/>
    <n v="1427795"/>
    <n v="158339"/>
    <n v="1427795"/>
    <n v="1252027"/>
    <n v="974000"/>
    <x v="1"/>
    <n v="0.08"/>
    <n v="77920"/>
    <n v="0.87689549270028255"/>
    <n v="19830.486111111109"/>
  </r>
  <r>
    <s v="MANSFIELD CO-OPERATIVE BANK"/>
    <s v="Mansfield"/>
    <x v="3"/>
    <n v="2048"/>
    <d v="2019-09-30T00:00:00"/>
    <x v="0"/>
    <n v="84"/>
    <n v="527235"/>
    <n v="50088"/>
    <n v="527235"/>
    <n v="471036"/>
    <n v="423975"/>
    <x v="0"/>
    <n v="8.5000000000000006E-2"/>
    <n v="36037.875"/>
    <n v="0.89340806281828788"/>
    <n v="6276.6071428571431"/>
  </r>
  <r>
    <s v="MANSFIELD CO-OPERATIVE BANK"/>
    <s v="Mansfield"/>
    <x v="3"/>
    <n v="2048"/>
    <d v="2020-09-30T00:00:00"/>
    <x v="1"/>
    <n v="79"/>
    <n v="592070"/>
    <n v="106202"/>
    <n v="592069"/>
    <n v="532884"/>
    <n v="503346"/>
    <x v="0"/>
    <n v="8.5000000000000006E-2"/>
    <n v="42784.41"/>
    <n v="0.90003546877902951"/>
    <n v="7494.5569620253164"/>
  </r>
  <r>
    <s v="MANUFACTURERS AND TRADERS TRUST COMPANY"/>
    <s v="Buffalo"/>
    <x v="2"/>
    <n v="14203"/>
    <d v="2019-09-30T00:00:00"/>
    <x v="0"/>
    <n v="16885"/>
    <n v="125040594"/>
    <n v="14244075"/>
    <n v="125040594"/>
    <n v="109814856"/>
    <n v="96701239"/>
    <x v="1"/>
    <n v="0.08"/>
    <n v="7736099.1200000001"/>
    <n v="0.87823363986898528"/>
    <n v="7405.4245780278352"/>
  </r>
  <r>
    <s v="MANUFACTURERS AND TRADERS TRUST COMPANY"/>
    <s v="Buffalo"/>
    <x v="2"/>
    <n v="14203"/>
    <d v="2020-09-30T00:00:00"/>
    <x v="1"/>
    <n v="16323"/>
    <n v="138246208"/>
    <n v="21603178"/>
    <n v="138246208"/>
    <n v="122347524"/>
    <n v="116427052"/>
    <x v="1"/>
    <n v="0.08"/>
    <n v="9314164.1600000001"/>
    <n v="0.88499732303688217"/>
    <n v="8469.4117502910012"/>
  </r>
  <r>
    <s v="MANUFACTURERS AND TRADERS TRUST COMPANY"/>
    <s v="Buffalo"/>
    <x v="2"/>
    <n v="14203"/>
    <d v="2021-09-30T00:00:00"/>
    <x v="2"/>
    <n v="16441"/>
    <n v="151507667"/>
    <n v="39834226"/>
    <n v="151507667"/>
    <n v="135032604"/>
    <n v="130812096"/>
    <x v="1"/>
    <n v="0.08"/>
    <n v="10464967.68"/>
    <n v="0.89125921264433439"/>
    <n v="9215.2342923179858"/>
  </r>
  <r>
    <s v="MANUFACTURERS BANK"/>
    <s v="Los Angeles"/>
    <x v="0"/>
    <n v="90071"/>
    <d v="2019-09-30T00:00:00"/>
    <x v="0"/>
    <n v="283"/>
    <n v="4491983"/>
    <n v="1694629"/>
    <n v="4491983"/>
    <n v="4116403"/>
    <n v="3897592"/>
    <x v="1"/>
    <n v="0.08"/>
    <n v="311807.35999999999"/>
    <n v="0.91638881981521303"/>
    <n v="15872.73144876325"/>
  </r>
  <r>
    <s v="MANUFACTURERS BANK"/>
    <s v="Los Angeles"/>
    <x v="0"/>
    <n v="90071"/>
    <d v="2020-09-30T00:00:00"/>
    <x v="1"/>
    <n v="284"/>
    <n v="4011529"/>
    <n v="705975"/>
    <n v="4011529"/>
    <n v="3624017"/>
    <n v="3160712"/>
    <x v="1"/>
    <n v="0.08"/>
    <n v="252856.95999999999"/>
    <n v="0.90340042412755839"/>
    <n v="14125.102112676057"/>
  </r>
  <r>
    <s v="MANUFACTURERS BANK"/>
    <s v="Los Angeles"/>
    <x v="0"/>
    <n v="90071"/>
    <d v="2021-09-30T00:00:00"/>
    <x v="2"/>
    <n v="331"/>
    <n v="3866706"/>
    <n v="1100387"/>
    <n v="3866706"/>
    <n v="3469488"/>
    <n v="3146038"/>
    <x v="1"/>
    <n v="0.08"/>
    <n v="251683.04"/>
    <n v="0.89727225188571358"/>
    <n v="11681.891238670694"/>
  </r>
  <r>
    <s v="MAPLE CITY SAVINGS BANK, FSB"/>
    <s v="Hornell"/>
    <x v="2"/>
    <n v="14843"/>
    <d v="2019-09-30T00:00:00"/>
    <x v="0"/>
    <n v="29"/>
    <n v="84221"/>
    <n v="2952"/>
    <n v="84221"/>
    <n v="76148"/>
    <n v="69306"/>
    <x v="2"/>
    <n v="0.09"/>
    <n v="6237.54"/>
    <n v="0.90414504695978437"/>
    <n v="2904.1724137931033"/>
  </r>
  <r>
    <s v="MAPLE CITY SAVINGS BANK, FSB"/>
    <s v="Hornell"/>
    <x v="2"/>
    <n v="14843"/>
    <d v="2020-09-30T00:00:00"/>
    <x v="1"/>
    <n v="27"/>
    <n v="93935"/>
    <n v="2766"/>
    <n v="93935"/>
    <n v="85224"/>
    <n v="78416"/>
    <x v="2"/>
    <n v="0.09"/>
    <n v="7057.44"/>
    <n v="0.9072656624261457"/>
    <n v="3479.0740740740739"/>
  </r>
  <r>
    <s v="MAPLE CITY SAVINGS BANK, FSB"/>
    <s v="Hornell"/>
    <x v="2"/>
    <n v="14843"/>
    <d v="2021-09-30T00:00:00"/>
    <x v="2"/>
    <n v="29"/>
    <n v="103244"/>
    <n v="4299"/>
    <n v="103244"/>
    <n v="93339"/>
    <n v="88938"/>
    <x v="0"/>
    <n v="8.5000000000000006E-2"/>
    <n v="7559.7300000000005"/>
    <n v="0.90406222153345472"/>
    <n v="3560.1379310344828"/>
  </r>
  <r>
    <s v="MARBLEHEAD BANK"/>
    <s v="Marblehead"/>
    <x v="3"/>
    <n v="1945"/>
    <d v="2019-09-30T00:00:00"/>
    <x v="0"/>
    <n v="49"/>
    <n v="214934"/>
    <n v="9518"/>
    <n v="214934"/>
    <n v="195574"/>
    <n v="182247"/>
    <x v="0"/>
    <n v="8.5000000000000006E-2"/>
    <n v="15490.995000000001"/>
    <n v="0.90992583769901458"/>
    <n v="4386.408163265306"/>
  </r>
  <r>
    <s v="MARBLEHEAD BANK"/>
    <s v="Marblehead"/>
    <x v="3"/>
    <n v="1945"/>
    <d v="2020-09-30T00:00:00"/>
    <x v="1"/>
    <n v="50"/>
    <n v="244421"/>
    <n v="30026"/>
    <n v="244421"/>
    <n v="225179"/>
    <n v="218636"/>
    <x v="0"/>
    <n v="8.5000000000000006E-2"/>
    <n v="18584.060000000001"/>
    <n v="0.92127517684650662"/>
    <n v="4888.42"/>
  </r>
  <r>
    <s v="MARBLEHEAD BANK"/>
    <s v="Marblehead"/>
    <x v="3"/>
    <n v="1945"/>
    <d v="2021-09-30T00:00:00"/>
    <x v="2"/>
    <n v="50"/>
    <n v="285339"/>
    <n v="78936"/>
    <n v="285339"/>
    <n v="265945"/>
    <n v="258267"/>
    <x v="0"/>
    <n v="8.5000000000000006E-2"/>
    <n v="21952.695000000003"/>
    <n v="0.9320317236690393"/>
    <n v="5706.78"/>
  </r>
  <r>
    <s v="MARINE BANK"/>
    <s v="Springfield"/>
    <x v="1"/>
    <n v="62704"/>
    <d v="2019-09-30T00:00:00"/>
    <x v="0"/>
    <n v="201"/>
    <n v="630735"/>
    <n v="50462"/>
    <n v="630735"/>
    <n v="557505"/>
    <n v="537011"/>
    <x v="0"/>
    <n v="0.08"/>
    <n v="42960.88"/>
    <n v="0.88389735784441958"/>
    <n v="3137.9850746268658"/>
  </r>
  <r>
    <s v="MARINE BANK"/>
    <s v="Springfield"/>
    <x v="1"/>
    <n v="62704"/>
    <d v="2020-09-30T00:00:00"/>
    <x v="1"/>
    <n v="189"/>
    <n v="684159"/>
    <n v="87226"/>
    <n v="684159"/>
    <n v="608579"/>
    <n v="582254"/>
    <x v="0"/>
    <n v="0.08"/>
    <n v="46580.32"/>
    <n v="0.88952860373100406"/>
    <n v="3619.8888888888887"/>
  </r>
  <r>
    <s v="MARINE BANK"/>
    <s v="Springfield"/>
    <x v="1"/>
    <n v="62704"/>
    <d v="2021-09-30T00:00:00"/>
    <x v="2"/>
    <n v="185"/>
    <n v="720191"/>
    <n v="148367"/>
    <n v="720191"/>
    <n v="646175"/>
    <n v="608428"/>
    <x v="0"/>
    <n v="0.08"/>
    <n v="48674.239999999998"/>
    <n v="0.8972272633232018"/>
    <n v="3892.9243243243245"/>
  </r>
  <r>
    <s v="MARQUETTE BANK"/>
    <s v="Chicago"/>
    <x v="1"/>
    <n v="60636"/>
    <d v="2019-09-30T00:00:00"/>
    <x v="0"/>
    <n v="339"/>
    <n v="1598767"/>
    <n v="60786"/>
    <n v="1598767"/>
    <n v="1421292"/>
    <n v="1351416"/>
    <x v="1"/>
    <n v="7.4999999999999997E-2"/>
    <n v="101356.2"/>
    <n v="0.88899257990689073"/>
    <n v="4716.1268436578175"/>
  </r>
  <r>
    <s v="MARQUETTE BANK"/>
    <s v="Chicago"/>
    <x v="1"/>
    <n v="60636"/>
    <d v="2020-09-30T00:00:00"/>
    <x v="1"/>
    <n v="332"/>
    <n v="1796031"/>
    <n v="53024"/>
    <n v="1796031"/>
    <n v="1616805"/>
    <n v="1525539"/>
    <x v="1"/>
    <n v="7.4999999999999997E-2"/>
    <n v="114415.425"/>
    <n v="0.90020996296834521"/>
    <n v="5409.7319277108436"/>
  </r>
  <r>
    <s v="MARQUETTE BANK"/>
    <s v="Chicago"/>
    <x v="1"/>
    <n v="60636"/>
    <d v="2021-09-30T00:00:00"/>
    <x v="2"/>
    <n v="305"/>
    <n v="1980279"/>
    <n v="94897"/>
    <n v="1980279"/>
    <n v="1800065"/>
    <n v="1696186"/>
    <x v="1"/>
    <n v="7.4999999999999997E-2"/>
    <n v="127213.95"/>
    <n v="0.90899565162282692"/>
    <n v="6492.7180327868855"/>
  </r>
  <r>
    <s v="MARSEILLES BANK"/>
    <s v="Marseilles"/>
    <x v="1"/>
    <n v="61341"/>
    <d v="2019-09-30T00:00:00"/>
    <x v="0"/>
    <n v="9"/>
    <n v="63549"/>
    <n v="1625"/>
    <n v="63549"/>
    <n v="56983"/>
    <n v="56469"/>
    <x v="2"/>
    <n v="0.09"/>
    <n v="5082.21"/>
    <n v="0.89667815386552108"/>
    <n v="7061"/>
  </r>
  <r>
    <s v="MARSEILLES BANK"/>
    <s v="Marseilles"/>
    <x v="1"/>
    <n v="61341"/>
    <d v="2020-09-30T00:00:00"/>
    <x v="1"/>
    <n v="9"/>
    <n v="66082"/>
    <n v="4949"/>
    <n v="66082"/>
    <n v="59060"/>
    <n v="58697"/>
    <x v="2"/>
    <n v="0.09"/>
    <n v="5282.73"/>
    <n v="0.893738082987803"/>
    <n v="7342.4444444444443"/>
  </r>
  <r>
    <s v="MARSEILLES BANK"/>
    <s v="Marseilles"/>
    <x v="1"/>
    <n v="61341"/>
    <d v="2021-09-30T00:00:00"/>
    <x v="2"/>
    <n v="11"/>
    <n v="72714"/>
    <n v="3093"/>
    <n v="72714"/>
    <n v="66121"/>
    <n v="65818"/>
    <x v="2"/>
    <n v="0.09"/>
    <n v="5923.62"/>
    <n v="0.90932970267073743"/>
    <n v="6610.363636363636"/>
  </r>
  <r>
    <s v="MARTHA'S VINEYARD BANK"/>
    <s v="Edgartown"/>
    <x v="3"/>
    <n v="2539"/>
    <d v="2021-09-30T00:00:00"/>
    <x v="2"/>
    <n v="102"/>
    <n v="1204459"/>
    <n v="84678"/>
    <n v="1204459"/>
    <n v="1083650"/>
    <n v="1029652"/>
    <x v="1"/>
    <n v="0.08"/>
    <n v="82372.160000000003"/>
    <n v="0.89969853685347534"/>
    <n v="11808.421568627451"/>
  </r>
  <r>
    <s v="MARTHA'S VINEYARD SAVINGS BANK"/>
    <s v="Edgartown"/>
    <x v="3"/>
    <n v="2539"/>
    <d v="2019-09-30T00:00:00"/>
    <x v="0"/>
    <n v="107"/>
    <n v="832109"/>
    <n v="36416"/>
    <n v="832109"/>
    <n v="724779"/>
    <n v="674360"/>
    <x v="0"/>
    <n v="8.5000000000000006E-2"/>
    <n v="57320.600000000006"/>
    <n v="0.87101449449531254"/>
    <n v="7776.7196261682247"/>
  </r>
  <r>
    <s v="MARTHA'S VINEYARD SAVINGS BANK"/>
    <s v="Edgartown"/>
    <x v="3"/>
    <n v="2539"/>
    <d v="2020-09-30T00:00:00"/>
    <x v="1"/>
    <n v="104"/>
    <n v="1030389"/>
    <n v="103155"/>
    <n v="1030389"/>
    <n v="916027"/>
    <n v="854164"/>
    <x v="1"/>
    <n v="0.08"/>
    <n v="68333.119999999995"/>
    <n v="0.88901084930060392"/>
    <n v="9907.586538461539"/>
  </r>
  <r>
    <s v="MASON CITY NATIONAL BANK"/>
    <s v="Mason City"/>
    <x v="1"/>
    <n v="62664"/>
    <d v="2019-09-30T00:00:00"/>
    <x v="0"/>
    <n v="10"/>
    <n v="71539"/>
    <n v="3465"/>
    <n v="71539"/>
    <n v="58423"/>
    <n v="58352"/>
    <x v="2"/>
    <n v="0.09"/>
    <n v="5251.6799999999994"/>
    <n v="0.8166594444988049"/>
    <n v="7153.9"/>
  </r>
  <r>
    <s v="MASON CITY NATIONAL BANK"/>
    <s v="Mason City"/>
    <x v="1"/>
    <n v="62664"/>
    <d v="2020-09-30T00:00:00"/>
    <x v="1"/>
    <n v="10"/>
    <n v="73237"/>
    <n v="4387"/>
    <n v="73237"/>
    <n v="59477"/>
    <n v="59409"/>
    <x v="2"/>
    <n v="0.09"/>
    <n v="5346.8099999999995"/>
    <n v="0.81211682619440995"/>
    <n v="7323.7"/>
  </r>
  <r>
    <s v="MASON CITY NATIONAL BANK"/>
    <s v="Mason City"/>
    <x v="1"/>
    <n v="62664"/>
    <d v="2021-09-30T00:00:00"/>
    <x v="2"/>
    <n v="10"/>
    <n v="85964"/>
    <n v="13238"/>
    <n v="85964"/>
    <n v="72105"/>
    <n v="71725"/>
    <x v="2"/>
    <n v="0.09"/>
    <n v="6455.25"/>
    <n v="0.83878135033269741"/>
    <n v="8596.4"/>
  </r>
  <r>
    <s v="MASPETH FEDERAL SAVINGS AND LOAN ASSOCIATION"/>
    <s v="Maspeth"/>
    <x v="2"/>
    <n v="11378"/>
    <d v="2019-09-30T00:00:00"/>
    <x v="0"/>
    <n v="199"/>
    <n v="1966997"/>
    <n v="112044"/>
    <n v="1966997"/>
    <n v="1327672"/>
    <n v="1270228"/>
    <x v="1"/>
    <n v="0.08"/>
    <n v="101618.24000000001"/>
    <n v="0.67497408486133936"/>
    <n v="9884.4070351758801"/>
  </r>
  <r>
    <s v="MASPETH FEDERAL SAVINGS AND LOAN ASSOCIATION"/>
    <s v="Maspeth"/>
    <x v="2"/>
    <n v="11378"/>
    <d v="2020-09-30T00:00:00"/>
    <x v="1"/>
    <n v="196"/>
    <n v="2027347"/>
    <n v="183498"/>
    <n v="2027347"/>
    <n v="1371444"/>
    <n v="1332546"/>
    <x v="1"/>
    <n v="0.08"/>
    <n v="106603.68000000001"/>
    <n v="0.67647225659938826"/>
    <n v="10343.607142857143"/>
  </r>
  <r>
    <s v="MASPETH FEDERAL SAVINGS AND LOAN ASSOCIATION"/>
    <s v="Maspeth"/>
    <x v="2"/>
    <n v="11378"/>
    <d v="2021-09-30T00:00:00"/>
    <x v="2"/>
    <n v="196"/>
    <n v="2167530"/>
    <n v="280369"/>
    <n v="2167530"/>
    <n v="1489944"/>
    <n v="1450723"/>
    <x v="1"/>
    <n v="0.08"/>
    <n v="116057.84"/>
    <n v="0.68739256204066379"/>
    <n v="11058.826530612245"/>
  </r>
  <r>
    <s v="MASSENA SAVINGS AND LOAN"/>
    <s v="Massena"/>
    <x v="2"/>
    <n v="13662"/>
    <d v="2019-09-30T00:00:00"/>
    <x v="0"/>
    <n v="24"/>
    <n v="165513"/>
    <n v="5118"/>
    <n v="165513"/>
    <n v="143450"/>
    <n v="117091"/>
    <x v="0"/>
    <n v="8.5000000000000006E-2"/>
    <n v="9952.7350000000006"/>
    <n v="0.86669929250270372"/>
    <n v="6896.375"/>
  </r>
  <r>
    <s v="MASSENA SAVINGS AND LOAN"/>
    <s v="Massena"/>
    <x v="2"/>
    <n v="13662"/>
    <d v="2020-09-30T00:00:00"/>
    <x v="1"/>
    <n v="26"/>
    <n v="179892"/>
    <n v="20964"/>
    <n v="179892"/>
    <n v="156997"/>
    <n v="128608"/>
    <x v="0"/>
    <n v="8.5000000000000006E-2"/>
    <n v="10931.68"/>
    <n v="0.8727291930713984"/>
    <n v="6918.9230769230771"/>
  </r>
  <r>
    <s v="MASSENA SAVINGS AND LOAN"/>
    <s v="Massena"/>
    <x v="2"/>
    <n v="13662"/>
    <d v="2021-09-30T00:00:00"/>
    <x v="2"/>
    <n v="24"/>
    <n v="179437"/>
    <n v="23367"/>
    <n v="179437"/>
    <n v="155710"/>
    <n v="134320"/>
    <x v="0"/>
    <n v="8.5000000000000006E-2"/>
    <n v="11417.2"/>
    <n v="0.86776974648483873"/>
    <n v="7476.541666666667"/>
  </r>
  <r>
    <s v="MCHENRY SAVINGS BANK"/>
    <s v="Mchenry"/>
    <x v="1"/>
    <n v="60050"/>
    <d v="2019-09-30T00:00:00"/>
    <x v="0"/>
    <n v="51"/>
    <n v="230251"/>
    <n v="8648"/>
    <n v="230251"/>
    <n v="208386"/>
    <n v="185120"/>
    <x v="0"/>
    <n v="0.08"/>
    <n v="14809.6"/>
    <n v="0.90503841459971945"/>
    <n v="4514.7254901960787"/>
  </r>
  <r>
    <s v="MCHENRY SAVINGS BANK"/>
    <s v="Mchenry"/>
    <x v="1"/>
    <n v="60050"/>
    <d v="2020-09-30T00:00:00"/>
    <x v="1"/>
    <n v="48"/>
    <n v="261641"/>
    <n v="12620"/>
    <n v="261641"/>
    <n v="239365"/>
    <n v="215910"/>
    <x v="0"/>
    <n v="0.08"/>
    <n v="17272.8"/>
    <n v="0.91486043853983134"/>
    <n v="5450.854166666667"/>
  </r>
  <r>
    <s v="MCHENRY SAVINGS BANK"/>
    <s v="Mchenry"/>
    <x v="1"/>
    <n v="60050"/>
    <d v="2021-09-30T00:00:00"/>
    <x v="2"/>
    <n v="51"/>
    <n v="272760"/>
    <n v="9821"/>
    <n v="272760"/>
    <n v="247738"/>
    <n v="230754"/>
    <x v="0"/>
    <n v="0.08"/>
    <n v="18460.32"/>
    <n v="0.90826367502566363"/>
    <n v="5348.2352941176468"/>
  </r>
  <r>
    <s v="MECHANICS BANK"/>
    <s v="Walnut Creek"/>
    <x v="0"/>
    <n v="94596"/>
    <d v="2019-09-30T00:00:00"/>
    <x v="0"/>
    <n v="2338"/>
    <n v="17299341"/>
    <n v="2142787"/>
    <n v="17299341"/>
    <n v="15036173"/>
    <n v="14668158"/>
    <x v="1"/>
    <n v="0.08"/>
    <n v="1173452.6400000001"/>
    <n v="0.86917605705327161"/>
    <n v="7399.2048759623613"/>
  </r>
  <r>
    <s v="MECHANICS BANK"/>
    <s v="Walnut Creek"/>
    <x v="0"/>
    <n v="94596"/>
    <d v="2020-09-30T00:00:00"/>
    <x v="1"/>
    <n v="1962"/>
    <n v="18539337"/>
    <n v="918271"/>
    <n v="18539337"/>
    <n v="16116245"/>
    <n v="15773408"/>
    <x v="1"/>
    <n v="0.08"/>
    <n v="1261872.6400000001"/>
    <n v="0.86929996471826365"/>
    <n v="9449.2033639143738"/>
  </r>
  <r>
    <s v="MECHANICS BANK"/>
    <s v="Walnut Creek"/>
    <x v="0"/>
    <n v="94596"/>
    <d v="2021-09-30T00:00:00"/>
    <x v="2"/>
    <n v="1808"/>
    <n v="19052469"/>
    <n v="955488"/>
    <n v="19052469"/>
    <n v="16646293"/>
    <n v="16351217"/>
    <x v="1"/>
    <n v="0.08"/>
    <n v="1308097.3600000001"/>
    <n v="0.87370791680595306"/>
    <n v="10537.870022123894"/>
  </r>
  <r>
    <s v="MECHANICS COOPERATIVE BANK"/>
    <s v="Taunton"/>
    <x v="3"/>
    <n v="2780"/>
    <d v="2019-09-30T00:00:00"/>
    <x v="0"/>
    <n v="98"/>
    <n v="611946"/>
    <n v="13759"/>
    <n v="611945"/>
    <n v="551570"/>
    <n v="446631"/>
    <x v="0"/>
    <n v="8.5000000000000006E-2"/>
    <n v="37963.635000000002"/>
    <n v="0.90133769973167566"/>
    <n v="6244.3469387755104"/>
  </r>
  <r>
    <s v="MECHANICS COOPERATIVE BANK"/>
    <s v="Taunton"/>
    <x v="3"/>
    <n v="2780"/>
    <d v="2020-09-30T00:00:00"/>
    <x v="1"/>
    <n v="98"/>
    <n v="665598"/>
    <n v="18869"/>
    <n v="665598"/>
    <n v="598725"/>
    <n v="505166"/>
    <x v="0"/>
    <n v="8.5000000000000006E-2"/>
    <n v="42939.11"/>
    <n v="0.89952944570145943"/>
    <n v="6791.8163265306121"/>
  </r>
  <r>
    <s v="MECHANICS COOPERATIVE BANK"/>
    <s v="Taunton"/>
    <x v="3"/>
    <n v="2780"/>
    <d v="2021-09-30T00:00:00"/>
    <x v="2"/>
    <n v="96"/>
    <n v="664786"/>
    <n v="42133"/>
    <n v="664786"/>
    <n v="589328"/>
    <n v="543218"/>
    <x v="0"/>
    <n v="8.5000000000000006E-2"/>
    <n v="46173.530000000006"/>
    <n v="0.88649279617801824"/>
    <n v="6924.854166666667"/>
  </r>
  <r>
    <s v="MEGA BANK"/>
    <s v="San Gabriel"/>
    <x v="0"/>
    <n v="91776"/>
    <d v="2019-09-30T00:00:00"/>
    <x v="0"/>
    <n v="45"/>
    <n v="349914"/>
    <n v="40510"/>
    <n v="349914"/>
    <n v="305971"/>
    <n v="280041"/>
    <x v="0"/>
    <n v="0.09"/>
    <n v="25203.69"/>
    <n v="0.87441771406688495"/>
    <n v="7775.8666666666668"/>
  </r>
  <r>
    <s v="MEGA BANK"/>
    <s v="San Gabriel"/>
    <x v="0"/>
    <n v="91776"/>
    <d v="2020-09-30T00:00:00"/>
    <x v="1"/>
    <n v="43"/>
    <n v="403634"/>
    <n v="44701"/>
    <n v="403634"/>
    <n v="360094"/>
    <n v="306613"/>
    <x v="0"/>
    <n v="0.09"/>
    <n v="27595.17"/>
    <n v="0.89212999895945333"/>
    <n v="9386.8372093023263"/>
  </r>
  <r>
    <s v="MEGA BANK"/>
    <s v="San Gabriel"/>
    <x v="0"/>
    <n v="91776"/>
    <d v="2021-09-30T00:00:00"/>
    <x v="2"/>
    <n v="46"/>
    <n v="450314"/>
    <n v="74609"/>
    <n v="450314"/>
    <n v="402291"/>
    <n v="379561"/>
    <x v="0"/>
    <n v="0.09"/>
    <n v="34160.49"/>
    <n v="0.89335663559205358"/>
    <n v="9789.434782608696"/>
  </r>
  <r>
    <s v="MELROSE BANK"/>
    <s v="Melrose"/>
    <x v="3"/>
    <n v="2176"/>
    <d v="2019-09-30T00:00:00"/>
    <x v="0"/>
    <n v="29"/>
    <n v="336852"/>
    <n v="15052"/>
    <n v="336852"/>
    <n v="305901"/>
    <n v="273047"/>
    <x v="0"/>
    <n v="8.5000000000000006E-2"/>
    <n v="23208.995000000003"/>
    <n v="0.90811691781553916"/>
    <n v="11615.586206896553"/>
  </r>
  <r>
    <s v="MERCHANTS AND MANUFACTURERS BANK"/>
    <s v="Joliet"/>
    <x v="1"/>
    <n v="60432"/>
    <d v="2019-09-30T00:00:00"/>
    <x v="0"/>
    <n v="42"/>
    <n v="283490"/>
    <n v="21265"/>
    <n v="283490"/>
    <n v="260963"/>
    <n v="224737"/>
    <x v="0"/>
    <n v="0.08"/>
    <n v="17978.96"/>
    <n v="0.92053687960774633"/>
    <n v="6749.7619047619046"/>
  </r>
  <r>
    <s v="MERCHANTS AND MANUFACTURERS BANK"/>
    <s v="Joliet"/>
    <x v="1"/>
    <n v="60432"/>
    <d v="2020-09-30T00:00:00"/>
    <x v="1"/>
    <n v="43"/>
    <n v="329089"/>
    <n v="24580"/>
    <n v="329089"/>
    <n v="304953"/>
    <n v="248408"/>
    <x v="0"/>
    <n v="0.08"/>
    <n v="19872.64"/>
    <n v="0.92665813807207165"/>
    <n v="7653.2325581395353"/>
  </r>
  <r>
    <s v="MERCHANTS AND MANUFACTURERS BANK"/>
    <s v="Joliet"/>
    <x v="1"/>
    <n v="60432"/>
    <d v="2021-09-30T00:00:00"/>
    <x v="2"/>
    <n v="45"/>
    <n v="351676"/>
    <n v="21934"/>
    <n v="351676"/>
    <n v="323103"/>
    <n v="291491"/>
    <x v="0"/>
    <n v="0.08"/>
    <n v="23319.279999999999"/>
    <n v="0.91875191938033873"/>
    <n v="7815.0222222222219"/>
  </r>
  <r>
    <s v="MERCHANTS BANK OF COMMERCE"/>
    <s v="Redding"/>
    <x v="0"/>
    <n v="96002"/>
    <d v="2019-09-30T00:00:00"/>
    <x v="0"/>
    <n v="209"/>
    <n v="1471733"/>
    <n v="88604"/>
    <n v="1471733"/>
    <n v="1283539"/>
    <n v="1266528"/>
    <x v="1"/>
    <n v="0.08"/>
    <n v="101322.24000000001"/>
    <n v="0.8721276209747284"/>
    <n v="7041.7846889952152"/>
  </r>
  <r>
    <s v="MERCHANTS BANK OF COMMERCE"/>
    <s v="Redding"/>
    <x v="0"/>
    <n v="96002"/>
    <d v="2020-09-30T00:00:00"/>
    <x v="1"/>
    <n v="205"/>
    <n v="1739269"/>
    <n v="127882"/>
    <n v="1739269"/>
    <n v="1549315"/>
    <n v="1522475"/>
    <x v="1"/>
    <n v="0.08"/>
    <n v="121798"/>
    <n v="0.89078515169303885"/>
    <n v="8484.2390243902446"/>
  </r>
  <r>
    <s v="MERCHANTS BANK OF COMMERCE"/>
    <s v="Sacramento"/>
    <x v="0"/>
    <n v="95814"/>
    <d v="2021-09-30T00:00:00"/>
    <x v="2"/>
    <n v="186"/>
    <n v="1950857"/>
    <n v="155181"/>
    <n v="1950857"/>
    <n v="1753965"/>
    <n v="1739007"/>
    <x v="1"/>
    <n v="0.08"/>
    <n v="139120.56"/>
    <n v="0.89907409922921055"/>
    <n v="10488.478494623656"/>
  </r>
  <r>
    <s v="METHUEN CO-OPERATIVE BANK"/>
    <s v="Methuen"/>
    <x v="3"/>
    <n v="1844"/>
    <d v="2019-09-30T00:00:00"/>
    <x v="0"/>
    <n v="16"/>
    <n v="93241"/>
    <n v="21482"/>
    <n v="93241"/>
    <n v="83335"/>
    <n v="83187"/>
    <x v="2"/>
    <n v="9.5000000000000001E-2"/>
    <n v="7902.7650000000003"/>
    <n v="0.89375918319194347"/>
    <n v="5827.5625"/>
  </r>
  <r>
    <s v="METHUEN CO-OPERATIVE BANK"/>
    <s v="Methuen"/>
    <x v="3"/>
    <n v="1844"/>
    <d v="2020-09-30T00:00:00"/>
    <x v="1"/>
    <n v="16"/>
    <n v="105495"/>
    <n v="24899"/>
    <n v="105495"/>
    <n v="95248"/>
    <n v="95099"/>
    <x v="0"/>
    <n v="8.5000000000000006E-2"/>
    <n v="8083.4150000000009"/>
    <n v="0.90286743447556761"/>
    <n v="6593.4375"/>
  </r>
  <r>
    <s v="METHUEN CO-OPERATIVE BANK"/>
    <s v="Methuen"/>
    <x v="3"/>
    <n v="1844"/>
    <d v="2021-09-30T00:00:00"/>
    <x v="2"/>
    <n v="17"/>
    <n v="119045"/>
    <n v="25077"/>
    <n v="119045"/>
    <n v="108385"/>
    <n v="108196"/>
    <x v="0"/>
    <n v="8.5000000000000006E-2"/>
    <n v="9196.66"/>
    <n v="0.91045402998865976"/>
    <n v="7002.6470588235297"/>
  </r>
  <r>
    <s v="METROPOLITAN BANK"/>
    <s v="Oakland"/>
    <x v="0"/>
    <n v="94606"/>
    <d v="2019-09-30T00:00:00"/>
    <x v="0"/>
    <n v="40"/>
    <n v="179772"/>
    <n v="30033"/>
    <n v="179772"/>
    <n v="158432"/>
    <n v="150527"/>
    <x v="0"/>
    <n v="0.09"/>
    <n v="13547.43"/>
    <n v="0.88129408361702599"/>
    <n v="4494.3"/>
  </r>
  <r>
    <s v="METROPOLITAN BANK"/>
    <s v="Oakland"/>
    <x v="0"/>
    <n v="94606"/>
    <d v="2020-09-30T00:00:00"/>
    <x v="1"/>
    <n v="41"/>
    <n v="187854"/>
    <n v="32640"/>
    <n v="187854"/>
    <n v="165391"/>
    <n v="151617"/>
    <x v="0"/>
    <n v="0.09"/>
    <n v="13645.529999999999"/>
    <n v="0.8804230945308591"/>
    <n v="4581.8048780487807"/>
  </r>
  <r>
    <s v="METROPOLITAN BANK"/>
    <s v="Oakland"/>
    <x v="0"/>
    <n v="94606"/>
    <d v="2021-09-30T00:00:00"/>
    <x v="2"/>
    <n v="42"/>
    <n v="206436"/>
    <n v="22610"/>
    <n v="206436"/>
    <n v="183054"/>
    <n v="168874"/>
    <x v="0"/>
    <n v="0.09"/>
    <n v="15198.66"/>
    <n v="0.88673487182468169"/>
    <n v="4915.1428571428569"/>
  </r>
  <r>
    <s v="METROPOLITAN BANK AND TRUST COMPANY"/>
    <s v="New York"/>
    <x v="2"/>
    <n v="10022"/>
    <d v="2019-09-30T00:00:00"/>
    <x v="0"/>
    <n v="6"/>
    <n v="32809"/>
    <n v="19771"/>
    <n v="32809"/>
    <n v="32809"/>
    <n v="10158"/>
    <x v="2"/>
    <n v="0.09"/>
    <n v="914.21999999999991"/>
    <n v="1"/>
    <n v="5468.166666666667"/>
  </r>
  <r>
    <s v="METROPOLITAN BANK AND TRUST COMPANY"/>
    <s v="New York"/>
    <x v="2"/>
    <n v="10022"/>
    <d v="2020-09-30T00:00:00"/>
    <x v="1"/>
    <n v="7"/>
    <n v="40132"/>
    <n v="28211"/>
    <n v="40132"/>
    <n v="40132"/>
    <n v="9818"/>
    <x v="2"/>
    <n v="0.09"/>
    <n v="883.62"/>
    <n v="1"/>
    <n v="5733.1428571428569"/>
  </r>
  <r>
    <s v="METROPOLITAN BANK AND TRUST COMPANY"/>
    <s v="New York"/>
    <x v="2"/>
    <n v="10022"/>
    <d v="2021-09-30T00:00:00"/>
    <x v="2"/>
    <n v="7"/>
    <n v="31483"/>
    <n v="18614"/>
    <n v="31483"/>
    <n v="31483"/>
    <n v="10266"/>
    <x v="2"/>
    <n v="0.09"/>
    <n v="923.93999999999994"/>
    <n v="1"/>
    <n v="4497.5714285714284"/>
  </r>
  <r>
    <s v="METROPOLITAN CAPITAL BANK &amp; TRUST"/>
    <s v="Chicago"/>
    <x v="1"/>
    <n v="60611"/>
    <d v="2019-09-30T00:00:00"/>
    <x v="0"/>
    <n v="35"/>
    <n v="229942"/>
    <n v="65832"/>
    <n v="229942"/>
    <n v="208397"/>
    <n v="202602"/>
    <x v="0"/>
    <n v="0.08"/>
    <n v="16208.16"/>
    <n v="0.90630245888093519"/>
    <n v="6569.7714285714283"/>
  </r>
  <r>
    <s v="METROPOLITAN CAPITAL BANK &amp; TRUST"/>
    <s v="Chicago"/>
    <x v="1"/>
    <n v="60611"/>
    <d v="2020-09-30T00:00:00"/>
    <x v="1"/>
    <n v="41"/>
    <n v="228475"/>
    <n v="65619"/>
    <n v="228475"/>
    <n v="207875"/>
    <n v="198185"/>
    <x v="0"/>
    <n v="0.08"/>
    <n v="15854.800000000001"/>
    <n v="0.9098369624685414"/>
    <n v="5572.5609756097565"/>
  </r>
  <r>
    <s v="METROPOLITAN CAPITAL BANK &amp; TRUST"/>
    <s v="Chicago"/>
    <x v="1"/>
    <n v="60611"/>
    <d v="2021-09-30T00:00:00"/>
    <x v="2"/>
    <n v="40"/>
    <n v="267575"/>
    <n v="57777"/>
    <n v="267575"/>
    <n v="245763"/>
    <n v="241400"/>
    <x v="0"/>
    <n v="0.08"/>
    <n v="19312"/>
    <n v="0.91848266841072601"/>
    <n v="6689.375"/>
  </r>
  <r>
    <s v="METROPOLITAN COMMERCIAL BANK"/>
    <s v="New York"/>
    <x v="2"/>
    <n v="10016"/>
    <d v="2019-09-30T00:00:00"/>
    <x v="0"/>
    <n v="166"/>
    <n v="3241096"/>
    <n v="435440"/>
    <n v="3241096"/>
    <n v="2908812"/>
    <n v="2723242"/>
    <x v="1"/>
    <n v="0.08"/>
    <n v="217859.36000000002"/>
    <n v="0.89747789019516855"/>
    <n v="19524.674698795181"/>
  </r>
  <r>
    <s v="METROPOLITAN COMMERCIAL BANK"/>
    <s v="New York"/>
    <x v="2"/>
    <n v="10016"/>
    <d v="2020-09-30T00:00:00"/>
    <x v="1"/>
    <n v="178"/>
    <n v="4000306"/>
    <n v="767904"/>
    <n v="4000306"/>
    <n v="3627863"/>
    <n v="3548522"/>
    <x v="1"/>
    <n v="0.08"/>
    <n v="283881.76"/>
    <n v="0.90689637242750931"/>
    <n v="22473.629213483146"/>
  </r>
  <r>
    <s v="METROPOLITAN COMMERCIAL BANK"/>
    <s v="New York"/>
    <x v="2"/>
    <n v="10016"/>
    <d v="2021-09-30T00:00:00"/>
    <x v="2"/>
    <n v="228"/>
    <n v="6139561"/>
    <n v="1857480"/>
    <n v="6139561"/>
    <n v="5585278"/>
    <n v="5512262"/>
    <x v="1"/>
    <n v="0.08"/>
    <n v="440980.96"/>
    <n v="0.90971944085252998"/>
    <n v="26927.899122807019"/>
  </r>
  <r>
    <s v="MIDAMERICA NATIONAL BANK"/>
    <s v="Canton"/>
    <x v="1"/>
    <n v="61520"/>
    <d v="2019-09-30T00:00:00"/>
    <x v="0"/>
    <n v="114"/>
    <n v="424293"/>
    <n v="29219"/>
    <n v="424293"/>
    <n v="368622"/>
    <n v="363346"/>
    <x v="0"/>
    <n v="0.08"/>
    <n v="29067.68"/>
    <n v="0.86879114197028939"/>
    <n v="3721.8684210526317"/>
  </r>
  <r>
    <s v="MIDAMERICA NATIONAL BANK"/>
    <s v="Canton"/>
    <x v="1"/>
    <n v="61520"/>
    <d v="2020-09-30T00:00:00"/>
    <x v="1"/>
    <n v="114"/>
    <n v="464486"/>
    <n v="10382"/>
    <n v="464486"/>
    <n v="405120"/>
    <n v="393013"/>
    <x v="0"/>
    <n v="0.08"/>
    <n v="31441.040000000001"/>
    <n v="0.87218990453964163"/>
    <n v="4074.4385964912281"/>
  </r>
  <r>
    <s v="MIDAMERICA NATIONAL BANK"/>
    <s v="Canton"/>
    <x v="1"/>
    <n v="61520"/>
    <d v="2021-09-30T00:00:00"/>
    <x v="2"/>
    <n v="115"/>
    <n v="525562"/>
    <n v="21790"/>
    <n v="525562"/>
    <n v="462309"/>
    <n v="451037"/>
    <x v="0"/>
    <n v="0.08"/>
    <n v="36082.959999999999"/>
    <n v="0.87964693033362384"/>
    <n v="4570.1043478260872"/>
  </r>
  <r>
    <s v="MIDDLESEX FEDERAL SAVINGS, F.A."/>
    <s v="Somerville"/>
    <x v="3"/>
    <n v="2144"/>
    <d v="2019-09-30T00:00:00"/>
    <x v="0"/>
    <n v="56"/>
    <n v="426095"/>
    <n v="22960"/>
    <n v="426095"/>
    <n v="386833"/>
    <n v="332983"/>
    <x v="0"/>
    <n v="8.5000000000000006E-2"/>
    <n v="28303.555"/>
    <n v="0.90785622924465204"/>
    <n v="7608.8392857142853"/>
  </r>
  <r>
    <s v="MIDDLESEX FEDERAL SAVINGS, F.A."/>
    <s v="Somerville"/>
    <x v="3"/>
    <n v="2144"/>
    <d v="2020-09-30T00:00:00"/>
    <x v="1"/>
    <n v="58"/>
    <n v="461528"/>
    <n v="22407"/>
    <n v="461527"/>
    <n v="422518"/>
    <n v="344680"/>
    <x v="0"/>
    <n v="8.5000000000000006E-2"/>
    <n v="29297.800000000003"/>
    <n v="0.9154764174654626"/>
    <n v="7957.3793103448279"/>
  </r>
  <r>
    <s v="MIDDLESEX FEDERAL SAVINGS, F.A."/>
    <s v="Somerville"/>
    <x v="3"/>
    <n v="2144"/>
    <d v="2021-09-30T00:00:00"/>
    <x v="2"/>
    <n v="71"/>
    <n v="574466"/>
    <n v="47449"/>
    <n v="574466"/>
    <n v="532267"/>
    <n v="492533"/>
    <x v="0"/>
    <n v="8.5000000000000006E-2"/>
    <n v="41865.305"/>
    <n v="0.926542214856928"/>
    <n v="8091.070422535211"/>
  </r>
  <r>
    <s v="MIDDLESEX SAVINGS BANK"/>
    <s v="Natick"/>
    <x v="3"/>
    <n v="1760"/>
    <d v="2019-09-30T00:00:00"/>
    <x v="0"/>
    <n v="518"/>
    <n v="4941035"/>
    <n v="120241"/>
    <n v="4941035"/>
    <n v="4285271"/>
    <n v="4205246"/>
    <x v="1"/>
    <n v="0.08"/>
    <n v="336419.68"/>
    <n v="0.86728205730175967"/>
    <n v="9538.6776061776054"/>
  </r>
  <r>
    <s v="MIDDLESEX SAVINGS BANK"/>
    <s v="Natick"/>
    <x v="3"/>
    <n v="1760"/>
    <d v="2020-09-30T00:00:00"/>
    <x v="1"/>
    <n v="526"/>
    <n v="5642748"/>
    <n v="371579"/>
    <n v="5642748"/>
    <n v="4957183"/>
    <n v="4855492"/>
    <x v="1"/>
    <n v="0.08"/>
    <n v="388439.36"/>
    <n v="0.87850511842811341"/>
    <n v="10727.657794676807"/>
  </r>
  <r>
    <s v="MIDDLESEX SAVINGS BANK"/>
    <s v="Natick"/>
    <x v="3"/>
    <n v="1760"/>
    <d v="2021-09-30T00:00:00"/>
    <x v="2"/>
    <n v="506"/>
    <n v="6032158"/>
    <n v="366934"/>
    <n v="6032158"/>
    <n v="5339530"/>
    <n v="5255220"/>
    <x v="1"/>
    <n v="0.08"/>
    <n v="420417.60000000003"/>
    <n v="0.88517741080389467"/>
    <n v="11921.260869565218"/>
  </r>
  <r>
    <s v="MIDDLETOWN STATE BANK"/>
    <s v="Middletown"/>
    <x v="1"/>
    <n v="62666"/>
    <d v="2019-09-30T00:00:00"/>
    <x v="0"/>
    <n v="7"/>
    <n v="37432"/>
    <n v="1511"/>
    <n v="37432"/>
    <n v="33900"/>
    <n v="32856"/>
    <x v="2"/>
    <n v="0.09"/>
    <n v="2957.04"/>
    <n v="0.90564223124599275"/>
    <n v="5347.4285714285716"/>
  </r>
  <r>
    <s v="MIDDLETOWN STATE BANK"/>
    <s v="Middletown"/>
    <x v="1"/>
    <n v="62666"/>
    <d v="2020-09-30T00:00:00"/>
    <x v="1"/>
    <n v="7"/>
    <n v="40837"/>
    <n v="1774"/>
    <n v="40837"/>
    <n v="37297"/>
    <n v="34757"/>
    <x v="2"/>
    <n v="0.09"/>
    <n v="3128.13"/>
    <n v="0.91331390650635458"/>
    <n v="5833.8571428571431"/>
  </r>
  <r>
    <s v="MIDDLETOWN STATE BANK"/>
    <s v="Middletown"/>
    <x v="1"/>
    <n v="62666"/>
    <d v="2021-09-30T00:00:00"/>
    <x v="2"/>
    <n v="7"/>
    <n v="42057"/>
    <n v="1004"/>
    <n v="42057"/>
    <n v="38462"/>
    <n v="36181"/>
    <x v="2"/>
    <n v="0.09"/>
    <n v="3256.29"/>
    <n v="0.91452076943196137"/>
    <n v="6008.1428571428569"/>
  </r>
  <r>
    <s v="MIDLAND COMMUNITY BANK"/>
    <s v="Kincaid"/>
    <x v="1"/>
    <n v="62540"/>
    <d v="2019-09-30T00:00:00"/>
    <x v="0"/>
    <n v="14"/>
    <n v="62373"/>
    <n v="3145"/>
    <n v="62373"/>
    <n v="55386"/>
    <n v="55113"/>
    <x v="2"/>
    <n v="0.09"/>
    <n v="4960.17"/>
    <n v="0.8879803761242846"/>
    <n v="4455.2142857142853"/>
  </r>
  <r>
    <s v="MIDLAND COMMUNITY BANK"/>
    <s v="Kincaid"/>
    <x v="1"/>
    <n v="62540"/>
    <d v="2020-09-30T00:00:00"/>
    <x v="1"/>
    <n v="14"/>
    <n v="75236"/>
    <n v="4509"/>
    <n v="75236"/>
    <n v="67020"/>
    <n v="62515"/>
    <x v="2"/>
    <n v="0.09"/>
    <n v="5626.3499999999995"/>
    <n v="0.89079695890265298"/>
    <n v="5374"/>
  </r>
  <r>
    <s v="MIDLAND COMMUNITY BANK"/>
    <s v="Kincaid"/>
    <x v="1"/>
    <n v="62540"/>
    <d v="2021-09-30T00:00:00"/>
    <x v="2"/>
    <n v="13"/>
    <n v="77680"/>
    <n v="3098"/>
    <n v="77680"/>
    <n v="68768"/>
    <n v="68441"/>
    <x v="2"/>
    <n v="0.09"/>
    <n v="6159.69"/>
    <n v="0.88527291452111223"/>
    <n v="5975.3846153846152"/>
  </r>
  <r>
    <s v="MIDLAND FEDERAL SAVINGS AND LOAN ASSOCIATION"/>
    <s v="Bridgeview"/>
    <x v="1"/>
    <n v="60455"/>
    <d v="2019-09-30T00:00:00"/>
    <x v="0"/>
    <n v="30"/>
    <n v="115745"/>
    <n v="26518"/>
    <n v="115745"/>
    <n v="104631"/>
    <n v="103902"/>
    <x v="0"/>
    <n v="0.08"/>
    <n v="8312.16"/>
    <n v="0.90397857358849198"/>
    <n v="3858.1666666666665"/>
  </r>
  <r>
    <s v="MIDLAND FEDERAL SAVINGS AND LOAN ASSOCIATION"/>
    <s v="Bridgeview"/>
    <x v="1"/>
    <n v="60455"/>
    <d v="2020-09-30T00:00:00"/>
    <x v="1"/>
    <n v="28"/>
    <n v="119033"/>
    <n v="29131"/>
    <n v="119033"/>
    <n v="108302"/>
    <n v="107507"/>
    <x v="0"/>
    <n v="0.08"/>
    <n v="8600.56"/>
    <n v="0.9098485293994103"/>
    <n v="4251.1785714285716"/>
  </r>
  <r>
    <s v="MIDLAND FEDERAL SAVINGS AND LOAN ASSOCIATION"/>
    <s v="Bridgeview"/>
    <x v="1"/>
    <n v="60455"/>
    <d v="2021-09-30T00:00:00"/>
    <x v="2"/>
    <n v="26"/>
    <n v="126618"/>
    <n v="39541"/>
    <n v="126618"/>
    <n v="116894"/>
    <n v="116208"/>
    <x v="0"/>
    <n v="0.08"/>
    <n v="9296.64"/>
    <n v="0.92320207237517571"/>
    <n v="4869.9230769230771"/>
  </r>
  <r>
    <s v="MIDLAND STATES BANK"/>
    <s v="Effingham"/>
    <x v="1"/>
    <n v="62401"/>
    <d v="2019-09-30T00:00:00"/>
    <x v="0"/>
    <n v="1047"/>
    <n v="5712771"/>
    <n v="323248"/>
    <n v="5712771"/>
    <n v="4939848"/>
    <n v="4183557"/>
    <x v="1"/>
    <n v="7.4999999999999997E-2"/>
    <n v="313766.77499999997"/>
    <n v="0.86470261104462265"/>
    <n v="5456.3237822349574"/>
  </r>
  <r>
    <s v="MIDLAND STATES BANK"/>
    <s v="Effingham"/>
    <x v="1"/>
    <n v="62401"/>
    <d v="2020-09-30T00:00:00"/>
    <x v="1"/>
    <n v="935"/>
    <n v="6691009"/>
    <n v="456529"/>
    <n v="6691009"/>
    <n v="5925973"/>
    <n v="5092864"/>
    <x v="1"/>
    <n v="7.4999999999999997E-2"/>
    <n v="381964.79999999999"/>
    <n v="0.88566208773594535"/>
    <n v="7156.1593582887699"/>
  </r>
  <r>
    <s v="MIDLAND STATES BANK"/>
    <s v="Effingham"/>
    <x v="1"/>
    <n v="62401"/>
    <d v="2021-09-30T00:00:00"/>
    <x v="2"/>
    <n v="903"/>
    <n v="7083098"/>
    <n v="655479"/>
    <n v="7083098"/>
    <n v="6284874"/>
    <n v="5639110"/>
    <x v="1"/>
    <n v="7.4999999999999997E-2"/>
    <n v="422933.25"/>
    <n v="0.88730580884240207"/>
    <n v="7843.9623477297891"/>
  </r>
  <r>
    <s v="MIDWEST BANK"/>
    <s v="Monmouth"/>
    <x v="1"/>
    <n v="61462"/>
    <d v="2019-09-30T00:00:00"/>
    <x v="0"/>
    <n v="135"/>
    <n v="522253"/>
    <n v="12598"/>
    <n v="522253"/>
    <n v="457090"/>
    <n v="390873"/>
    <x v="0"/>
    <n v="0.08"/>
    <n v="31269.84"/>
    <n v="0.87522714086850628"/>
    <n v="3868.5407407407406"/>
  </r>
  <r>
    <s v="MIDWEST BANK"/>
    <s v="Monmouth"/>
    <x v="1"/>
    <n v="61462"/>
    <d v="2020-09-30T00:00:00"/>
    <x v="1"/>
    <n v="129"/>
    <n v="579097"/>
    <n v="30890"/>
    <n v="579097"/>
    <n v="510023"/>
    <n v="436776"/>
    <x v="0"/>
    <n v="0.08"/>
    <n v="34942.080000000002"/>
    <n v="0.88072119178652286"/>
    <n v="4489.1240310077519"/>
  </r>
  <r>
    <s v="MIDWEST BANK"/>
    <s v="Monmouth"/>
    <x v="1"/>
    <n v="61462"/>
    <d v="2021-09-30T00:00:00"/>
    <x v="2"/>
    <n v="126"/>
    <n v="647132"/>
    <n v="21498"/>
    <n v="647132"/>
    <n v="573821"/>
    <n v="505059"/>
    <x v="0"/>
    <n v="0.08"/>
    <n v="40404.720000000001"/>
    <n v="0.88671399343565149"/>
    <n v="5135.9682539682535"/>
  </r>
  <r>
    <s v="MIDWEST COMMUNITY BANK"/>
    <s v="Freeport"/>
    <x v="1"/>
    <n v="61032"/>
    <d v="2019-09-30T00:00:00"/>
    <x v="0"/>
    <n v="179"/>
    <n v="246284"/>
    <n v="13345"/>
    <n v="246284"/>
    <n v="216543"/>
    <n v="215122"/>
    <x v="0"/>
    <n v="0.08"/>
    <n v="17209.760000000002"/>
    <n v="0.87924103880073412"/>
    <n v="1375.8882681564246"/>
  </r>
  <r>
    <s v="MIDWEST COMMUNITY BANK"/>
    <s v="Freeport"/>
    <x v="1"/>
    <n v="61032"/>
    <d v="2020-09-30T00:00:00"/>
    <x v="1"/>
    <n v="229"/>
    <n v="381225"/>
    <n v="19814"/>
    <n v="381225"/>
    <n v="339808"/>
    <n v="337966"/>
    <x v="0"/>
    <n v="0.08"/>
    <n v="27037.279999999999"/>
    <n v="0.89135812184405538"/>
    <n v="1664.7379912663755"/>
  </r>
  <r>
    <s v="MIDWEST COMMUNITY BANK"/>
    <s v="Freeport"/>
    <x v="1"/>
    <n v="61032"/>
    <d v="2021-09-30T00:00:00"/>
    <x v="2"/>
    <n v="258"/>
    <n v="352943"/>
    <n v="41163"/>
    <n v="352943"/>
    <n v="298645"/>
    <n v="295824"/>
    <x v="0"/>
    <n v="0.08"/>
    <n v="23665.920000000002"/>
    <n v="0.84615646152494883"/>
    <n v="1367.9961240310076"/>
  </r>
  <r>
    <s v="MILFORD BUILDING AND LOAN ASSOCIATION"/>
    <s v="Milford"/>
    <x v="1"/>
    <n v="60953"/>
    <d v="2019-09-30T00:00:00"/>
    <x v="0"/>
    <n v="4"/>
    <n v="30141"/>
    <n v="8951"/>
    <n v="30141"/>
    <n v="27466"/>
    <n v="27205"/>
    <x v="2"/>
    <n v="0.09"/>
    <n v="2448.4499999999998"/>
    <n v="0.91125045618924394"/>
    <n v="7535.25"/>
  </r>
  <r>
    <s v="MILFORD BUILDING AND LOAN ASSOCIATION"/>
    <s v="Milford"/>
    <x v="1"/>
    <n v="60953"/>
    <d v="2020-09-30T00:00:00"/>
    <x v="1"/>
    <n v="4"/>
    <n v="30934"/>
    <n v="10067"/>
    <n v="30933"/>
    <n v="28161"/>
    <n v="27964"/>
    <x v="2"/>
    <n v="0.09"/>
    <n v="2516.7599999999998"/>
    <n v="0.91035753539794406"/>
    <n v="7733.5"/>
  </r>
  <r>
    <s v="MILFORD BUILDING AND LOAN ASSOCIATION"/>
    <s v="Milford"/>
    <x v="1"/>
    <n v="60953"/>
    <d v="2021-09-30T00:00:00"/>
    <x v="2"/>
    <n v="4"/>
    <n v="31962"/>
    <n v="10852"/>
    <n v="31962"/>
    <n v="29018"/>
    <n v="28829"/>
    <x v="2"/>
    <n v="0.09"/>
    <n v="2594.61"/>
    <n v="0.90789062011138222"/>
    <n v="7990.5"/>
  </r>
  <r>
    <s v="MILFORD FEDERAL BANK"/>
    <s v="Milford"/>
    <x v="3"/>
    <n v="1757"/>
    <d v="2019-09-30T00:00:00"/>
    <x v="0"/>
    <n v="81"/>
    <n v="418574"/>
    <n v="24444"/>
    <n v="418575"/>
    <n v="369263"/>
    <n v="338970"/>
    <x v="0"/>
    <n v="8.5000000000000006E-2"/>
    <n v="28812.45"/>
    <n v="0.88219287390043333"/>
    <n v="5167.5802469135806"/>
  </r>
  <r>
    <s v="MILFORD FEDERAL BANK"/>
    <s v="Milford"/>
    <x v="3"/>
    <n v="1757"/>
    <d v="2020-09-30T00:00:00"/>
    <x v="1"/>
    <n v="78"/>
    <n v="438362"/>
    <n v="45544"/>
    <n v="438362"/>
    <n v="387501"/>
    <n v="366901"/>
    <x v="0"/>
    <n v="8.5000000000000006E-2"/>
    <n v="31186.585000000003"/>
    <n v="0.88397488833429905"/>
    <n v="5620.0256410256407"/>
  </r>
  <r>
    <s v="MILFORD FEDERAL BANK"/>
    <s v="Milford"/>
    <x v="3"/>
    <n v="1757"/>
    <d v="2021-09-30T00:00:00"/>
    <x v="2"/>
    <n v="80"/>
    <n v="456763"/>
    <n v="38476"/>
    <n v="456763"/>
    <n v="403983"/>
    <n v="388575"/>
    <x v="0"/>
    <n v="8.5000000000000006E-2"/>
    <n v="33028.875"/>
    <n v="0.88444773328837933"/>
    <n v="5709.5375000000004"/>
  </r>
  <r>
    <s v="MILLBURY NATIONAL BANK"/>
    <s v="Millbury"/>
    <x v="3"/>
    <n v="1527"/>
    <d v="2019-09-30T00:00:00"/>
    <x v="0"/>
    <n v="18"/>
    <n v="95833"/>
    <n v="7512"/>
    <n v="95833"/>
    <n v="86342"/>
    <n v="83355"/>
    <x v="2"/>
    <n v="9.5000000000000001E-2"/>
    <n v="7918.7250000000004"/>
    <n v="0.90096313378481319"/>
    <n v="5324.0555555555557"/>
  </r>
  <r>
    <s v="MILLBURY NATIONAL BANK"/>
    <s v="Millbury"/>
    <x v="3"/>
    <n v="1527"/>
    <d v="2020-09-30T00:00:00"/>
    <x v="1"/>
    <n v="19"/>
    <n v="101509"/>
    <n v="14340"/>
    <n v="101509"/>
    <n v="91990"/>
    <n v="88508"/>
    <x v="0"/>
    <n v="8.5000000000000006E-2"/>
    <n v="7523.18"/>
    <n v="0.90622506378744738"/>
    <n v="5342.5789473684208"/>
  </r>
  <r>
    <s v="MILLBURY NATIONAL BANK"/>
    <s v="Millbury"/>
    <x v="3"/>
    <n v="1527"/>
    <d v="2021-09-30T00:00:00"/>
    <x v="2"/>
    <n v="20"/>
    <n v="107324"/>
    <n v="14036"/>
    <n v="107324"/>
    <n v="97311"/>
    <n v="94436"/>
    <x v="0"/>
    <n v="8.5000000000000006E-2"/>
    <n v="8027.06"/>
    <n v="0.90670306734747119"/>
    <n v="5366.2"/>
  </r>
  <r>
    <s v="MILLBURY SAVINGS BANK"/>
    <s v="Millbury"/>
    <x v="3"/>
    <n v="1527"/>
    <d v="2019-09-30T00:00:00"/>
    <x v="0"/>
    <n v="34"/>
    <n v="221173"/>
    <n v="3327"/>
    <n v="221174"/>
    <n v="191079"/>
    <n v="180251"/>
    <x v="0"/>
    <n v="8.5000000000000006E-2"/>
    <n v="15321.335000000001"/>
    <n v="0.86393456705836602"/>
    <n v="6505.088235294118"/>
  </r>
  <r>
    <s v="MILLEDGEVILLE STATE BANK"/>
    <s v="Milledgeville"/>
    <x v="1"/>
    <n v="61051"/>
    <d v="2019-09-30T00:00:00"/>
    <x v="0"/>
    <n v="14"/>
    <n v="148605"/>
    <n v="12552"/>
    <n v="148605"/>
    <n v="131440"/>
    <n v="106471"/>
    <x v="0"/>
    <n v="0.08"/>
    <n v="8517.68"/>
    <n v="0.88449244641835734"/>
    <n v="10614.642857142857"/>
  </r>
  <r>
    <s v="MILLEDGEVILLE STATE BANK"/>
    <s v="Milledgeville"/>
    <x v="1"/>
    <n v="61051"/>
    <d v="2020-09-30T00:00:00"/>
    <x v="1"/>
    <n v="13"/>
    <n v="155194"/>
    <n v="13714"/>
    <n v="155194"/>
    <n v="136930"/>
    <n v="113438"/>
    <x v="0"/>
    <n v="0.08"/>
    <n v="9075.0400000000009"/>
    <n v="0.88231503795249822"/>
    <n v="11938"/>
  </r>
  <r>
    <s v="MILLEDGEVILLE STATE BANK"/>
    <s v="Milledgeville"/>
    <x v="1"/>
    <n v="61051"/>
    <d v="2021-09-30T00:00:00"/>
    <x v="2"/>
    <n v="13"/>
    <n v="166915"/>
    <n v="16244"/>
    <n v="166915"/>
    <n v="147398"/>
    <n v="122871"/>
    <x v="0"/>
    <n v="0.08"/>
    <n v="9829.68"/>
    <n v="0.88307222238864092"/>
    <n v="12839.615384615385"/>
  </r>
  <r>
    <s v="MILLENNIUM BANK"/>
    <s v="Des Plaines"/>
    <x v="1"/>
    <n v="60016"/>
    <d v="2019-09-30T00:00:00"/>
    <x v="0"/>
    <n v="28"/>
    <n v="144864"/>
    <n v="24614"/>
    <n v="144864"/>
    <n v="128532"/>
    <n v="127020"/>
    <x v="0"/>
    <n v="0.08"/>
    <n v="10161.6"/>
    <n v="0.88725977468522199"/>
    <n v="5173.7142857142853"/>
  </r>
  <r>
    <s v="MILLENNIUM BANK"/>
    <s v="Des Plaines"/>
    <x v="1"/>
    <n v="60016"/>
    <d v="2020-09-30T00:00:00"/>
    <x v="1"/>
    <n v="32"/>
    <n v="217453"/>
    <n v="35510"/>
    <n v="217453"/>
    <n v="196423"/>
    <n v="184577"/>
    <x v="0"/>
    <n v="0.08"/>
    <n v="14766.16"/>
    <n v="0.90328944645509601"/>
    <n v="6795.40625"/>
  </r>
  <r>
    <s v="MILLENNIUM BANK"/>
    <s v="Des Plaines"/>
    <x v="1"/>
    <n v="60016"/>
    <d v="2021-09-30T00:00:00"/>
    <x v="2"/>
    <n v="35"/>
    <n v="295401"/>
    <n v="108598"/>
    <n v="295401"/>
    <n v="266493"/>
    <n v="259643"/>
    <x v="0"/>
    <n v="0.08"/>
    <n v="20771.439999999999"/>
    <n v="0.90213980318279219"/>
    <n v="8440.028571428571"/>
  </r>
  <r>
    <s v="MISSION BANK"/>
    <s v="Bakersfield"/>
    <x v="0"/>
    <n v="93301"/>
    <d v="2019-09-30T00:00:00"/>
    <x v="0"/>
    <n v="110"/>
    <n v="800373"/>
    <n v="99731"/>
    <n v="800373"/>
    <n v="724697"/>
    <n v="717555"/>
    <x v="0"/>
    <n v="0.09"/>
    <n v="64579.95"/>
    <n v="0.90544908436441507"/>
    <n v="7276.1181818181822"/>
  </r>
  <r>
    <s v="MISSION BANK"/>
    <s v="Bakersfield"/>
    <x v="0"/>
    <n v="93301"/>
    <d v="2020-09-30T00:00:00"/>
    <x v="1"/>
    <n v="116"/>
    <n v="1184229"/>
    <n v="220203"/>
    <n v="1184229"/>
    <n v="1082301"/>
    <n v="1062916"/>
    <x v="1"/>
    <n v="0.08"/>
    <n v="85033.279999999999"/>
    <n v="0.91392880937724041"/>
    <n v="10208.870689655172"/>
  </r>
  <r>
    <s v="MISSION BANK"/>
    <s v="Bakersfield"/>
    <x v="0"/>
    <n v="93301"/>
    <d v="2021-09-30T00:00:00"/>
    <x v="2"/>
    <n v="113"/>
    <n v="1457840"/>
    <n v="308069"/>
    <n v="1457840"/>
    <n v="1327503"/>
    <n v="1312781"/>
    <x v="1"/>
    <n v="0.08"/>
    <n v="105022.48"/>
    <n v="0.91059581298359216"/>
    <n v="12901.238938053097"/>
  </r>
  <r>
    <s v="MISSION NATIONAL BANK"/>
    <s v="San Francisco"/>
    <x v="0"/>
    <n v="94103"/>
    <d v="2019-09-30T00:00:00"/>
    <x v="0"/>
    <n v="48"/>
    <n v="243059"/>
    <n v="42912"/>
    <n v="243059"/>
    <n v="211047"/>
    <n v="208818"/>
    <x v="0"/>
    <n v="0.09"/>
    <n v="18793.62"/>
    <n v="0.86829535215729514"/>
    <n v="5063.729166666667"/>
  </r>
  <r>
    <s v="MISSION NATIONAL BANK"/>
    <s v="San Francisco"/>
    <x v="0"/>
    <n v="94103"/>
    <d v="2020-09-30T00:00:00"/>
    <x v="1"/>
    <n v="47"/>
    <n v="243906"/>
    <n v="58701"/>
    <n v="243906"/>
    <n v="206272"/>
    <n v="193039"/>
    <x v="0"/>
    <n v="0.09"/>
    <n v="17373.509999999998"/>
    <n v="0.84570285273835"/>
    <n v="5189.489361702128"/>
  </r>
  <r>
    <s v="MISSION NATIONAL BANK"/>
    <s v="San Francisco"/>
    <x v="0"/>
    <n v="94103"/>
    <d v="2021-09-30T00:00:00"/>
    <x v="2"/>
    <n v="40"/>
    <n v="220168"/>
    <n v="67649"/>
    <n v="220168"/>
    <n v="183529"/>
    <n v="179715"/>
    <x v="0"/>
    <n v="0.09"/>
    <n v="16174.349999999999"/>
    <n v="0.83358617056066275"/>
    <n v="5504.2"/>
  </r>
  <r>
    <s v="MISSION VALLEY BANK"/>
    <s v="Sun Valley"/>
    <x v="0"/>
    <n v="91352"/>
    <d v="2019-09-30T00:00:00"/>
    <x v="0"/>
    <n v="61"/>
    <n v="338294"/>
    <n v="27704"/>
    <n v="338294"/>
    <n v="297281"/>
    <n v="291355"/>
    <x v="0"/>
    <n v="0.09"/>
    <n v="26221.95"/>
    <n v="0.87876521605467439"/>
    <n v="5545.8032786885242"/>
  </r>
  <r>
    <s v="MISSION VALLEY BANK"/>
    <s v="Sun Valley"/>
    <x v="0"/>
    <n v="91352"/>
    <d v="2020-09-30T00:00:00"/>
    <x v="1"/>
    <n v="62"/>
    <n v="465780"/>
    <n v="79793"/>
    <n v="465780"/>
    <n v="422117"/>
    <n v="374274"/>
    <x v="0"/>
    <n v="0.09"/>
    <n v="33684.659999999996"/>
    <n v="0.90625831937824719"/>
    <n v="7512.5806451612907"/>
  </r>
  <r>
    <s v="MISSION VALLEY BANK"/>
    <s v="Sun Valley"/>
    <x v="0"/>
    <n v="91352"/>
    <d v="2021-09-30T00:00:00"/>
    <x v="2"/>
    <n v="72"/>
    <n v="442210"/>
    <n v="90490"/>
    <n v="442210"/>
    <n v="392681"/>
    <n v="352672"/>
    <x v="0"/>
    <n v="0.09"/>
    <n v="31740.48"/>
    <n v="0.88799665317383147"/>
    <n v="6141.8055555555557"/>
  </r>
  <r>
    <s v="MIZRAHI TEFAHOT BANK, LTD."/>
    <s v="Los Angeles"/>
    <x v="0"/>
    <n v="90017"/>
    <d v="2019-09-30T00:00:00"/>
    <x v="0"/>
    <n v="351"/>
    <n v="2545052"/>
    <n v="1792406"/>
    <n v="2545052"/>
    <n v="2545052"/>
    <n v="946512"/>
    <x v="1"/>
    <n v="0.08"/>
    <n v="75720.960000000006"/>
    <n v="1"/>
    <n v="7250.8603988603991"/>
  </r>
  <r>
    <s v="MIZRAHI TEFAHOT BANK, LTD."/>
    <s v="Los Angeles"/>
    <x v="0"/>
    <n v="90017"/>
    <d v="2020-09-30T00:00:00"/>
    <x v="1"/>
    <n v="389"/>
    <n v="4250575"/>
    <n v="3446453"/>
    <n v="4250575"/>
    <n v="4250575"/>
    <n v="819289"/>
    <x v="1"/>
    <n v="0.08"/>
    <n v="65543.12"/>
    <n v="1"/>
    <n v="10926.928020565552"/>
  </r>
  <r>
    <s v="MIZRAHI TEFAHOT BANK, LTD."/>
    <s v="Los Angeles"/>
    <x v="0"/>
    <n v="90017"/>
    <d v="2021-09-30T00:00:00"/>
    <x v="2"/>
    <n v="150"/>
    <n v="2373622"/>
    <n v="1462673"/>
    <n v="2373622"/>
    <n v="2373622"/>
    <n v="836194"/>
    <x v="1"/>
    <n v="0.08"/>
    <n v="66895.520000000004"/>
    <n v="1"/>
    <n v="15824.146666666667"/>
  </r>
  <r>
    <s v="MIZUHO BANK (USA)"/>
    <s v="New York"/>
    <x v="2"/>
    <n v="10020"/>
    <d v="2019-09-30T00:00:00"/>
    <x v="0"/>
    <n v="189"/>
    <n v="6072448"/>
    <n v="749270"/>
    <n v="6072448"/>
    <n v="4632402"/>
    <n v="3678555"/>
    <x v="1"/>
    <n v="0.08"/>
    <n v="294284.40000000002"/>
    <n v="0.76285577085221645"/>
    <n v="32129.354497354496"/>
  </r>
  <r>
    <s v="MIZUHO BANK (USA)"/>
    <s v="New York"/>
    <x v="2"/>
    <n v="10020"/>
    <d v="2020-09-30T00:00:00"/>
    <x v="1"/>
    <n v="139"/>
    <n v="7960812"/>
    <n v="1195378"/>
    <n v="7960812"/>
    <n v="6498906"/>
    <n v="4471685"/>
    <x v="1"/>
    <n v="0.08"/>
    <n v="357734.8"/>
    <n v="0.81636220023786521"/>
    <n v="57272.028776978419"/>
  </r>
  <r>
    <s v="MIZUHO BANK (USA)"/>
    <s v="New York"/>
    <x v="2"/>
    <n v="10020"/>
    <d v="2021-09-30T00:00:00"/>
    <x v="2"/>
    <n v="129"/>
    <n v="7373011"/>
    <n v="1106759"/>
    <n v="7373011"/>
    <n v="5885064"/>
    <n v="3917285"/>
    <x v="1"/>
    <n v="0.08"/>
    <n v="313382.8"/>
    <n v="0.79819004745822297"/>
    <n v="57155.124031007756"/>
  </r>
  <r>
    <s v="MODERN BANK, NATIONAL ASSOCIATION"/>
    <s v="New York"/>
    <x v="2"/>
    <n v="10022"/>
    <d v="2019-09-30T00:00:00"/>
    <x v="0"/>
    <n v="38"/>
    <n v="782683"/>
    <n v="41763"/>
    <n v="782683"/>
    <n v="698431"/>
    <n v="578421"/>
    <x v="0"/>
    <n v="8.5000000000000006E-2"/>
    <n v="49165.785000000003"/>
    <n v="0.89235488697212029"/>
    <n v="20596.92105263158"/>
  </r>
  <r>
    <s v="MODERN BANK, NATIONAL ASSOCIATION"/>
    <s v="New York"/>
    <x v="2"/>
    <n v="10022"/>
    <d v="2020-09-30T00:00:00"/>
    <x v="1"/>
    <n v="44"/>
    <n v="886060"/>
    <n v="17352"/>
    <n v="886060"/>
    <n v="805051"/>
    <n v="571578"/>
    <x v="0"/>
    <n v="8.5000000000000006E-2"/>
    <n v="48584.130000000005"/>
    <n v="0.90857391147326361"/>
    <n v="20137.727272727272"/>
  </r>
  <r>
    <s v="MODERN BANK, NATIONAL ASSOCIATION"/>
    <s v="New York"/>
    <x v="2"/>
    <n v="10022"/>
    <d v="2021-09-30T00:00:00"/>
    <x v="2"/>
    <n v="50"/>
    <n v="789806"/>
    <n v="25557"/>
    <n v="789806"/>
    <n v="703336"/>
    <n v="563236"/>
    <x v="0"/>
    <n v="8.5000000000000006E-2"/>
    <n v="47875.060000000005"/>
    <n v="0.89051741820143171"/>
    <n v="15796.12"/>
  </r>
  <r>
    <s v="MONSON SAVINGS BANK"/>
    <s v="Monson"/>
    <x v="3"/>
    <n v="1057"/>
    <d v="2019-09-30T00:00:00"/>
    <x v="0"/>
    <n v="82"/>
    <n v="436179"/>
    <n v="25865"/>
    <n v="436179"/>
    <n v="395228"/>
    <n v="384558"/>
    <x v="0"/>
    <n v="8.5000000000000006E-2"/>
    <n v="32687.430000000004"/>
    <n v="0.90611423291813686"/>
    <n v="5319.2560975609758"/>
  </r>
  <r>
    <s v="MONSON SAVINGS BANK"/>
    <s v="Monson"/>
    <x v="3"/>
    <n v="1057"/>
    <d v="2020-09-30T00:00:00"/>
    <x v="1"/>
    <n v="89"/>
    <n v="504182"/>
    <n v="34716"/>
    <n v="504182"/>
    <n v="459185"/>
    <n v="447738"/>
    <x v="0"/>
    <n v="8.5000000000000006E-2"/>
    <n v="38057.730000000003"/>
    <n v="0.91075246637127072"/>
    <n v="5664.9662921348317"/>
  </r>
  <r>
    <s v="MONSON SAVINGS BANK"/>
    <s v="Monson"/>
    <x v="3"/>
    <n v="1057"/>
    <d v="2021-09-30T00:00:00"/>
    <x v="2"/>
    <n v="88"/>
    <n v="571585"/>
    <n v="79920"/>
    <n v="571585"/>
    <n v="521009"/>
    <n v="513002"/>
    <x v="0"/>
    <n v="8.5000000000000006E-2"/>
    <n v="43605.170000000006"/>
    <n v="0.91151622243410868"/>
    <n v="6495.284090909091"/>
  </r>
  <r>
    <s v="MONTECITO BANK &amp; TRUST"/>
    <s v="Santa Barbara"/>
    <x v="0"/>
    <n v="93101"/>
    <d v="2019-09-30T00:00:00"/>
    <x v="0"/>
    <n v="231"/>
    <n v="1537912"/>
    <n v="28877"/>
    <n v="1537912"/>
    <n v="1362983"/>
    <n v="1343070"/>
    <x v="1"/>
    <n v="0.08"/>
    <n v="107445.6"/>
    <n v="0.88625552047191258"/>
    <n v="6657.6277056277058"/>
  </r>
  <r>
    <s v="MONTECITO BANK &amp; TRUST"/>
    <s v="Santa Barbara"/>
    <x v="0"/>
    <n v="93101"/>
    <d v="2020-09-30T00:00:00"/>
    <x v="1"/>
    <n v="242"/>
    <n v="1885633"/>
    <n v="83082"/>
    <n v="1885633"/>
    <n v="1698260"/>
    <n v="1664089"/>
    <x v="1"/>
    <n v="0.08"/>
    <n v="133127.12"/>
    <n v="0.90063124690753715"/>
    <n v="7791.8719008264461"/>
  </r>
  <r>
    <s v="MONTECITO BANK &amp; TRUST"/>
    <s v="Santa Barbara"/>
    <x v="0"/>
    <n v="93101"/>
    <d v="2021-09-30T00:00:00"/>
    <x v="2"/>
    <n v="258"/>
    <n v="2290165"/>
    <n v="282347"/>
    <n v="2290165"/>
    <n v="2099609"/>
    <n v="2074662"/>
    <x v="1"/>
    <n v="0.08"/>
    <n v="165972.96"/>
    <n v="0.91679376813461044"/>
    <n v="8876.6085271317825"/>
  </r>
  <r>
    <s v="MONTEREY COUNTY BANK"/>
    <s v="Monterey"/>
    <x v="0"/>
    <n v="93940"/>
    <d v="2019-09-30T00:00:00"/>
    <x v="0"/>
    <n v="43"/>
    <n v="171551"/>
    <n v="20041"/>
    <n v="171551"/>
    <n v="153582"/>
    <n v="142538"/>
    <x v="0"/>
    <n v="0.09"/>
    <n v="12828.42"/>
    <n v="0.89525563826500576"/>
    <n v="3989.5581395348836"/>
  </r>
  <r>
    <s v="MONTEREY COUNTY BANK"/>
    <s v="Monterey"/>
    <x v="0"/>
    <n v="93940"/>
    <d v="2020-09-30T00:00:00"/>
    <x v="1"/>
    <n v="44"/>
    <n v="210911"/>
    <n v="37603"/>
    <n v="210911"/>
    <n v="191284"/>
    <n v="165770"/>
    <x v="0"/>
    <n v="0.09"/>
    <n v="14919.3"/>
    <n v="0.90694179061310221"/>
    <n v="4793.431818181818"/>
  </r>
  <r>
    <s v="MONTEREY COUNTY BANK"/>
    <s v="Monterey"/>
    <x v="0"/>
    <n v="93940"/>
    <d v="2021-09-30T00:00:00"/>
    <x v="2"/>
    <n v="38"/>
    <n v="245423"/>
    <n v="44474"/>
    <n v="245423"/>
    <n v="225171"/>
    <n v="206250"/>
    <x v="0"/>
    <n v="0.09"/>
    <n v="18562.5"/>
    <n v="0.91748124666392306"/>
    <n v="6458.5"/>
  </r>
  <r>
    <s v="MORGAN STANLEY PRIVATE BANK, NATIONAL ASSOCIATION"/>
    <s v="Purchase"/>
    <x v="2"/>
    <n v="10577"/>
    <d v="2019-09-30T00:00:00"/>
    <x v="0"/>
    <n v="763"/>
    <n v="78786000"/>
    <n v="2940000"/>
    <n v="78786000"/>
    <n v="70505000"/>
    <n v="69776000"/>
    <x v="1"/>
    <n v="0.08"/>
    <n v="5582080"/>
    <n v="0.89489249359023182"/>
    <n v="103258.19134993447"/>
  </r>
  <r>
    <s v="MORGAN STANLEY PRIVATE BANK, NATIONAL ASSOCIATION"/>
    <s v="Purchase"/>
    <x v="2"/>
    <n v="10577"/>
    <d v="2020-09-30T00:00:00"/>
    <x v="1"/>
    <n v="816"/>
    <n v="110164000"/>
    <n v="10530000"/>
    <n v="110164000"/>
    <n v="101662000"/>
    <n v="97147000"/>
    <x v="1"/>
    <n v="0.08"/>
    <n v="7771760"/>
    <n v="0.9228241530808613"/>
    <n v="135004.90196078431"/>
  </r>
  <r>
    <s v="MORGAN STANLEY PRIVATE BANK, NATIONAL ASSOCIATION"/>
    <s v="Purchase"/>
    <x v="2"/>
    <n v="10577"/>
    <d v="2021-09-30T00:00:00"/>
    <x v="2"/>
    <n v="945"/>
    <n v="144423000"/>
    <n v="8004000"/>
    <n v="144423000"/>
    <n v="134473000"/>
    <n v="115444000"/>
    <x v="1"/>
    <n v="0.08"/>
    <n v="9235520"/>
    <n v="0.93110515638090885"/>
    <n v="152828.57142857142"/>
  </r>
  <r>
    <s v="MORTON COMMUNITY BANK"/>
    <s v="Morton"/>
    <x v="1"/>
    <n v="61550"/>
    <d v="2019-09-30T00:00:00"/>
    <x v="0"/>
    <n v="414"/>
    <n v="3870859"/>
    <n v="178819"/>
    <n v="3870859"/>
    <n v="3448778"/>
    <n v="3021460"/>
    <x v="1"/>
    <n v="7.4999999999999997E-2"/>
    <n v="226609.5"/>
    <n v="0.89095934519960551"/>
    <n v="9349.9009661835753"/>
  </r>
  <r>
    <s v="MORTON COMMUNITY BANK"/>
    <s v="Morton"/>
    <x v="1"/>
    <n v="61550"/>
    <d v="2020-09-30T00:00:00"/>
    <x v="1"/>
    <n v="422"/>
    <n v="4511678"/>
    <n v="98266"/>
    <n v="4511678"/>
    <n v="4050474"/>
    <n v="3644054"/>
    <x v="1"/>
    <n v="7.4999999999999997E-2"/>
    <n v="273304.05"/>
    <n v="0.8977755061420607"/>
    <n v="10691.18009478673"/>
  </r>
  <r>
    <s v="MORTON COMMUNITY BANK"/>
    <s v="Morton"/>
    <x v="1"/>
    <n v="61550"/>
    <d v="2021-09-30T00:00:00"/>
    <x v="2"/>
    <n v="421"/>
    <n v="4916204"/>
    <n v="253735"/>
    <n v="4916204"/>
    <n v="4436136"/>
    <n v="4090678"/>
    <x v="1"/>
    <n v="7.4999999999999997E-2"/>
    <n v="306800.84999999998"/>
    <n v="0.90234986180394472"/>
    <n v="11677.444180522565"/>
  </r>
  <r>
    <s v="MOUNTAINONE BANK"/>
    <s v="North Adams"/>
    <x v="3"/>
    <n v="1247"/>
    <d v="2019-09-30T00:00:00"/>
    <x v="0"/>
    <n v="161"/>
    <n v="898895"/>
    <n v="20625"/>
    <n v="898895"/>
    <n v="787914"/>
    <n v="646133"/>
    <x v="0"/>
    <n v="8.5000000000000006E-2"/>
    <n v="54921.305000000008"/>
    <n v="0.87653619165753505"/>
    <n v="5583.1987577639748"/>
  </r>
  <r>
    <s v="MOUNTAINONE BANK"/>
    <s v="North Adams"/>
    <x v="3"/>
    <n v="1247"/>
    <d v="2020-09-30T00:00:00"/>
    <x v="1"/>
    <n v="165"/>
    <n v="907543"/>
    <n v="42586"/>
    <n v="907543"/>
    <n v="790472"/>
    <n v="754920"/>
    <x v="0"/>
    <n v="8.5000000000000006E-2"/>
    <n v="64168.200000000004"/>
    <n v="0.87100225554050881"/>
    <n v="5500.2606060606058"/>
  </r>
  <r>
    <s v="MOUNTAINONE BANK"/>
    <s v="North Adams"/>
    <x v="3"/>
    <n v="1247"/>
    <d v="2021-09-30T00:00:00"/>
    <x v="2"/>
    <n v="154"/>
    <n v="877566"/>
    <n v="98989"/>
    <n v="877566"/>
    <n v="752017"/>
    <n v="727797"/>
    <x v="0"/>
    <n v="8.5000000000000006E-2"/>
    <n v="61862.745000000003"/>
    <n v="0.85693497697039311"/>
    <n v="5698.4805194805194"/>
  </r>
  <r>
    <s v="MUFG UNION BANK, NATIONAL ASSOCIATION"/>
    <s v="San Francisco"/>
    <x v="0"/>
    <n v="94104"/>
    <d v="2019-09-30T00:00:00"/>
    <x v="0"/>
    <n v="12468"/>
    <n v="134715480"/>
    <n v="10631363"/>
    <n v="134715480"/>
    <n v="119736679"/>
    <n v="97755940"/>
    <x v="1"/>
    <n v="0.08"/>
    <n v="7820475.2000000002"/>
    <n v="0.88881158275203409"/>
    <n v="10804.898941289701"/>
  </r>
  <r>
    <s v="MUFG UNION BANK, NATIONAL ASSOCIATION"/>
    <s v="San Francisco"/>
    <x v="0"/>
    <n v="94104"/>
    <d v="2020-09-30T00:00:00"/>
    <x v="1"/>
    <n v="12897"/>
    <n v="132479115"/>
    <n v="14894391"/>
    <n v="132479115"/>
    <n v="116874246"/>
    <n v="102990573"/>
    <x v="1"/>
    <n v="0.08"/>
    <n v="8239245.8399999999"/>
    <n v="0.88220883721936094"/>
    <n v="10272.087694812748"/>
  </r>
  <r>
    <s v="MUFG UNION BANK, NATIONAL ASSOCIATION"/>
    <s v="San Francisco"/>
    <x v="0"/>
    <n v="94104"/>
    <d v="2021-09-30T00:00:00"/>
    <x v="2"/>
    <n v="12864"/>
    <n v="133260073"/>
    <n v="16414971"/>
    <n v="133260073"/>
    <n v="117055502"/>
    <n v="104167946"/>
    <x v="1"/>
    <n v="0.08"/>
    <n v="8333435.6800000006"/>
    <n v="0.87839890347351079"/>
    <n v="10359.147465796021"/>
  </r>
  <r>
    <s v="MUNICIPAL TRUST AND SAVINGS BANK"/>
    <s v="Bourbonnais"/>
    <x v="1"/>
    <n v="60914"/>
    <d v="2019-09-30T00:00:00"/>
    <x v="0"/>
    <n v="48"/>
    <n v="317922"/>
    <n v="97851"/>
    <n v="317922"/>
    <n v="265153"/>
    <n v="254700"/>
    <x v="0"/>
    <n v="0.08"/>
    <n v="20376"/>
    <n v="0.83401903611577688"/>
    <n v="6623.375"/>
  </r>
  <r>
    <s v="MUNICIPAL TRUST AND SAVINGS BANK"/>
    <s v="Bourbonnais"/>
    <x v="1"/>
    <n v="60914"/>
    <d v="2020-09-30T00:00:00"/>
    <x v="1"/>
    <n v="54"/>
    <n v="324366"/>
    <n v="89397"/>
    <n v="324366"/>
    <n v="274357"/>
    <n v="262482"/>
    <x v="0"/>
    <n v="0.08"/>
    <n v="20998.560000000001"/>
    <n v="0.84582539477010532"/>
    <n v="6006.7777777777774"/>
  </r>
  <r>
    <s v="MUNICIPAL TRUST AND SAVINGS BANK"/>
    <s v="Bourbonnais"/>
    <x v="1"/>
    <n v="60914"/>
    <d v="2021-09-30T00:00:00"/>
    <x v="2"/>
    <n v="57"/>
    <n v="351468"/>
    <n v="103355"/>
    <n v="351468"/>
    <n v="300228"/>
    <n v="289185"/>
    <x v="0"/>
    <n v="0.08"/>
    <n v="23134.799999999999"/>
    <n v="0.85421147871214453"/>
    <n v="6166.105263157895"/>
  </r>
  <r>
    <s v="MURPHY BANK"/>
    <s v="Fresno"/>
    <x v="0"/>
    <n v="93704"/>
    <d v="2019-09-30T00:00:00"/>
    <x v="0"/>
    <n v="33"/>
    <n v="309342"/>
    <n v="41956"/>
    <n v="309342"/>
    <n v="276045"/>
    <n v="266808"/>
    <x v="0"/>
    <n v="0.09"/>
    <n v="24012.719999999998"/>
    <n v="0.89236185193087258"/>
    <n v="9374"/>
  </r>
  <r>
    <s v="MURPHY BANK"/>
    <s v="Fresno"/>
    <x v="0"/>
    <n v="93704"/>
    <d v="2020-09-30T00:00:00"/>
    <x v="1"/>
    <n v="31"/>
    <n v="319605"/>
    <n v="43000"/>
    <n v="319605"/>
    <n v="283723"/>
    <n v="265757"/>
    <x v="0"/>
    <n v="0.09"/>
    <n v="23918.129999999997"/>
    <n v="0.88773016692479778"/>
    <n v="10309.838709677419"/>
  </r>
  <r>
    <s v="MURPHY BANK"/>
    <s v="Fresno"/>
    <x v="0"/>
    <n v="93704"/>
    <d v="2021-09-30T00:00:00"/>
    <x v="2"/>
    <n v="33"/>
    <n v="351517"/>
    <n v="40515"/>
    <n v="351517"/>
    <n v="311248"/>
    <n v="307152"/>
    <x v="0"/>
    <n v="0.09"/>
    <n v="27643.68"/>
    <n v="0.8854422403468396"/>
    <n v="10652.030303030304"/>
  </r>
  <r>
    <s v="MURPHY-WALL STATE BANK AND TRUST COMPANY"/>
    <s v="Pinckneyville"/>
    <x v="1"/>
    <n v="62274"/>
    <d v="2019-09-30T00:00:00"/>
    <x v="0"/>
    <n v="43"/>
    <n v="128520"/>
    <n v="7601"/>
    <n v="128520"/>
    <n v="112886"/>
    <n v="112169"/>
    <x v="0"/>
    <n v="0.08"/>
    <n v="8973.52"/>
    <n v="0.87835356364768125"/>
    <n v="2988.8372093023254"/>
  </r>
  <r>
    <s v="MURPHY-WALL STATE BANK AND TRUST COMPANY"/>
    <s v="Pinckneyville"/>
    <x v="1"/>
    <n v="62274"/>
    <d v="2020-09-30T00:00:00"/>
    <x v="1"/>
    <n v="46"/>
    <n v="153649"/>
    <n v="16101"/>
    <n v="153649"/>
    <n v="137135"/>
    <n v="132175"/>
    <x v="0"/>
    <n v="0.08"/>
    <n v="10574"/>
    <n v="0.89252126600238202"/>
    <n v="3340.195652173913"/>
  </r>
  <r>
    <s v="MURPHY-WALL STATE BANK AND TRUST COMPANY"/>
    <s v="Pinckneyville"/>
    <x v="1"/>
    <n v="62274"/>
    <d v="2021-09-30T00:00:00"/>
    <x v="2"/>
    <n v="45"/>
    <n v="160611"/>
    <n v="9951"/>
    <n v="160611"/>
    <n v="143901"/>
    <n v="143591"/>
    <x v="0"/>
    <n v="0.08"/>
    <n v="11487.28"/>
    <n v="0.89595980350038296"/>
    <n v="3569.1333333333332"/>
  </r>
  <r>
    <s v="MUTUAL FEDERAL BANK"/>
    <s v="Chicago"/>
    <x v="1"/>
    <n v="60608"/>
    <d v="2019-09-30T00:00:00"/>
    <x v="0"/>
    <n v="41"/>
    <n v="71805"/>
    <n v="10114"/>
    <n v="71805"/>
    <n v="58004"/>
    <n v="57195"/>
    <x v="2"/>
    <n v="0.09"/>
    <n v="5147.55"/>
    <n v="0.80779889979806418"/>
    <n v="1751.3414634146341"/>
  </r>
  <r>
    <s v="MUTUAL FEDERAL BANK"/>
    <s v="Chicago"/>
    <x v="1"/>
    <n v="60608"/>
    <d v="2020-09-30T00:00:00"/>
    <x v="1"/>
    <n v="42"/>
    <n v="98159"/>
    <n v="10965"/>
    <n v="98159"/>
    <n v="83324"/>
    <n v="63500"/>
    <x v="2"/>
    <n v="0.09"/>
    <n v="5715"/>
    <n v="0.8488676535009525"/>
    <n v="2337.1190476190477"/>
  </r>
  <r>
    <s v="MUTUAL FEDERAL BANK"/>
    <s v="Chicago"/>
    <x v="1"/>
    <n v="60608"/>
    <d v="2021-09-30T00:00:00"/>
    <x v="2"/>
    <n v="48"/>
    <n v="96835"/>
    <n v="30564"/>
    <n v="96835"/>
    <n v="81500"/>
    <n v="70541"/>
    <x v="2"/>
    <n v="0.09"/>
    <n v="6348.69"/>
    <n v="0.84163783755873389"/>
    <n v="2017.3958333333333"/>
  </r>
  <r>
    <s v="MUTUALONE BANK"/>
    <s v="Framingham"/>
    <x v="3"/>
    <n v="1701"/>
    <d v="2019-09-30T00:00:00"/>
    <x v="0"/>
    <n v="91"/>
    <n v="983289"/>
    <n v="108883"/>
    <n v="983289"/>
    <n v="816420"/>
    <n v="794132"/>
    <x v="0"/>
    <n v="8.5000000000000006E-2"/>
    <n v="67501.22"/>
    <n v="0.83029506076036652"/>
    <n v="10805.373626373626"/>
  </r>
  <r>
    <s v="MUTUALONE BANK"/>
    <s v="Framingham"/>
    <x v="3"/>
    <n v="1701"/>
    <d v="2020-09-30T00:00:00"/>
    <x v="1"/>
    <n v="92"/>
    <n v="974144"/>
    <n v="48177"/>
    <n v="974144"/>
    <n v="790940"/>
    <n v="748590"/>
    <x v="0"/>
    <n v="8.5000000000000006E-2"/>
    <n v="63630.15"/>
    <n v="0.81193334866303135"/>
    <n v="10588.521739130434"/>
  </r>
  <r>
    <s v="MUTUALONE BANK"/>
    <s v="Framingham"/>
    <x v="3"/>
    <n v="1701"/>
    <d v="2021-09-30T00:00:00"/>
    <x v="2"/>
    <n v="91"/>
    <n v="1009470"/>
    <n v="79708"/>
    <n v="1009470"/>
    <n v="811455"/>
    <n v="785971"/>
    <x v="1"/>
    <n v="0.08"/>
    <n v="62877.68"/>
    <n v="0.80384261047876604"/>
    <n v="11093.076923076924"/>
  </r>
  <r>
    <s v="NANO BANC"/>
    <s v="Irvine"/>
    <x v="0"/>
    <n v="92618"/>
    <d v="2019-09-30T00:00:00"/>
    <x v="0"/>
    <n v="60"/>
    <n v="910381"/>
    <n v="224076"/>
    <n v="910381"/>
    <n v="831094"/>
    <n v="827334"/>
    <x v="0"/>
    <n v="0.09"/>
    <n v="74460.06"/>
    <n v="0.91290789240988113"/>
    <n v="15173.016666666666"/>
  </r>
  <r>
    <s v="NANO BANC"/>
    <s v="Irvine"/>
    <x v="0"/>
    <n v="92618"/>
    <d v="2020-09-30T00:00:00"/>
    <x v="1"/>
    <n v="70"/>
    <n v="1366675"/>
    <n v="461984"/>
    <n v="1366675"/>
    <n v="1261297"/>
    <n v="1207879"/>
    <x v="1"/>
    <n v="0.08"/>
    <n v="96630.32"/>
    <n v="0.92289461649624083"/>
    <n v="19523.928571428572"/>
  </r>
  <r>
    <s v="NANO BANC"/>
    <s v="Irvine"/>
    <x v="0"/>
    <n v="92618"/>
    <d v="2021-09-30T00:00:00"/>
    <x v="2"/>
    <n v="83"/>
    <n v="1221330"/>
    <n v="153627"/>
    <n v="1221330"/>
    <n v="1089752"/>
    <n v="1049252"/>
    <x v="1"/>
    <n v="0.08"/>
    <n v="83940.160000000003"/>
    <n v="0.89226662736524931"/>
    <n v="14714.819277108434"/>
  </r>
  <r>
    <s v="NASHVILLE SAVINGS BANK"/>
    <s v="Nashville"/>
    <x v="1"/>
    <n v="62263"/>
    <d v="2019-09-30T00:00:00"/>
    <x v="0"/>
    <n v="6"/>
    <n v="60671"/>
    <n v="2857"/>
    <n v="60671"/>
    <n v="52415"/>
    <n v="52177"/>
    <x v="2"/>
    <n v="0.09"/>
    <n v="4695.9299999999994"/>
    <n v="0.86392180778296057"/>
    <n v="10111.833333333334"/>
  </r>
  <r>
    <s v="NASHVILLE SAVINGS BANK"/>
    <s v="Nashville"/>
    <x v="1"/>
    <n v="62263"/>
    <d v="2020-09-30T00:00:00"/>
    <x v="1"/>
    <n v="6"/>
    <n v="71348"/>
    <n v="7232"/>
    <n v="71348"/>
    <n v="62494"/>
    <n v="58209"/>
    <x v="2"/>
    <n v="0.09"/>
    <n v="5238.8099999999995"/>
    <n v="0.87590401973426024"/>
    <n v="11891.333333333334"/>
  </r>
  <r>
    <s v="NASHVILLE SAVINGS BANK"/>
    <s v="Nashville"/>
    <x v="1"/>
    <n v="62263"/>
    <d v="2021-09-30T00:00:00"/>
    <x v="2"/>
    <n v="6"/>
    <n v="80115"/>
    <n v="3763"/>
    <n v="80115"/>
    <n v="70827"/>
    <n v="66590"/>
    <x v="2"/>
    <n v="0.09"/>
    <n v="5993.0999999999995"/>
    <n v="0.88406665418460961"/>
    <n v="13352.5"/>
  </r>
  <r>
    <s v="NATIONAL BANK OF NEW YORK CITY"/>
    <s v="Flushing"/>
    <x v="2"/>
    <n v="11354"/>
    <d v="2019-09-30T00:00:00"/>
    <x v="0"/>
    <n v="27"/>
    <n v="228125"/>
    <n v="20016"/>
    <n v="228125"/>
    <n v="187547"/>
    <n v="166388"/>
    <x v="0"/>
    <n v="8.5000000000000006E-2"/>
    <n v="14142.980000000001"/>
    <n v="0.82212383561643831"/>
    <n v="8449.0740740740748"/>
  </r>
  <r>
    <s v="NATIONAL BANK OF NEW YORK CITY"/>
    <s v="Flushing"/>
    <x v="2"/>
    <n v="11354"/>
    <d v="2020-09-30T00:00:00"/>
    <x v="1"/>
    <n v="26"/>
    <n v="207503"/>
    <n v="23896"/>
    <n v="207503"/>
    <n v="167307"/>
    <n v="146801"/>
    <x v="0"/>
    <n v="8.5000000000000006E-2"/>
    <n v="12478.085000000001"/>
    <n v="0.80628713801728169"/>
    <n v="7980.8846153846152"/>
  </r>
  <r>
    <s v="NATIONAL BANK OF NEW YORK CITY"/>
    <s v="Flushing"/>
    <x v="2"/>
    <n v="11354"/>
    <d v="2021-09-30T00:00:00"/>
    <x v="2"/>
    <n v="27"/>
    <n v="210160"/>
    <n v="32777"/>
    <n v="210160"/>
    <n v="173578"/>
    <n v="154770"/>
    <x v="0"/>
    <n v="8.5000000000000006E-2"/>
    <n v="13155.45"/>
    <n v="0.82593262276360868"/>
    <n v="7783.7037037037035"/>
  </r>
  <r>
    <s v="NATIONAL BANK OF ST. ANNE"/>
    <s v="St. Anne"/>
    <x v="1"/>
    <n v="60964"/>
    <d v="2019-09-30T00:00:00"/>
    <x v="0"/>
    <n v="20"/>
    <n v="74758"/>
    <n v="15422"/>
    <n v="74758"/>
    <n v="65857"/>
    <n v="65141"/>
    <x v="2"/>
    <n v="0.09"/>
    <n v="5862.69"/>
    <n v="0.88093581957783784"/>
    <n v="3737.9"/>
  </r>
  <r>
    <s v="NATIONAL BANK OF ST. ANNE"/>
    <s v="St. Anne"/>
    <x v="1"/>
    <n v="60964"/>
    <d v="2020-09-30T00:00:00"/>
    <x v="1"/>
    <n v="23"/>
    <n v="95708"/>
    <n v="13915"/>
    <n v="95708"/>
    <n v="85621"/>
    <n v="81156"/>
    <x v="2"/>
    <n v="0.09"/>
    <n v="7304.04"/>
    <n v="0.89460651147239523"/>
    <n v="4161.217391304348"/>
  </r>
  <r>
    <s v="NATIONAL BANK OF ST. ANNE"/>
    <s v="St. Anne"/>
    <x v="1"/>
    <n v="60964"/>
    <d v="2021-09-30T00:00:00"/>
    <x v="2"/>
    <n v="26"/>
    <n v="110895"/>
    <n v="16170"/>
    <n v="110895"/>
    <n v="98744"/>
    <n v="98161"/>
    <x v="0"/>
    <n v="0.08"/>
    <n v="7852.88"/>
    <n v="0.89042788223093916"/>
    <n v="4265.1923076923076"/>
  </r>
  <r>
    <s v="NBT BANK, NATIONAL ASSOCIATION"/>
    <s v="Norwich"/>
    <x v="2"/>
    <n v="13815"/>
    <d v="2019-09-30T00:00:00"/>
    <x v="0"/>
    <n v="1527"/>
    <n v="9591370"/>
    <n v="272083"/>
    <n v="9591369"/>
    <n v="8463807"/>
    <n v="7795723"/>
    <x v="1"/>
    <n v="0.08"/>
    <n v="623657.84"/>
    <n v="0.88243983914706658"/>
    <n v="6281.1853307138181"/>
  </r>
  <r>
    <s v="NBT BANK, NATIONAL ASSOCIATION"/>
    <s v="Norwich"/>
    <x v="2"/>
    <n v="13815"/>
    <d v="2020-09-30T00:00:00"/>
    <x v="1"/>
    <n v="1512"/>
    <n v="10761572"/>
    <n v="615278"/>
    <n v="10761572"/>
    <n v="9473200"/>
    <n v="9006325"/>
    <x v="1"/>
    <n v="0.08"/>
    <n v="720506"/>
    <n v="0.88028031592410472"/>
    <n v="7117.4417989417989"/>
  </r>
  <r>
    <s v="NBT BANK, NATIONAL ASSOCIATION"/>
    <s v="Norwich"/>
    <x v="2"/>
    <n v="13815"/>
    <d v="2021-09-30T00:00:00"/>
    <x v="2"/>
    <n v="1503"/>
    <n v="11905119"/>
    <n v="1343424"/>
    <n v="11905119"/>
    <n v="10548589"/>
    <n v="10250613"/>
    <x v="1"/>
    <n v="0.08"/>
    <n v="820049.04"/>
    <n v="0.88605489789728265"/>
    <n v="7920.9041916167662"/>
  </r>
  <r>
    <s v="NEEDHAM BANK"/>
    <s v="Needham"/>
    <x v="3"/>
    <n v="2492"/>
    <d v="2019-09-30T00:00:00"/>
    <x v="0"/>
    <n v="200"/>
    <n v="2345536"/>
    <n v="54679"/>
    <n v="2345536"/>
    <n v="2057717"/>
    <n v="1719621"/>
    <x v="1"/>
    <n v="0.08"/>
    <n v="137569.68"/>
    <n v="0.8772907343993015"/>
    <n v="11727.68"/>
  </r>
  <r>
    <s v="NEEDHAM BANK"/>
    <s v="Needham"/>
    <x v="3"/>
    <n v="2492"/>
    <d v="2020-09-30T00:00:00"/>
    <x v="1"/>
    <n v="225"/>
    <n v="2568792"/>
    <n v="29551"/>
    <n v="2568792"/>
    <n v="2265506"/>
    <n v="2041189"/>
    <x v="1"/>
    <n v="0.08"/>
    <n v="163295.12"/>
    <n v="0.88193438783677314"/>
    <n v="11416.853333333333"/>
  </r>
  <r>
    <s v="NEEDHAM BANK"/>
    <s v="Needham"/>
    <x v="3"/>
    <n v="2492"/>
    <d v="2021-09-30T00:00:00"/>
    <x v="2"/>
    <n v="256"/>
    <n v="2933206"/>
    <n v="511109"/>
    <n v="2933206"/>
    <n v="2613799"/>
    <n v="2532049"/>
    <x v="1"/>
    <n v="0.08"/>
    <n v="202563.92"/>
    <n v="0.89110652303315896"/>
    <n v="11457.8359375"/>
  </r>
  <r>
    <s v="NEIGHBORHOOD NATIONAL BANK"/>
    <s v="San Diego"/>
    <x v="0"/>
    <n v="92113"/>
    <d v="2019-09-30T00:00:00"/>
    <x v="0"/>
    <n v="36"/>
    <n v="68110"/>
    <n v="8150"/>
    <n v="68110"/>
    <n v="57262"/>
    <n v="50804"/>
    <x v="2"/>
    <n v="0.1"/>
    <n v="5080.4000000000005"/>
    <n v="0.84072823373953898"/>
    <n v="1891.9444444444443"/>
  </r>
  <r>
    <s v="NEIGHBORHOOD NATIONAL BANK"/>
    <s v="San Diego"/>
    <x v="0"/>
    <n v="92113"/>
    <d v="2020-09-30T00:00:00"/>
    <x v="1"/>
    <n v="32"/>
    <n v="135407"/>
    <n v="2922"/>
    <n v="135407"/>
    <n v="124794"/>
    <n v="76705"/>
    <x v="0"/>
    <n v="0.09"/>
    <n v="6903.45"/>
    <n v="0.9216214819027081"/>
    <n v="4231.46875"/>
  </r>
  <r>
    <s v="NEIGHBORHOOD NATIONAL BANK"/>
    <s v="El Cajon"/>
    <x v="0"/>
    <n v="92019"/>
    <d v="2021-09-30T00:00:00"/>
    <x v="2"/>
    <n v="25"/>
    <n v="115990"/>
    <n v="2224"/>
    <n v="115990"/>
    <n v="104950"/>
    <n v="83563"/>
    <x v="0"/>
    <n v="0.09"/>
    <n v="7520.67"/>
    <n v="0.90481938098111903"/>
    <n v="4639.6000000000004"/>
  </r>
  <r>
    <s v="NEW OMNI BANK, NATIONAL ASSOCIATION"/>
    <s v="Alhambra"/>
    <x v="0"/>
    <n v="91801"/>
    <d v="2019-09-30T00:00:00"/>
    <x v="0"/>
    <n v="72"/>
    <n v="482743"/>
    <n v="96770"/>
    <n v="482743"/>
    <n v="413830"/>
    <n v="370298"/>
    <x v="0"/>
    <n v="0.09"/>
    <n v="33326.82"/>
    <n v="0.85724702377869799"/>
    <n v="6704.7638888888887"/>
  </r>
  <r>
    <s v="NEW OMNI BANK, NATIONAL ASSOCIATION"/>
    <s v="Alhambra"/>
    <x v="0"/>
    <n v="91801"/>
    <d v="2020-09-30T00:00:00"/>
    <x v="1"/>
    <n v="64"/>
    <n v="523693"/>
    <n v="37964"/>
    <n v="523693"/>
    <n v="449136"/>
    <n v="394743"/>
    <x v="0"/>
    <n v="0.09"/>
    <n v="35526.869999999995"/>
    <n v="0.8576322387352896"/>
    <n v="8182.703125"/>
  </r>
  <r>
    <s v="NEW OMNI BANK, NATIONAL ASSOCIATION"/>
    <s v="Alhambra"/>
    <x v="0"/>
    <n v="91801"/>
    <d v="2021-09-30T00:00:00"/>
    <x v="2"/>
    <n v="67"/>
    <n v="535900"/>
    <n v="73360"/>
    <n v="535900"/>
    <n v="457065"/>
    <n v="412035"/>
    <x v="0"/>
    <n v="0.09"/>
    <n v="37083.15"/>
    <n v="0.85289233065870496"/>
    <n v="7998.5074626865671"/>
  </r>
  <r>
    <s v="NEW VALLEY BANK &amp; TRUST"/>
    <s v="Springfield"/>
    <x v="3"/>
    <n v="1144"/>
    <d v="2019-09-30T00:00:00"/>
    <x v="0"/>
    <n v="15"/>
    <n v="45395"/>
    <n v="9220"/>
    <n v="45395"/>
    <n v="24507"/>
    <n v="23995"/>
    <x v="2"/>
    <n v="9.5000000000000001E-2"/>
    <n v="2279.5250000000001"/>
    <n v="0.53986121819583655"/>
    <n v="3026.3333333333335"/>
  </r>
  <r>
    <s v="NEW VALLEY BANK &amp; TRUST"/>
    <s v="Springfield"/>
    <x v="3"/>
    <n v="1144"/>
    <d v="2020-09-30T00:00:00"/>
    <x v="1"/>
    <n v="20"/>
    <n v="210327"/>
    <n v="19115"/>
    <n v="210327"/>
    <n v="190390"/>
    <n v="116595"/>
    <x v="0"/>
    <n v="8.5000000000000006E-2"/>
    <n v="9910.5750000000007"/>
    <n v="0.90520950710084769"/>
    <n v="10516.35"/>
  </r>
  <r>
    <s v="NEW VALLEY BANK &amp; TRUST"/>
    <s v="Springfield"/>
    <x v="3"/>
    <n v="1144"/>
    <d v="2021-09-30T00:00:00"/>
    <x v="2"/>
    <n v="26"/>
    <n v="242005"/>
    <n v="38138"/>
    <n v="242005"/>
    <n v="220662"/>
    <n v="220215"/>
    <x v="0"/>
    <n v="8.5000000000000006E-2"/>
    <n v="18718.275000000001"/>
    <n v="0.91180760728084131"/>
    <n v="9307.8846153846152"/>
  </r>
  <r>
    <s v="NEW YORK COMMUNITY BANK"/>
    <s v="Westbury"/>
    <x v="2"/>
    <n v="11590"/>
    <d v="2019-09-30T00:00:00"/>
    <x v="0"/>
    <n v="2774"/>
    <n v="52513906"/>
    <n v="849374"/>
    <n v="52513906"/>
    <n v="45355071"/>
    <n v="31752405"/>
    <x v="1"/>
    <n v="0.08"/>
    <n v="2540192.4"/>
    <n v="0.86367734672031438"/>
    <n v="18930.751982696467"/>
  </r>
  <r>
    <s v="NEW YORK COMMUNITY BANK"/>
    <s v="Hicksville"/>
    <x v="2"/>
    <n v="11801"/>
    <d v="2020-09-30T00:00:00"/>
    <x v="1"/>
    <n v="2751"/>
    <n v="54908208"/>
    <n v="1446227"/>
    <n v="54908208"/>
    <n v="47678210"/>
    <n v="31854977"/>
    <x v="1"/>
    <n v="0.08"/>
    <n v="2548398.16"/>
    <n v="0.86832573374093724"/>
    <n v="19959.363140676116"/>
  </r>
  <r>
    <s v="NEW YORK COMMUNITY BANK"/>
    <s v="Hicksville"/>
    <x v="2"/>
    <n v="11801"/>
    <d v="2021-09-30T00:00:00"/>
    <x v="2"/>
    <n v="2717"/>
    <n v="57845769"/>
    <n v="2009544"/>
    <n v="57845769"/>
    <n v="50391601"/>
    <n v="34759539"/>
    <x v="1"/>
    <n v="0.08"/>
    <n v="2780763.12"/>
    <n v="0.87113719587684968"/>
    <n v="21290.308796466692"/>
  </r>
  <r>
    <s v="NEWBANK"/>
    <s v="Flushing"/>
    <x v="2"/>
    <n v="11354"/>
    <d v="2019-09-30T00:00:00"/>
    <x v="0"/>
    <n v="46"/>
    <n v="447929"/>
    <n v="177988"/>
    <n v="447929"/>
    <n v="398152"/>
    <n v="387646"/>
    <x v="0"/>
    <n v="8.5000000000000006E-2"/>
    <n v="32949.910000000003"/>
    <n v="0.88887301335702762"/>
    <n v="9737.5869565217399"/>
  </r>
  <r>
    <s v="NEWBANK"/>
    <s v="Flushing"/>
    <x v="2"/>
    <n v="11354"/>
    <d v="2020-09-30T00:00:00"/>
    <x v="1"/>
    <n v="48"/>
    <n v="477045"/>
    <n v="176295"/>
    <n v="477045"/>
    <n v="425341"/>
    <n v="414164"/>
    <x v="0"/>
    <n v="8.5000000000000006E-2"/>
    <n v="35203.94"/>
    <n v="0.89161609491767024"/>
    <n v="9938.4375"/>
  </r>
  <r>
    <s v="NEWBANK"/>
    <s v="Flushing"/>
    <x v="2"/>
    <n v="11354"/>
    <d v="2021-09-30T00:00:00"/>
    <x v="2"/>
    <n v="51"/>
    <n v="553555"/>
    <n v="231217"/>
    <n v="553555"/>
    <n v="494948"/>
    <n v="481433"/>
    <x v="0"/>
    <n v="8.5000000000000006E-2"/>
    <n v="40921.805"/>
    <n v="0.89412614825988379"/>
    <n v="10854.019607843138"/>
  </r>
  <r>
    <s v="NEWBURYPORT FIVE CENTS SAVINGS BANK"/>
    <s v="Newburyport"/>
    <x v="3"/>
    <n v="1950"/>
    <d v="2019-09-30T00:00:00"/>
    <x v="0"/>
    <n v="165"/>
    <n v="1012426"/>
    <n v="17923"/>
    <n v="1012426"/>
    <n v="884901"/>
    <n v="775741"/>
    <x v="1"/>
    <n v="0.08"/>
    <n v="62059.28"/>
    <n v="0.87404017676353629"/>
    <n v="6135.9151515151516"/>
  </r>
  <r>
    <s v="NEWBURYPORT FIVE CENTS SAVINGS BANK"/>
    <s v="Newburyport"/>
    <x v="3"/>
    <n v="1950"/>
    <d v="2020-09-30T00:00:00"/>
    <x v="1"/>
    <n v="166"/>
    <n v="1185617"/>
    <n v="29252"/>
    <n v="1185617"/>
    <n v="1047971"/>
    <n v="869170"/>
    <x v="1"/>
    <n v="0.08"/>
    <n v="69533.600000000006"/>
    <n v="0.88390348653907624"/>
    <n v="7142.2710843373497"/>
  </r>
  <r>
    <s v="NEWBURYPORT FIVE CENTS SAVINGS BANK"/>
    <s v="Newburyport"/>
    <x v="3"/>
    <n v="1950"/>
    <d v="2021-09-30T00:00:00"/>
    <x v="2"/>
    <n v="179"/>
    <n v="1260795"/>
    <n v="67137"/>
    <n v="1260795"/>
    <n v="1123582"/>
    <n v="1081704"/>
    <x v="1"/>
    <n v="0.08"/>
    <n v="86536.320000000007"/>
    <n v="0.89116946053878698"/>
    <n v="7043.5474860335198"/>
  </r>
  <r>
    <s v="NOKOMIS SAVINGS BANK"/>
    <s v="Nokomis"/>
    <x v="1"/>
    <n v="62075"/>
    <d v="2019-09-30T00:00:00"/>
    <x v="0"/>
    <n v="7"/>
    <n v="28744"/>
    <n v="657"/>
    <n v="28744"/>
    <n v="23737"/>
    <n v="18933"/>
    <x v="2"/>
    <n v="0.09"/>
    <n v="1703.97"/>
    <n v="0.82580712496521014"/>
    <n v="4106.2857142857147"/>
  </r>
  <r>
    <s v="NOKOMIS SAVINGS BANK"/>
    <s v="Nokomis"/>
    <x v="1"/>
    <n v="62075"/>
    <d v="2020-09-30T00:00:00"/>
    <x v="1"/>
    <n v="6"/>
    <n v="33908"/>
    <n v="4324"/>
    <n v="33908"/>
    <n v="28792"/>
    <n v="20689"/>
    <x v="2"/>
    <n v="0.09"/>
    <n v="1862.01"/>
    <n v="0.84912115135071364"/>
    <n v="5651.333333333333"/>
  </r>
  <r>
    <s v="NOKOMIS SAVINGS BANK"/>
    <s v="Nokomis"/>
    <x v="1"/>
    <n v="62075"/>
    <d v="2021-09-30T00:00:00"/>
    <x v="2"/>
    <n v="5"/>
    <n v="33235"/>
    <n v="2934"/>
    <n v="33235"/>
    <n v="28148"/>
    <n v="23059"/>
    <x v="2"/>
    <n v="0.09"/>
    <n v="2075.31"/>
    <n v="0.84693846848202192"/>
    <n v="6647"/>
  </r>
  <r>
    <s v="NORTH ADAMS STATE BANK"/>
    <s v="Ursa"/>
    <x v="1"/>
    <n v="62376"/>
    <d v="2019-09-30T00:00:00"/>
    <x v="0"/>
    <n v="13"/>
    <n v="38456"/>
    <n v="4302"/>
    <n v="38456"/>
    <n v="32649"/>
    <n v="31760"/>
    <x v="2"/>
    <n v="0.09"/>
    <n v="2858.4"/>
    <n v="0.84899625546078639"/>
    <n v="2958.1538461538462"/>
  </r>
  <r>
    <s v="NORTH ADAMS STATE BANK"/>
    <s v="Ursa"/>
    <x v="1"/>
    <n v="62376"/>
    <d v="2020-09-30T00:00:00"/>
    <x v="1"/>
    <n v="12"/>
    <n v="43770"/>
    <n v="7056"/>
    <n v="43769"/>
    <n v="37565"/>
    <n v="33054"/>
    <x v="2"/>
    <n v="0.09"/>
    <n v="2974.8599999999997"/>
    <n v="0.8582362348640622"/>
    <n v="3647.5"/>
  </r>
  <r>
    <s v="NORTH ADAMS STATE BANK"/>
    <s v="Ursa"/>
    <x v="1"/>
    <n v="62376"/>
    <d v="2021-09-30T00:00:00"/>
    <x v="2"/>
    <n v="12"/>
    <n v="48790"/>
    <n v="9827"/>
    <n v="48790"/>
    <n v="42195"/>
    <n v="37939"/>
    <x v="2"/>
    <n v="0.09"/>
    <n v="3414.5099999999998"/>
    <n v="0.86482885837261736"/>
    <n v="4065.8333333333335"/>
  </r>
  <r>
    <s v="NORTH BROOKFIELD SAVINGS BANK"/>
    <s v="North Brookfield"/>
    <x v="3"/>
    <n v="1535"/>
    <d v="2019-09-30T00:00:00"/>
    <x v="0"/>
    <n v="67"/>
    <n v="319910"/>
    <n v="8228"/>
    <n v="319910"/>
    <n v="281887"/>
    <n v="251045"/>
    <x v="0"/>
    <n v="8.5000000000000006E-2"/>
    <n v="21338.825000000001"/>
    <n v="0.88114469694601605"/>
    <n v="4774.7761194029854"/>
  </r>
  <r>
    <s v="NORTH BROOKFIELD SAVINGS BANK"/>
    <s v="North Brookfield"/>
    <x v="3"/>
    <n v="1535"/>
    <d v="2020-09-30T00:00:00"/>
    <x v="1"/>
    <n v="55"/>
    <n v="338102"/>
    <n v="22551"/>
    <n v="338103"/>
    <n v="298349"/>
    <n v="282835"/>
    <x v="0"/>
    <n v="8.5000000000000006E-2"/>
    <n v="24040.975000000002"/>
    <n v="0.88242305576423685"/>
    <n v="6147.3090909090906"/>
  </r>
  <r>
    <s v="NORTH BROOKFIELD SAVINGS BANK"/>
    <s v="North Brookfield"/>
    <x v="3"/>
    <n v="1535"/>
    <d v="2021-09-30T00:00:00"/>
    <x v="2"/>
    <n v="66"/>
    <n v="352525"/>
    <n v="28785"/>
    <n v="352525"/>
    <n v="312819"/>
    <n v="303116"/>
    <x v="0"/>
    <n v="8.5000000000000006E-2"/>
    <n v="25764.86"/>
    <n v="0.88736685341465149"/>
    <n v="5341.287878787879"/>
  </r>
  <r>
    <s v="NORTH CAMBRIDGE CO-OPERATIVE BANK"/>
    <s v="Cambridge"/>
    <x v="3"/>
    <n v="2140"/>
    <d v="2019-09-30T00:00:00"/>
    <x v="0"/>
    <n v="10"/>
    <n v="91564"/>
    <n v="18263"/>
    <n v="91564"/>
    <n v="70100"/>
    <n v="69776"/>
    <x v="2"/>
    <n v="9.5000000000000001E-2"/>
    <n v="6628.72"/>
    <n v="0.76558472762220964"/>
    <n v="9156.4"/>
  </r>
  <r>
    <s v="NORTH CAMBRIDGE CO-OPERATIVE BANK"/>
    <s v="Cambridge"/>
    <x v="3"/>
    <n v="2140"/>
    <d v="2020-09-30T00:00:00"/>
    <x v="1"/>
    <n v="10"/>
    <n v="89614"/>
    <n v="26891"/>
    <n v="89614"/>
    <n v="68143"/>
    <n v="67811"/>
    <x v="2"/>
    <n v="9.5000000000000001E-2"/>
    <n v="6442.0450000000001"/>
    <n v="0.76040574017452633"/>
    <n v="8961.4"/>
  </r>
  <r>
    <s v="NORTH CAMBRIDGE CO-OPERATIVE BANK"/>
    <s v="Cambridge"/>
    <x v="3"/>
    <n v="2140"/>
    <d v="2021-09-30T00:00:00"/>
    <x v="2"/>
    <n v="10"/>
    <n v="89617"/>
    <n v="26980"/>
    <n v="89617"/>
    <n v="67303"/>
    <n v="66669"/>
    <x v="2"/>
    <n v="9.5000000000000001E-2"/>
    <n v="6333.5550000000003"/>
    <n v="0.7510070633919903"/>
    <n v="8961.7000000000007"/>
  </r>
  <r>
    <s v="NORTH CENTRAL BANK"/>
    <s v="Hennepin"/>
    <x v="1"/>
    <n v="61327"/>
    <d v="2019-09-30T00:00:00"/>
    <x v="0"/>
    <n v="25"/>
    <n v="124888"/>
    <n v="12816"/>
    <n v="124888"/>
    <n v="107491"/>
    <n v="103179"/>
    <x v="0"/>
    <n v="0.08"/>
    <n v="8254.32"/>
    <n v="0.86069918647107813"/>
    <n v="4995.5200000000004"/>
  </r>
  <r>
    <s v="NORTH CENTRAL BANK"/>
    <s v="Hennepin"/>
    <x v="1"/>
    <n v="61327"/>
    <d v="2020-09-30T00:00:00"/>
    <x v="1"/>
    <n v="24"/>
    <n v="134968"/>
    <n v="18876"/>
    <n v="134967"/>
    <n v="115762"/>
    <n v="106952"/>
    <x v="0"/>
    <n v="0.08"/>
    <n v="8556.16"/>
    <n v="0.85769960286882818"/>
    <n v="5623.666666666667"/>
  </r>
  <r>
    <s v="NORTH CENTRAL BANK"/>
    <s v="Hennepin"/>
    <x v="1"/>
    <n v="61327"/>
    <d v="2021-09-30T00:00:00"/>
    <x v="2"/>
    <n v="24"/>
    <n v="153707"/>
    <n v="11705"/>
    <n v="153707"/>
    <n v="134324"/>
    <n v="125507"/>
    <x v="0"/>
    <n v="0.08"/>
    <n v="10040.56"/>
    <n v="0.87389643932937344"/>
    <n v="6404.458333333333"/>
  </r>
  <r>
    <s v="NORTH COUNTY SAVINGS BANK"/>
    <s v="Red Bud"/>
    <x v="1"/>
    <n v="62278"/>
    <d v="2019-09-30T00:00:00"/>
    <x v="0"/>
    <n v="12"/>
    <n v="54340"/>
    <n v="17037"/>
    <n v="54340"/>
    <n v="49509"/>
    <n v="49372"/>
    <x v="2"/>
    <n v="0.09"/>
    <n v="4443.4799999999996"/>
    <n v="0.91109679793890319"/>
    <n v="4528.333333333333"/>
  </r>
  <r>
    <s v="NORTH COUNTY SAVINGS BANK"/>
    <s v="Red Bud"/>
    <x v="1"/>
    <n v="62278"/>
    <d v="2020-09-30T00:00:00"/>
    <x v="1"/>
    <n v="12"/>
    <n v="59976"/>
    <n v="20924"/>
    <n v="59976"/>
    <n v="54953"/>
    <n v="54853"/>
    <x v="2"/>
    <n v="0.09"/>
    <n v="4936.7699999999995"/>
    <n v="0.91624983326664"/>
    <n v="4998"/>
  </r>
  <r>
    <s v="NORTH COUNTY SAVINGS BANK"/>
    <s v="Red Bud"/>
    <x v="1"/>
    <n v="62278"/>
    <d v="2021-09-30T00:00:00"/>
    <x v="2"/>
    <n v="13"/>
    <n v="67369"/>
    <n v="20364"/>
    <n v="67369"/>
    <n v="62225"/>
    <n v="62138"/>
    <x v="2"/>
    <n v="0.09"/>
    <n v="5592.42"/>
    <n v="0.92364440618088439"/>
    <n v="5182.2307692307695"/>
  </r>
  <r>
    <s v="NORTH EASTON SAVINGS BANK"/>
    <s v="South Easton"/>
    <x v="3"/>
    <n v="2375"/>
    <d v="2019-09-30T00:00:00"/>
    <x v="0"/>
    <n v="184"/>
    <n v="1135321"/>
    <n v="64523"/>
    <n v="1135321"/>
    <n v="1021142"/>
    <n v="967567"/>
    <x v="1"/>
    <n v="0.08"/>
    <n v="77405.36"/>
    <n v="0.89943020520187678"/>
    <n v="6170.222826086957"/>
  </r>
  <r>
    <s v="NORTH EASTON SAVINGS BANK"/>
    <s v="South Easton"/>
    <x v="3"/>
    <n v="2375"/>
    <d v="2020-09-30T00:00:00"/>
    <x v="1"/>
    <n v="189"/>
    <n v="1251586"/>
    <n v="74422"/>
    <n v="1251586"/>
    <n v="1133061"/>
    <n v="1091234"/>
    <x v="1"/>
    <n v="0.08"/>
    <n v="87298.72"/>
    <n v="0.90530015516312901"/>
    <n v="6622.1481481481478"/>
  </r>
  <r>
    <s v="NORTH EASTON SAVINGS BANK"/>
    <s v="South Easton"/>
    <x v="3"/>
    <n v="2375"/>
    <d v="2021-09-30T00:00:00"/>
    <x v="2"/>
    <n v="183"/>
    <n v="1370255"/>
    <n v="85358"/>
    <n v="1370255"/>
    <n v="1242103"/>
    <n v="1221879"/>
    <x v="1"/>
    <n v="0.08"/>
    <n v="97750.32"/>
    <n v="0.90647580194927224"/>
    <n v="7487.7322404371589"/>
  </r>
  <r>
    <s v="NORTH SHORE BANK, A CO-OPERATIVE BANK"/>
    <s v="Peabody"/>
    <x v="3"/>
    <n v="1960"/>
    <d v="2019-09-30T00:00:00"/>
    <x v="0"/>
    <n v="140"/>
    <n v="906913"/>
    <n v="51555"/>
    <n v="906913"/>
    <n v="806883"/>
    <n v="747928"/>
    <x v="0"/>
    <n v="8.5000000000000006E-2"/>
    <n v="63573.880000000005"/>
    <n v="0.88970276090429845"/>
    <n v="6477.95"/>
  </r>
  <r>
    <s v="NORTH SHORE BANK, A CO-OPERATIVE BANK"/>
    <s v="Peabody"/>
    <x v="3"/>
    <n v="1960"/>
    <d v="2020-09-30T00:00:00"/>
    <x v="1"/>
    <n v="197"/>
    <n v="1508463"/>
    <n v="139151"/>
    <n v="1508463"/>
    <n v="1354470"/>
    <n v="1311268"/>
    <x v="1"/>
    <n v="0.08"/>
    <n v="104901.44"/>
    <n v="0.89791396938473134"/>
    <n v="7657.1725888324872"/>
  </r>
  <r>
    <s v="NORTH SHORE BANK, A CO-OPERATIVE BANK"/>
    <s v="Peabody"/>
    <x v="3"/>
    <n v="1960"/>
    <d v="2021-09-30T00:00:00"/>
    <x v="2"/>
    <n v="188"/>
    <n v="1593271"/>
    <n v="266030"/>
    <n v="1593271"/>
    <n v="1424789"/>
    <n v="1400241"/>
    <x v="1"/>
    <n v="0.08"/>
    <n v="112019.28"/>
    <n v="0.89425402207157478"/>
    <n v="8474.8457446808516"/>
  </r>
  <r>
    <s v="NORTH SHORE TRUST AND SAVINGS"/>
    <s v="Waukegan"/>
    <x v="1"/>
    <n v="60085"/>
    <d v="2019-09-30T00:00:00"/>
    <x v="0"/>
    <n v="40"/>
    <n v="224465"/>
    <n v="39037"/>
    <n v="224466"/>
    <n v="179012"/>
    <n v="176044"/>
    <x v="0"/>
    <n v="0.08"/>
    <n v="14083.52"/>
    <n v="0.79750517898113293"/>
    <n v="5611.625"/>
  </r>
  <r>
    <s v="NORTH SHORE TRUST AND SAVINGS"/>
    <s v="Waukegan"/>
    <x v="1"/>
    <n v="60085"/>
    <d v="2020-09-30T00:00:00"/>
    <x v="1"/>
    <n v="36"/>
    <n v="238758"/>
    <n v="46551"/>
    <n v="238758"/>
    <n v="193196"/>
    <n v="186207"/>
    <x v="0"/>
    <n v="0.08"/>
    <n v="14896.56"/>
    <n v="0.80917079218287968"/>
    <n v="6632.166666666667"/>
  </r>
  <r>
    <s v="NORTH SHORE TRUST AND SAVINGS"/>
    <s v="Waukegan"/>
    <x v="1"/>
    <n v="60085"/>
    <d v="2021-09-30T00:00:00"/>
    <x v="2"/>
    <n v="35"/>
    <n v="259426"/>
    <n v="48438"/>
    <n v="259426"/>
    <n v="214524"/>
    <n v="207241"/>
    <x v="0"/>
    <n v="0.08"/>
    <n v="16579.28"/>
    <n v="0.82691788795263388"/>
    <n v="7412.1714285714288"/>
  </r>
  <r>
    <s v="NORTH SIDE FEDERAL SAVINGS AND LOAN ASSOCIATION OF CHICAGO"/>
    <s v="Chicago"/>
    <x v="1"/>
    <n v="60640"/>
    <d v="2019-09-30T00:00:00"/>
    <x v="0"/>
    <n v="9"/>
    <n v="39666"/>
    <n v="5867"/>
    <n v="39666"/>
    <n v="35678"/>
    <n v="33412"/>
    <x v="2"/>
    <n v="0.09"/>
    <n v="3007.08"/>
    <n v="0.89946049513437198"/>
    <n v="4407.333333333333"/>
  </r>
  <r>
    <s v="NORTH SIDE FEDERAL SAVINGS AND LOAN ASSOCIATION OF CHICAGO"/>
    <s v="Chicago"/>
    <x v="1"/>
    <n v="60640"/>
    <d v="2020-09-30T00:00:00"/>
    <x v="1"/>
    <n v="9"/>
    <n v="47243"/>
    <n v="8449"/>
    <n v="47243"/>
    <n v="43277"/>
    <n v="37828"/>
    <x v="2"/>
    <n v="0.09"/>
    <n v="3404.52"/>
    <n v="0.91605105518277841"/>
    <n v="5249.2222222222226"/>
  </r>
  <r>
    <s v="NORTH SIDE FEDERAL SAVINGS AND LOAN ASSOCIATION OF CHICAGO"/>
    <s v="Chicago"/>
    <x v="1"/>
    <n v="60640"/>
    <d v="2021-09-30T00:00:00"/>
    <x v="2"/>
    <n v="9"/>
    <n v="51088"/>
    <n v="13674"/>
    <n v="51088"/>
    <n v="47643"/>
    <n v="43313"/>
    <x v="2"/>
    <n v="0.09"/>
    <n v="3898.17"/>
    <n v="0.93256733479486376"/>
    <n v="5676.4444444444443"/>
  </r>
  <r>
    <s v="NORTHBROOK BANK AND TRUST COMPANY"/>
    <s v="Northbrook"/>
    <x v="1"/>
    <n v="60062"/>
    <d v="2019-09-30T00:00:00"/>
    <x v="0"/>
    <n v="94"/>
    <n v="2872636"/>
    <n v="424632"/>
    <n v="2872636"/>
    <n v="2597185"/>
    <n v="2532026"/>
    <x v="1"/>
    <n v="7.4999999999999997E-2"/>
    <n v="189901.94999999998"/>
    <n v="0.90411211166329464"/>
    <n v="30559.957446808512"/>
  </r>
  <r>
    <s v="NORTHBROOK BANK AND TRUST COMPANY, NATIONAL ASSOCIATION"/>
    <s v="Northbrook"/>
    <x v="1"/>
    <n v="60062"/>
    <d v="2020-09-30T00:00:00"/>
    <x v="1"/>
    <n v="93"/>
    <n v="3377313"/>
    <n v="479990"/>
    <n v="3377313"/>
    <n v="3085600"/>
    <n v="2946184"/>
    <x v="1"/>
    <n v="7.4999999999999997E-2"/>
    <n v="220963.8"/>
    <n v="0.91362571369606549"/>
    <n v="36315.193548387098"/>
  </r>
  <r>
    <s v="NORTHBROOK BANK AND TRUST COMPANY, NATIONAL ASSOCIATION"/>
    <s v="Northbrook"/>
    <x v="1"/>
    <n v="60062"/>
    <d v="2021-09-30T00:00:00"/>
    <x v="2"/>
    <n v="97"/>
    <n v="4137711"/>
    <n v="957791"/>
    <n v="4137711"/>
    <n v="3810950"/>
    <n v="3669154"/>
    <x v="1"/>
    <n v="7.4999999999999997E-2"/>
    <n v="275186.55"/>
    <n v="0.92102855902695957"/>
    <n v="42656.81443298969"/>
  </r>
  <r>
    <s v="NORTHEAST COMMUNITY BANK"/>
    <s v="White Plains"/>
    <x v="2"/>
    <n v="10601"/>
    <d v="2019-09-30T00:00:00"/>
    <x v="0"/>
    <n v="118"/>
    <n v="1031290"/>
    <n v="197181"/>
    <n v="1031290"/>
    <n v="904411"/>
    <n v="869560"/>
    <x v="1"/>
    <n v="0.08"/>
    <n v="69564.800000000003"/>
    <n v="0.87697059023165158"/>
    <n v="8739.7457627118638"/>
  </r>
  <r>
    <s v="NORTHEAST COMMUNITY BANK"/>
    <s v="White Plains"/>
    <x v="2"/>
    <n v="10601"/>
    <d v="2020-09-30T00:00:00"/>
    <x v="1"/>
    <n v="121"/>
    <n v="951247"/>
    <n v="69093"/>
    <n v="951247"/>
    <n v="812428"/>
    <n v="766876"/>
    <x v="0"/>
    <n v="8.5000000000000006E-2"/>
    <n v="65184.460000000006"/>
    <n v="0.85406629403299039"/>
    <n v="7861.545454545455"/>
  </r>
  <r>
    <s v="NORTHEAST COMMUNITY BANK"/>
    <s v="White Plains"/>
    <x v="2"/>
    <n v="10601"/>
    <d v="2021-09-30T00:00:00"/>
    <x v="2"/>
    <n v="128"/>
    <n v="1097105"/>
    <n v="102094"/>
    <n v="1097105"/>
    <n v="907044"/>
    <n v="856676"/>
    <x v="1"/>
    <n v="0.08"/>
    <n v="68534.080000000002"/>
    <n v="0.82676134007228119"/>
    <n v="8571.1328125"/>
  </r>
  <r>
    <s v="NORTHERN BANK &amp; TRUST COMPANY"/>
    <s v="Woburn"/>
    <x v="3"/>
    <n v="1801"/>
    <d v="2019-09-30T00:00:00"/>
    <x v="0"/>
    <n v="218"/>
    <n v="2148380"/>
    <n v="108536"/>
    <n v="2148380"/>
    <n v="1893110"/>
    <n v="1796878"/>
    <x v="1"/>
    <n v="0.08"/>
    <n v="143750.24"/>
    <n v="0.88118023813291879"/>
    <n v="9854.9541284403676"/>
  </r>
  <r>
    <s v="NORTHERN BANK &amp; TRUST COMPANY"/>
    <s v="Woburn"/>
    <x v="3"/>
    <n v="1801"/>
    <d v="2020-09-30T00:00:00"/>
    <x v="1"/>
    <n v="223"/>
    <n v="2677239"/>
    <n v="343519"/>
    <n v="2677239"/>
    <n v="2379550"/>
    <n v="2150836"/>
    <x v="1"/>
    <n v="0.08"/>
    <n v="172066.88"/>
    <n v="0.88880746171708991"/>
    <n v="12005.556053811659"/>
  </r>
  <r>
    <s v="NORTHERN BANK &amp; TRUST COMPANY"/>
    <s v="Woburn"/>
    <x v="3"/>
    <n v="1801"/>
    <d v="2021-09-30T00:00:00"/>
    <x v="2"/>
    <n v="224"/>
    <n v="2654610"/>
    <n v="352571"/>
    <n v="2654610"/>
    <n v="2304673"/>
    <n v="2269741"/>
    <x v="1"/>
    <n v="0.08"/>
    <n v="181579.28"/>
    <n v="0.86817762307834301"/>
    <n v="11850.9375"/>
  </r>
  <r>
    <s v="NORTHERN CALIFORNIA NATIONAL BANK"/>
    <s v="Chico"/>
    <x v="0"/>
    <n v="95926"/>
    <d v="2019-09-30T00:00:00"/>
    <x v="0"/>
    <n v="26"/>
    <n v="264781"/>
    <n v="99490"/>
    <n v="264781"/>
    <n v="239264"/>
    <n v="238180"/>
    <x v="0"/>
    <n v="0.09"/>
    <n v="21436.2"/>
    <n v="0.90362979216786699"/>
    <n v="10183.884615384615"/>
  </r>
  <r>
    <s v="NORTHERN CALIFORNIA NATIONAL BANK"/>
    <s v="Chico"/>
    <x v="0"/>
    <n v="95926"/>
    <d v="2020-09-30T00:00:00"/>
    <x v="1"/>
    <n v="28"/>
    <n v="312343"/>
    <n v="80696"/>
    <n v="312343"/>
    <n v="282933"/>
    <n v="275929"/>
    <x v="0"/>
    <n v="0.09"/>
    <n v="24833.61"/>
    <n v="0.90584069436484893"/>
    <n v="11155.107142857143"/>
  </r>
  <r>
    <s v="NORTHFIELD BANK"/>
    <s v="Staten Island"/>
    <x v="2"/>
    <n v="10314"/>
    <d v="2019-09-30T00:00:00"/>
    <x v="0"/>
    <n v="382"/>
    <n v="4810350"/>
    <n v="69258"/>
    <n v="4810350"/>
    <n v="4179802"/>
    <n v="3388040"/>
    <x v="1"/>
    <n v="0.08"/>
    <n v="271043.20000000001"/>
    <n v="0.86891847786543597"/>
    <n v="12592.539267015707"/>
  </r>
  <r>
    <s v="NORTHFIELD BANK"/>
    <s v="Staten Island"/>
    <x v="2"/>
    <n v="10314"/>
    <d v="2020-09-30T00:00:00"/>
    <x v="1"/>
    <n v="394"/>
    <n v="5596227"/>
    <n v="350559"/>
    <n v="5596227"/>
    <n v="4898142"/>
    <n v="4176267"/>
    <x v="1"/>
    <n v="0.08"/>
    <n v="334101.36"/>
    <n v="0.87525791930884866"/>
    <n v="14203.621827411167"/>
  </r>
  <r>
    <s v="NORTHFIELD BANK"/>
    <s v="Staten Island"/>
    <x v="2"/>
    <n v="10314"/>
    <d v="2021-09-30T00:00:00"/>
    <x v="2"/>
    <n v="370"/>
    <n v="5398860"/>
    <n v="173414"/>
    <n v="5398860"/>
    <n v="4708907"/>
    <n v="4192244"/>
    <x v="1"/>
    <n v="0.08"/>
    <n v="335379.52"/>
    <n v="0.8722039467591306"/>
    <n v="14591.513513513513"/>
  </r>
  <r>
    <s v="NORTHMARK BANK"/>
    <s v="North Andover"/>
    <x v="3"/>
    <n v="1845"/>
    <d v="2019-09-30T00:00:00"/>
    <x v="0"/>
    <n v="49"/>
    <n v="365669"/>
    <n v="18725"/>
    <n v="365668"/>
    <n v="318886"/>
    <n v="308843"/>
    <x v="0"/>
    <n v="8.5000000000000006E-2"/>
    <n v="26251.655000000002"/>
    <n v="0.87206189203897511"/>
    <n v="7462.6326530612241"/>
  </r>
  <r>
    <s v="NORTHMARK BANK"/>
    <s v="North Andover"/>
    <x v="3"/>
    <n v="1845"/>
    <d v="2020-09-30T00:00:00"/>
    <x v="1"/>
    <n v="44"/>
    <n v="417301"/>
    <n v="59552"/>
    <n v="417301"/>
    <n v="367910"/>
    <n v="349660"/>
    <x v="0"/>
    <n v="8.5000000000000006E-2"/>
    <n v="29721.100000000002"/>
    <n v="0.88164178854112496"/>
    <n v="9484.113636363636"/>
  </r>
  <r>
    <s v="NORTHMARK BANK"/>
    <s v="North Andover"/>
    <x v="3"/>
    <n v="1845"/>
    <d v="2021-09-30T00:00:00"/>
    <x v="2"/>
    <n v="44"/>
    <n v="458468"/>
    <n v="96297"/>
    <n v="458468"/>
    <n v="406175"/>
    <n v="392749"/>
    <x v="0"/>
    <n v="8.5000000000000006E-2"/>
    <n v="33383.665000000001"/>
    <n v="0.8859396948096705"/>
    <n v="10419.727272727272"/>
  </r>
  <r>
    <s v="NORTHSIDE COMMUNITY BANK"/>
    <s v="Gurnee"/>
    <x v="1"/>
    <n v="60031"/>
    <d v="2019-09-30T00:00:00"/>
    <x v="0"/>
    <n v="39"/>
    <n v="240838"/>
    <n v="22024"/>
    <n v="240838"/>
    <n v="185031"/>
    <n v="178930"/>
    <x v="0"/>
    <n v="0.08"/>
    <n v="14314.4"/>
    <n v="0.7682799226035758"/>
    <n v="6175.333333333333"/>
  </r>
  <r>
    <s v="NORTHSIDE COMMUNITY BANK"/>
    <s v="Gurnee"/>
    <x v="1"/>
    <n v="60031"/>
    <d v="2020-09-30T00:00:00"/>
    <x v="1"/>
    <n v="39"/>
    <n v="278005"/>
    <n v="40259"/>
    <n v="278005"/>
    <n v="220312"/>
    <n v="209808"/>
    <x v="0"/>
    <n v="0.08"/>
    <n v="16784.64"/>
    <n v="0.79247495548641211"/>
    <n v="7128.333333333333"/>
  </r>
  <r>
    <s v="NORTHSIDE COMMUNITY BANK"/>
    <s v="Gurnee"/>
    <x v="1"/>
    <n v="60031"/>
    <d v="2021-09-30T00:00:00"/>
    <x v="2"/>
    <n v="35"/>
    <n v="291592"/>
    <n v="62832"/>
    <n v="291592"/>
    <n v="232092"/>
    <n v="220018"/>
    <x v="0"/>
    <n v="0.08"/>
    <n v="17601.439999999999"/>
    <n v="0.79594776262723255"/>
    <n v="8331.2000000000007"/>
  </r>
  <r>
    <s v="NORTHWEST BANK OF ROCKFORD"/>
    <s v="Rockford"/>
    <x v="1"/>
    <n v="61101"/>
    <d v="2019-09-30T00:00:00"/>
    <x v="0"/>
    <n v="76"/>
    <n v="285868"/>
    <n v="12523"/>
    <n v="285868"/>
    <n v="257571"/>
    <n v="244307"/>
    <x v="0"/>
    <n v="0.08"/>
    <n v="19544.560000000001"/>
    <n v="0.9010137546000252"/>
    <n v="3761.4210526315787"/>
  </r>
  <r>
    <s v="NORTHWEST BANK OF ROCKFORD"/>
    <s v="Rockford"/>
    <x v="1"/>
    <n v="61101"/>
    <d v="2020-09-30T00:00:00"/>
    <x v="1"/>
    <n v="78"/>
    <n v="338535"/>
    <n v="7839"/>
    <n v="338535"/>
    <n v="309257"/>
    <n v="283697"/>
    <x v="0"/>
    <n v="0.08"/>
    <n v="22695.760000000002"/>
    <n v="0.91351558923006482"/>
    <n v="4340.1923076923076"/>
  </r>
  <r>
    <s v="NORTHWEST BANK OF ROCKFORD"/>
    <s v="Rockford"/>
    <x v="1"/>
    <n v="61101"/>
    <d v="2021-09-30T00:00:00"/>
    <x v="2"/>
    <n v="71"/>
    <n v="397927"/>
    <n v="79775"/>
    <n v="397927"/>
    <n v="364917"/>
    <n v="324612"/>
    <x v="0"/>
    <n v="0.08"/>
    <n v="25968.959999999999"/>
    <n v="0.91704508615901914"/>
    <n v="5604.6056338028166"/>
  </r>
  <r>
    <s v="NORWOOD CO-OPERATIVE BANK"/>
    <s v="Norwood"/>
    <x v="3"/>
    <n v="2062"/>
    <d v="2019-09-30T00:00:00"/>
    <x v="0"/>
    <n v="53"/>
    <n v="571595"/>
    <n v="7559"/>
    <n v="571595"/>
    <n v="494370"/>
    <n v="462815"/>
    <x v="0"/>
    <n v="8.5000000000000006E-2"/>
    <n v="39339.275000000001"/>
    <n v="0.86489559915674563"/>
    <n v="10784.811320754718"/>
  </r>
  <r>
    <s v="NORWOOD CO-OPERATIVE BANK"/>
    <s v="Norwood"/>
    <x v="3"/>
    <n v="2062"/>
    <d v="2020-09-30T00:00:00"/>
    <x v="1"/>
    <n v="52"/>
    <n v="628903"/>
    <n v="39679"/>
    <n v="628903"/>
    <n v="546885"/>
    <n v="510516"/>
    <x v="0"/>
    <n v="8.5000000000000006E-2"/>
    <n v="43393.86"/>
    <n v="0.86958561177160865"/>
    <n v="12094.288461538461"/>
  </r>
  <r>
    <s v="NORWOOD CO-OPERATIVE BANK"/>
    <s v="Norwood"/>
    <x v="3"/>
    <n v="2062"/>
    <d v="2021-09-30T00:00:00"/>
    <x v="2"/>
    <n v="51"/>
    <n v="690126"/>
    <n v="108007"/>
    <n v="690126"/>
    <n v="598422"/>
    <n v="573181"/>
    <x v="0"/>
    <n v="8.5000000000000006E-2"/>
    <n v="48720.385000000002"/>
    <n v="0.86711991723250537"/>
    <n v="13531.882352941177"/>
  </r>
  <r>
    <s v="OAK VALLEY COMMUNITY BANK"/>
    <s v="Oakdale"/>
    <x v="0"/>
    <n v="95361"/>
    <d v="2019-09-30T00:00:00"/>
    <x v="0"/>
    <n v="182"/>
    <n v="1101057"/>
    <n v="106009"/>
    <n v="1101057"/>
    <n v="991950"/>
    <n v="978132"/>
    <x v="1"/>
    <n v="0.08"/>
    <n v="78250.559999999998"/>
    <n v="0.90090703751031964"/>
    <n v="6049.7637362637361"/>
  </r>
  <r>
    <s v="OAK VALLEY COMMUNITY BANK"/>
    <s v="Oakdale"/>
    <x v="0"/>
    <n v="95361"/>
    <d v="2020-09-30T00:00:00"/>
    <x v="1"/>
    <n v="187"/>
    <n v="1448980"/>
    <n v="120890"/>
    <n v="1448980"/>
    <n v="1325335"/>
    <n v="1311454"/>
    <x v="1"/>
    <n v="0.08"/>
    <n v="104916.32"/>
    <n v="0.9146675592485749"/>
    <n v="7748.5561497326207"/>
  </r>
  <r>
    <s v="OAK VALLEY COMMUNITY BANK"/>
    <s v="Oakdale"/>
    <x v="0"/>
    <n v="95361"/>
    <d v="2021-09-30T00:00:00"/>
    <x v="2"/>
    <n v="196"/>
    <n v="1856700"/>
    <n v="623408"/>
    <n v="1856700"/>
    <n v="1717076"/>
    <n v="1701287"/>
    <x v="1"/>
    <n v="0.08"/>
    <n v="136102.96"/>
    <n v="0.92479991382560456"/>
    <n v="9472.9591836734689"/>
  </r>
  <r>
    <s v="OAKDALE STATE BANK"/>
    <s v="Oakdale"/>
    <x v="1"/>
    <n v="62268"/>
    <d v="2019-09-30T00:00:00"/>
    <x v="0"/>
    <n v="5"/>
    <n v="20986"/>
    <n v="4482"/>
    <n v="20986"/>
    <n v="18368"/>
    <n v="18248"/>
    <x v="2"/>
    <n v="0.09"/>
    <n v="1642.32"/>
    <n v="0.87525016677785195"/>
    <n v="4197.2"/>
  </r>
  <r>
    <s v="OAKDALE STATE BANK"/>
    <s v="Oakdale"/>
    <x v="1"/>
    <n v="62268"/>
    <d v="2020-09-30T00:00:00"/>
    <x v="1"/>
    <n v="5"/>
    <n v="23414"/>
    <n v="3873"/>
    <n v="23414"/>
    <n v="20656"/>
    <n v="20556"/>
    <x v="2"/>
    <n v="0.09"/>
    <n v="1850.04"/>
    <n v="0.88220722644571625"/>
    <n v="4682.8"/>
  </r>
  <r>
    <s v="OAKDALE STATE BANK"/>
    <s v="Oakdale"/>
    <x v="1"/>
    <n v="62268"/>
    <d v="2021-09-30T00:00:00"/>
    <x v="2"/>
    <n v="5"/>
    <n v="25010"/>
    <n v="4458"/>
    <n v="25010"/>
    <n v="22166"/>
    <n v="22087"/>
    <x v="2"/>
    <n v="0.09"/>
    <n v="1987.83"/>
    <n v="0.88628548580567768"/>
    <n v="5002"/>
  </r>
  <r>
    <s v="OLD PLANK TRAIL COMMUNITY BANK, NATIONAL ASSOCIATION"/>
    <s v="New Lenox"/>
    <x v="1"/>
    <n v="60451"/>
    <d v="2019-09-30T00:00:00"/>
    <x v="0"/>
    <n v="150"/>
    <n v="1655908"/>
    <n v="131073"/>
    <n v="1655908"/>
    <n v="1486915"/>
    <n v="1450872"/>
    <x v="1"/>
    <n v="7.4999999999999997E-2"/>
    <n v="108815.4"/>
    <n v="0.89794541725748045"/>
    <n v="11039.386666666667"/>
  </r>
  <r>
    <s v="OLD PLANK TRAIL COMMUNITY BANK, NATIONAL ASSOCIATION"/>
    <s v="New Lenox"/>
    <x v="1"/>
    <n v="60451"/>
    <d v="2020-09-30T00:00:00"/>
    <x v="1"/>
    <n v="152"/>
    <n v="1994257"/>
    <n v="314681"/>
    <n v="1994257"/>
    <n v="1823603"/>
    <n v="1779323"/>
    <x v="1"/>
    <n v="7.4999999999999997E-2"/>
    <n v="133449.22500000001"/>
    <n v="0.91442727792857192"/>
    <n v="13120.111842105263"/>
  </r>
  <r>
    <s v="OLD PLANK TRAIL COMMUNITY BANK, NATIONAL ASSOCIATION"/>
    <s v="New Lenox"/>
    <x v="1"/>
    <n v="60451"/>
    <d v="2021-09-30T00:00:00"/>
    <x v="2"/>
    <n v="136"/>
    <n v="2133923"/>
    <n v="147257"/>
    <n v="2133923"/>
    <n v="1945299"/>
    <n v="1907867"/>
    <x v="1"/>
    <n v="7.4999999999999997E-2"/>
    <n v="143090.02499999999"/>
    <n v="0.91160693239634227"/>
    <n v="15690.610294117647"/>
  </r>
  <r>
    <s v="OLD SECOND NATIONAL BANK"/>
    <s v="Aurora"/>
    <x v="1"/>
    <n v="60506"/>
    <d v="2019-09-30T00:00:00"/>
    <x v="0"/>
    <n v="532"/>
    <n v="2611102"/>
    <n v="54037"/>
    <n v="2611102"/>
    <n v="2253485"/>
    <n v="2086762"/>
    <x v="1"/>
    <n v="7.4999999999999997E-2"/>
    <n v="156507.15"/>
    <n v="0.86303981996873347"/>
    <n v="4908.0864661654132"/>
  </r>
  <r>
    <s v="OLD SECOND NATIONAL BANK"/>
    <s v="Aurora"/>
    <x v="1"/>
    <n v="60506"/>
    <d v="2020-09-30T00:00:00"/>
    <x v="1"/>
    <n v="527"/>
    <n v="2981114"/>
    <n v="313140"/>
    <n v="2981114"/>
    <n v="2629455"/>
    <n v="2519101"/>
    <x v="1"/>
    <n v="7.4999999999999997E-2"/>
    <n v="188932.57499999998"/>
    <n v="0.88203772146922255"/>
    <n v="5656.7628083491463"/>
  </r>
  <r>
    <s v="OLD SECOND NATIONAL BANK"/>
    <s v="Aurora"/>
    <x v="1"/>
    <n v="60506"/>
    <d v="2021-09-30T00:00:00"/>
    <x v="2"/>
    <n v="523"/>
    <n v="3276400"/>
    <n v="519253"/>
    <n v="3276400"/>
    <n v="2893362"/>
    <n v="2806168"/>
    <x v="1"/>
    <n v="7.4999999999999997E-2"/>
    <n v="210462.6"/>
    <n v="0.88309180808204124"/>
    <n v="6264.6271510516253"/>
  </r>
  <r>
    <s v="ONEUNITED BANK"/>
    <s v="Boston"/>
    <x v="3"/>
    <n v="2110"/>
    <d v="2019-09-30T00:00:00"/>
    <x v="0"/>
    <n v="95"/>
    <n v="650210"/>
    <n v="17854"/>
    <n v="650210"/>
    <n v="604568"/>
    <n v="365383"/>
    <x v="0"/>
    <n v="8.5000000000000006E-2"/>
    <n v="31057.555000000004"/>
    <n v="0.92980421709909111"/>
    <n v="6844.3157894736842"/>
  </r>
  <r>
    <s v="ONEUNITED BANK"/>
    <s v="Boston"/>
    <x v="3"/>
    <n v="2110"/>
    <d v="2020-09-30T00:00:00"/>
    <x v="1"/>
    <n v="93"/>
    <n v="683653"/>
    <n v="80153"/>
    <n v="683653"/>
    <n v="640131"/>
    <n v="423960"/>
    <x v="0"/>
    <n v="8.5000000000000006E-2"/>
    <n v="36036.600000000006"/>
    <n v="0.9363390491960103"/>
    <n v="7351.1075268817203"/>
  </r>
  <r>
    <s v="ONEUNITED BANK"/>
    <s v="Boston"/>
    <x v="3"/>
    <n v="2110"/>
    <d v="2021-09-30T00:00:00"/>
    <x v="2"/>
    <n v="101"/>
    <n v="634946"/>
    <n v="29450"/>
    <n v="634946"/>
    <n v="580502"/>
    <n v="469430"/>
    <x v="0"/>
    <n v="8.5000000000000006E-2"/>
    <n v="39901.550000000003"/>
    <n v="0.91425412554768437"/>
    <n v="6286.5940594059402"/>
  </r>
  <r>
    <s v="OPEN BANK"/>
    <s v="Los Angeles"/>
    <x v="0"/>
    <n v="90017"/>
    <d v="2019-09-30T00:00:00"/>
    <x v="0"/>
    <n v="171"/>
    <n v="1151623"/>
    <n v="89107"/>
    <n v="1151623"/>
    <n v="1017265"/>
    <n v="998916"/>
    <x v="1"/>
    <n v="0.08"/>
    <n v="79913.279999999999"/>
    <n v="0.88333161112621061"/>
    <n v="6734.6374269005846"/>
  </r>
  <r>
    <s v="OPEN BANK"/>
    <s v="Los Angeles"/>
    <x v="0"/>
    <n v="90017"/>
    <d v="2020-09-30T00:00:00"/>
    <x v="1"/>
    <n v="167"/>
    <n v="1339959"/>
    <n v="87983"/>
    <n v="1339960"/>
    <n v="1202609"/>
    <n v="1174500"/>
    <x v="1"/>
    <n v="0.08"/>
    <n v="93960"/>
    <n v="0.89749686371000903"/>
    <n v="8023.7065868263471"/>
  </r>
  <r>
    <s v="OPEN BANK"/>
    <s v="Los Angeles"/>
    <x v="0"/>
    <n v="90017"/>
    <d v="2021-09-30T00:00:00"/>
    <x v="2"/>
    <n v="188"/>
    <n v="1679733"/>
    <n v="188241"/>
    <n v="1679733"/>
    <n v="1523811"/>
    <n v="1498855"/>
    <x v="1"/>
    <n v="0.08"/>
    <n v="119908.40000000001"/>
    <n v="0.90717453309543838"/>
    <n v="8934.75"/>
  </r>
  <r>
    <s v="OPUS BANK"/>
    <s v="Irvine"/>
    <x v="0"/>
    <n v="92612"/>
    <d v="2019-09-30T00:00:00"/>
    <x v="0"/>
    <n v="737"/>
    <n v="7771343"/>
    <n v="286276"/>
    <n v="7771343"/>
    <n v="6688300"/>
    <n v="6282057"/>
    <x v="1"/>
    <n v="0.08"/>
    <n v="502564.56"/>
    <n v="0.86063631472706836"/>
    <n v="10544.563093622795"/>
  </r>
  <r>
    <s v="ORANGE BANK &amp;TRUST COMPANY"/>
    <s v="Middletown"/>
    <x v="2"/>
    <n v="10940"/>
    <d v="2019-09-30T00:00:00"/>
    <x v="0"/>
    <n v="170"/>
    <n v="1235431"/>
    <n v="65663"/>
    <n v="1235431"/>
    <n v="1131559"/>
    <n v="1114720"/>
    <x v="1"/>
    <n v="0.08"/>
    <n v="89177.600000000006"/>
    <n v="0.91592245944937434"/>
    <n v="7267.2411764705885"/>
  </r>
  <r>
    <s v="ORANGE BANK &amp;TRUST COMPANY"/>
    <s v="Middletown"/>
    <x v="2"/>
    <n v="10940"/>
    <d v="2020-09-30T00:00:00"/>
    <x v="1"/>
    <n v="170"/>
    <n v="1715865"/>
    <n v="259702"/>
    <n v="1715865"/>
    <n v="1593050"/>
    <n v="1576762"/>
    <x v="1"/>
    <n v="0.08"/>
    <n v="126140.96"/>
    <n v="0.92842385618915246"/>
    <n v="10093.323529411764"/>
  </r>
  <r>
    <s v="ORANGE BANK &amp;TRUST COMPANY"/>
    <s v="Middletown"/>
    <x v="2"/>
    <n v="10940"/>
    <d v="2021-09-30T00:00:00"/>
    <x v="2"/>
    <n v="180"/>
    <n v="2166815"/>
    <n v="390065"/>
    <n v="2166815"/>
    <n v="1997059"/>
    <n v="1978515"/>
    <x v="1"/>
    <n v="0.08"/>
    <n v="158281.20000000001"/>
    <n v="0.92165644044369266"/>
    <n v="12037.861111111111"/>
  </r>
  <r>
    <s v="OSB COMMUNITY BANK"/>
    <s v="Ottawa"/>
    <x v="1"/>
    <n v="61350"/>
    <d v="2021-09-30T00:00:00"/>
    <x v="2"/>
    <n v="56"/>
    <n v="342948"/>
    <n v="8442"/>
    <n v="342948"/>
    <n v="295754"/>
    <n v="274480"/>
    <x v="0"/>
    <n v="0.08"/>
    <n v="21958.400000000001"/>
    <n v="0.86238730069864822"/>
    <n v="6124.0714285714284"/>
  </r>
  <r>
    <s v="OTTAWA SAVINGS BANK"/>
    <s v="Ottawa"/>
    <x v="1"/>
    <n v="61350"/>
    <d v="2019-09-30T00:00:00"/>
    <x v="0"/>
    <n v="64"/>
    <n v="304040"/>
    <n v="14250"/>
    <n v="304040"/>
    <n v="257877"/>
    <n v="242505"/>
    <x v="0"/>
    <n v="0.08"/>
    <n v="19400.400000000001"/>
    <n v="0.8481680042099724"/>
    <n v="4750.625"/>
  </r>
  <r>
    <s v="OTTAWA SAVINGS BANK"/>
    <s v="Ottawa"/>
    <x v="1"/>
    <n v="61350"/>
    <d v="2020-09-30T00:00:00"/>
    <x v="1"/>
    <n v="52"/>
    <n v="310402"/>
    <n v="10897"/>
    <n v="310402"/>
    <n v="264248"/>
    <n v="242586"/>
    <x v="0"/>
    <n v="0.08"/>
    <n v="19406.88"/>
    <n v="0.85130894775162536"/>
    <n v="5969.2692307692305"/>
  </r>
  <r>
    <s v="OXFORD BANK &amp; TRUST"/>
    <s v="Oak Brook"/>
    <x v="1"/>
    <n v="60523"/>
    <d v="2019-09-30T00:00:00"/>
    <x v="0"/>
    <n v="113"/>
    <n v="583189"/>
    <n v="11424"/>
    <n v="583189"/>
    <n v="523080"/>
    <n v="505914"/>
    <x v="0"/>
    <n v="0.08"/>
    <n v="40473.120000000003"/>
    <n v="0.89693049766027821"/>
    <n v="5160.9646017699115"/>
  </r>
  <r>
    <s v="OXFORD BANK &amp; TRUST"/>
    <s v="Oak Brook"/>
    <x v="1"/>
    <n v="60523"/>
    <d v="2020-09-30T00:00:00"/>
    <x v="1"/>
    <n v="112"/>
    <n v="717578"/>
    <n v="59035"/>
    <n v="717578"/>
    <n v="646427"/>
    <n v="618315"/>
    <x v="0"/>
    <n v="0.08"/>
    <n v="49465.200000000004"/>
    <n v="0.90084562235743015"/>
    <n v="6406.9464285714284"/>
  </r>
  <r>
    <s v="OXFORD BANK &amp; TRUST"/>
    <s v="Oak Brook"/>
    <x v="1"/>
    <n v="60523"/>
    <d v="2021-09-30T00:00:00"/>
    <x v="2"/>
    <n v="110"/>
    <n v="743200"/>
    <n v="310328"/>
    <n v="743200"/>
    <n v="675730"/>
    <n v="658994"/>
    <x v="0"/>
    <n v="0.08"/>
    <n v="52719.520000000004"/>
    <n v="0.90921689989235732"/>
    <n v="6756.363636363636"/>
  </r>
  <r>
    <s v="PACIFIC ALLIANCE BANK"/>
    <s v="Rosemead"/>
    <x v="0"/>
    <n v="91770"/>
    <d v="2019-09-30T00:00:00"/>
    <x v="0"/>
    <n v="35"/>
    <n v="276757"/>
    <n v="35856"/>
    <n v="276757"/>
    <n v="238243"/>
    <n v="229727"/>
    <x v="0"/>
    <n v="0.09"/>
    <n v="20675.43"/>
    <n v="0.86083820824766855"/>
    <n v="7907.3428571428567"/>
  </r>
  <r>
    <s v="PACIFIC ALLIANCE BANK"/>
    <s v="Rosemead"/>
    <x v="0"/>
    <n v="91770"/>
    <d v="2020-09-30T00:00:00"/>
    <x v="1"/>
    <n v="35"/>
    <n v="358668"/>
    <n v="53635"/>
    <n v="358668"/>
    <n v="317737"/>
    <n v="296219"/>
    <x v="0"/>
    <n v="0.09"/>
    <n v="26659.71"/>
    <n v="0.88588053576009007"/>
    <n v="10247.657142857142"/>
  </r>
  <r>
    <s v="PACIFIC ALLIANCE BANK"/>
    <s v="Rosemead"/>
    <x v="0"/>
    <n v="91770"/>
    <d v="2021-09-30T00:00:00"/>
    <x v="2"/>
    <n v="36"/>
    <n v="372918"/>
    <n v="35323"/>
    <n v="372918"/>
    <n v="329014"/>
    <n v="317459"/>
    <x v="0"/>
    <n v="0.09"/>
    <n v="28571.309999999998"/>
    <n v="0.88226902428952214"/>
    <n v="10358.833333333334"/>
  </r>
  <r>
    <s v="PACIFIC CITY BANK"/>
    <s v="Los Angeles"/>
    <x v="0"/>
    <n v="90010"/>
    <d v="2019-09-30T00:00:00"/>
    <x v="0"/>
    <n v="249"/>
    <n v="1699395"/>
    <n v="121911"/>
    <n v="1699395"/>
    <n v="1477345"/>
    <n v="1434785"/>
    <x v="1"/>
    <n v="0.08"/>
    <n v="114782.8"/>
    <n v="0.86933585187669726"/>
    <n v="6824.8795180722891"/>
  </r>
  <r>
    <s v="PACIFIC CITY BANK"/>
    <s v="Los Angeles"/>
    <x v="0"/>
    <n v="90010"/>
    <d v="2020-09-30T00:00:00"/>
    <x v="1"/>
    <n v="252"/>
    <n v="2021119"/>
    <n v="257382"/>
    <n v="2021119"/>
    <n v="1795549"/>
    <n v="1650798"/>
    <x v="1"/>
    <n v="0.08"/>
    <n v="132063.84"/>
    <n v="0.88839350874441336"/>
    <n v="8020.313492063492"/>
  </r>
  <r>
    <s v="PACIFIC CITY BANK"/>
    <s v="Los Angeles"/>
    <x v="0"/>
    <n v="90010"/>
    <d v="2021-09-30T00:00:00"/>
    <x v="2"/>
    <n v="249"/>
    <n v="2104632"/>
    <n v="214973"/>
    <n v="2104632"/>
    <n v="1862199"/>
    <n v="1837743"/>
    <x v="1"/>
    <n v="0.08"/>
    <n v="147019.44"/>
    <n v="0.88480979097533441"/>
    <n v="8452.3373493975905"/>
  </r>
  <r>
    <s v="PACIFIC COAST BANKERS' BANK"/>
    <s v="Walnut Creek"/>
    <x v="0"/>
    <n v="94596"/>
    <d v="2019-09-30T00:00:00"/>
    <x v="0"/>
    <n v="104"/>
    <n v="879943"/>
    <n v="194123"/>
    <n v="879943"/>
    <n v="788131"/>
    <n v="678315"/>
    <x v="0"/>
    <n v="0.09"/>
    <n v="61048.35"/>
    <n v="0.89566142352402367"/>
    <n v="8460.9903846153848"/>
  </r>
  <r>
    <s v="PACIFIC COAST BANKERS' BANK"/>
    <s v="Walnut Creek"/>
    <x v="0"/>
    <n v="94596"/>
    <d v="2020-09-30T00:00:00"/>
    <x v="1"/>
    <n v="102"/>
    <n v="1300428"/>
    <n v="322487"/>
    <n v="1300428"/>
    <n v="1168327"/>
    <n v="1012126"/>
    <x v="1"/>
    <n v="0.08"/>
    <n v="80970.080000000002"/>
    <n v="0.89841729030749873"/>
    <n v="12749.294117647059"/>
  </r>
  <r>
    <s v="PACIFIC COAST BANKERS' BANK"/>
    <s v="Walnut Creek"/>
    <x v="0"/>
    <n v="94596"/>
    <d v="2021-09-30T00:00:00"/>
    <x v="2"/>
    <n v="105"/>
    <n v="1364568"/>
    <n v="635470"/>
    <n v="1364568"/>
    <n v="1228782"/>
    <n v="1186422"/>
    <x v="1"/>
    <n v="0.08"/>
    <n v="94913.76"/>
    <n v="0.90049158414970887"/>
    <n v="12995.885714285714"/>
  </r>
  <r>
    <s v="PACIFIC ENTERPRISE BANK"/>
    <s v="Irvine"/>
    <x v="0"/>
    <n v="92614"/>
    <d v="2019-09-30T00:00:00"/>
    <x v="0"/>
    <n v="106"/>
    <n v="486699"/>
    <n v="101186"/>
    <n v="486699"/>
    <n v="436435"/>
    <n v="414344"/>
    <x v="0"/>
    <n v="0.09"/>
    <n v="37290.959999999999"/>
    <n v="0.89672466966235809"/>
    <n v="4591.5"/>
  </r>
  <r>
    <s v="PACIFIC ENTERPRISE BANK"/>
    <s v="Irvine"/>
    <x v="0"/>
    <n v="92614"/>
    <d v="2020-09-30T00:00:00"/>
    <x v="1"/>
    <n v="89"/>
    <n v="619183"/>
    <n v="53072"/>
    <n v="619183"/>
    <n v="564952"/>
    <n v="483684"/>
    <x v="0"/>
    <n v="0.09"/>
    <n v="43531.56"/>
    <n v="0.9124152310383199"/>
    <n v="6957.1123595505615"/>
  </r>
  <r>
    <s v="PACIFIC ENTERPRISE BANK"/>
    <s v="Irvine"/>
    <x v="0"/>
    <n v="92614"/>
    <d v="2021-09-30T00:00:00"/>
    <x v="2"/>
    <n v="92"/>
    <n v="578918"/>
    <n v="63485"/>
    <n v="578918"/>
    <n v="516893"/>
    <n v="419062"/>
    <x v="0"/>
    <n v="0.09"/>
    <n v="37715.58"/>
    <n v="0.89286047419496373"/>
    <n v="6292.586956521739"/>
  </r>
  <r>
    <s v="PACIFIC GLOBAL BANK"/>
    <s v="Chicago"/>
    <x v="1"/>
    <n v="60616"/>
    <d v="2019-09-30T00:00:00"/>
    <x v="0"/>
    <n v="43"/>
    <n v="224533"/>
    <n v="16316"/>
    <n v="224533"/>
    <n v="199309"/>
    <n v="196868"/>
    <x v="0"/>
    <n v="0.08"/>
    <n v="15749.44"/>
    <n v="0.88766016576627937"/>
    <n v="5221.6976744186049"/>
  </r>
  <r>
    <s v="PACIFIC MERCANTILE BANK"/>
    <s v="Costa Mesa"/>
    <x v="0"/>
    <n v="92626"/>
    <d v="2019-09-30T00:00:00"/>
    <x v="0"/>
    <n v="169"/>
    <n v="1437734"/>
    <n v="213276"/>
    <n v="1437734"/>
    <n v="1278875"/>
    <n v="1220490"/>
    <x v="1"/>
    <n v="0.08"/>
    <n v="97639.2"/>
    <n v="0.88950737758166676"/>
    <n v="8507.3017751479292"/>
  </r>
  <r>
    <s v="PACIFIC MERCANTILE BANK"/>
    <s v="Costa Mesa"/>
    <x v="0"/>
    <n v="92626"/>
    <d v="2020-09-30T00:00:00"/>
    <x v="1"/>
    <n v="145"/>
    <n v="1617448"/>
    <n v="280126"/>
    <n v="1617448"/>
    <n v="1450758"/>
    <n v="1409886"/>
    <x v="1"/>
    <n v="0.08"/>
    <n v="112790.88"/>
    <n v="0.89694259104465801"/>
    <n v="11154.813793103449"/>
  </r>
  <r>
    <s v="PACIFIC MERCANTILE BANK"/>
    <s v="Costa Mesa"/>
    <x v="0"/>
    <n v="92626"/>
    <d v="2021-09-30T00:00:00"/>
    <x v="2"/>
    <n v="118"/>
    <n v="1490319"/>
    <n v="454039"/>
    <n v="1490319"/>
    <n v="1307284"/>
    <n v="1292299"/>
    <x v="1"/>
    <n v="0.08"/>
    <n v="103383.92"/>
    <n v="0.87718401228193432"/>
    <n v="12629.822033898305"/>
  </r>
  <r>
    <s v="PACIFIC PREMIER BANK"/>
    <s v="Irvine"/>
    <x v="0"/>
    <n v="92614"/>
    <d v="2019-09-30T00:00:00"/>
    <x v="0"/>
    <n v="998"/>
    <n v="11811502"/>
    <n v="430426"/>
    <n v="11811502"/>
    <n v="9616623"/>
    <n v="8890124"/>
    <x v="1"/>
    <n v="0.08"/>
    <n v="711209.92"/>
    <n v="0.81417443776413867"/>
    <n v="11835.172344689379"/>
  </r>
  <r>
    <s v="PACIFIC PREMIER BANK"/>
    <s v="Irvine"/>
    <x v="0"/>
    <n v="92614"/>
    <d v="2020-09-30T00:00:00"/>
    <x v="1"/>
    <n v="1537"/>
    <n v="19841091"/>
    <n v="1105922"/>
    <n v="19841091"/>
    <n v="16913094"/>
    <n v="16488838"/>
    <x v="1"/>
    <n v="0.08"/>
    <n v="1319107.04"/>
    <n v="0.85242762104160497"/>
    <n v="12908.972674040338"/>
  </r>
  <r>
    <s v="PACIFIC PREMIER BANK"/>
    <s v="Irvine"/>
    <x v="0"/>
    <n v="92614"/>
    <d v="2021-09-30T00:00:00"/>
    <x v="2"/>
    <n v="1524"/>
    <n v="21007729"/>
    <n v="325028"/>
    <n v="21007729"/>
    <n v="17865633"/>
    <n v="17533543"/>
    <x v="1"/>
    <n v="0.08"/>
    <n v="1402683.44"/>
    <n v="0.85043142930870819"/>
    <n v="13784.59908136483"/>
  </r>
  <r>
    <s v="PACIFIC VALLEY BANK"/>
    <s v="Salinas"/>
    <x v="0"/>
    <n v="93901"/>
    <d v="2019-09-30T00:00:00"/>
    <x v="0"/>
    <n v="47"/>
    <n v="340345"/>
    <n v="54331"/>
    <n v="340345"/>
    <n v="305206"/>
    <n v="303521"/>
    <x v="0"/>
    <n v="0.09"/>
    <n v="27316.89"/>
    <n v="0.89675476354875205"/>
    <n v="7241.3829787234044"/>
  </r>
  <r>
    <s v="PACIFIC VALLEY BANK"/>
    <s v="Salinas"/>
    <x v="0"/>
    <n v="93901"/>
    <d v="2020-09-30T00:00:00"/>
    <x v="1"/>
    <n v="49"/>
    <n v="420189"/>
    <n v="63102"/>
    <n v="420188"/>
    <n v="381976"/>
    <n v="380349"/>
    <x v="0"/>
    <n v="0.09"/>
    <n v="34231.409999999996"/>
    <n v="0.90905759075082881"/>
    <n v="8575.2857142857138"/>
  </r>
  <r>
    <s v="PACIFIC VALLEY BANK"/>
    <s v="Salinas"/>
    <x v="0"/>
    <n v="93901"/>
    <d v="2021-09-30T00:00:00"/>
    <x v="2"/>
    <n v="50"/>
    <n v="473384"/>
    <n v="69074"/>
    <n v="473384"/>
    <n v="431084"/>
    <n v="428275"/>
    <x v="0"/>
    <n v="0.09"/>
    <n v="38544.75"/>
    <n v="0.91064336775218424"/>
    <n v="9467.68"/>
  </r>
  <r>
    <s v="PACIFIC WESTERN BANK"/>
    <s v="Beverly Hills"/>
    <x v="0"/>
    <n v="90212"/>
    <d v="2019-09-30T00:00:00"/>
    <x v="0"/>
    <n v="1807"/>
    <n v="26682657"/>
    <n v="731358"/>
    <n v="26682657"/>
    <n v="21476789"/>
    <n v="19839151"/>
    <x v="1"/>
    <n v="0.08"/>
    <n v="1587132.08"/>
    <n v="0.80489694111047483"/>
    <n v="14766.273934698394"/>
  </r>
  <r>
    <s v="PACIFIC WESTERN BANK"/>
    <s v="Beverly Hills"/>
    <x v="0"/>
    <n v="90212"/>
    <d v="2020-09-30T00:00:00"/>
    <x v="1"/>
    <n v="1752"/>
    <n v="28403865"/>
    <n v="2949816"/>
    <n v="28403865"/>
    <n v="24643536"/>
    <n v="24086958"/>
    <x v="1"/>
    <n v="0.08"/>
    <n v="1926956.6400000001"/>
    <n v="0.86761206617479703"/>
    <n v="16212.251712328767"/>
  </r>
  <r>
    <s v="PACIFIC WESTERN BANK"/>
    <s v="Beverly Hills"/>
    <x v="0"/>
    <n v="90212"/>
    <d v="2021-09-30T00:00:00"/>
    <x v="2"/>
    <n v="2100"/>
    <n v="35841196"/>
    <n v="3425757"/>
    <n v="35841196"/>
    <n v="31673191"/>
    <n v="30702591"/>
    <x v="1"/>
    <n v="0.08"/>
    <n v="2456207.2800000003"/>
    <n v="0.88370909832361622"/>
    <n v="17067.236190476189"/>
  </r>
  <r>
    <s v="PAN AMERICAN BANK &amp; TRUST"/>
    <s v="Melrose Park"/>
    <x v="1"/>
    <n v="60160"/>
    <d v="2019-09-30T00:00:00"/>
    <x v="0"/>
    <n v="57"/>
    <n v="378607"/>
    <n v="13677"/>
    <n v="378608"/>
    <n v="344098"/>
    <n v="342931"/>
    <x v="0"/>
    <n v="0.08"/>
    <n v="27434.48"/>
    <n v="0.90885271534863332"/>
    <n v="6642.2280701754389"/>
  </r>
  <r>
    <s v="PAN AMERICAN BANK &amp; TRUST"/>
    <s v="Melrose Park"/>
    <x v="1"/>
    <n v="60160"/>
    <d v="2020-09-30T00:00:00"/>
    <x v="1"/>
    <n v="47"/>
    <n v="376017"/>
    <n v="26366"/>
    <n v="376017"/>
    <n v="340786"/>
    <n v="335566"/>
    <x v="0"/>
    <n v="0.08"/>
    <n v="26845.279999999999"/>
    <n v="0.90630476813548322"/>
    <n v="8000.3617021276596"/>
  </r>
  <r>
    <s v="PAN AMERICAN BANK &amp; TRUST"/>
    <s v="Melrose Park"/>
    <x v="1"/>
    <n v="60160"/>
    <d v="2021-09-30T00:00:00"/>
    <x v="2"/>
    <n v="46"/>
    <n v="420679"/>
    <n v="23527"/>
    <n v="420679"/>
    <n v="383656"/>
    <n v="376945"/>
    <x v="0"/>
    <n v="0.08"/>
    <n v="30155.600000000002"/>
    <n v="0.91199227914870962"/>
    <n v="9145.1956521739139"/>
  </r>
  <r>
    <s v="PARK RIDGE COMMUNITY BANK"/>
    <s v="Park Ridge"/>
    <x v="1"/>
    <n v="60068"/>
    <d v="2019-09-30T00:00:00"/>
    <x v="0"/>
    <n v="25"/>
    <n v="320589"/>
    <n v="17716"/>
    <n v="320589"/>
    <n v="274669"/>
    <n v="267786"/>
    <x v="0"/>
    <n v="0.08"/>
    <n v="21422.880000000001"/>
    <n v="0.85676364441699493"/>
    <n v="12823.56"/>
  </r>
  <r>
    <s v="PARK RIDGE COMMUNITY BANK"/>
    <s v="Park Ridge"/>
    <x v="1"/>
    <n v="60068"/>
    <d v="2020-09-30T00:00:00"/>
    <x v="1"/>
    <n v="26"/>
    <n v="382718"/>
    <n v="33231"/>
    <n v="382718"/>
    <n v="334222"/>
    <n v="324091"/>
    <x v="0"/>
    <n v="0.08"/>
    <n v="25927.279999999999"/>
    <n v="0.87328529099754915"/>
    <n v="14719.923076923076"/>
  </r>
  <r>
    <s v="PARK RIDGE COMMUNITY BANK"/>
    <s v="Park Ridge"/>
    <x v="1"/>
    <n v="60068"/>
    <d v="2021-09-30T00:00:00"/>
    <x v="2"/>
    <n v="29"/>
    <n v="444612"/>
    <n v="79586"/>
    <n v="444612"/>
    <n v="381846"/>
    <n v="370532"/>
    <x v="0"/>
    <n v="0.08"/>
    <n v="29642.560000000001"/>
    <n v="0.85882972119510947"/>
    <n v="15331.448275862069"/>
  </r>
  <r>
    <s v="PARKWAY BANK AND TRUST COMPANY"/>
    <s v="Harwood Heights"/>
    <x v="1"/>
    <n v="60656"/>
    <d v="2019-09-30T00:00:00"/>
    <x v="0"/>
    <n v="322"/>
    <n v="2620907"/>
    <n v="272108"/>
    <n v="2620907"/>
    <n v="2316716"/>
    <n v="2114765"/>
    <x v="1"/>
    <n v="7.4999999999999997E-2"/>
    <n v="158607.375"/>
    <n v="0.88393674403555711"/>
    <n v="8139.4627329192544"/>
  </r>
  <r>
    <s v="PARKWAY BANK AND TRUST COMPANY"/>
    <s v="Harwood Heights"/>
    <x v="1"/>
    <n v="60656"/>
    <d v="2020-09-30T00:00:00"/>
    <x v="1"/>
    <n v="289"/>
    <n v="2786955"/>
    <n v="332080"/>
    <n v="2786955"/>
    <n v="2483983"/>
    <n v="2111176"/>
    <x v="1"/>
    <n v="7.4999999999999997E-2"/>
    <n v="158338.19999999998"/>
    <n v="0.89128923861346887"/>
    <n v="9643.4429065743952"/>
  </r>
  <r>
    <s v="PARKWAY BANK AND TRUST COMPANY"/>
    <s v="Harwood Heights"/>
    <x v="1"/>
    <n v="60656"/>
    <d v="2021-09-30T00:00:00"/>
    <x v="2"/>
    <n v="302"/>
    <n v="2892278"/>
    <n v="393481"/>
    <n v="2892278"/>
    <n v="2567813"/>
    <n v="2290839"/>
    <x v="1"/>
    <n v="7.4999999999999997E-2"/>
    <n v="171812.92499999999"/>
    <n v="0.8878168004597069"/>
    <n v="9577.0794701986761"/>
  </r>
  <r>
    <s v="PARTNERS BANK OF CALIFORNIA"/>
    <s v="Mission Viejo"/>
    <x v="0"/>
    <n v="92691"/>
    <d v="2019-09-30T00:00:00"/>
    <x v="0"/>
    <n v="39"/>
    <n v="284677"/>
    <n v="42683"/>
    <n v="284677"/>
    <n v="252591"/>
    <n v="240966"/>
    <x v="0"/>
    <n v="0.09"/>
    <n v="21686.94"/>
    <n v="0.88728980563937376"/>
    <n v="7299.4102564102568"/>
  </r>
  <r>
    <s v="PARTNERS BANK OF CALIFORNIA"/>
    <s v="Mission Viejo"/>
    <x v="0"/>
    <n v="92691"/>
    <d v="2020-09-30T00:00:00"/>
    <x v="1"/>
    <n v="42"/>
    <n v="438080"/>
    <n v="72779"/>
    <n v="438080"/>
    <n v="402898"/>
    <n v="321878"/>
    <x v="0"/>
    <n v="0.09"/>
    <n v="28969.02"/>
    <n v="0.91969046749452155"/>
    <n v="10430.476190476191"/>
  </r>
  <r>
    <s v="PARTNERS BANK OF CALIFORNIA"/>
    <s v="Mission Viejo"/>
    <x v="0"/>
    <n v="92691"/>
    <d v="2021-09-30T00:00:00"/>
    <x v="2"/>
    <n v="39"/>
    <n v="399809"/>
    <n v="89109"/>
    <n v="399809"/>
    <n v="360701"/>
    <n v="327491"/>
    <x v="0"/>
    <n v="0.09"/>
    <n v="29474.19"/>
    <n v="0.90218329252217933"/>
    <n v="10251.51282051282"/>
  </r>
  <r>
    <s v="PATHFINDER BANK"/>
    <s v="Oswego"/>
    <x v="2"/>
    <n v="13126"/>
    <d v="2019-09-30T00:00:00"/>
    <x v="0"/>
    <n v="154"/>
    <n v="1052290"/>
    <n v="39769"/>
    <n v="1052290"/>
    <n v="971436"/>
    <n v="882300"/>
    <x v="1"/>
    <n v="0.08"/>
    <n v="70584"/>
    <n v="0.9231637666422754"/>
    <n v="6833.0519480519479"/>
  </r>
  <r>
    <s v="PATHFINDER BANK"/>
    <s v="Oswego"/>
    <x v="2"/>
    <n v="13126"/>
    <d v="2020-09-30T00:00:00"/>
    <x v="1"/>
    <n v="161"/>
    <n v="1196978"/>
    <n v="38976"/>
    <n v="1196978"/>
    <n v="1098606"/>
    <n v="1007461"/>
    <x v="1"/>
    <n v="0.08"/>
    <n v="80596.88"/>
    <n v="0.91781636755228579"/>
    <n v="7434.6459627329195"/>
  </r>
  <r>
    <s v="PATHFINDER BANK"/>
    <s v="Oswego"/>
    <x v="2"/>
    <n v="13126"/>
    <d v="2021-09-30T00:00:00"/>
    <x v="2"/>
    <n v="157"/>
    <n v="1257968"/>
    <n v="75235"/>
    <n v="1257968"/>
    <n v="1140128"/>
    <n v="1061310"/>
    <x v="1"/>
    <n v="0.08"/>
    <n v="84904.8"/>
    <n v="0.90632512114775576"/>
    <n v="8012.5350318471337"/>
  </r>
  <r>
    <s v="PATRIOT COMMUNITY BANK"/>
    <s v="Woburn"/>
    <x v="3"/>
    <n v="1801"/>
    <d v="2019-09-30T00:00:00"/>
    <x v="0"/>
    <n v="21"/>
    <n v="187158"/>
    <n v="46185"/>
    <n v="187157"/>
    <n v="161495"/>
    <n v="159957"/>
    <x v="0"/>
    <n v="8.5000000000000006E-2"/>
    <n v="13596.345000000001"/>
    <n v="0.86288056080958331"/>
    <n v="8912.2857142857138"/>
  </r>
  <r>
    <s v="PATRIOT COMMUNITY BANK"/>
    <s v="Woburn"/>
    <x v="3"/>
    <n v="1801"/>
    <d v="2020-09-30T00:00:00"/>
    <x v="1"/>
    <n v="26"/>
    <n v="197706"/>
    <n v="64094"/>
    <n v="197706"/>
    <n v="169835"/>
    <n v="168579"/>
    <x v="0"/>
    <n v="8.5000000000000006E-2"/>
    <n v="14329.215"/>
    <n v="0.85902805175361396"/>
    <n v="7604.0769230769229"/>
  </r>
  <r>
    <s v="PATRIOT COMMUNITY BANK"/>
    <s v="Woburn"/>
    <x v="3"/>
    <n v="1801"/>
    <d v="2021-09-30T00:00:00"/>
    <x v="2"/>
    <n v="24"/>
    <n v="215694"/>
    <n v="80437"/>
    <n v="215694"/>
    <n v="185219"/>
    <n v="183541"/>
    <x v="0"/>
    <n v="8.5000000000000006E-2"/>
    <n v="15600.985000000001"/>
    <n v="0.85871187886542977"/>
    <n v="8987.25"/>
  </r>
  <r>
    <s v="PCSB BANK"/>
    <s v="Brewster"/>
    <x v="2"/>
    <n v="10509"/>
    <d v="2019-09-30T00:00:00"/>
    <x v="0"/>
    <n v="173"/>
    <n v="1655453"/>
    <n v="34066"/>
    <n v="1655453"/>
    <n v="1440913"/>
    <n v="1293568"/>
    <x v="1"/>
    <n v="0.08"/>
    <n v="103485.44"/>
    <n v="0.87040405254634234"/>
    <n v="9569.0924855491321"/>
  </r>
  <r>
    <s v="PCSB BANK"/>
    <s v="Brewster"/>
    <x v="2"/>
    <n v="10509"/>
    <d v="2020-09-30T00:00:00"/>
    <x v="1"/>
    <n v="168"/>
    <n v="1790028"/>
    <n v="160836"/>
    <n v="1790028"/>
    <n v="1566625"/>
    <n v="1421949"/>
    <x v="1"/>
    <n v="0.08"/>
    <n v="113755.92"/>
    <n v="0.87519580699296329"/>
    <n v="10654.928571428571"/>
  </r>
  <r>
    <s v="PCSB BANK"/>
    <s v="Brewster"/>
    <x v="2"/>
    <n v="10509"/>
    <d v="2021-09-30T00:00:00"/>
    <x v="2"/>
    <n v="162"/>
    <n v="1872147"/>
    <n v="145174"/>
    <n v="1872147"/>
    <n v="1631237"/>
    <n v="1534609"/>
    <x v="1"/>
    <n v="0.08"/>
    <n v="122768.72"/>
    <n v="0.87131886545233894"/>
    <n v="11556.462962962964"/>
  </r>
  <r>
    <s v="PENTUCKET BANK"/>
    <s v="Haverhill"/>
    <x v="3"/>
    <n v="1830"/>
    <d v="2019-09-30T00:00:00"/>
    <x v="0"/>
    <n v="133"/>
    <n v="793703"/>
    <n v="21970"/>
    <n v="793703"/>
    <n v="698365"/>
    <n v="653690"/>
    <x v="0"/>
    <n v="8.5000000000000006E-2"/>
    <n v="55563.65"/>
    <n v="0.87988202136063487"/>
    <n v="5967.6917293233082"/>
  </r>
  <r>
    <s v="PENTUCKET BANK"/>
    <s v="Haverhill"/>
    <x v="3"/>
    <n v="1830"/>
    <d v="2020-09-30T00:00:00"/>
    <x v="1"/>
    <n v="118"/>
    <n v="890499"/>
    <n v="33303"/>
    <n v="890499"/>
    <n v="793065"/>
    <n v="724775"/>
    <x v="0"/>
    <n v="8.5000000000000006E-2"/>
    <n v="61605.875000000007"/>
    <n v="0.89058494170122593"/>
    <n v="7546.6016949152545"/>
  </r>
  <r>
    <s v="PENTUCKET BANK"/>
    <s v="Haverhill"/>
    <x v="3"/>
    <n v="1830"/>
    <d v="2021-09-30T00:00:00"/>
    <x v="2"/>
    <n v="117"/>
    <n v="932686"/>
    <n v="44508"/>
    <n v="932686"/>
    <n v="825094"/>
    <n v="777773"/>
    <x v="0"/>
    <n v="8.5000000000000006E-2"/>
    <n v="66110.705000000002"/>
    <n v="0.88464284871864696"/>
    <n v="7971.6752136752139"/>
  </r>
  <r>
    <s v="PEOPLEFIRST BANK"/>
    <s v="Joliet"/>
    <x v="1"/>
    <n v="60435"/>
    <d v="2019-09-30T00:00:00"/>
    <x v="0"/>
    <n v="29"/>
    <n v="138482"/>
    <n v="12204"/>
    <n v="138482"/>
    <n v="120945"/>
    <n v="109620"/>
    <x v="0"/>
    <n v="0.08"/>
    <n v="8769.6"/>
    <n v="0.87336260308198899"/>
    <n v="4775.2413793103451"/>
  </r>
  <r>
    <s v="PEOPLEFIRST BANK"/>
    <s v="Joliet"/>
    <x v="1"/>
    <n v="60435"/>
    <d v="2020-09-30T00:00:00"/>
    <x v="1"/>
    <n v="29"/>
    <n v="172089"/>
    <n v="34697"/>
    <n v="172089"/>
    <n v="153034"/>
    <n v="139679"/>
    <x v="0"/>
    <n v="0.08"/>
    <n v="11174.32"/>
    <n v="0.88927241136853608"/>
    <n v="5934.1034482758623"/>
  </r>
  <r>
    <s v="PEOPLEFIRST BANK"/>
    <s v="Joliet"/>
    <x v="1"/>
    <n v="60435"/>
    <d v="2021-09-30T00:00:00"/>
    <x v="2"/>
    <n v="30"/>
    <n v="209900"/>
    <n v="45192"/>
    <n v="209900"/>
    <n v="188036"/>
    <n v="175430"/>
    <x v="0"/>
    <n v="0.08"/>
    <n v="14034.4"/>
    <n v="0.89583611243449257"/>
    <n v="6996.666666666667"/>
  </r>
  <r>
    <s v="PEOPLES BANK &amp; TRUST"/>
    <s v="Pana"/>
    <x v="1"/>
    <n v="62557"/>
    <d v="2019-09-30T00:00:00"/>
    <x v="0"/>
    <n v="76"/>
    <n v="429232"/>
    <n v="8476"/>
    <n v="429232"/>
    <n v="385683"/>
    <n v="377511"/>
    <x v="0"/>
    <n v="0.08"/>
    <n v="30200.880000000001"/>
    <n v="0.89854204719126252"/>
    <n v="5647.7894736842109"/>
  </r>
  <r>
    <s v="PEOPLES BANK &amp; TRUST"/>
    <s v="Pana"/>
    <x v="1"/>
    <n v="62557"/>
    <d v="2020-09-30T00:00:00"/>
    <x v="1"/>
    <n v="68"/>
    <n v="479962"/>
    <n v="8390"/>
    <n v="479962"/>
    <n v="435472"/>
    <n v="410211"/>
    <x v="0"/>
    <n v="0.08"/>
    <n v="32816.879999999997"/>
    <n v="0.90730516165863129"/>
    <n v="7058.2647058823532"/>
  </r>
  <r>
    <s v="PEOPLES BANK &amp; TRUST"/>
    <s v="Pana"/>
    <x v="1"/>
    <n v="62557"/>
    <d v="2021-09-30T00:00:00"/>
    <x v="2"/>
    <n v="64"/>
    <n v="559429"/>
    <n v="7205"/>
    <n v="559429"/>
    <n v="509260"/>
    <n v="474024"/>
    <x v="0"/>
    <n v="0.08"/>
    <n v="37921.919999999998"/>
    <n v="0.91032105950889208"/>
    <n v="8741.078125"/>
  </r>
  <r>
    <s v="PEOPLES BANK OF KANKAKEE COUNTY"/>
    <s v="Bourbonnais"/>
    <x v="1"/>
    <n v="60914"/>
    <d v="2019-09-30T00:00:00"/>
    <x v="0"/>
    <n v="53"/>
    <n v="220922"/>
    <n v="27205"/>
    <n v="220922"/>
    <n v="202867"/>
    <n v="168527"/>
    <x v="0"/>
    <n v="0.08"/>
    <n v="13482.16"/>
    <n v="0.91827432306424894"/>
    <n v="4168.3396226415098"/>
  </r>
  <r>
    <s v="PEOPLES BANK OF KANKAKEE COUNTY"/>
    <s v="Bourbonnais"/>
    <x v="1"/>
    <n v="60914"/>
    <d v="2020-09-30T00:00:00"/>
    <x v="1"/>
    <n v="50"/>
    <n v="275316"/>
    <n v="25284"/>
    <n v="275316"/>
    <n v="252890"/>
    <n v="221675"/>
    <x v="0"/>
    <n v="0.08"/>
    <n v="17734"/>
    <n v="0.91854450885527905"/>
    <n v="5506.32"/>
  </r>
  <r>
    <s v="PEOPLES BANK OF KANKAKEE COUNTY"/>
    <s v="Bourbonnais"/>
    <x v="1"/>
    <n v="60914"/>
    <d v="2021-09-30T00:00:00"/>
    <x v="2"/>
    <n v="53"/>
    <n v="314303"/>
    <n v="42560"/>
    <n v="314303"/>
    <n v="290664"/>
    <n v="254409"/>
    <x v="0"/>
    <n v="0.08"/>
    <n v="20352.72"/>
    <n v="0.92478913659748718"/>
    <n v="5930.2452830188677"/>
  </r>
  <r>
    <s v="PEOPLES BANK OF MACON"/>
    <s v="Macon"/>
    <x v="1"/>
    <n v="62544"/>
    <d v="2019-09-30T00:00:00"/>
    <x v="0"/>
    <n v="4"/>
    <n v="20697"/>
    <n v="3413"/>
    <n v="20697"/>
    <n v="17755"/>
    <n v="17092"/>
    <x v="2"/>
    <n v="0.09"/>
    <n v="1538.28"/>
    <n v="0.85785379523602456"/>
    <n v="5174.25"/>
  </r>
  <r>
    <s v="PEOPLES BANK OF MACON"/>
    <s v="Macon"/>
    <x v="1"/>
    <n v="62544"/>
    <d v="2020-09-30T00:00:00"/>
    <x v="1"/>
    <n v="4"/>
    <n v="22612"/>
    <n v="6613"/>
    <n v="22612"/>
    <n v="19674"/>
    <n v="19014"/>
    <x v="2"/>
    <n v="0.09"/>
    <n v="1711.26"/>
    <n v="0.87006898991685833"/>
    <n v="5653"/>
  </r>
  <r>
    <s v="PEOPLES BANK OF MACON"/>
    <s v="Macon"/>
    <x v="1"/>
    <n v="62544"/>
    <d v="2021-09-30T00:00:00"/>
    <x v="2"/>
    <n v="4"/>
    <n v="25670"/>
    <n v="9891"/>
    <n v="25670"/>
    <n v="22768"/>
    <n v="22108"/>
    <x v="2"/>
    <n v="0.09"/>
    <n v="1989.72"/>
    <n v="0.8869497467861317"/>
    <n v="6417.5"/>
  </r>
  <r>
    <s v="PEOPLES NATIONAL BANK , N.A."/>
    <s v="Mount Vernon"/>
    <x v="1"/>
    <n v="62864"/>
    <d v="2019-09-30T00:00:00"/>
    <x v="0"/>
    <n v="270"/>
    <n v="1211565"/>
    <n v="53455"/>
    <n v="1211565"/>
    <n v="1096954"/>
    <n v="1020954"/>
    <x v="1"/>
    <n v="7.4999999999999997E-2"/>
    <n v="76571.55"/>
    <n v="0.90540251657979554"/>
    <n v="4487.2777777777774"/>
  </r>
  <r>
    <s v="PEOPLES NATIONAL BANK , N.A."/>
    <s v="Mount Vernon"/>
    <x v="1"/>
    <n v="62864"/>
    <d v="2020-09-30T00:00:00"/>
    <x v="1"/>
    <n v="290"/>
    <n v="1468081"/>
    <n v="120704"/>
    <n v="1468081"/>
    <n v="1349953"/>
    <n v="1161895"/>
    <x v="1"/>
    <n v="7.4999999999999997E-2"/>
    <n v="87142.125"/>
    <n v="0.91953577493339944"/>
    <n v="5062.3482758620694"/>
  </r>
  <r>
    <s v="PEOPLES NATIONAL BANK , N.A."/>
    <s v="Mount Vernon"/>
    <x v="1"/>
    <n v="62864"/>
    <d v="2021-09-30T00:00:00"/>
    <x v="2"/>
    <n v="284"/>
    <n v="1513664"/>
    <n v="190927"/>
    <n v="1513664"/>
    <n v="1388131"/>
    <n v="1342579"/>
    <x v="1"/>
    <n v="7.4999999999999997E-2"/>
    <n v="100693.425"/>
    <n v="0.91706679950107817"/>
    <n v="5329.8028169014087"/>
  </r>
  <r>
    <s v="PEOPLES NATIONAL BANK OF KEWANEE"/>
    <s v="Kewanee"/>
    <x v="1"/>
    <n v="61443"/>
    <d v="2019-09-30T00:00:00"/>
    <x v="0"/>
    <n v="91"/>
    <n v="360662"/>
    <n v="60815"/>
    <n v="360662"/>
    <n v="306752"/>
    <n v="302392"/>
    <x v="0"/>
    <n v="0.08"/>
    <n v="24191.360000000001"/>
    <n v="0.85052486815910744"/>
    <n v="3963.3186813186812"/>
  </r>
  <r>
    <s v="PEOPLES NATIONAL BANK OF KEWANEE"/>
    <s v="Kewanee"/>
    <x v="1"/>
    <n v="61443"/>
    <d v="2020-09-30T00:00:00"/>
    <x v="1"/>
    <n v="86"/>
    <n v="410215"/>
    <n v="69199"/>
    <n v="410215"/>
    <n v="354755"/>
    <n v="347451"/>
    <x v="0"/>
    <n v="0.08"/>
    <n v="27796.080000000002"/>
    <n v="0.86480260351279203"/>
    <n v="4769.9418604651164"/>
  </r>
  <r>
    <s v="PEOPLES NATIONAL BANK OF KEWANEE"/>
    <s v="Kewanee"/>
    <x v="1"/>
    <n v="61443"/>
    <d v="2021-09-30T00:00:00"/>
    <x v="2"/>
    <n v="90"/>
    <n v="565691"/>
    <n v="69127"/>
    <n v="565691"/>
    <n v="508831"/>
    <n v="500228"/>
    <x v="0"/>
    <n v="0.08"/>
    <n v="40018.239999999998"/>
    <n v="0.89948576166140171"/>
    <n v="6285.4555555555553"/>
  </r>
  <r>
    <s v="PEOPLES STATE BANK OF COLFAX"/>
    <s v="Colfax"/>
    <x v="1"/>
    <n v="61728"/>
    <d v="2019-09-30T00:00:00"/>
    <x v="0"/>
    <n v="6"/>
    <n v="34797"/>
    <n v="9743"/>
    <n v="34797"/>
    <n v="30416"/>
    <n v="30268"/>
    <x v="2"/>
    <n v="0.09"/>
    <n v="2724.12"/>
    <n v="0.87409834181107571"/>
    <n v="5799.5"/>
  </r>
  <r>
    <s v="PEOPLES STATE BANK OF COLFAX"/>
    <s v="Colfax"/>
    <x v="1"/>
    <n v="61728"/>
    <d v="2020-09-30T00:00:00"/>
    <x v="1"/>
    <n v="7"/>
    <n v="41438"/>
    <n v="17517"/>
    <n v="41438"/>
    <n v="36943"/>
    <n v="34779"/>
    <x v="2"/>
    <n v="0.09"/>
    <n v="3130.1099999999997"/>
    <n v="0.8915246874849172"/>
    <n v="5919.7142857142853"/>
  </r>
  <r>
    <s v="PEOPLES STATE BANK OF COLFAX"/>
    <s v="Colfax"/>
    <x v="1"/>
    <n v="61728"/>
    <d v="2021-09-30T00:00:00"/>
    <x v="2"/>
    <n v="8"/>
    <n v="41597"/>
    <n v="13722"/>
    <n v="41597"/>
    <n v="36885"/>
    <n v="36735"/>
    <x v="2"/>
    <n v="0.09"/>
    <n v="3306.15"/>
    <n v="0.88672260018751348"/>
    <n v="5199.625"/>
  </r>
  <r>
    <s v="PEOPLESBANK"/>
    <s v="Holyoke"/>
    <x v="3"/>
    <n v="1040"/>
    <d v="2019-09-30T00:00:00"/>
    <x v="0"/>
    <n v="303"/>
    <n v="2926907"/>
    <n v="119533"/>
    <n v="2926908"/>
    <n v="2631466"/>
    <n v="2064134"/>
    <x v="1"/>
    <n v="0.08"/>
    <n v="165130.72"/>
    <n v="0.8990603391224935"/>
    <n v="9659.7590759075902"/>
  </r>
  <r>
    <s v="PEOPLESBANK"/>
    <s v="Holyoke"/>
    <x v="3"/>
    <n v="1040"/>
    <d v="2020-09-30T00:00:00"/>
    <x v="1"/>
    <n v="298"/>
    <n v="3233477"/>
    <n v="218376"/>
    <n v="3233478"/>
    <n v="2933754"/>
    <n v="2244872"/>
    <x v="1"/>
    <n v="0.08"/>
    <n v="179589.76000000001"/>
    <n v="0.90730628360739851"/>
    <n v="10850.593959731543"/>
  </r>
  <r>
    <s v="PEOPLESBANK"/>
    <s v="Holyoke"/>
    <x v="3"/>
    <n v="1040"/>
    <d v="2021-09-30T00:00:00"/>
    <x v="2"/>
    <n v="304"/>
    <n v="3439206"/>
    <n v="157143"/>
    <n v="3439206"/>
    <n v="3107252"/>
    <n v="2988973"/>
    <x v="1"/>
    <n v="0.08"/>
    <n v="239117.84"/>
    <n v="0.90347946589997807"/>
    <n v="11313.177631578947"/>
  </r>
  <r>
    <s v="PERU FEDERAL SAVINGS BANK"/>
    <s v="Peru"/>
    <x v="1"/>
    <n v="61354"/>
    <d v="2019-09-30T00:00:00"/>
    <x v="0"/>
    <n v="24"/>
    <n v="150695"/>
    <n v="12997"/>
    <n v="150695"/>
    <n v="129408"/>
    <n v="128615"/>
    <x v="0"/>
    <n v="0.08"/>
    <n v="10289.200000000001"/>
    <n v="0.85874116593118555"/>
    <n v="6278.958333333333"/>
  </r>
  <r>
    <s v="PERU FEDERAL SAVINGS BANK"/>
    <s v="Peru"/>
    <x v="1"/>
    <n v="61354"/>
    <d v="2020-09-30T00:00:00"/>
    <x v="1"/>
    <n v="23"/>
    <n v="170806"/>
    <n v="14000"/>
    <n v="170806"/>
    <n v="147603"/>
    <n v="142580"/>
    <x v="0"/>
    <n v="0.08"/>
    <n v="11406.4"/>
    <n v="0.86415582590775497"/>
    <n v="7426.347826086957"/>
  </r>
  <r>
    <s v="PERU FEDERAL SAVINGS BANK"/>
    <s v="Peru"/>
    <x v="1"/>
    <n v="61354"/>
    <d v="2021-09-30T00:00:00"/>
    <x v="2"/>
    <n v="22"/>
    <n v="183474"/>
    <n v="16096"/>
    <n v="183474"/>
    <n v="159821"/>
    <n v="153722"/>
    <x v="0"/>
    <n v="0.08"/>
    <n v="12297.76"/>
    <n v="0.8710825512061654"/>
    <n v="8339.7272727272721"/>
  </r>
  <r>
    <s v="PETEFISH, SKILES &amp; CO."/>
    <s v="Virginia"/>
    <x v="1"/>
    <n v="62691"/>
    <d v="2019-09-30T00:00:00"/>
    <x v="0"/>
    <n v="43"/>
    <n v="198143"/>
    <n v="14247"/>
    <n v="198143"/>
    <n v="171695"/>
    <n v="157006"/>
    <x v="0"/>
    <n v="0.08"/>
    <n v="12560.48"/>
    <n v="0.86652064418122265"/>
    <n v="4607.9767441860467"/>
  </r>
  <r>
    <s v="PETEFISH, SKILES &amp; CO."/>
    <s v="Virginia"/>
    <x v="1"/>
    <n v="62691"/>
    <d v="2020-09-30T00:00:00"/>
    <x v="1"/>
    <n v="48"/>
    <n v="225702"/>
    <n v="12855"/>
    <n v="225702"/>
    <n v="196747"/>
    <n v="176080"/>
    <x v="0"/>
    <n v="0.08"/>
    <n v="14086.4"/>
    <n v="0.87171137163162049"/>
    <n v="4702.125"/>
  </r>
  <r>
    <s v="PETEFISH, SKILES &amp; CO."/>
    <s v="Virginia"/>
    <x v="1"/>
    <n v="62691"/>
    <d v="2021-09-30T00:00:00"/>
    <x v="2"/>
    <n v="55"/>
    <n v="255888"/>
    <n v="32424"/>
    <n v="255888"/>
    <n v="225183"/>
    <n v="203247"/>
    <x v="0"/>
    <n v="0.08"/>
    <n v="16259.76"/>
    <n v="0.88000609641718253"/>
    <n v="4652.5090909090914"/>
  </r>
  <r>
    <s v="PHILO EXCHANGE BANK"/>
    <s v="Philo"/>
    <x v="1"/>
    <n v="61864"/>
    <d v="2019-09-30T00:00:00"/>
    <x v="0"/>
    <n v="17"/>
    <n v="97417"/>
    <n v="4651"/>
    <n v="97417"/>
    <n v="85065"/>
    <n v="82323"/>
    <x v="2"/>
    <n v="0.09"/>
    <n v="7409.07"/>
    <n v="0.8732048821047661"/>
    <n v="5730.411764705882"/>
  </r>
  <r>
    <s v="PHILO EXCHANGE BANK"/>
    <s v="Philo"/>
    <x v="1"/>
    <n v="61864"/>
    <d v="2020-09-30T00:00:00"/>
    <x v="1"/>
    <n v="19"/>
    <n v="115971"/>
    <n v="15954"/>
    <n v="115971"/>
    <n v="102049"/>
    <n v="97487"/>
    <x v="0"/>
    <n v="0.08"/>
    <n v="7798.96"/>
    <n v="0.87995274680739155"/>
    <n v="6103.7368421052633"/>
  </r>
  <r>
    <s v="PHILO EXCHANGE BANK"/>
    <s v="Philo"/>
    <x v="1"/>
    <n v="61864"/>
    <d v="2021-09-30T00:00:00"/>
    <x v="2"/>
    <n v="19"/>
    <n v="124643"/>
    <n v="8268"/>
    <n v="124643"/>
    <n v="110843"/>
    <n v="110246"/>
    <x v="0"/>
    <n v="0.08"/>
    <n v="8819.68"/>
    <n v="0.8892837945171409"/>
    <n v="6560.1578947368425"/>
  </r>
  <r>
    <s v="PIERMONT BANK"/>
    <s v="New York"/>
    <x v="2"/>
    <n v="10018"/>
    <d v="2019-09-30T00:00:00"/>
    <x v="0"/>
    <n v="23"/>
    <n v="41547"/>
    <n v="39943"/>
    <n v="41547"/>
    <n v="8937"/>
    <n v="8685"/>
    <x v="2"/>
    <n v="0.09"/>
    <n v="781.65"/>
    <n v="0.21510578381110548"/>
    <n v="1806.391304347826"/>
  </r>
  <r>
    <s v="PIERMONT BANK"/>
    <s v="New York"/>
    <x v="2"/>
    <n v="10018"/>
    <d v="2020-09-30T00:00:00"/>
    <x v="1"/>
    <n v="23"/>
    <n v="128336"/>
    <n v="27185"/>
    <n v="128336"/>
    <n v="97839"/>
    <n v="96529"/>
    <x v="0"/>
    <n v="8.5000000000000006E-2"/>
    <n v="8204.9650000000001"/>
    <n v="0.76236597681087148"/>
    <n v="5579.826086956522"/>
  </r>
  <r>
    <s v="PIERMONT BANK"/>
    <s v="New York"/>
    <x v="2"/>
    <n v="10018"/>
    <d v="2021-09-30T00:00:00"/>
    <x v="2"/>
    <n v="30"/>
    <n v="346764"/>
    <n v="144932"/>
    <n v="346764"/>
    <n v="296922"/>
    <n v="293490"/>
    <x v="0"/>
    <n v="8.5000000000000006E-2"/>
    <n v="24946.65"/>
    <n v="0.85626535626535627"/>
    <n v="11558.8"/>
  </r>
  <r>
    <s v="PINNACLE BANK"/>
    <s v="Gilroy"/>
    <x v="0"/>
    <n v="95020"/>
    <d v="2019-09-30T00:00:00"/>
    <x v="0"/>
    <n v="64"/>
    <n v="399513"/>
    <n v="34395"/>
    <n v="399513"/>
    <n v="347286"/>
    <n v="341506"/>
    <x v="0"/>
    <n v="0.09"/>
    <n v="30735.539999999997"/>
    <n v="0.86927334029180525"/>
    <n v="6242.390625"/>
  </r>
  <r>
    <s v="PINNACLE BANK"/>
    <s v="Gilroy"/>
    <x v="0"/>
    <n v="95020"/>
    <d v="2020-09-30T00:00:00"/>
    <x v="1"/>
    <n v="71"/>
    <n v="625764"/>
    <n v="93750"/>
    <n v="625764"/>
    <n v="569083"/>
    <n v="548818"/>
    <x v="0"/>
    <n v="0.09"/>
    <n v="49393.619999999995"/>
    <n v="0.90942112361848881"/>
    <n v="8813.577464788732"/>
  </r>
  <r>
    <s v="PINNACLE BANK"/>
    <s v="Gilroy"/>
    <x v="0"/>
    <n v="95020"/>
    <d v="2021-09-30T00:00:00"/>
    <x v="2"/>
    <n v="79"/>
    <n v="722686"/>
    <n v="218991"/>
    <n v="722686"/>
    <n v="658403"/>
    <n v="647060"/>
    <x v="0"/>
    <n v="0.09"/>
    <n v="58235.4"/>
    <n v="0.91104988888673644"/>
    <n v="9147.9240506329115"/>
  </r>
  <r>
    <s v="PIONEER BANK"/>
    <s v="Albany"/>
    <x v="2"/>
    <n v="12211"/>
    <d v="2019-09-30T00:00:00"/>
    <x v="0"/>
    <n v="255"/>
    <n v="1448078"/>
    <n v="184042"/>
    <n v="1448078"/>
    <n v="1280442"/>
    <n v="1258135"/>
    <x v="1"/>
    <n v="0.08"/>
    <n v="100650.8"/>
    <n v="0.88423551770001341"/>
    <n v="5678.737254901961"/>
  </r>
  <r>
    <s v="PIONEER BANK"/>
    <s v="Albany"/>
    <x v="2"/>
    <n v="12211"/>
    <d v="2020-09-30T00:00:00"/>
    <x v="1"/>
    <n v="245"/>
    <n v="1627418"/>
    <n v="261008"/>
    <n v="1627418"/>
    <n v="1458512"/>
    <n v="1425438"/>
    <x v="1"/>
    <n v="0.08"/>
    <n v="114035.04000000001"/>
    <n v="0.8962122822778168"/>
    <n v="6642.5224489795919"/>
  </r>
  <r>
    <s v="PIONEER BANK"/>
    <s v="Albany"/>
    <x v="2"/>
    <n v="12211"/>
    <d v="2021-09-30T00:00:00"/>
    <x v="2"/>
    <n v="241"/>
    <n v="1966573"/>
    <n v="475294"/>
    <n v="1966573"/>
    <n v="1784003"/>
    <n v="1749764"/>
    <x v="1"/>
    <n v="0.08"/>
    <n v="139981.12"/>
    <n v="0.9071633750692194"/>
    <n v="8160.0539419087136"/>
  </r>
  <r>
    <s v="PIONEER COMMERCIAL BANK"/>
    <s v="Albany"/>
    <x v="2"/>
    <n v="12211"/>
    <d v="2019-09-30T00:00:00"/>
    <x v="0"/>
    <n v="2"/>
    <n v="355118"/>
    <n v="340699"/>
    <n v="355118"/>
    <n v="329779"/>
    <n v="328013"/>
    <x v="0"/>
    <n v="8.5000000000000006E-2"/>
    <n v="27881.105000000003"/>
    <n v="0.92864625279484569"/>
    <n v="177559"/>
  </r>
  <r>
    <s v="PIONEER COMMERCIAL BANK"/>
    <s v="Albany"/>
    <x v="2"/>
    <n v="12211"/>
    <d v="2020-09-30T00:00:00"/>
    <x v="1"/>
    <n v="2"/>
    <n v="398797"/>
    <n v="379434"/>
    <n v="398797"/>
    <n v="371299"/>
    <n v="368252"/>
    <x v="0"/>
    <n v="8.5000000000000006E-2"/>
    <n v="31301.420000000002"/>
    <n v="0.93104762573439614"/>
    <n v="199398.5"/>
  </r>
  <r>
    <s v="PIONEER COMMERCIAL BANK"/>
    <s v="Albany"/>
    <x v="2"/>
    <n v="12211"/>
    <d v="2021-09-30T00:00:00"/>
    <x v="2"/>
    <n v="2"/>
    <n v="557356"/>
    <n v="484213"/>
    <n v="557356"/>
    <n v="526169"/>
    <n v="517021"/>
    <x v="0"/>
    <n v="8.5000000000000006E-2"/>
    <n v="43946.785000000003"/>
    <n v="0.94404473980723269"/>
    <n v="278678"/>
  </r>
  <r>
    <s v="PIONEER STATE BANK"/>
    <s v="Earlville"/>
    <x v="1"/>
    <n v="60518"/>
    <d v="2019-09-30T00:00:00"/>
    <x v="0"/>
    <n v="24"/>
    <n v="107660"/>
    <n v="4801"/>
    <n v="107660"/>
    <n v="94604"/>
    <n v="84263"/>
    <x v="0"/>
    <n v="0.08"/>
    <n v="6741.04"/>
    <n v="0.87872933308563994"/>
    <n v="4485.833333333333"/>
  </r>
  <r>
    <s v="PIONEER STATE BANK"/>
    <s v="Earlville"/>
    <x v="1"/>
    <n v="60518"/>
    <d v="2020-09-30T00:00:00"/>
    <x v="1"/>
    <n v="24"/>
    <n v="117029"/>
    <n v="19149"/>
    <n v="117029"/>
    <n v="103500"/>
    <n v="93349"/>
    <x v="0"/>
    <n v="0.08"/>
    <n v="7467.92"/>
    <n v="0.88439617530697523"/>
    <n v="4876.208333333333"/>
  </r>
  <r>
    <s v="PIONEER STATE BANK"/>
    <s v="Earlville"/>
    <x v="1"/>
    <n v="60518"/>
    <d v="2021-09-30T00:00:00"/>
    <x v="2"/>
    <n v="26"/>
    <n v="133575"/>
    <n v="19969"/>
    <n v="133575"/>
    <n v="119412"/>
    <n v="109864"/>
    <x v="0"/>
    <n v="0.08"/>
    <n v="8789.1200000000008"/>
    <n v="0.89396967995508136"/>
    <n v="5137.5"/>
  </r>
  <r>
    <s v="PLUMAS BANK"/>
    <s v="Quincy"/>
    <x v="0"/>
    <n v="95971"/>
    <d v="2019-09-30T00:00:00"/>
    <x v="0"/>
    <n v="161"/>
    <n v="887915"/>
    <n v="77880"/>
    <n v="887915"/>
    <n v="796831"/>
    <n v="776574"/>
    <x v="0"/>
    <n v="0.09"/>
    <n v="69891.66"/>
    <n v="0.89741810871536132"/>
    <n v="5515"/>
  </r>
  <r>
    <s v="PLUMAS BANK"/>
    <s v="Quincy"/>
    <x v="0"/>
    <n v="95971"/>
    <d v="2020-09-30T00:00:00"/>
    <x v="1"/>
    <n v="156"/>
    <n v="1114796"/>
    <n v="175531"/>
    <n v="1114796"/>
    <n v="1009838"/>
    <n v="977767"/>
    <x v="1"/>
    <n v="0.08"/>
    <n v="78221.36"/>
    <n v="0.90585003893088956"/>
    <n v="7146.1282051282051"/>
  </r>
  <r>
    <s v="PLUMAS BANK"/>
    <s v="Quincy"/>
    <x v="0"/>
    <n v="95971"/>
    <d v="2021-09-30T00:00:00"/>
    <x v="2"/>
    <n v="176"/>
    <n v="1570281"/>
    <n v="372993"/>
    <n v="1570281"/>
    <n v="1432171"/>
    <n v="1405545"/>
    <x v="1"/>
    <n v="0.08"/>
    <n v="112443.6"/>
    <n v="0.91204758893471938"/>
    <n v="8922.051136363636"/>
  </r>
  <r>
    <s v="PONCE BANK"/>
    <s v="Bronx"/>
    <x v="2"/>
    <n v="10462"/>
    <d v="2019-09-30T00:00:00"/>
    <x v="0"/>
    <n v="187"/>
    <n v="1098506"/>
    <n v="47389"/>
    <n v="1098506"/>
    <n v="962995"/>
    <n v="782381"/>
    <x v="1"/>
    <n v="0.08"/>
    <n v="62590.48"/>
    <n v="0.87664063737476172"/>
    <n v="5874.363636363636"/>
  </r>
  <r>
    <s v="PONCE BANK"/>
    <s v="Bronx"/>
    <x v="2"/>
    <n v="10462"/>
    <d v="2020-09-30T00:00:00"/>
    <x v="1"/>
    <n v="186"/>
    <n v="1260820"/>
    <n v="78564"/>
    <n v="1260820"/>
    <n v="1119945"/>
    <n v="987357"/>
    <x v="1"/>
    <n v="0.08"/>
    <n v="78988.56"/>
    <n v="0.888267159467648"/>
    <n v="6778.6021505376348"/>
  </r>
  <r>
    <s v="PONCE BANK"/>
    <s v="Bronx"/>
    <x v="2"/>
    <n v="10462"/>
    <d v="2021-09-30T00:00:00"/>
    <x v="2"/>
    <n v="182"/>
    <n v="1542915"/>
    <n v="65120"/>
    <n v="1542915"/>
    <n v="1388422"/>
    <n v="1267520"/>
    <x v="1"/>
    <n v="0.08"/>
    <n v="101401.60000000001"/>
    <n v="0.89986940304553398"/>
    <n v="8477.5549450549443"/>
  </r>
  <r>
    <s v="POPPY BANK"/>
    <s v="Santa Rosa"/>
    <x v="0"/>
    <n v="95404"/>
    <d v="2019-09-30T00:00:00"/>
    <x v="0"/>
    <n v="159"/>
    <n v="2347223"/>
    <n v="241053"/>
    <n v="2347223"/>
    <n v="2094904"/>
    <n v="1984817"/>
    <x v="1"/>
    <n v="0.08"/>
    <n v="158785.36000000002"/>
    <n v="0.89250318354924096"/>
    <n v="14762.408805031446"/>
  </r>
  <r>
    <s v="POPPY BANK"/>
    <s v="Santa Rosa"/>
    <x v="0"/>
    <n v="95404"/>
    <d v="2020-09-30T00:00:00"/>
    <x v="1"/>
    <n v="146"/>
    <n v="3157255"/>
    <n v="492475"/>
    <n v="3157255"/>
    <n v="2908716"/>
    <n v="2788066"/>
    <x v="1"/>
    <n v="0.08"/>
    <n v="223045.28"/>
    <n v="0.92128003598062236"/>
    <n v="21625.034246575342"/>
  </r>
  <r>
    <s v="POPPY BANK"/>
    <s v="Santa Rosa"/>
    <x v="0"/>
    <n v="95404"/>
    <d v="2021-09-30T00:00:00"/>
    <x v="2"/>
    <n v="173"/>
    <n v="3928568"/>
    <n v="426995"/>
    <n v="3928568"/>
    <n v="3618560"/>
    <n v="3502603"/>
    <x v="1"/>
    <n v="0.08"/>
    <n v="280208.24"/>
    <n v="0.92108880385931968"/>
    <n v="22708.485549132947"/>
  </r>
  <r>
    <s v="POPULAR BANK"/>
    <s v="New York"/>
    <x v="2"/>
    <n v="10004"/>
    <d v="2019-09-30T00:00:00"/>
    <x v="0"/>
    <n v="727"/>
    <n v="10095163"/>
    <n v="648678"/>
    <n v="10095163"/>
    <n v="8288514"/>
    <n v="7638693"/>
    <x v="1"/>
    <n v="0.08"/>
    <n v="611095.44000000006"/>
    <n v="0.82103815460929164"/>
    <n v="13886.056396148555"/>
  </r>
  <r>
    <s v="POPULAR BANK"/>
    <s v="New York"/>
    <x v="2"/>
    <n v="10004"/>
    <d v="2020-09-30T00:00:00"/>
    <x v="1"/>
    <n v="706"/>
    <n v="10220472"/>
    <n v="261764"/>
    <n v="10220472"/>
    <n v="8428957"/>
    <n v="7683168"/>
    <x v="1"/>
    <n v="0.08"/>
    <n v="614653.44000000006"/>
    <n v="0.82471308565788348"/>
    <n v="14476.589235127478"/>
  </r>
  <r>
    <s v="POPULAR BANK"/>
    <s v="New York"/>
    <x v="2"/>
    <n v="10004"/>
    <d v="2021-09-30T00:00:00"/>
    <x v="2"/>
    <n v="622"/>
    <n v="10338113"/>
    <n v="879851"/>
    <n v="10338113"/>
    <n v="8441880"/>
    <n v="7844416"/>
    <x v="1"/>
    <n v="0.08"/>
    <n v="627553.28000000003"/>
    <n v="0.81657842200022379"/>
    <n v="16620.760450160771"/>
  </r>
  <r>
    <s v="PRAIRIE COMMUNITY BANK"/>
    <s v="Marengo"/>
    <x v="1"/>
    <n v="60152"/>
    <d v="2019-09-30T00:00:00"/>
    <x v="0"/>
    <n v="27"/>
    <n v="125072"/>
    <n v="10955"/>
    <n v="125072"/>
    <n v="111800"/>
    <n v="109283"/>
    <x v="0"/>
    <n v="0.08"/>
    <n v="8742.64"/>
    <n v="0.89388512216963034"/>
    <n v="4632.2962962962965"/>
  </r>
  <r>
    <s v="PRAIRIE COMMUNITY BANK"/>
    <s v="Marengo"/>
    <x v="1"/>
    <n v="60152"/>
    <d v="2020-09-30T00:00:00"/>
    <x v="1"/>
    <n v="32"/>
    <n v="157381"/>
    <n v="42374"/>
    <n v="157381"/>
    <n v="143896"/>
    <n v="135425"/>
    <x v="0"/>
    <n v="0.08"/>
    <n v="10834"/>
    <n v="0.91431621352005643"/>
    <n v="4918.15625"/>
  </r>
  <r>
    <s v="PRAIRIE COMMUNITY BANK"/>
    <s v="Marengo"/>
    <x v="1"/>
    <n v="60152"/>
    <d v="2021-09-30T00:00:00"/>
    <x v="2"/>
    <n v="32"/>
    <n v="168498"/>
    <n v="33638"/>
    <n v="168498"/>
    <n v="155081"/>
    <n v="151649"/>
    <x v="0"/>
    <n v="0.08"/>
    <n v="12131.92"/>
    <n v="0.92037294211207255"/>
    <n v="5265.5625"/>
  </r>
  <r>
    <s v="PRAIRIE STATE BANK AND TRUST"/>
    <s v="Springfield"/>
    <x v="1"/>
    <n v="62711"/>
    <d v="2019-09-30T00:00:00"/>
    <x v="0"/>
    <n v="150"/>
    <n v="692509"/>
    <n v="18074"/>
    <n v="692509"/>
    <n v="612091"/>
    <n v="601019"/>
    <x v="0"/>
    <n v="0.08"/>
    <n v="48081.520000000004"/>
    <n v="0.88387443340086558"/>
    <n v="4616.7266666666665"/>
  </r>
  <r>
    <s v="PRAIRIE STATE BANK AND TRUST"/>
    <s v="Springfield"/>
    <x v="1"/>
    <n v="62711"/>
    <d v="2020-09-30T00:00:00"/>
    <x v="1"/>
    <n v="149"/>
    <n v="769859"/>
    <n v="84324"/>
    <n v="769859"/>
    <n v="688477"/>
    <n v="679328"/>
    <x v="0"/>
    <n v="0.08"/>
    <n v="54346.239999999998"/>
    <n v="0.89428973357458963"/>
    <n v="5166.8389261744969"/>
  </r>
  <r>
    <s v="PRAIRIE STATE BANK AND TRUST"/>
    <s v="Springfield"/>
    <x v="1"/>
    <n v="62711"/>
    <d v="2021-09-30T00:00:00"/>
    <x v="2"/>
    <n v="148"/>
    <n v="834763"/>
    <n v="137189"/>
    <n v="834763"/>
    <n v="750062"/>
    <n v="738371"/>
    <x v="0"/>
    <n v="0.08"/>
    <n v="59069.68"/>
    <n v="0.8985328769962253"/>
    <n v="5640.2905405405409"/>
  </r>
  <r>
    <s v="PREFERRED BANK"/>
    <s v="Los Angeles"/>
    <x v="0"/>
    <n v="90017"/>
    <d v="2019-09-30T00:00:00"/>
    <x v="0"/>
    <n v="282"/>
    <n v="4497081"/>
    <n v="409866"/>
    <n v="4497081"/>
    <n v="4038001"/>
    <n v="3869572"/>
    <x v="1"/>
    <n v="0.08"/>
    <n v="309565.76"/>
    <n v="0.89791600373664604"/>
    <n v="15947.095744680852"/>
  </r>
  <r>
    <s v="PREFERRED BANK"/>
    <s v="Casey"/>
    <x v="1"/>
    <n v="62420"/>
    <d v="2019-09-30T00:00:00"/>
    <x v="0"/>
    <n v="17"/>
    <n v="58957"/>
    <n v="958"/>
    <n v="58957"/>
    <n v="53283"/>
    <n v="53260"/>
    <x v="2"/>
    <n v="0.09"/>
    <n v="4793.3999999999996"/>
    <n v="0.90376036772563051"/>
    <n v="3468.0588235294117"/>
  </r>
  <r>
    <s v="PREFERRED BANK"/>
    <s v="Los Angeles"/>
    <x v="0"/>
    <n v="90017"/>
    <d v="2020-09-30T00:00:00"/>
    <x v="1"/>
    <n v="271"/>
    <n v="5087666"/>
    <n v="781346"/>
    <n v="5087666"/>
    <n v="4583798"/>
    <n v="4415502"/>
    <x v="1"/>
    <n v="0.08"/>
    <n v="353240.16000000003"/>
    <n v="0.90096283836242397"/>
    <n v="18773.675276752769"/>
  </r>
  <r>
    <s v="PREFERRED BANK"/>
    <s v="Casey"/>
    <x v="1"/>
    <n v="62420"/>
    <d v="2020-09-30T00:00:00"/>
    <x v="1"/>
    <n v="15"/>
    <n v="66121"/>
    <n v="7426"/>
    <n v="66121"/>
    <n v="60140"/>
    <n v="56124"/>
    <x v="2"/>
    <n v="0.09"/>
    <n v="5051.16"/>
    <n v="0.90954462273710324"/>
    <n v="4408.0666666666666"/>
  </r>
  <r>
    <s v="PREFERRED BANK"/>
    <s v="Los Angeles"/>
    <x v="0"/>
    <n v="90017"/>
    <d v="2021-09-30T00:00:00"/>
    <x v="2"/>
    <n v="277"/>
    <n v="5980905"/>
    <n v="1061094"/>
    <n v="5980905"/>
    <n v="5418884"/>
    <n v="5196180"/>
    <x v="1"/>
    <n v="0.08"/>
    <n v="415694.4"/>
    <n v="0.90603077627884077"/>
    <n v="21591.714801444043"/>
  </r>
  <r>
    <s v="PREFERRED BANK"/>
    <s v="Casey"/>
    <x v="1"/>
    <n v="62420"/>
    <d v="2021-09-30T00:00:00"/>
    <x v="2"/>
    <n v="12"/>
    <n v="66129"/>
    <n v="5235"/>
    <n v="66129"/>
    <n v="60184"/>
    <n v="60173"/>
    <x v="2"/>
    <n v="0.09"/>
    <n v="5415.57"/>
    <n v="0.91009995614632011"/>
    <n v="5510.75"/>
  </r>
  <r>
    <s v="PREMIER VALLEY BANK"/>
    <s v="Fresno"/>
    <x v="0"/>
    <n v="93720"/>
    <d v="2019-09-30T00:00:00"/>
    <x v="0"/>
    <n v="85"/>
    <n v="888401"/>
    <n v="26218"/>
    <n v="888401"/>
    <n v="743703"/>
    <n v="719141"/>
    <x v="0"/>
    <n v="0.09"/>
    <n v="64722.689999999995"/>
    <n v="0.83712535217767647"/>
    <n v="10451.776470588235"/>
  </r>
  <r>
    <s v="PREMIER VALLEY BANK"/>
    <s v="Fresno"/>
    <x v="0"/>
    <n v="93720"/>
    <d v="2020-09-30T00:00:00"/>
    <x v="1"/>
    <n v="69"/>
    <n v="1042436"/>
    <n v="19261"/>
    <n v="1042436"/>
    <n v="900275"/>
    <n v="855913"/>
    <x v="1"/>
    <n v="0.08"/>
    <n v="68473.040000000008"/>
    <n v="0.86362616026307615"/>
    <n v="15107.768115942028"/>
  </r>
  <r>
    <s v="PREMIER VALLEY BANK"/>
    <s v="Fresno"/>
    <x v="0"/>
    <n v="93720"/>
    <d v="2021-09-30T00:00:00"/>
    <x v="2"/>
    <n v="61"/>
    <n v="1206506"/>
    <n v="15647"/>
    <n v="1206506"/>
    <n v="1054479"/>
    <n v="988579"/>
    <x v="1"/>
    <n v="0.08"/>
    <n v="79086.320000000007"/>
    <n v="0.87399399588563997"/>
    <n v="19778.786885245903"/>
  </r>
  <r>
    <s v="PRESIDIO BANK"/>
    <s v="San Francisco"/>
    <x v="0"/>
    <n v="94111"/>
    <d v="2019-09-30T00:00:00"/>
    <x v="0"/>
    <n v="56"/>
    <n v="877412"/>
    <n v="98942"/>
    <n v="877412"/>
    <n v="777981"/>
    <n v="754494"/>
    <x v="0"/>
    <n v="0.09"/>
    <n v="67904.459999999992"/>
    <n v="0.88667695449800099"/>
    <n v="15668.071428571429"/>
  </r>
  <r>
    <s v="PRINCEVILLE STATE BANK"/>
    <s v="Princeville"/>
    <x v="1"/>
    <n v="61559"/>
    <d v="2019-09-30T00:00:00"/>
    <x v="0"/>
    <n v="16"/>
    <n v="86296"/>
    <n v="8030"/>
    <n v="86296"/>
    <n v="78011"/>
    <n v="72509"/>
    <x v="2"/>
    <n v="0.09"/>
    <n v="6525.8099999999995"/>
    <n v="0.90399323259479003"/>
    <n v="5393.5"/>
  </r>
  <r>
    <s v="PRINCEVILLE STATE BANK"/>
    <s v="Princeville"/>
    <x v="1"/>
    <n v="61559"/>
    <d v="2020-09-30T00:00:00"/>
    <x v="1"/>
    <n v="16"/>
    <n v="111885"/>
    <n v="11641"/>
    <n v="111885"/>
    <n v="102104"/>
    <n v="81805"/>
    <x v="0"/>
    <n v="0.08"/>
    <n v="6544.4000000000005"/>
    <n v="0.91257988112794386"/>
    <n v="6992.8125"/>
  </r>
  <r>
    <s v="PRINCEVILLE STATE BANK"/>
    <s v="Princeville"/>
    <x v="1"/>
    <n v="61559"/>
    <d v="2021-09-30T00:00:00"/>
    <x v="2"/>
    <n v="16"/>
    <n v="121063"/>
    <n v="13387"/>
    <n v="121063"/>
    <n v="110536"/>
    <n v="96963"/>
    <x v="0"/>
    <n v="0.08"/>
    <n v="7757.04"/>
    <n v="0.91304527394827484"/>
    <n v="7566.4375"/>
  </r>
  <r>
    <s v="PROSPECT BANK"/>
    <s v="Paris"/>
    <x v="1"/>
    <n v="61944"/>
    <d v="2019-09-30T00:00:00"/>
    <x v="0"/>
    <n v="85"/>
    <n v="545721"/>
    <n v="19599"/>
    <n v="545721"/>
    <n v="493487"/>
    <n v="455975"/>
    <x v="0"/>
    <n v="0.08"/>
    <n v="36478"/>
    <n v="0.90428442372567663"/>
    <n v="6420.2470588235292"/>
  </r>
  <r>
    <s v="PROSPECT BANK"/>
    <s v="Paris"/>
    <x v="1"/>
    <n v="61944"/>
    <d v="2020-09-30T00:00:00"/>
    <x v="1"/>
    <n v="86"/>
    <n v="626872"/>
    <n v="9832"/>
    <n v="626872"/>
    <n v="569396"/>
    <n v="527404"/>
    <x v="0"/>
    <n v="0.08"/>
    <n v="42192.32"/>
    <n v="0.90831302083998011"/>
    <n v="7289.2093023255811"/>
  </r>
  <r>
    <s v="PROSPECT BANK"/>
    <s v="Paris"/>
    <x v="1"/>
    <n v="61944"/>
    <d v="2021-09-30T00:00:00"/>
    <x v="2"/>
    <n v="88"/>
    <n v="684011"/>
    <n v="6333"/>
    <n v="684011"/>
    <n v="626091"/>
    <n v="565144"/>
    <x v="0"/>
    <n v="0.08"/>
    <n v="45211.520000000004"/>
    <n v="0.91532299919153348"/>
    <n v="7772.852272727273"/>
  </r>
  <r>
    <s v="PROVIDENCE BANK &amp; TRUST"/>
    <s v="South Holland"/>
    <x v="1"/>
    <n v="60473"/>
    <d v="2019-09-30T00:00:00"/>
    <x v="0"/>
    <n v="192"/>
    <n v="1035130"/>
    <n v="90407"/>
    <n v="1035130"/>
    <n v="907197"/>
    <n v="886326"/>
    <x v="1"/>
    <n v="7.4999999999999997E-2"/>
    <n v="66474.45"/>
    <n v="0.87640876025233549"/>
    <n v="5391.302083333333"/>
  </r>
  <r>
    <s v="PROVIDENCE BANK &amp; TRUST"/>
    <s v="South Holland"/>
    <x v="1"/>
    <n v="60473"/>
    <d v="2020-09-30T00:00:00"/>
    <x v="1"/>
    <n v="189"/>
    <n v="1199517"/>
    <n v="84215"/>
    <n v="1199517"/>
    <n v="1064383"/>
    <n v="1039756"/>
    <x v="1"/>
    <n v="7.4999999999999997E-2"/>
    <n v="77981.7"/>
    <n v="0.8873429888863601"/>
    <n v="6346.6507936507933"/>
  </r>
  <r>
    <s v="PROVIDENCE BANK &amp; TRUST"/>
    <s v="South Holland"/>
    <x v="1"/>
    <n v="60473"/>
    <d v="2021-09-30T00:00:00"/>
    <x v="2"/>
    <n v="188"/>
    <n v="1330720"/>
    <n v="81044"/>
    <n v="1330720"/>
    <n v="1184469"/>
    <n v="1165552"/>
    <x v="1"/>
    <n v="7.4999999999999997E-2"/>
    <n v="87416.4"/>
    <n v="0.89009633882409522"/>
    <n v="7078.2978723404258"/>
  </r>
  <r>
    <s v="PROVIDENT SAVINGS BANK, F.S.B."/>
    <s v="Riverside"/>
    <x v="0"/>
    <n v="92506"/>
    <d v="2019-09-30T00:00:00"/>
    <x v="0"/>
    <n v="188"/>
    <n v="1105270"/>
    <n v="55317"/>
    <n v="1105270"/>
    <n v="994560"/>
    <n v="848997"/>
    <x v="1"/>
    <n v="0.08"/>
    <n v="67919.759999999995"/>
    <n v="0.89983442959638826"/>
    <n v="5879.0957446808507"/>
  </r>
  <r>
    <s v="PROVIDENT SAVINGS BANK, F.S.B."/>
    <s v="Riverside"/>
    <x v="0"/>
    <n v="92506"/>
    <d v="2020-09-30T00:00:00"/>
    <x v="1"/>
    <n v="163"/>
    <n v="1184018"/>
    <n v="67068"/>
    <n v="1184018"/>
    <n v="1069970"/>
    <n v="920683"/>
    <x v="1"/>
    <n v="0.08"/>
    <n v="73654.64"/>
    <n v="0.9036771400434791"/>
    <n v="7263.9141104294476"/>
  </r>
  <r>
    <s v="PROVIDENT SAVINGS BANK, F.S.B."/>
    <s v="Riverside"/>
    <x v="0"/>
    <n v="92506"/>
    <d v="2021-09-30T00:00:00"/>
    <x v="2"/>
    <n v="164"/>
    <n v="1192261"/>
    <n v="89053"/>
    <n v="1192261"/>
    <n v="1074963"/>
    <n v="972342"/>
    <x v="1"/>
    <n v="0.08"/>
    <n v="77787.360000000001"/>
    <n v="0.90161717945986664"/>
    <n v="7269.8841463414637"/>
  </r>
  <r>
    <s v="PULASKI SAVINGS BANK"/>
    <s v="Chicago"/>
    <x v="1"/>
    <n v="60608"/>
    <d v="2019-09-30T00:00:00"/>
    <x v="0"/>
    <n v="8"/>
    <n v="48960"/>
    <n v="2619"/>
    <n v="48960"/>
    <n v="45540"/>
    <n v="38478"/>
    <x v="2"/>
    <n v="0.09"/>
    <n v="3463.02"/>
    <n v="0.93014705882352944"/>
    <n v="6120"/>
  </r>
  <r>
    <s v="PULASKI SAVINGS BANK"/>
    <s v="Chicago"/>
    <x v="1"/>
    <n v="60608"/>
    <d v="2020-09-30T00:00:00"/>
    <x v="1"/>
    <n v="8"/>
    <n v="48528"/>
    <n v="5292"/>
    <n v="48528"/>
    <n v="44962"/>
    <n v="39544"/>
    <x v="2"/>
    <n v="0.09"/>
    <n v="3558.96"/>
    <n v="0.92651665018133866"/>
    <n v="6066"/>
  </r>
  <r>
    <s v="PULASKI SAVINGS BANK"/>
    <s v="Chicago"/>
    <x v="1"/>
    <n v="60608"/>
    <d v="2021-09-30T00:00:00"/>
    <x v="2"/>
    <n v="7"/>
    <n v="50177"/>
    <n v="5358"/>
    <n v="50177"/>
    <n v="45520"/>
    <n v="43589"/>
    <x v="2"/>
    <n v="0.09"/>
    <n v="3923.0099999999998"/>
    <n v="0.90718855252406483"/>
    <n v="7168.1428571428569"/>
  </r>
  <r>
    <s v="QUONTIC BANK"/>
    <s v="New York"/>
    <x v="2"/>
    <n v="10020"/>
    <d v="2019-09-30T00:00:00"/>
    <x v="0"/>
    <n v="146"/>
    <n v="392656"/>
    <n v="88973"/>
    <n v="392656"/>
    <n v="352595"/>
    <n v="316017"/>
    <x v="0"/>
    <n v="8.5000000000000006E-2"/>
    <n v="26861.445000000003"/>
    <n v="0.89797430830039526"/>
    <n v="2689.4246575342468"/>
  </r>
  <r>
    <s v="QUONTIC BANK"/>
    <s v="New York"/>
    <x v="2"/>
    <n v="10020"/>
    <d v="2020-09-30T00:00:00"/>
    <x v="1"/>
    <n v="160"/>
    <n v="1380124"/>
    <n v="117659"/>
    <n v="1380124"/>
    <n v="1328966"/>
    <n v="424649"/>
    <x v="1"/>
    <n v="0.08"/>
    <n v="33971.919999999998"/>
    <n v="0.96293231622665787"/>
    <n v="8625.7749999999996"/>
  </r>
  <r>
    <s v="QUONTIC BANK"/>
    <s v="New York"/>
    <x v="2"/>
    <n v="10020"/>
    <d v="2021-09-30T00:00:00"/>
    <x v="2"/>
    <n v="308"/>
    <n v="1048828"/>
    <n v="164050"/>
    <n v="1048828"/>
    <n v="955831"/>
    <n v="557317"/>
    <x v="1"/>
    <n v="0.08"/>
    <n v="44585.36"/>
    <n v="0.91133245870628932"/>
    <n v="3405.2857142857142"/>
  </r>
  <r>
    <s v="RADIUS BANK"/>
    <s v="Boston"/>
    <x v="3"/>
    <n v="2210"/>
    <d v="2019-09-30T00:00:00"/>
    <x v="0"/>
    <n v="148"/>
    <n v="1356036"/>
    <n v="74594"/>
    <n v="1356036"/>
    <n v="1229777"/>
    <n v="1193688"/>
    <x v="1"/>
    <n v="0.08"/>
    <n v="95495.040000000008"/>
    <n v="0.90689111498514785"/>
    <n v="9162.405405405405"/>
  </r>
  <r>
    <s v="RADIUS BANK"/>
    <s v="Boston"/>
    <x v="3"/>
    <n v="2210"/>
    <d v="2020-09-30T00:00:00"/>
    <x v="1"/>
    <n v="166"/>
    <n v="2186558"/>
    <n v="79319"/>
    <n v="2186558"/>
    <n v="2056281"/>
    <n v="1431046"/>
    <x v="1"/>
    <n v="0.08"/>
    <n v="114483.68000000001"/>
    <n v="0.94041914278057115"/>
    <n v="13172.036144578313"/>
  </r>
  <r>
    <s v="RARITAN STATE BANK"/>
    <s v="Raritan"/>
    <x v="1"/>
    <n v="61471"/>
    <d v="2019-09-30T00:00:00"/>
    <x v="0"/>
    <n v="32"/>
    <n v="182237"/>
    <n v="5925"/>
    <n v="182237"/>
    <n v="160926"/>
    <n v="159898"/>
    <x v="0"/>
    <n v="0.08"/>
    <n v="12791.84"/>
    <n v="0.88305887388400817"/>
    <n v="5694.90625"/>
  </r>
  <r>
    <s v="RARITAN STATE BANK"/>
    <s v="Raritan"/>
    <x v="1"/>
    <n v="61471"/>
    <d v="2020-09-30T00:00:00"/>
    <x v="1"/>
    <n v="30"/>
    <n v="199062"/>
    <n v="5383"/>
    <n v="199062"/>
    <n v="176399"/>
    <n v="175573"/>
    <x v="0"/>
    <n v="0.08"/>
    <n v="14045.84"/>
    <n v="0.88615104841707604"/>
    <n v="6635.4"/>
  </r>
  <r>
    <s v="RARITAN STATE BANK"/>
    <s v="Raritan"/>
    <x v="1"/>
    <n v="61471"/>
    <d v="2021-09-30T00:00:00"/>
    <x v="2"/>
    <n v="33"/>
    <n v="224709"/>
    <n v="7585"/>
    <n v="224709"/>
    <n v="201330"/>
    <n v="200711"/>
    <x v="0"/>
    <n v="0.08"/>
    <n v="16056.880000000001"/>
    <n v="0.89595877334686191"/>
    <n v="6809.363636363636"/>
  </r>
  <r>
    <s v="READING CO-OPERATIVE BANK"/>
    <s v="Reading"/>
    <x v="3"/>
    <n v="1867"/>
    <d v="2019-09-30T00:00:00"/>
    <x v="0"/>
    <n v="78"/>
    <n v="591492"/>
    <n v="10155"/>
    <n v="591492"/>
    <n v="537650"/>
    <n v="477958"/>
    <x v="0"/>
    <n v="8.5000000000000006E-2"/>
    <n v="40626.43"/>
    <n v="0.90897256429503692"/>
    <n v="7583.2307692307695"/>
  </r>
  <r>
    <s v="READING CO-OPERATIVE BANK"/>
    <s v="Reading"/>
    <x v="3"/>
    <n v="1867"/>
    <d v="2020-09-30T00:00:00"/>
    <x v="1"/>
    <n v="76"/>
    <n v="630668"/>
    <n v="9169"/>
    <n v="630668"/>
    <n v="572646"/>
    <n v="526460"/>
    <x v="0"/>
    <n v="8.5000000000000006E-2"/>
    <n v="44749.100000000006"/>
    <n v="0.90799913742254246"/>
    <n v="8298.2631578947367"/>
  </r>
  <r>
    <s v="READING CO-OPERATIVE BANK"/>
    <s v="Reading"/>
    <x v="3"/>
    <n v="1867"/>
    <d v="2021-09-30T00:00:00"/>
    <x v="2"/>
    <n v="83"/>
    <n v="661678"/>
    <n v="5953"/>
    <n v="661678"/>
    <n v="600270"/>
    <n v="578781"/>
    <x v="0"/>
    <n v="8.5000000000000006E-2"/>
    <n v="49196.385000000002"/>
    <n v="0.90719352917884533"/>
    <n v="7972.0240963855422"/>
  </r>
  <r>
    <s v="REDWOOD CAPITAL BANK"/>
    <s v="Eureka"/>
    <x v="0"/>
    <n v="95501"/>
    <d v="2019-09-30T00:00:00"/>
    <x v="0"/>
    <n v="72"/>
    <n v="374869"/>
    <n v="22118"/>
    <n v="374869"/>
    <n v="340743"/>
    <n v="338344"/>
    <x v="0"/>
    <n v="0.09"/>
    <n v="30450.959999999999"/>
    <n v="0.90896553195916441"/>
    <n v="5206.5138888888887"/>
  </r>
  <r>
    <s v="REDWOOD CAPITAL BANK"/>
    <s v="Eureka"/>
    <x v="0"/>
    <n v="95501"/>
    <d v="2020-09-30T00:00:00"/>
    <x v="1"/>
    <n v="70"/>
    <n v="492194"/>
    <n v="56740"/>
    <n v="492194"/>
    <n v="451171"/>
    <n v="448236"/>
    <x v="0"/>
    <n v="0.09"/>
    <n v="40341.24"/>
    <n v="0.91665278325213229"/>
    <n v="7031.3428571428567"/>
  </r>
  <r>
    <s v="REDWOOD CAPITAL BANK"/>
    <s v="Eureka"/>
    <x v="0"/>
    <n v="95501"/>
    <d v="2021-09-30T00:00:00"/>
    <x v="2"/>
    <n v="76"/>
    <n v="589935"/>
    <n v="106161"/>
    <n v="589935"/>
    <n v="540608"/>
    <n v="537410"/>
    <x v="0"/>
    <n v="0.09"/>
    <n v="48366.9"/>
    <n v="0.91638570350970872"/>
    <n v="7762.3026315789475"/>
  </r>
  <r>
    <s v="REPUBLIC BANK OF CHICAGO"/>
    <s v="Oak Brook"/>
    <x v="1"/>
    <n v="60523"/>
    <d v="2019-09-30T00:00:00"/>
    <x v="0"/>
    <n v="271"/>
    <n v="2027559"/>
    <n v="191430"/>
    <n v="2027559"/>
    <n v="1810096"/>
    <n v="1689313"/>
    <x v="1"/>
    <n v="7.4999999999999997E-2"/>
    <n v="126698.47499999999"/>
    <n v="0.89274640096786329"/>
    <n v="7481.7675276752771"/>
  </r>
  <r>
    <s v="REPUBLIC BANK OF CHICAGO"/>
    <s v="Oak Brook"/>
    <x v="1"/>
    <n v="60523"/>
    <d v="2020-09-30T00:00:00"/>
    <x v="1"/>
    <n v="268"/>
    <n v="2267629"/>
    <n v="342533"/>
    <n v="2267629"/>
    <n v="2034913"/>
    <n v="1890355"/>
    <x v="1"/>
    <n v="7.4999999999999997E-2"/>
    <n v="141776.625"/>
    <n v="0.89737474692729724"/>
    <n v="8461.3022388059708"/>
  </r>
  <r>
    <s v="REPUBLIC BANK OF CHICAGO"/>
    <s v="Oak Brook"/>
    <x v="1"/>
    <n v="60523"/>
    <d v="2021-09-30T00:00:00"/>
    <x v="2"/>
    <n v="259"/>
    <n v="2526150"/>
    <n v="528474"/>
    <n v="2526150"/>
    <n v="2265369"/>
    <n v="2130379"/>
    <x v="1"/>
    <n v="7.4999999999999997E-2"/>
    <n v="159778.42499999999"/>
    <n v="0.89676741286146899"/>
    <n v="9753.4749034749038"/>
  </r>
  <r>
    <s v="RESOURCE BANK, NATIONAL ASSOCIATION"/>
    <s v="Dekalb"/>
    <x v="1"/>
    <n v="60115"/>
    <d v="2019-09-30T00:00:00"/>
    <x v="0"/>
    <n v="159"/>
    <n v="526851"/>
    <n v="42243"/>
    <n v="526851"/>
    <n v="476816"/>
    <n v="474884"/>
    <x v="0"/>
    <n v="0.08"/>
    <n v="37990.720000000001"/>
    <n v="0.90503007491681708"/>
    <n v="3313.5283018867926"/>
  </r>
  <r>
    <s v="RESOURCE BANK, NATIONAL ASSOCIATION"/>
    <s v="Dekalb"/>
    <x v="1"/>
    <n v="60115"/>
    <d v="2020-09-30T00:00:00"/>
    <x v="1"/>
    <n v="159"/>
    <n v="624607"/>
    <n v="49678"/>
    <n v="624607"/>
    <n v="568433"/>
    <n v="566413"/>
    <x v="0"/>
    <n v="0.08"/>
    <n v="45313.04"/>
    <n v="0.91006504890275008"/>
    <n v="3928.3459119496856"/>
  </r>
  <r>
    <s v="RESOURCE BANK, NATIONAL ASSOCIATION"/>
    <s v="Dekalb"/>
    <x v="1"/>
    <n v="60115"/>
    <d v="2021-09-30T00:00:00"/>
    <x v="2"/>
    <n v="160"/>
    <n v="729347"/>
    <n v="74193"/>
    <n v="729347"/>
    <n v="669384"/>
    <n v="666903"/>
    <x v="0"/>
    <n v="0.08"/>
    <n v="53352.24"/>
    <n v="0.91778536142604272"/>
    <n v="4558.4187499999998"/>
  </r>
  <r>
    <s v="REYNOLDS STATE BANK"/>
    <s v="Reynolds"/>
    <x v="1"/>
    <n v="61279"/>
    <d v="2019-09-30T00:00:00"/>
    <x v="0"/>
    <n v="6"/>
    <n v="106715"/>
    <n v="15353"/>
    <n v="106715"/>
    <n v="80246"/>
    <n v="79619"/>
    <x v="0"/>
    <n v="0.08"/>
    <n v="6369.52"/>
    <n v="0.75196551562573211"/>
    <n v="17785.833333333332"/>
  </r>
  <r>
    <s v="REYNOLDS STATE BANK"/>
    <s v="Reynolds"/>
    <x v="1"/>
    <n v="61279"/>
    <d v="2020-09-30T00:00:00"/>
    <x v="1"/>
    <n v="5"/>
    <n v="107678"/>
    <n v="31129"/>
    <n v="107678"/>
    <n v="85697"/>
    <n v="84911"/>
    <x v="0"/>
    <n v="0.08"/>
    <n v="6792.88"/>
    <n v="0.79586359330596779"/>
    <n v="21535.599999999999"/>
  </r>
  <r>
    <s v="RHINEBECK BANK"/>
    <s v="Rhinebeck"/>
    <x v="2"/>
    <n v="12572"/>
    <d v="2019-09-30T00:00:00"/>
    <x v="0"/>
    <n v="164"/>
    <n v="945872"/>
    <n v="18357"/>
    <n v="945872"/>
    <n v="845947"/>
    <n v="788638"/>
    <x v="0"/>
    <n v="8.5000000000000006E-2"/>
    <n v="67034.23000000001"/>
    <n v="0.89435674171558099"/>
    <n v="5767.5121951219517"/>
  </r>
  <r>
    <s v="RHINEBECK BANK"/>
    <s v="Rhinebeck"/>
    <x v="2"/>
    <n v="12572"/>
    <d v="2020-09-30T00:00:00"/>
    <x v="1"/>
    <n v="166"/>
    <n v="1112403"/>
    <n v="51580"/>
    <n v="1112403"/>
    <n v="1005043"/>
    <n v="934259"/>
    <x v="1"/>
    <n v="0.08"/>
    <n v="74740.72"/>
    <n v="0.90348821425328774"/>
    <n v="6701.2228915662654"/>
  </r>
  <r>
    <s v="RHINEBECK BANK"/>
    <s v="Rhinebeck"/>
    <x v="2"/>
    <n v="12572"/>
    <d v="2021-09-30T00:00:00"/>
    <x v="2"/>
    <n v="199"/>
    <n v="1262594"/>
    <n v="114586"/>
    <n v="1262594"/>
    <n v="1145631"/>
    <n v="1105016"/>
    <x v="1"/>
    <n v="0.08"/>
    <n v="88401.279999999999"/>
    <n v="0.9073629369377646"/>
    <n v="6344.6934673366832"/>
  </r>
  <r>
    <s v="RIDGEWOOD SAVINGS BANK"/>
    <s v="Ridgewood"/>
    <x v="2"/>
    <n v="11385"/>
    <d v="2019-09-30T00:00:00"/>
    <x v="0"/>
    <n v="574"/>
    <n v="5737288"/>
    <n v="238728"/>
    <n v="5737288"/>
    <n v="4962810"/>
    <n v="4450614"/>
    <x v="1"/>
    <n v="0.08"/>
    <n v="356049.12"/>
    <n v="0.86500973979343554"/>
    <n v="9995.2752613240409"/>
  </r>
  <r>
    <s v="RIDGEWOOD SAVINGS BANK"/>
    <s v="Ridgewood"/>
    <x v="2"/>
    <n v="11385"/>
    <d v="2020-09-30T00:00:00"/>
    <x v="1"/>
    <n v="543"/>
    <n v="6256834"/>
    <n v="179064"/>
    <n v="6256834"/>
    <n v="5445802"/>
    <n v="4920693"/>
    <x v="1"/>
    <n v="0.08"/>
    <n v="393655.44"/>
    <n v="0.87037661539366395"/>
    <n v="11522.714548802947"/>
  </r>
  <r>
    <s v="RIDGEWOOD SAVINGS BANK"/>
    <s v="Ridgewood"/>
    <x v="2"/>
    <n v="11385"/>
    <d v="2021-09-30T00:00:00"/>
    <x v="2"/>
    <n v="512"/>
    <n v="6704553"/>
    <n v="375651"/>
    <n v="6704553"/>
    <n v="5865377"/>
    <n v="5356971"/>
    <x v="1"/>
    <n v="0.08"/>
    <n v="428557.68"/>
    <n v="0.87483490696546062"/>
    <n v="13094.830078125"/>
  </r>
  <r>
    <s v="RIVER CITY BANK"/>
    <s v="Sacramento"/>
    <x v="0"/>
    <n v="95833"/>
    <d v="2019-09-30T00:00:00"/>
    <x v="0"/>
    <n v="141"/>
    <n v="2460749"/>
    <n v="67601"/>
    <n v="2460749"/>
    <n v="2229717"/>
    <n v="2037744"/>
    <x v="1"/>
    <n v="0.08"/>
    <n v="163019.51999999999"/>
    <n v="0.90611313872320987"/>
    <n v="17452.120567375885"/>
  </r>
  <r>
    <s v="RIVER CITY BANK"/>
    <s v="Sacramento"/>
    <x v="0"/>
    <n v="95833"/>
    <d v="2020-09-30T00:00:00"/>
    <x v="1"/>
    <n v="135"/>
    <n v="3147300"/>
    <n v="167005"/>
    <n v="3147300"/>
    <n v="2887069"/>
    <n v="2836260"/>
    <x v="1"/>
    <n v="0.08"/>
    <n v="226900.80000000002"/>
    <n v="0.91731611222317544"/>
    <n v="23313.333333333332"/>
  </r>
  <r>
    <s v="RIVER CITY BANK"/>
    <s v="Sacramento"/>
    <x v="0"/>
    <n v="95833"/>
    <d v="2021-09-30T00:00:00"/>
    <x v="2"/>
    <n v="126"/>
    <n v="3563336"/>
    <n v="265575"/>
    <n v="3563336"/>
    <n v="3262792"/>
    <n v="3236533"/>
    <x v="1"/>
    <n v="0.08"/>
    <n v="258922.64"/>
    <n v="0.91565656452268329"/>
    <n v="28280.444444444445"/>
  </r>
  <r>
    <s v="RIVER VALLEY COMMUNITY BANK"/>
    <s v="Yuba City"/>
    <x v="0"/>
    <n v="95993"/>
    <d v="2019-09-30T00:00:00"/>
    <x v="0"/>
    <n v="52"/>
    <n v="419262"/>
    <n v="43957"/>
    <n v="419262"/>
    <n v="381557"/>
    <n v="314381"/>
    <x v="0"/>
    <n v="0.09"/>
    <n v="28294.289999999997"/>
    <n v="0.91006816739890573"/>
    <n v="8062.7307692307695"/>
  </r>
  <r>
    <s v="RIVER VALLEY COMMUNITY BANK"/>
    <s v="Yuba City"/>
    <x v="0"/>
    <n v="95993"/>
    <d v="2020-09-30T00:00:00"/>
    <x v="1"/>
    <n v="51"/>
    <n v="531019"/>
    <n v="69770"/>
    <n v="531019"/>
    <n v="485702"/>
    <n v="401143"/>
    <x v="0"/>
    <n v="0.09"/>
    <n v="36102.869999999995"/>
    <n v="0.91466030405691701"/>
    <n v="10412.137254901962"/>
  </r>
  <r>
    <s v="RIVER VALLEY COMMUNITY BANK"/>
    <s v="Yuba City"/>
    <x v="0"/>
    <n v="95993"/>
    <d v="2021-09-30T00:00:00"/>
    <x v="2"/>
    <n v="54"/>
    <n v="527556"/>
    <n v="69156"/>
    <n v="527556"/>
    <n v="479391"/>
    <n v="475761"/>
    <x v="0"/>
    <n v="0.09"/>
    <n v="42818.49"/>
    <n v="0.90870163546618743"/>
    <n v="9769.5555555555547"/>
  </r>
  <r>
    <s v="ROCHESTER STATE BANK"/>
    <s v="Rochester"/>
    <x v="1"/>
    <n v="62563"/>
    <d v="2019-09-30T00:00:00"/>
    <x v="0"/>
    <n v="13"/>
    <n v="95110"/>
    <n v="6457"/>
    <n v="95110"/>
    <n v="84021"/>
    <n v="83890"/>
    <x v="2"/>
    <n v="0.09"/>
    <n v="7550.0999999999995"/>
    <n v="0.88340868468089584"/>
    <n v="7316.1538461538457"/>
  </r>
  <r>
    <s v="ROCHESTER STATE BANK"/>
    <s v="Rochester"/>
    <x v="1"/>
    <n v="62563"/>
    <d v="2020-09-30T00:00:00"/>
    <x v="1"/>
    <n v="12"/>
    <n v="108795"/>
    <n v="10991"/>
    <n v="108795"/>
    <n v="94632"/>
    <n v="94484"/>
    <x v="0"/>
    <n v="0.08"/>
    <n v="7558.72"/>
    <n v="0.86981938508203505"/>
    <n v="9066.25"/>
  </r>
  <r>
    <s v="ROCKFORD BANK AND TRUST COMPANY"/>
    <s v="Rockford"/>
    <x v="1"/>
    <n v="61107"/>
    <d v="2019-09-30T00:00:00"/>
    <x v="0"/>
    <n v="70"/>
    <n v="519461"/>
    <n v="13722"/>
    <n v="519461"/>
    <n v="473278"/>
    <n v="451514"/>
    <x v="0"/>
    <n v="0.08"/>
    <n v="36121.120000000003"/>
    <n v="0.9110943843714927"/>
    <n v="7420.8714285714286"/>
  </r>
  <r>
    <s v="ROCKLAND TRUST COMPANY"/>
    <s v="Rockland"/>
    <x v="3"/>
    <n v="2370"/>
    <d v="2019-09-30T00:00:00"/>
    <x v="0"/>
    <n v="1340"/>
    <n v="11540305"/>
    <n v="219438"/>
    <n v="11540305"/>
    <n v="9749966"/>
    <n v="9422739"/>
    <x v="1"/>
    <n v="0.08"/>
    <n v="753819.12"/>
    <n v="0.84486207253621115"/>
    <n v="8612.1679104477607"/>
  </r>
  <r>
    <s v="ROCKLAND TRUST COMPANY"/>
    <s v="Rockland"/>
    <x v="3"/>
    <n v="2370"/>
    <d v="2020-09-30T00:00:00"/>
    <x v="1"/>
    <n v="1375"/>
    <n v="13161845"/>
    <n v="1268519"/>
    <n v="13161845"/>
    <n v="11434419"/>
    <n v="10953447"/>
    <x v="1"/>
    <n v="0.08"/>
    <n v="876275.76"/>
    <n v="0.86875502636598445"/>
    <n v="9572.2509090909098"/>
  </r>
  <r>
    <s v="ROCKLAND TRUST COMPANY"/>
    <s v="Rockland"/>
    <x v="3"/>
    <n v="2370"/>
    <d v="2021-09-30T00:00:00"/>
    <x v="2"/>
    <n v="1335"/>
    <n v="14535939"/>
    <n v="2007960"/>
    <n v="14535939"/>
    <n v="12712363"/>
    <n v="12336518"/>
    <x v="1"/>
    <n v="0.08"/>
    <n v="986921.44000000006"/>
    <n v="0.87454707948347887"/>
    <n v="10888.34382022472"/>
  </r>
  <r>
    <s v="ROLLSTONE BANK &amp; TRUST"/>
    <s v="Fitchburg"/>
    <x v="3"/>
    <n v="1420"/>
    <d v="2019-09-30T00:00:00"/>
    <x v="0"/>
    <n v="96"/>
    <n v="690761"/>
    <n v="10120"/>
    <n v="690761"/>
    <n v="615543"/>
    <n v="469680"/>
    <x v="0"/>
    <n v="8.5000000000000006E-2"/>
    <n v="39922.800000000003"/>
    <n v="0.89110850207235204"/>
    <n v="7195.427083333333"/>
  </r>
  <r>
    <s v="ROLLSTONE BANK &amp; TRUST"/>
    <s v="Fitchburg"/>
    <x v="3"/>
    <n v="1420"/>
    <d v="2020-09-30T00:00:00"/>
    <x v="1"/>
    <n v="95"/>
    <n v="764491"/>
    <n v="8555"/>
    <n v="764491"/>
    <n v="686515"/>
    <n v="551266"/>
    <x v="0"/>
    <n v="8.5000000000000006E-2"/>
    <n v="46857.61"/>
    <n v="0.89800272338065457"/>
    <n v="8047.273684210526"/>
  </r>
  <r>
    <s v="ROLLSTONE BANK &amp; TRUST"/>
    <s v="Fitchburg"/>
    <x v="3"/>
    <n v="1420"/>
    <d v="2021-09-30T00:00:00"/>
    <x v="2"/>
    <n v="103"/>
    <n v="861811"/>
    <n v="50699"/>
    <n v="861811"/>
    <n v="776938"/>
    <n v="738342"/>
    <x v="0"/>
    <n v="8.5000000000000006E-2"/>
    <n v="62759.070000000007"/>
    <n v="0.90151785020149433"/>
    <n v="8367.0970873786409"/>
  </r>
  <r>
    <s v="RONDOUT SAVINGS BANK"/>
    <s v="Kingston"/>
    <x v="2"/>
    <n v="12401"/>
    <d v="2019-09-30T00:00:00"/>
    <x v="0"/>
    <n v="78"/>
    <n v="389701"/>
    <n v="26345"/>
    <n v="389701"/>
    <n v="350071"/>
    <n v="332324"/>
    <x v="0"/>
    <n v="8.5000000000000006E-2"/>
    <n v="28247.54"/>
    <n v="0.89830665048331926"/>
    <n v="4996.166666666667"/>
  </r>
  <r>
    <s v="RONDOUT SAVINGS BANK"/>
    <s v="Kingston"/>
    <x v="2"/>
    <n v="12401"/>
    <d v="2020-09-30T00:00:00"/>
    <x v="1"/>
    <n v="79"/>
    <n v="428291"/>
    <n v="41119"/>
    <n v="428292"/>
    <n v="386603"/>
    <n v="373854"/>
    <x v="0"/>
    <n v="8.5000000000000006E-2"/>
    <n v="31777.590000000004"/>
    <n v="0.90266431001351888"/>
    <n v="5421.4050632911394"/>
  </r>
  <r>
    <s v="RONDOUT SAVINGS BANK"/>
    <s v="Kingston"/>
    <x v="2"/>
    <n v="12401"/>
    <d v="2021-09-30T00:00:00"/>
    <x v="2"/>
    <n v="82"/>
    <n v="469289"/>
    <n v="69201"/>
    <n v="469289"/>
    <n v="425066"/>
    <n v="412658"/>
    <x v="0"/>
    <n v="8.5000000000000006E-2"/>
    <n v="35075.93"/>
    <n v="0.90576595658538772"/>
    <n v="5723.0365853658541"/>
  </r>
  <r>
    <s v="ROYAL BUSINESS BANK"/>
    <s v="Los Angeles"/>
    <x v="0"/>
    <n v="90017"/>
    <d v="2019-09-30T00:00:00"/>
    <x v="0"/>
    <n v="360"/>
    <n v="2815705"/>
    <n v="137025"/>
    <n v="2815705"/>
    <n v="2347182"/>
    <n v="2293238"/>
    <x v="1"/>
    <n v="0.08"/>
    <n v="183459.04"/>
    <n v="0.83360366231547689"/>
    <n v="7821.4027777777774"/>
  </r>
  <r>
    <s v="ROYAL BUSINESS BANK"/>
    <s v="Los Angeles"/>
    <x v="0"/>
    <n v="90017"/>
    <d v="2020-09-30T00:00:00"/>
    <x v="1"/>
    <n v="341"/>
    <n v="3357964"/>
    <n v="122229"/>
    <n v="3357964"/>
    <n v="2837909"/>
    <n v="2628116"/>
    <x v="1"/>
    <n v="0.08"/>
    <n v="210249.28"/>
    <n v="0.84512788106126213"/>
    <n v="9847.4017595307923"/>
  </r>
  <r>
    <s v="ROYAL BUSINESS BANK"/>
    <s v="Los Angeles"/>
    <x v="0"/>
    <n v="90017"/>
    <d v="2021-09-30T00:00:00"/>
    <x v="2"/>
    <n v="371"/>
    <n v="3796557"/>
    <n v="207527"/>
    <n v="3796557"/>
    <n v="3242761"/>
    <n v="3053361"/>
    <x v="1"/>
    <n v="0.08"/>
    <n v="244268.88"/>
    <n v="0.85413204648316887"/>
    <n v="10233.307277628031"/>
  </r>
  <r>
    <s v="ROYAL SAVINGS BANK"/>
    <s v="Chicago"/>
    <x v="1"/>
    <n v="60617"/>
    <d v="2019-09-30T00:00:00"/>
    <x v="0"/>
    <n v="57"/>
    <n v="394528"/>
    <n v="25436"/>
    <n v="394528"/>
    <n v="347298"/>
    <n v="345519"/>
    <x v="0"/>
    <n v="0.08"/>
    <n v="27641.52"/>
    <n v="0.88028733068375375"/>
    <n v="6921.5438596491231"/>
  </r>
  <r>
    <s v="ROYAL SAVINGS BANK"/>
    <s v="Chicago"/>
    <x v="1"/>
    <n v="60617"/>
    <d v="2020-09-30T00:00:00"/>
    <x v="1"/>
    <n v="56"/>
    <n v="511957"/>
    <n v="21020"/>
    <n v="511957"/>
    <n v="462993"/>
    <n v="457548"/>
    <x v="0"/>
    <n v="0.08"/>
    <n v="36603.840000000004"/>
    <n v="0.90435915516342191"/>
    <n v="9142.0892857142862"/>
  </r>
  <r>
    <s v="ROYAL SAVINGS BANK"/>
    <s v="Chicago"/>
    <x v="1"/>
    <n v="60617"/>
    <d v="2021-09-30T00:00:00"/>
    <x v="2"/>
    <n v="56"/>
    <n v="554859"/>
    <n v="29847"/>
    <n v="554859"/>
    <n v="499984"/>
    <n v="493616"/>
    <x v="0"/>
    <n v="0.08"/>
    <n v="39489.279999999999"/>
    <n v="0.9011010004343446"/>
    <n v="9908.1964285714294"/>
  </r>
  <r>
    <s v="RUSHVILLE STATE BANK"/>
    <s v="Rushville"/>
    <x v="1"/>
    <n v="62681"/>
    <d v="2019-09-30T00:00:00"/>
    <x v="0"/>
    <n v="16"/>
    <n v="105233"/>
    <n v="8236"/>
    <n v="105233"/>
    <n v="89865"/>
    <n v="88229"/>
    <x v="0"/>
    <n v="0.08"/>
    <n v="7058.32"/>
    <n v="0.85396216015888549"/>
    <n v="6577.0625"/>
  </r>
  <r>
    <s v="RUSHVILLE STATE BANK"/>
    <s v="Rushville"/>
    <x v="1"/>
    <n v="62681"/>
    <d v="2020-09-30T00:00:00"/>
    <x v="1"/>
    <n v="14"/>
    <n v="116387"/>
    <n v="9186"/>
    <n v="116387"/>
    <n v="99587"/>
    <n v="93933"/>
    <x v="0"/>
    <n v="0.08"/>
    <n v="7514.64"/>
    <n v="0.85565398197393183"/>
    <n v="8313.3571428571431"/>
  </r>
  <r>
    <s v="RUSHVILLE STATE BANK"/>
    <s v="Rushville"/>
    <x v="1"/>
    <n v="62681"/>
    <d v="2021-09-30T00:00:00"/>
    <x v="2"/>
    <n v="13"/>
    <n v="123496"/>
    <n v="15265"/>
    <n v="123496"/>
    <n v="106839"/>
    <n v="105184"/>
    <x v="0"/>
    <n v="0.08"/>
    <n v="8414.7199999999993"/>
    <n v="0.86512113752672148"/>
    <n v="9499.6923076923085"/>
  </r>
  <r>
    <s v="SAFRA NATIONAL BANK OF NEW YORK"/>
    <s v="New York"/>
    <x v="2"/>
    <n v="10036"/>
    <d v="2019-09-30T00:00:00"/>
    <x v="0"/>
    <n v="256"/>
    <n v="7706952"/>
    <n v="960274"/>
    <n v="7706952"/>
    <n v="6780129"/>
    <n v="6449408"/>
    <x v="1"/>
    <n v="0.08"/>
    <n v="515952.64000000001"/>
    <n v="0.87974195246058362"/>
    <n v="30105.28125"/>
  </r>
  <r>
    <s v="SAFRA NATIONAL BANK OF NEW YORK"/>
    <s v="New York"/>
    <x v="2"/>
    <n v="10036"/>
    <d v="2020-09-30T00:00:00"/>
    <x v="1"/>
    <n v="253"/>
    <n v="9512486"/>
    <n v="1300821"/>
    <n v="9512486"/>
    <n v="8476442"/>
    <n v="7682440"/>
    <x v="1"/>
    <n v="0.08"/>
    <n v="614595.20000000007"/>
    <n v="0.89108588438395597"/>
    <n v="37598.758893280632"/>
  </r>
  <r>
    <s v="SAFRA NATIONAL BANK OF NEW YORK"/>
    <s v="New York"/>
    <x v="2"/>
    <n v="10036"/>
    <d v="2021-09-30T00:00:00"/>
    <x v="2"/>
    <n v="256"/>
    <n v="9504524"/>
    <n v="1885196"/>
    <n v="9504524"/>
    <n v="8397248"/>
    <n v="7820363"/>
    <x v="1"/>
    <n v="0.08"/>
    <n v="625629.04"/>
    <n v="0.88350011005285478"/>
    <n v="37127.046875"/>
  </r>
  <r>
    <s v="SAINTE MARIE STATE BANK"/>
    <s v="Sainte Marie"/>
    <x v="1"/>
    <n v="62459"/>
    <d v="2019-09-30T00:00:00"/>
    <x v="0"/>
    <n v="4"/>
    <n v="17123"/>
    <n v="950"/>
    <n v="17123"/>
    <n v="13145"/>
    <n v="13111"/>
    <x v="2"/>
    <n v="0.09"/>
    <n v="1179.99"/>
    <n v="0.76768089703907028"/>
    <n v="4280.75"/>
  </r>
  <r>
    <s v="SAINTE MARIE STATE BANK"/>
    <s v="Sainte Marie"/>
    <x v="1"/>
    <n v="62459"/>
    <d v="2020-09-30T00:00:00"/>
    <x v="1"/>
    <n v="4"/>
    <n v="16422"/>
    <n v="1937"/>
    <n v="16422"/>
    <n v="12656"/>
    <n v="12622"/>
    <x v="2"/>
    <n v="0.09"/>
    <n v="1135.98"/>
    <n v="0.77067348678601877"/>
    <n v="4105.5"/>
  </r>
  <r>
    <s v="SAINTE MARIE STATE BANK"/>
    <s v="Sainte Marie"/>
    <x v="1"/>
    <n v="62459"/>
    <d v="2021-09-30T00:00:00"/>
    <x v="2"/>
    <n v="4"/>
    <n v="16170"/>
    <n v="4219"/>
    <n v="16170"/>
    <n v="12956"/>
    <n v="12888"/>
    <x v="2"/>
    <n v="0.09"/>
    <n v="1159.9199999999998"/>
    <n v="0.80123685837971548"/>
    <n v="4042.5"/>
  </r>
  <r>
    <s v="SALEM FIVE CENTS SAVINGS BANK"/>
    <s v="Salem"/>
    <x v="3"/>
    <n v="1970"/>
    <d v="2019-09-30T00:00:00"/>
    <x v="0"/>
    <n v="581"/>
    <n v="5242974"/>
    <n v="55358"/>
    <n v="5242974"/>
    <n v="4689430"/>
    <n v="4004438"/>
    <x v="1"/>
    <n v="0.08"/>
    <n v="320355.03999999998"/>
    <n v="0.89442175376036581"/>
    <n v="9024.0516351118767"/>
  </r>
  <r>
    <s v="SALEM FIVE CENTS SAVINGS BANK"/>
    <s v="Salem"/>
    <x v="3"/>
    <n v="1970"/>
    <d v="2020-09-30T00:00:00"/>
    <x v="1"/>
    <n v="607"/>
    <n v="5524552"/>
    <n v="177673"/>
    <n v="5524552"/>
    <n v="4924883"/>
    <n v="4027211"/>
    <x v="1"/>
    <n v="0.08"/>
    <n v="322176.88"/>
    <n v="0.89145382286201669"/>
    <n v="9101.4036243822084"/>
  </r>
  <r>
    <s v="SALEM FIVE CENTS SAVINGS BANK"/>
    <s v="Salem"/>
    <x v="3"/>
    <n v="1970"/>
    <d v="2021-09-30T00:00:00"/>
    <x v="2"/>
    <n v="612"/>
    <n v="5807733"/>
    <n v="251418"/>
    <n v="5807733"/>
    <n v="5129729"/>
    <n v="4394101"/>
    <x v="1"/>
    <n v="0.08"/>
    <n v="351528.08"/>
    <n v="0.88325840736824501"/>
    <n v="9489.7598039215682"/>
  </r>
  <r>
    <s v="SANTA CRUZ COUNTY BANK"/>
    <s v="Santa Cruz"/>
    <x v="0"/>
    <n v="95060"/>
    <d v="2019-09-30T00:00:00"/>
    <x v="0"/>
    <n v="87"/>
    <n v="722872"/>
    <n v="120476"/>
    <n v="722872"/>
    <n v="645064"/>
    <n v="631411"/>
    <x v="0"/>
    <n v="0.09"/>
    <n v="56826.99"/>
    <n v="0.8923626866167178"/>
    <n v="8308.8735632183907"/>
  </r>
  <r>
    <s v="SANTA CRUZ COUNTY BANK"/>
    <s v="Santa Cruz"/>
    <x v="0"/>
    <n v="95060"/>
    <d v="2020-09-30T00:00:00"/>
    <x v="1"/>
    <n v="134"/>
    <n v="1448697"/>
    <n v="85852"/>
    <n v="1448697"/>
    <n v="1283750"/>
    <n v="1179709"/>
    <x v="1"/>
    <n v="0.08"/>
    <n v="94376.72"/>
    <n v="0.88614113234168357"/>
    <n v="10811.171641791045"/>
  </r>
  <r>
    <s v="SANTA CRUZ COUNTY BANK"/>
    <s v="Santa Cruz"/>
    <x v="0"/>
    <n v="95060"/>
    <d v="2021-09-30T00:00:00"/>
    <x v="2"/>
    <n v="149"/>
    <n v="1699550"/>
    <n v="193525"/>
    <n v="1699550"/>
    <n v="1516505"/>
    <n v="1498744"/>
    <x v="1"/>
    <n v="0.08"/>
    <n v="119899.52"/>
    <n v="0.89229796122503013"/>
    <n v="11406.375838926175"/>
  </r>
  <r>
    <s v="SARATOGA NATIONAL BANK AND TRUST"/>
    <s v="Saratoga Springs"/>
    <x v="2"/>
    <n v="12866"/>
    <d v="2019-09-30T00:00:00"/>
    <x v="0"/>
    <n v="55"/>
    <n v="603505"/>
    <n v="18380"/>
    <n v="603505"/>
    <n v="544118"/>
    <n v="512565"/>
    <x v="0"/>
    <n v="8.5000000000000006E-2"/>
    <n v="43568.025000000001"/>
    <n v="0.90159650707119243"/>
    <n v="10972.818181818182"/>
  </r>
  <r>
    <s v="SARATOGA NATIONAL BANK AND TRUST"/>
    <s v="Saratoga Springs"/>
    <x v="2"/>
    <n v="12866"/>
    <d v="2020-09-30T00:00:00"/>
    <x v="1"/>
    <n v="56"/>
    <n v="799359"/>
    <n v="65434"/>
    <n v="799359"/>
    <n v="730143"/>
    <n v="699114"/>
    <x v="0"/>
    <n v="8.5000000000000006E-2"/>
    <n v="59424.69"/>
    <n v="0.91341062025948294"/>
    <n v="14274.267857142857"/>
  </r>
  <r>
    <s v="SARATOGA NATIONAL BANK AND TRUST"/>
    <s v="Saratoga Springs"/>
    <x v="2"/>
    <n v="12866"/>
    <d v="2021-09-30T00:00:00"/>
    <x v="2"/>
    <n v="55"/>
    <n v="847957"/>
    <n v="55191"/>
    <n v="847957"/>
    <n v="767014"/>
    <n v="740672"/>
    <x v="0"/>
    <n v="8.5000000000000006E-2"/>
    <n v="62957.120000000003"/>
    <n v="0.90454350869206812"/>
    <n v="15417.4"/>
  </r>
  <r>
    <s v="SAUK VALLEY BANK &amp; TRUST COMPANY"/>
    <s v="Sterling"/>
    <x v="1"/>
    <n v="61081"/>
    <d v="2019-09-30T00:00:00"/>
    <x v="0"/>
    <n v="105"/>
    <n v="450181"/>
    <n v="22314"/>
    <n v="450181"/>
    <n v="406936"/>
    <n v="392926"/>
    <x v="0"/>
    <n v="0.08"/>
    <n v="31434.080000000002"/>
    <n v="0.90393863801448748"/>
    <n v="4287.4380952380952"/>
  </r>
  <r>
    <s v="SAUK VALLEY BANK &amp; TRUST COMPANY"/>
    <s v="Sterling"/>
    <x v="1"/>
    <n v="61081"/>
    <d v="2020-09-30T00:00:00"/>
    <x v="1"/>
    <n v="105"/>
    <n v="569635"/>
    <n v="34799"/>
    <n v="569635"/>
    <n v="521114"/>
    <n v="467455"/>
    <x v="0"/>
    <n v="0.08"/>
    <n v="37396.400000000001"/>
    <n v="0.91482089408129763"/>
    <n v="5425.0952380952385"/>
  </r>
  <r>
    <s v="SAUK VALLEY BANK &amp; TRUST COMPANY"/>
    <s v="Sterling"/>
    <x v="1"/>
    <n v="61081"/>
    <d v="2021-09-30T00:00:00"/>
    <x v="2"/>
    <n v="110"/>
    <n v="602485"/>
    <n v="23638"/>
    <n v="602485"/>
    <n v="550522"/>
    <n v="524796"/>
    <x v="0"/>
    <n v="0.08"/>
    <n v="41983.68"/>
    <n v="0.91375220959857917"/>
    <n v="5477.136363636364"/>
  </r>
  <r>
    <s v="SAVANNAH BANK NATIONAL ASSOCIATION"/>
    <s v="Savannah"/>
    <x v="2"/>
    <n v="13146"/>
    <d v="2019-09-30T00:00:00"/>
    <x v="0"/>
    <n v="40"/>
    <n v="146391"/>
    <n v="17475"/>
    <n v="146391"/>
    <n v="133320"/>
    <n v="131613"/>
    <x v="0"/>
    <n v="8.5000000000000006E-2"/>
    <n v="11187.105000000001"/>
    <n v="0.91071172408139844"/>
    <n v="3659.7750000000001"/>
  </r>
  <r>
    <s v="SAVANNAH BANK NATIONAL ASSOCIATION"/>
    <s v="Savannah"/>
    <x v="2"/>
    <n v="13146"/>
    <d v="2020-09-30T00:00:00"/>
    <x v="1"/>
    <n v="38"/>
    <n v="156987"/>
    <n v="18599"/>
    <n v="156987"/>
    <n v="143055"/>
    <n v="140952"/>
    <x v="0"/>
    <n v="8.5000000000000006E-2"/>
    <n v="11980.92"/>
    <n v="0.9112537980851918"/>
    <n v="4131.2368421052633"/>
  </r>
  <r>
    <s v="SAVANNAH BANK NATIONAL ASSOCIATION"/>
    <s v="Savannah"/>
    <x v="2"/>
    <n v="13146"/>
    <d v="2021-09-30T00:00:00"/>
    <x v="2"/>
    <n v="37"/>
    <n v="166143"/>
    <n v="24634"/>
    <n v="166143"/>
    <n v="152619"/>
    <n v="150050"/>
    <x v="0"/>
    <n v="8.5000000000000006E-2"/>
    <n v="12754.250000000002"/>
    <n v="0.91860024196023904"/>
    <n v="4490.3513513513517"/>
  </r>
  <r>
    <s v="SAVANNA-THOMSON STATE BANK"/>
    <s v="Thomson"/>
    <x v="1"/>
    <n v="61285"/>
    <d v="2019-09-30T00:00:00"/>
    <x v="0"/>
    <n v="21"/>
    <n v="93929"/>
    <n v="8020"/>
    <n v="93929"/>
    <n v="80066"/>
    <n v="79900"/>
    <x v="2"/>
    <n v="0.09"/>
    <n v="7191"/>
    <n v="0.85240979889065149"/>
    <n v="4472.8095238095239"/>
  </r>
  <r>
    <s v="SAVANNA-THOMSON STATE BANK"/>
    <s v="Thomson"/>
    <x v="1"/>
    <n v="61285"/>
    <d v="2020-09-30T00:00:00"/>
    <x v="1"/>
    <n v="21"/>
    <n v="105004"/>
    <n v="14071"/>
    <n v="105004"/>
    <n v="90663"/>
    <n v="86549"/>
    <x v="0"/>
    <n v="0.08"/>
    <n v="6923.92"/>
    <n v="0.8634242505047427"/>
    <n v="5000.1904761904761"/>
  </r>
  <r>
    <s v="SAVANNA-THOMSON STATE BANK"/>
    <s v="Thomson"/>
    <x v="1"/>
    <n v="61285"/>
    <d v="2021-09-30T00:00:00"/>
    <x v="2"/>
    <n v="20"/>
    <n v="122602"/>
    <n v="12006"/>
    <n v="122602"/>
    <n v="108510"/>
    <n v="103365"/>
    <x v="0"/>
    <n v="0.08"/>
    <n v="8269.2000000000007"/>
    <n v="0.88505897130552524"/>
    <n v="6130.1"/>
  </r>
  <r>
    <s v="SAVERS CO-OPERATIVE BANK"/>
    <s v="Southbridge"/>
    <x v="3"/>
    <n v="1550"/>
    <d v="2019-09-30T00:00:00"/>
    <x v="0"/>
    <n v="93"/>
    <n v="581369"/>
    <n v="30880"/>
    <n v="581369"/>
    <n v="517261"/>
    <n v="422091"/>
    <x v="0"/>
    <n v="8.5000000000000006E-2"/>
    <n v="35877.735000000001"/>
    <n v="0.88972924252927144"/>
    <n v="6251.2795698924729"/>
  </r>
  <r>
    <s v="SAVERS CO-OPERATIVE BANK"/>
    <s v="Southbridge"/>
    <x v="3"/>
    <n v="1550"/>
    <d v="2020-09-30T00:00:00"/>
    <x v="1"/>
    <n v="86"/>
    <n v="653390"/>
    <n v="68299"/>
    <n v="653390"/>
    <n v="584585"/>
    <n v="500238"/>
    <x v="0"/>
    <n v="8.5000000000000006E-2"/>
    <n v="42520.23"/>
    <n v="0.89469535805567879"/>
    <n v="7597.5581395348836"/>
  </r>
  <r>
    <s v="SAVERS CO-OPERATIVE BANK"/>
    <s v="Southbridge"/>
    <x v="3"/>
    <n v="1550"/>
    <d v="2021-09-30T00:00:00"/>
    <x v="2"/>
    <n v="89"/>
    <n v="673307"/>
    <n v="113534"/>
    <n v="673307"/>
    <n v="601218"/>
    <n v="525171"/>
    <x v="0"/>
    <n v="8.5000000000000006E-2"/>
    <n v="44639.535000000003"/>
    <n v="0.89293294143681856"/>
    <n v="7565.2471910112363"/>
  </r>
  <r>
    <s v="SAVINGS BANK OF MENDOCINO COUNTY"/>
    <s v="Ukiah"/>
    <x v="0"/>
    <n v="95482"/>
    <d v="2019-09-30T00:00:00"/>
    <x v="0"/>
    <n v="196"/>
    <n v="1109400"/>
    <n v="26791"/>
    <n v="1109400"/>
    <n v="922562"/>
    <n v="917453"/>
    <x v="1"/>
    <n v="0.08"/>
    <n v="73396.240000000005"/>
    <n v="0.83158644312240848"/>
    <n v="5660.2040816326535"/>
  </r>
  <r>
    <s v="SAVINGS BANK OF MENDOCINO COUNTY"/>
    <s v="Ukiah"/>
    <x v="0"/>
    <n v="95482"/>
    <d v="2020-09-30T00:00:00"/>
    <x v="1"/>
    <n v="182"/>
    <n v="1286022"/>
    <n v="125232"/>
    <n v="1286022"/>
    <n v="1084096"/>
    <n v="1080076"/>
    <x v="1"/>
    <n v="0.08"/>
    <n v="86406.080000000002"/>
    <n v="0.84298402360146252"/>
    <n v="7066.0549450549452"/>
  </r>
  <r>
    <s v="SAVINGS BANK OF MENDOCINO COUNTY"/>
    <s v="Ukiah"/>
    <x v="0"/>
    <n v="95482"/>
    <d v="2021-09-30T00:00:00"/>
    <x v="2"/>
    <n v="184"/>
    <n v="1430740"/>
    <n v="80385"/>
    <n v="1430740"/>
    <n v="1224445"/>
    <n v="1219955"/>
    <x v="1"/>
    <n v="0.08"/>
    <n v="97596.400000000009"/>
    <n v="0.8558123768119994"/>
    <n v="7775.760869565217"/>
  </r>
  <r>
    <s v="SAVOY BANK"/>
    <s v="New York"/>
    <x v="2"/>
    <n v="10020"/>
    <d v="2019-09-30T00:00:00"/>
    <x v="0"/>
    <n v="40"/>
    <n v="381689"/>
    <n v="48899"/>
    <n v="381689"/>
    <n v="342389"/>
    <n v="324333"/>
    <x v="0"/>
    <n v="8.5000000000000006E-2"/>
    <n v="27568.305"/>
    <n v="0.89703659261859792"/>
    <n v="9542.2250000000004"/>
  </r>
  <r>
    <s v="SAVOY BANK"/>
    <s v="New York"/>
    <x v="2"/>
    <n v="10020"/>
    <d v="2020-09-30T00:00:00"/>
    <x v="1"/>
    <n v="45"/>
    <n v="587889"/>
    <n v="36676"/>
    <n v="587889"/>
    <n v="544135"/>
    <n v="333853"/>
    <x v="0"/>
    <n v="8.5000000000000006E-2"/>
    <n v="28377.505000000001"/>
    <n v="0.92557438564082672"/>
    <n v="13064.2"/>
  </r>
  <r>
    <s v="SAWYER SAVINGS BANK"/>
    <s v="Saugerties"/>
    <x v="2"/>
    <n v="12477"/>
    <d v="2019-09-30T00:00:00"/>
    <x v="0"/>
    <n v="43"/>
    <n v="251030"/>
    <n v="5548"/>
    <n v="251030"/>
    <n v="224533"/>
    <n v="201929"/>
    <x v="0"/>
    <n v="8.5000000000000006E-2"/>
    <n v="17163.965"/>
    <n v="0.89444687885910046"/>
    <n v="5837.9069767441861"/>
  </r>
  <r>
    <s v="SAWYER SAVINGS BANK"/>
    <s v="Saugerties"/>
    <x v="2"/>
    <n v="12477"/>
    <d v="2020-09-30T00:00:00"/>
    <x v="1"/>
    <n v="44"/>
    <n v="255983"/>
    <n v="8450"/>
    <n v="255983"/>
    <n v="228643"/>
    <n v="204683"/>
    <x v="0"/>
    <n v="8.5000000000000006E-2"/>
    <n v="17398.055"/>
    <n v="0.89319603254903646"/>
    <n v="5817.795454545455"/>
  </r>
  <r>
    <s v="SAWYER SAVINGS BANK"/>
    <s v="Saugerties"/>
    <x v="2"/>
    <n v="12477"/>
    <d v="2021-09-30T00:00:00"/>
    <x v="2"/>
    <n v="44"/>
    <n v="273166"/>
    <n v="12727"/>
    <n v="273166"/>
    <n v="244614"/>
    <n v="227746"/>
    <x v="0"/>
    <n v="8.5000000000000006E-2"/>
    <n v="19358.41"/>
    <n v="0.89547747523483889"/>
    <n v="6208.318181818182"/>
  </r>
  <r>
    <s v="SCHAUMBURG BANK &amp; TRUST COMPANY, NATIONAL ASSOCIATION"/>
    <s v="Schaumburg"/>
    <x v="1"/>
    <n v="60173"/>
    <d v="2019-09-30T00:00:00"/>
    <x v="0"/>
    <n v="67"/>
    <n v="1219958"/>
    <n v="54471"/>
    <n v="1219958"/>
    <n v="1086492"/>
    <n v="1040637"/>
    <x v="1"/>
    <n v="7.4999999999999997E-2"/>
    <n v="78047.774999999994"/>
    <n v="0.89059787304153093"/>
    <n v="18208.328358208953"/>
  </r>
  <r>
    <s v="SCHAUMBURG BANK &amp; TRUST COMPANY, NATIONAL ASSOCIATION"/>
    <s v="Schaumburg"/>
    <x v="1"/>
    <n v="60173"/>
    <d v="2020-09-30T00:00:00"/>
    <x v="1"/>
    <n v="66"/>
    <n v="1430023"/>
    <n v="221864"/>
    <n v="1430023"/>
    <n v="1303121"/>
    <n v="1245313"/>
    <x v="1"/>
    <n v="7.4999999999999997E-2"/>
    <n v="93398.474999999991"/>
    <n v="0.9112587699638397"/>
    <n v="21667.015151515152"/>
  </r>
  <r>
    <s v="SCHAUMBURG BANK &amp; TRUST COMPANY, NATIONAL ASSOCIATION"/>
    <s v="Schaumburg"/>
    <x v="1"/>
    <n v="60173"/>
    <d v="2021-09-30T00:00:00"/>
    <x v="2"/>
    <n v="60"/>
    <n v="1559896"/>
    <n v="125528"/>
    <n v="1559896"/>
    <n v="1407714"/>
    <n v="1355657"/>
    <x v="1"/>
    <n v="7.4999999999999997E-2"/>
    <n v="101674.27499999999"/>
    <n v="0.90244093195956654"/>
    <n v="25998.266666666666"/>
  </r>
  <r>
    <s v="SCOTT STATE BANK"/>
    <s v="Bethany"/>
    <x v="1"/>
    <n v="61914"/>
    <d v="2019-09-30T00:00:00"/>
    <x v="0"/>
    <n v="48"/>
    <n v="162935"/>
    <n v="20177"/>
    <n v="162935"/>
    <n v="137954"/>
    <n v="137598"/>
    <x v="0"/>
    <n v="0.08"/>
    <n v="11007.84"/>
    <n v="0.84668119188633506"/>
    <n v="3394.4791666666665"/>
  </r>
  <r>
    <s v="SCOTT STATE BANK"/>
    <s v="Bethany"/>
    <x v="1"/>
    <n v="61914"/>
    <d v="2020-09-30T00:00:00"/>
    <x v="1"/>
    <n v="46"/>
    <n v="182005"/>
    <n v="26928"/>
    <n v="182005"/>
    <n v="154964"/>
    <n v="151464"/>
    <x v="0"/>
    <n v="0.08"/>
    <n v="12117.12"/>
    <n v="0.8514271585945441"/>
    <n v="3956.6304347826085"/>
  </r>
  <r>
    <s v="SCOTT STATE BANK"/>
    <s v="Bethany"/>
    <x v="1"/>
    <n v="61914"/>
    <d v="2021-09-30T00:00:00"/>
    <x v="2"/>
    <n v="43"/>
    <n v="197631"/>
    <n v="23443"/>
    <n v="197631"/>
    <n v="170911"/>
    <n v="170565"/>
    <x v="0"/>
    <n v="0.08"/>
    <n v="13645.2"/>
    <n v="0.86479853869079248"/>
    <n v="4596.0697674418607"/>
  </r>
  <r>
    <s v="SEACOAST COMMERCE BANK"/>
    <s v="San Diego"/>
    <x v="0"/>
    <n v="92128"/>
    <d v="2019-09-30T00:00:00"/>
    <x v="0"/>
    <n v="154"/>
    <n v="1082517"/>
    <n v="35894"/>
    <n v="1082517"/>
    <n v="953118"/>
    <n v="852331"/>
    <x v="1"/>
    <n v="0.08"/>
    <n v="68186.48"/>
    <n v="0.88046469478077483"/>
    <n v="7029.3311688311687"/>
  </r>
  <r>
    <s v="SEACOAST COMMERCE BANK"/>
    <s v="San Diego"/>
    <x v="0"/>
    <n v="92128"/>
    <d v="2020-09-30T00:00:00"/>
    <x v="1"/>
    <n v="152"/>
    <n v="1327398"/>
    <n v="67311"/>
    <n v="1327398"/>
    <n v="1187778"/>
    <n v="1005544"/>
    <x v="1"/>
    <n v="0.08"/>
    <n v="80443.520000000004"/>
    <n v="0.89481677688229155"/>
    <n v="8732.8815789473683"/>
  </r>
  <r>
    <s v="SEAMEN'S BANK"/>
    <s v="Provincetown"/>
    <x v="3"/>
    <n v="2657"/>
    <d v="2019-09-30T00:00:00"/>
    <x v="0"/>
    <n v="68"/>
    <n v="401673"/>
    <n v="41084"/>
    <n v="401673"/>
    <n v="358500"/>
    <n v="355170"/>
    <x v="0"/>
    <n v="8.5000000000000006E-2"/>
    <n v="30189.45"/>
    <n v="0.89251704744904437"/>
    <n v="5906.9558823529414"/>
  </r>
  <r>
    <s v="SEAMEN'S BANK"/>
    <s v="Provincetown"/>
    <x v="3"/>
    <n v="2657"/>
    <d v="2020-09-30T00:00:00"/>
    <x v="1"/>
    <n v="71"/>
    <n v="472022"/>
    <n v="110995"/>
    <n v="472022"/>
    <n v="426518"/>
    <n v="423178"/>
    <x v="0"/>
    <n v="8.5000000000000006E-2"/>
    <n v="35970.130000000005"/>
    <n v="0.90359771366588848"/>
    <n v="6648.1971830985913"/>
  </r>
  <r>
    <s v="SEAMEN'S BANK"/>
    <s v="Provincetown"/>
    <x v="3"/>
    <n v="2657"/>
    <d v="2021-09-30T00:00:00"/>
    <x v="2"/>
    <n v="71"/>
    <n v="568051"/>
    <n v="226247"/>
    <n v="568051"/>
    <n v="521838"/>
    <n v="521456"/>
    <x v="0"/>
    <n v="8.5000000000000006E-2"/>
    <n v="44323.76"/>
    <n v="0.9186463891446367"/>
    <n v="8000.7183098591549"/>
  </r>
  <r>
    <s v="SECURITY BANK, S.B."/>
    <s v="Springfield"/>
    <x v="1"/>
    <n v="62701"/>
    <d v="2019-09-30T00:00:00"/>
    <x v="0"/>
    <n v="37"/>
    <n v="196347"/>
    <n v="18779"/>
    <n v="196347"/>
    <n v="180211"/>
    <n v="179832"/>
    <x v="0"/>
    <n v="0.08"/>
    <n v="14386.56"/>
    <n v="0.91781896336587776"/>
    <n v="5306.6756756756758"/>
  </r>
  <r>
    <s v="SECURITY BANK, S.B."/>
    <s v="Springfield"/>
    <x v="1"/>
    <n v="62701"/>
    <d v="2020-09-30T00:00:00"/>
    <x v="1"/>
    <n v="41"/>
    <n v="183227"/>
    <n v="35629"/>
    <n v="183227"/>
    <n v="166579"/>
    <n v="161776"/>
    <x v="0"/>
    <n v="0.08"/>
    <n v="12942.08"/>
    <n v="0.90914002848925102"/>
    <n v="4468.9512195121952"/>
  </r>
  <r>
    <s v="SECURITY BANK, S.B."/>
    <s v="Springfield"/>
    <x v="1"/>
    <n v="62701"/>
    <d v="2021-09-30T00:00:00"/>
    <x v="2"/>
    <n v="49"/>
    <n v="257525"/>
    <n v="42765"/>
    <n v="257525"/>
    <n v="240538"/>
    <n v="239840"/>
    <x v="0"/>
    <n v="0.08"/>
    <n v="19187.2"/>
    <n v="0.93403747209008836"/>
    <n v="5255.6122448979595"/>
  </r>
  <r>
    <s v="SECURITY NATIONAL BANK"/>
    <s v="Witt"/>
    <x v="1"/>
    <n v="62094"/>
    <d v="2019-09-30T00:00:00"/>
    <x v="0"/>
    <n v="23"/>
    <n v="81604"/>
    <n v="12681"/>
    <n v="81604"/>
    <n v="73017"/>
    <n v="67972"/>
    <x v="2"/>
    <n v="0.09"/>
    <n v="6117.48"/>
    <n v="0.89477231508259403"/>
    <n v="3548"/>
  </r>
  <r>
    <s v="SECURITY NATIONAL BANK"/>
    <s v="Witt"/>
    <x v="1"/>
    <n v="62094"/>
    <d v="2020-09-30T00:00:00"/>
    <x v="1"/>
    <n v="23"/>
    <n v="90458"/>
    <n v="23015"/>
    <n v="90458"/>
    <n v="81770"/>
    <n v="73702"/>
    <x v="2"/>
    <n v="0.09"/>
    <n v="6633.1799999999994"/>
    <n v="0.90395542682792018"/>
    <n v="3932.9565217391305"/>
  </r>
  <r>
    <s v="SECURITY NATIONAL BANK"/>
    <s v="Witt"/>
    <x v="1"/>
    <n v="62094"/>
    <d v="2021-09-30T00:00:00"/>
    <x v="2"/>
    <n v="23"/>
    <n v="98489"/>
    <n v="16108"/>
    <n v="98489"/>
    <n v="89381"/>
    <n v="81185"/>
    <x v="2"/>
    <n v="0.09"/>
    <n v="7306.65"/>
    <n v="0.90752266750601585"/>
    <n v="4282.130434782609"/>
  </r>
  <r>
    <s v="SECURITY SAVINGS BANK"/>
    <s v="Monmouth"/>
    <x v="1"/>
    <n v="61462"/>
    <d v="2019-09-30T00:00:00"/>
    <x v="0"/>
    <n v="39"/>
    <n v="198426"/>
    <n v="18674"/>
    <n v="198426"/>
    <n v="176305"/>
    <n v="175243"/>
    <x v="0"/>
    <n v="0.08"/>
    <n v="14019.44"/>
    <n v="0.88851763377783155"/>
    <n v="5087.8461538461543"/>
  </r>
  <r>
    <s v="SECURITY SAVINGS BANK"/>
    <s v="Monmouth"/>
    <x v="1"/>
    <n v="61462"/>
    <d v="2020-09-30T00:00:00"/>
    <x v="1"/>
    <n v="40"/>
    <n v="212108"/>
    <n v="32907"/>
    <n v="212108"/>
    <n v="188492"/>
    <n v="187315"/>
    <x v="0"/>
    <n v="0.08"/>
    <n v="14985.2"/>
    <n v="0.88866049371075118"/>
    <n v="5302.7"/>
  </r>
  <r>
    <s v="SECURITY SAVINGS BANK"/>
    <s v="Monmouth"/>
    <x v="1"/>
    <n v="61462"/>
    <d v="2021-09-30T00:00:00"/>
    <x v="2"/>
    <n v="39"/>
    <n v="243081"/>
    <n v="5733"/>
    <n v="243081"/>
    <n v="218639"/>
    <n v="212550"/>
    <x v="0"/>
    <n v="0.08"/>
    <n v="17004"/>
    <n v="0.89944915480847942"/>
    <n v="6232.8461538461543"/>
  </r>
  <r>
    <s v="SENB BANK"/>
    <s v="Moline"/>
    <x v="1"/>
    <n v="61265"/>
    <d v="2019-09-30T00:00:00"/>
    <x v="0"/>
    <n v="74"/>
    <n v="297376"/>
    <n v="8547"/>
    <n v="297376"/>
    <n v="267190"/>
    <n v="227622"/>
    <x v="0"/>
    <n v="0.08"/>
    <n v="18209.760000000002"/>
    <n v="0.8984921446249865"/>
    <n v="4018.5945945945946"/>
  </r>
  <r>
    <s v="SENB BANK"/>
    <s v="Moline"/>
    <x v="1"/>
    <n v="61265"/>
    <d v="2020-09-30T00:00:00"/>
    <x v="1"/>
    <n v="76"/>
    <n v="339791"/>
    <n v="20328"/>
    <n v="339790"/>
    <n v="306793"/>
    <n v="256175"/>
    <x v="0"/>
    <n v="0.08"/>
    <n v="20494"/>
    <n v="0.902887363114385"/>
    <n v="4470.9342105263158"/>
  </r>
  <r>
    <s v="SENB BANK"/>
    <s v="Moline"/>
    <x v="1"/>
    <n v="61265"/>
    <d v="2021-09-30T00:00:00"/>
    <x v="2"/>
    <n v="73"/>
    <n v="360589"/>
    <n v="43911"/>
    <n v="360589"/>
    <n v="325660"/>
    <n v="281472"/>
    <x v="0"/>
    <n v="0.08"/>
    <n v="22517.760000000002"/>
    <n v="0.90313348438249641"/>
    <n v="4939.5753424657532"/>
  </r>
  <r>
    <s v="SENECA SAVINGS"/>
    <s v="Baldwinsville"/>
    <x v="2"/>
    <n v="13027"/>
    <d v="2019-09-30T00:00:00"/>
    <x v="0"/>
    <n v="41"/>
    <n v="210508"/>
    <n v="2943"/>
    <n v="210508"/>
    <n v="192181"/>
    <n v="149554"/>
    <x v="0"/>
    <n v="8.5000000000000006E-2"/>
    <n v="12712.09"/>
    <n v="0.91293917570828664"/>
    <n v="5134.3414634146338"/>
  </r>
  <r>
    <s v="SENECA SAVINGS"/>
    <s v="Baldwinsville"/>
    <x v="2"/>
    <n v="13027"/>
    <d v="2020-09-30T00:00:00"/>
    <x v="1"/>
    <n v="43"/>
    <n v="231184"/>
    <n v="2594"/>
    <n v="231184"/>
    <n v="210812"/>
    <n v="163481"/>
    <x v="0"/>
    <n v="8.5000000000000006E-2"/>
    <n v="13895.885"/>
    <n v="0.91187971485915975"/>
    <n v="5376.3720930232557"/>
  </r>
  <r>
    <s v="SENECA SAVINGS"/>
    <s v="Baldwinsville"/>
    <x v="2"/>
    <n v="13027"/>
    <d v="2021-09-30T00:00:00"/>
    <x v="2"/>
    <n v="47"/>
    <n v="217311"/>
    <n v="6568"/>
    <n v="217311"/>
    <n v="195080"/>
    <n v="167185"/>
    <x v="0"/>
    <n v="8.5000000000000006E-2"/>
    <n v="14210.725"/>
    <n v="0.89769961023602118"/>
    <n v="4623.6382978723404"/>
  </r>
  <r>
    <s v="SHELBY COUNTY STATE BANK"/>
    <s v="Shelbyville"/>
    <x v="1"/>
    <n v="62565"/>
    <d v="2019-09-30T00:00:00"/>
    <x v="0"/>
    <n v="52"/>
    <n v="257423"/>
    <n v="15744"/>
    <n v="257423"/>
    <n v="231810"/>
    <n v="216274"/>
    <x v="0"/>
    <n v="0.08"/>
    <n v="17301.920000000002"/>
    <n v="0.90050228612050986"/>
    <n v="4950.4423076923076"/>
  </r>
  <r>
    <s v="SHELBY COUNTY STATE BANK"/>
    <s v="Shelbyville"/>
    <x v="1"/>
    <n v="62565"/>
    <d v="2020-09-30T00:00:00"/>
    <x v="1"/>
    <n v="52"/>
    <n v="270231"/>
    <n v="4632"/>
    <n v="270231"/>
    <n v="242646"/>
    <n v="228103"/>
    <x v="0"/>
    <n v="0.08"/>
    <n v="18248.240000000002"/>
    <n v="0.89792066787304192"/>
    <n v="5196.75"/>
  </r>
  <r>
    <s v="SHELBY COUNTY STATE BANK"/>
    <s v="Shelbyville"/>
    <x v="1"/>
    <n v="62565"/>
    <d v="2021-09-30T00:00:00"/>
    <x v="2"/>
    <n v="54"/>
    <n v="287903"/>
    <n v="10484"/>
    <n v="287903"/>
    <n v="260156"/>
    <n v="257624"/>
    <x v="0"/>
    <n v="0.08"/>
    <n v="20609.920000000002"/>
    <n v="0.90362378995703418"/>
    <n v="5331.5370370370374"/>
  </r>
  <r>
    <s v="SHINHAN BANK AMERICA"/>
    <s v="New York"/>
    <x v="2"/>
    <n v="10001"/>
    <d v="2019-09-30T00:00:00"/>
    <x v="0"/>
    <n v="285"/>
    <n v="1581500"/>
    <n v="126322"/>
    <n v="1581500"/>
    <n v="1366927"/>
    <n v="1353617"/>
    <x v="1"/>
    <n v="0.08"/>
    <n v="108289.36"/>
    <n v="0.86432311097059755"/>
    <n v="5549.1228070175439"/>
  </r>
  <r>
    <s v="SHINHAN BANK AMERICA"/>
    <s v="New York"/>
    <x v="2"/>
    <n v="10016"/>
    <d v="2020-09-30T00:00:00"/>
    <x v="1"/>
    <n v="244"/>
    <n v="1820875"/>
    <n v="196031"/>
    <n v="1820875"/>
    <n v="1605371"/>
    <n v="1533649"/>
    <x v="1"/>
    <n v="0.08"/>
    <n v="122691.92"/>
    <n v="0.88164810873893051"/>
    <n v="7462.6024590163934"/>
  </r>
  <r>
    <s v="SHINHAN BANK AMERICA"/>
    <s v="New York"/>
    <x v="2"/>
    <n v="10016"/>
    <d v="2021-09-30T00:00:00"/>
    <x v="2"/>
    <n v="237"/>
    <n v="1885300"/>
    <n v="217175"/>
    <n v="1885300"/>
    <n v="1666330"/>
    <n v="1651149"/>
    <x v="1"/>
    <n v="0.08"/>
    <n v="132091.92000000001"/>
    <n v="0.88385402853657247"/>
    <n v="7954.8523206751051"/>
  </r>
  <r>
    <s v="SIGNATURE BANK"/>
    <s v="New York"/>
    <x v="2"/>
    <n v="10017"/>
    <d v="2019-09-30T00:00:00"/>
    <x v="0"/>
    <n v="1495"/>
    <n v="49424934"/>
    <n v="991936"/>
    <n v="49424935"/>
    <n v="44683077"/>
    <n v="39060980"/>
    <x v="1"/>
    <n v="0.08"/>
    <n v="3124878.4"/>
    <n v="0.90405941664990386"/>
    <n v="33060.156521739133"/>
  </r>
  <r>
    <s v="SIGNATURE BANK"/>
    <s v="Rosemont"/>
    <x v="1"/>
    <n v="60018"/>
    <d v="2019-09-30T00:00:00"/>
    <x v="0"/>
    <n v="81"/>
    <n v="891205"/>
    <n v="129037"/>
    <n v="891205"/>
    <n v="798084"/>
    <n v="786945"/>
    <x v="0"/>
    <n v="0.08"/>
    <n v="62955.6"/>
    <n v="0.89551113380198721"/>
    <n v="11002.530864197532"/>
  </r>
  <r>
    <s v="SIGNATURE BANK"/>
    <s v="New York"/>
    <x v="2"/>
    <n v="10017"/>
    <d v="2020-09-30T00:00:00"/>
    <x v="1"/>
    <n v="1619"/>
    <n v="63760313"/>
    <n v="6509063"/>
    <n v="63760313"/>
    <n v="58777115"/>
    <n v="54346906"/>
    <x v="1"/>
    <n v="0.08"/>
    <n v="4347752.4800000004"/>
    <n v="0.92184483159610586"/>
    <n v="39382.528103767756"/>
  </r>
  <r>
    <s v="SIGNATURE BANK"/>
    <s v="Rosemont"/>
    <x v="1"/>
    <n v="60018"/>
    <d v="2020-09-30T00:00:00"/>
    <x v="1"/>
    <n v="82"/>
    <n v="1204763"/>
    <n v="156185"/>
    <n v="1204764"/>
    <n v="1094446"/>
    <n v="1077842"/>
    <x v="1"/>
    <n v="7.4999999999999997E-2"/>
    <n v="80838.149999999994"/>
    <n v="0.908432612887348"/>
    <n v="14692.231707317073"/>
  </r>
  <r>
    <s v="SIGNATURE BANK"/>
    <s v="New York"/>
    <x v="2"/>
    <n v="10017"/>
    <d v="2021-09-30T00:00:00"/>
    <x v="2"/>
    <n v="1847"/>
    <n v="107850739"/>
    <n v="28960213"/>
    <n v="107850739"/>
    <n v="100171600"/>
    <n v="95586660"/>
    <x v="1"/>
    <n v="0.08"/>
    <n v="7646932.7999999998"/>
    <n v="0.92879845728270805"/>
    <n v="58392.387114239304"/>
  </r>
  <r>
    <s v="SIGNATURE BANK"/>
    <s v="Rosemont"/>
    <x v="1"/>
    <n v="60018"/>
    <d v="2021-09-30T00:00:00"/>
    <x v="2"/>
    <n v="81"/>
    <n v="1501249"/>
    <n v="368956"/>
    <n v="1501249"/>
    <n v="1373171"/>
    <n v="1357444"/>
    <x v="1"/>
    <n v="7.4999999999999997E-2"/>
    <n v="101808.3"/>
    <n v="0.91468570503627311"/>
    <n v="18533.938271604937"/>
  </r>
  <r>
    <s v="SILICON VALLEY BANK"/>
    <s v="Santa Clara"/>
    <x v="0"/>
    <n v="95054"/>
    <d v="2019-09-30T00:00:00"/>
    <x v="0"/>
    <n v="3068"/>
    <n v="67059614"/>
    <n v="6319589"/>
    <n v="67059614"/>
    <n v="62140847"/>
    <n v="60432256"/>
    <x v="1"/>
    <n v="0.08"/>
    <n v="4834580.4800000004"/>
    <n v="0.92665083040889562"/>
    <n v="21857.762059973924"/>
  </r>
  <r>
    <s v="SILICON VALLEY BANK"/>
    <s v="Santa Clara"/>
    <x v="0"/>
    <n v="95054"/>
    <d v="2020-09-30T00:00:00"/>
    <x v="1"/>
    <n v="3693"/>
    <n v="95182370"/>
    <n v="14920167"/>
    <n v="95182370"/>
    <n v="89078008"/>
    <n v="86264581"/>
    <x v="1"/>
    <n v="0.08"/>
    <n v="6901166.4800000004"/>
    <n v="0.93586667362874032"/>
    <n v="25773.725968047656"/>
  </r>
  <r>
    <s v="SILICON VALLEY BANK"/>
    <s v="Santa Clara"/>
    <x v="0"/>
    <n v="95054"/>
    <d v="2021-09-30T00:00:00"/>
    <x v="2"/>
    <n v="5554"/>
    <n v="188327020"/>
    <n v="17975157"/>
    <n v="188327020"/>
    <n v="174926861"/>
    <n v="172286882"/>
    <x v="1"/>
    <n v="0.08"/>
    <n v="13782950.560000001"/>
    <n v="0.92884632805212974"/>
    <n v="33908.357940223264"/>
  </r>
  <r>
    <s v="SILVERGATE BANK"/>
    <s v="La Jolla"/>
    <x v="0"/>
    <n v="92037"/>
    <d v="2019-09-30T00:00:00"/>
    <x v="0"/>
    <n v="207"/>
    <n v="2133337"/>
    <n v="159818"/>
    <n v="2133337"/>
    <n v="1896386"/>
    <n v="1859087"/>
    <x v="1"/>
    <n v="0.08"/>
    <n v="148726.96"/>
    <n v="0.88892940965257716"/>
    <n v="10305.975845410629"/>
  </r>
  <r>
    <s v="SILVERGATE BANK"/>
    <s v="La Jolla"/>
    <x v="0"/>
    <n v="92037"/>
    <d v="2020-09-30T00:00:00"/>
    <x v="1"/>
    <n v="215"/>
    <n v="2620425"/>
    <n v="197473"/>
    <n v="2620425"/>
    <n v="2333693"/>
    <n v="2293714"/>
    <x v="1"/>
    <n v="0.08"/>
    <n v="183497.12"/>
    <n v="0.89057805508648402"/>
    <n v="12188.023255813954"/>
  </r>
  <r>
    <s v="SILVERGATE BANK"/>
    <s v="La Jolla"/>
    <x v="0"/>
    <n v="92037"/>
    <d v="2021-09-30T00:00:00"/>
    <x v="2"/>
    <n v="245"/>
    <n v="12775983"/>
    <n v="3784488"/>
    <n v="12775983"/>
    <n v="11747362"/>
    <n v="11721885"/>
    <x v="1"/>
    <n v="0.08"/>
    <n v="937750.8"/>
    <n v="0.9194879172898085"/>
    <n v="52146.869387755105"/>
  </r>
  <r>
    <s v="SOLUTIONS BANK"/>
    <s v="Forreston"/>
    <x v="1"/>
    <n v="61030"/>
    <d v="2020-09-30T00:00:00"/>
    <x v="1"/>
    <n v="43"/>
    <n v="335645"/>
    <n v="5371"/>
    <n v="335645"/>
    <n v="300216"/>
    <n v="260030"/>
    <x v="0"/>
    <n v="0.08"/>
    <n v="20802.400000000001"/>
    <n v="0.89444502376022283"/>
    <n v="7805.6976744186049"/>
  </r>
  <r>
    <s v="SOLUTIONS BANK"/>
    <s v="Forreston"/>
    <x v="1"/>
    <n v="61030"/>
    <d v="2021-09-30T00:00:00"/>
    <x v="2"/>
    <n v="43"/>
    <n v="319280"/>
    <n v="3910"/>
    <n v="319280"/>
    <n v="285095"/>
    <n v="284987"/>
    <x v="0"/>
    <n v="0.08"/>
    <n v="22798.959999999999"/>
    <n v="0.89293096968178398"/>
    <n v="7425.1162790697672"/>
  </r>
  <r>
    <s v="SOLVAY BANK"/>
    <s v="Solvay"/>
    <x v="2"/>
    <n v="13209"/>
    <d v="2019-09-30T00:00:00"/>
    <x v="0"/>
    <n v="158"/>
    <n v="969583"/>
    <n v="46638"/>
    <n v="969583"/>
    <n v="879026"/>
    <n v="841525"/>
    <x v="0"/>
    <n v="8.5000000000000006E-2"/>
    <n v="71529.625"/>
    <n v="0.90660211658001433"/>
    <n v="6136.6012658227846"/>
  </r>
  <r>
    <s v="SOLVAY BANK"/>
    <s v="Solvay"/>
    <x v="2"/>
    <n v="13209"/>
    <d v="2020-09-30T00:00:00"/>
    <x v="1"/>
    <n v="153"/>
    <n v="1065997"/>
    <n v="97449"/>
    <n v="1065997"/>
    <n v="967862"/>
    <n v="923865"/>
    <x v="1"/>
    <n v="0.08"/>
    <n v="73909.2"/>
    <n v="0.90794064148398168"/>
    <n v="6967.3006535947716"/>
  </r>
  <r>
    <s v="SOLVAY BANK"/>
    <s v="Solvay"/>
    <x v="2"/>
    <n v="13209"/>
    <d v="2021-09-30T00:00:00"/>
    <x v="2"/>
    <n v="155"/>
    <n v="1123635"/>
    <n v="45298"/>
    <n v="1123635"/>
    <n v="1023934"/>
    <n v="998732"/>
    <x v="1"/>
    <n v="0.08"/>
    <n v="79898.559999999998"/>
    <n v="0.91126922888660467"/>
    <n v="7249.2580645161288"/>
  </r>
  <r>
    <s v="SOUTH CENTRAL BANK, NATIONAL ASSOCIATION"/>
    <s v="Chicago"/>
    <x v="1"/>
    <n v="60607"/>
    <d v="2019-09-30T00:00:00"/>
    <x v="0"/>
    <n v="41"/>
    <n v="292161"/>
    <n v="3419"/>
    <n v="292161"/>
    <n v="266966"/>
    <n v="236757"/>
    <x v="0"/>
    <n v="0.08"/>
    <n v="18940.560000000001"/>
    <n v="0.91376330174116327"/>
    <n v="7125.8780487804879"/>
  </r>
  <r>
    <s v="SOUTH PORTE BANK"/>
    <s v="Marion"/>
    <x v="1"/>
    <n v="62959"/>
    <d v="2019-09-30T00:00:00"/>
    <x v="0"/>
    <n v="17"/>
    <n v="105414"/>
    <n v="8255"/>
    <n v="105414"/>
    <n v="95227"/>
    <n v="86623"/>
    <x v="0"/>
    <n v="0.08"/>
    <n v="6929.84"/>
    <n v="0.90336198227939368"/>
    <n v="6200.8235294117649"/>
  </r>
  <r>
    <s v="SOUTH SHORE BANK"/>
    <s v="South Weymouth"/>
    <x v="3"/>
    <n v="2190"/>
    <d v="2019-09-30T00:00:00"/>
    <x v="0"/>
    <n v="206"/>
    <n v="1540426"/>
    <n v="114284"/>
    <n v="1540426"/>
    <n v="1377679"/>
    <n v="1286099"/>
    <x v="1"/>
    <n v="0.08"/>
    <n v="102887.92"/>
    <n v="0.89434935530820692"/>
    <n v="7477.7961165048546"/>
  </r>
  <r>
    <s v="SOUTH SHORE BANK"/>
    <s v="South Weymouth"/>
    <x v="3"/>
    <n v="2190"/>
    <d v="2020-09-30T00:00:00"/>
    <x v="1"/>
    <n v="201"/>
    <n v="1847048"/>
    <n v="121304"/>
    <n v="1847048"/>
    <n v="1672770"/>
    <n v="1521176"/>
    <x v="1"/>
    <n v="0.08"/>
    <n v="121694.08"/>
    <n v="0.90564511588220775"/>
    <n v="9189.2935323383081"/>
  </r>
  <r>
    <s v="SOUTH SHORE BANK"/>
    <s v="South Weymouth"/>
    <x v="3"/>
    <n v="2190"/>
    <d v="2021-09-30T00:00:00"/>
    <x v="2"/>
    <n v="209"/>
    <n v="2050074"/>
    <n v="290588"/>
    <n v="2050074"/>
    <n v="1862708"/>
    <n v="1765801"/>
    <x v="1"/>
    <n v="0.08"/>
    <n v="141264.08000000002"/>
    <n v="0.90860525034706063"/>
    <n v="9808.9665071770341"/>
  </r>
  <r>
    <s v="SOUTHERN ILLINOIS BANK"/>
    <s v="Johnston City"/>
    <x v="1"/>
    <n v="62951"/>
    <d v="2019-09-30T00:00:00"/>
    <x v="0"/>
    <n v="28"/>
    <n v="117144"/>
    <n v="12149"/>
    <n v="117144"/>
    <n v="102674"/>
    <n v="101975"/>
    <x v="0"/>
    <n v="0.08"/>
    <n v="8158"/>
    <n v="0.87647681486034279"/>
    <n v="4183.7142857142853"/>
  </r>
  <r>
    <s v="SOUTHERN ILLINOIS BANK"/>
    <s v="Johnston City"/>
    <x v="1"/>
    <n v="62951"/>
    <d v="2020-09-30T00:00:00"/>
    <x v="1"/>
    <n v="25"/>
    <n v="135662"/>
    <n v="17097"/>
    <n v="135662"/>
    <n v="119641"/>
    <n v="114678"/>
    <x v="0"/>
    <n v="0.08"/>
    <n v="9174.24"/>
    <n v="0.88190502867420506"/>
    <n v="5426.48"/>
  </r>
  <r>
    <s v="SOUTHERN ILLINOIS BANK"/>
    <s v="Johnston City"/>
    <x v="1"/>
    <n v="62951"/>
    <d v="2021-09-30T00:00:00"/>
    <x v="2"/>
    <n v="26"/>
    <n v="161550"/>
    <n v="28978"/>
    <n v="161550"/>
    <n v="144363"/>
    <n v="138585"/>
    <x v="0"/>
    <n v="0.08"/>
    <n v="11086.800000000001"/>
    <n v="0.8936118848653668"/>
    <n v="6213.4615384615381"/>
  </r>
  <r>
    <s v="SOUTHERNTRUST BANK"/>
    <s v="Goreville"/>
    <x v="1"/>
    <n v="62939"/>
    <d v="2019-09-30T00:00:00"/>
    <x v="0"/>
    <n v="16"/>
    <n v="56041"/>
    <n v="8550"/>
    <n v="56040"/>
    <n v="50373"/>
    <n v="50212"/>
    <x v="2"/>
    <n v="0.09"/>
    <n v="4519.08"/>
    <n v="0.89885976338751983"/>
    <n v="3502.5625"/>
  </r>
  <r>
    <s v="SOUTHERNTRUST BANK"/>
    <s v="Marion"/>
    <x v="1"/>
    <n v="62959"/>
    <d v="2020-09-30T00:00:00"/>
    <x v="1"/>
    <n v="38"/>
    <n v="192955"/>
    <n v="19844"/>
    <n v="192955"/>
    <n v="173422"/>
    <n v="136190"/>
    <x v="0"/>
    <n v="0.08"/>
    <n v="10895.2"/>
    <n v="0.89876914306444511"/>
    <n v="5077.7631578947367"/>
  </r>
  <r>
    <s v="SOUTHERNTRUST BANK"/>
    <s v="Marion"/>
    <x v="1"/>
    <n v="62959"/>
    <d v="2021-09-30T00:00:00"/>
    <x v="2"/>
    <n v="40"/>
    <n v="214299"/>
    <n v="20337"/>
    <n v="214299"/>
    <n v="192056"/>
    <n v="142108"/>
    <x v="0"/>
    <n v="0.08"/>
    <n v="11368.64"/>
    <n v="0.89620576857568168"/>
    <n v="5357.4750000000004"/>
  </r>
  <r>
    <s v="SPRING BANK"/>
    <s v="Bronx"/>
    <x v="2"/>
    <n v="10452"/>
    <d v="2019-09-30T00:00:00"/>
    <x v="0"/>
    <n v="37"/>
    <n v="193202"/>
    <n v="9797"/>
    <n v="193202"/>
    <n v="168803"/>
    <n v="168074"/>
    <x v="0"/>
    <n v="8.5000000000000006E-2"/>
    <n v="14286.29"/>
    <n v="0.87371248744837005"/>
    <n v="5221.6756756756758"/>
  </r>
  <r>
    <s v="SPRING BANK"/>
    <s v="Bronx"/>
    <x v="2"/>
    <n v="10452"/>
    <d v="2020-09-30T00:00:00"/>
    <x v="1"/>
    <n v="33"/>
    <n v="324966"/>
    <n v="50648"/>
    <n v="324966"/>
    <n v="298074"/>
    <n v="205353"/>
    <x v="0"/>
    <n v="8.5000000000000006E-2"/>
    <n v="17455.005000000001"/>
    <n v="0.91724672734993817"/>
    <n v="9847.454545454546"/>
  </r>
  <r>
    <s v="SPRING BANK"/>
    <s v="Bronx"/>
    <x v="2"/>
    <n v="10452"/>
    <d v="2021-09-30T00:00:00"/>
    <x v="2"/>
    <n v="34"/>
    <n v="336177"/>
    <n v="42117"/>
    <n v="336177"/>
    <n v="305559"/>
    <n v="233537"/>
    <x v="0"/>
    <n v="8.5000000000000006E-2"/>
    <n v="19850.645"/>
    <n v="0.90892297807405031"/>
    <n v="9887.5588235294126"/>
  </r>
  <r>
    <s v="SPRING VALLEY CITY BANK"/>
    <s v="Spring Valley"/>
    <x v="1"/>
    <n v="61362"/>
    <d v="2019-09-30T00:00:00"/>
    <x v="0"/>
    <n v="32"/>
    <n v="189744"/>
    <n v="15700"/>
    <n v="189744"/>
    <n v="160538"/>
    <n v="158810"/>
    <x v="0"/>
    <n v="0.08"/>
    <n v="12704.800000000001"/>
    <n v="0.84607681929336365"/>
    <n v="5929.5"/>
  </r>
  <r>
    <s v="SPRING VALLEY CITY BANK"/>
    <s v="Spring Valley"/>
    <x v="1"/>
    <n v="61362"/>
    <d v="2020-09-30T00:00:00"/>
    <x v="1"/>
    <n v="29"/>
    <n v="208262"/>
    <n v="14587"/>
    <n v="208262"/>
    <n v="177136"/>
    <n v="171703"/>
    <x v="0"/>
    <n v="0.08"/>
    <n v="13736.24"/>
    <n v="0.85054402627459647"/>
    <n v="7181.4482758620688"/>
  </r>
  <r>
    <s v="SPRING VALLEY CITY BANK"/>
    <s v="Spring Valley"/>
    <x v="1"/>
    <n v="61362"/>
    <d v="2021-09-30T00:00:00"/>
    <x v="2"/>
    <n v="27"/>
    <n v="238650"/>
    <n v="21595"/>
    <n v="238650"/>
    <n v="207618"/>
    <n v="197175"/>
    <x v="0"/>
    <n v="0.08"/>
    <n v="15774"/>
    <n v="0.86996857322438714"/>
    <n v="8838.8888888888887"/>
  </r>
  <r>
    <s v="ST. CHARLES BANK &amp; TRUST COMPANY"/>
    <s v="Saint Charles"/>
    <x v="1"/>
    <n v="60174"/>
    <d v="2019-09-30T00:00:00"/>
    <x v="0"/>
    <n v="75"/>
    <n v="1273072"/>
    <n v="98440"/>
    <n v="1273072"/>
    <n v="1128285"/>
    <n v="1071058"/>
    <x v="1"/>
    <n v="7.4999999999999997E-2"/>
    <n v="80329.349999999991"/>
    <n v="0.88626959040808373"/>
    <n v="16974.293333333335"/>
  </r>
  <r>
    <s v="ST. CHARLES BANK &amp; TRUST COMPANY, NATIONAL ASSOCIATION"/>
    <s v="Saint Charles"/>
    <x v="1"/>
    <n v="60174"/>
    <d v="2020-09-30T00:00:00"/>
    <x v="1"/>
    <n v="88"/>
    <n v="1784996"/>
    <n v="165981"/>
    <n v="1784996"/>
    <n v="1595740"/>
    <n v="1526161"/>
    <x v="1"/>
    <n v="7.4999999999999997E-2"/>
    <n v="114462.075"/>
    <n v="0.89397399209858175"/>
    <n v="20284.045454545456"/>
  </r>
  <r>
    <s v="ST. CHARLES BANK &amp; TRUST COMPANY, NATIONAL ASSOCIATION"/>
    <s v="Saint Charles"/>
    <x v="1"/>
    <n v="60174"/>
    <d v="2021-09-30T00:00:00"/>
    <x v="2"/>
    <n v="78"/>
    <n v="1909559"/>
    <n v="206164"/>
    <n v="1909559"/>
    <n v="1697094"/>
    <n v="1634333"/>
    <x v="1"/>
    <n v="7.4999999999999997E-2"/>
    <n v="122574.97499999999"/>
    <n v="0.8887360903747934"/>
    <n v="24481.525641025641"/>
  </r>
  <r>
    <s v="STATE BANK"/>
    <s v="Wonder Lake"/>
    <x v="1"/>
    <n v="60097"/>
    <d v="2019-09-30T00:00:00"/>
    <x v="0"/>
    <n v="72"/>
    <n v="224044"/>
    <n v="20233"/>
    <n v="224044"/>
    <n v="197321"/>
    <n v="194795"/>
    <x v="0"/>
    <n v="0.08"/>
    <n v="15583.6"/>
    <n v="0.88072432200817696"/>
    <n v="3111.7222222222222"/>
  </r>
  <r>
    <s v="STATE BANK"/>
    <s v="Freeport"/>
    <x v="1"/>
    <n v="61032"/>
    <d v="2019-09-30T00:00:00"/>
    <x v="0"/>
    <n v="32"/>
    <n v="262659"/>
    <n v="10394"/>
    <n v="262659"/>
    <n v="233025"/>
    <n v="210550"/>
    <x v="0"/>
    <n v="0.08"/>
    <n v="16844"/>
    <n v="0.88717690998595133"/>
    <n v="8208.09375"/>
  </r>
  <r>
    <s v="STATE BANK"/>
    <s v="Waterloo"/>
    <x v="1"/>
    <n v="62298"/>
    <d v="2020-09-30T00:00:00"/>
    <x v="1"/>
    <n v="46"/>
    <n v="229085"/>
    <n v="26193"/>
    <n v="229085"/>
    <n v="209144"/>
    <n v="177125"/>
    <x v="0"/>
    <n v="0.08"/>
    <n v="14170"/>
    <n v="0.91295370713927149"/>
    <n v="4980.108695652174"/>
  </r>
  <r>
    <s v="STATE BANK"/>
    <s v="Wonder Lake"/>
    <x v="1"/>
    <n v="60097"/>
    <d v="2020-09-30T00:00:00"/>
    <x v="1"/>
    <n v="62"/>
    <n v="258381"/>
    <n v="17588"/>
    <n v="258381"/>
    <n v="231050"/>
    <n v="225743"/>
    <x v="0"/>
    <n v="0.08"/>
    <n v="18059.439999999999"/>
    <n v="0.89422209837410649"/>
    <n v="4167.4354838709678"/>
  </r>
  <r>
    <s v="STATE BANK"/>
    <s v="Freeport"/>
    <x v="1"/>
    <n v="61032"/>
    <d v="2020-09-30T00:00:00"/>
    <x v="1"/>
    <n v="33"/>
    <n v="301505"/>
    <n v="23636"/>
    <n v="301505"/>
    <n v="270057"/>
    <n v="231957"/>
    <x v="0"/>
    <n v="0.08"/>
    <n v="18556.560000000001"/>
    <n v="0.89569658877962222"/>
    <n v="9136.515151515152"/>
  </r>
  <r>
    <s v="STATE BANK"/>
    <s v="Waterloo"/>
    <x v="1"/>
    <n v="62298"/>
    <d v="2021-09-30T00:00:00"/>
    <x v="2"/>
    <n v="52"/>
    <n v="296797"/>
    <n v="49120"/>
    <n v="296797"/>
    <n v="272518"/>
    <n v="229126"/>
    <x v="0"/>
    <n v="0.08"/>
    <n v="18330.080000000002"/>
    <n v="0.9181966124994525"/>
    <n v="5707.6346153846152"/>
  </r>
  <r>
    <s v="STATE BANK"/>
    <s v="Wonder Lake"/>
    <x v="1"/>
    <n v="60097"/>
    <d v="2021-09-30T00:00:00"/>
    <x v="2"/>
    <n v="44"/>
    <n v="284362"/>
    <n v="87414"/>
    <n v="284362"/>
    <n v="256579"/>
    <n v="250249"/>
    <x v="0"/>
    <n v="0.08"/>
    <n v="20019.920000000002"/>
    <n v="0.90229707204197462"/>
    <n v="6462.772727272727"/>
  </r>
  <r>
    <s v="STATE BANK"/>
    <s v="Freeport"/>
    <x v="1"/>
    <n v="61032"/>
    <d v="2021-09-30T00:00:00"/>
    <x v="2"/>
    <n v="32"/>
    <n v="334741"/>
    <n v="58257"/>
    <n v="334741"/>
    <n v="301427"/>
    <n v="263513"/>
    <x v="0"/>
    <n v="0.08"/>
    <n v="21081.040000000001"/>
    <n v="0.90047828022261989"/>
    <n v="10460.65625"/>
  </r>
  <r>
    <s v="STATE BANK OF BEMENT"/>
    <s v="Bement"/>
    <x v="1"/>
    <n v="61813"/>
    <d v="2019-09-30T00:00:00"/>
    <x v="0"/>
    <n v="39"/>
    <n v="104323"/>
    <n v="5337"/>
    <n v="104323"/>
    <n v="91831"/>
    <n v="86445"/>
    <x v="0"/>
    <n v="0.08"/>
    <n v="6915.6"/>
    <n v="0.88025651102824876"/>
    <n v="2674.9487179487178"/>
  </r>
  <r>
    <s v="STATE BANK OF BEMENT"/>
    <s v="Bement"/>
    <x v="1"/>
    <n v="61813"/>
    <d v="2020-09-30T00:00:00"/>
    <x v="1"/>
    <n v="29"/>
    <n v="119910"/>
    <n v="22568"/>
    <n v="119910"/>
    <n v="107077"/>
    <n v="102495"/>
    <x v="0"/>
    <n v="0.08"/>
    <n v="8199.6"/>
    <n v="0.8929780668834959"/>
    <n v="4134.8275862068967"/>
  </r>
  <r>
    <s v="STATE BANK OF BEMENT"/>
    <s v="Bement"/>
    <x v="1"/>
    <n v="61813"/>
    <d v="2021-09-30T00:00:00"/>
    <x v="2"/>
    <n v="28"/>
    <n v="126340"/>
    <n v="32870"/>
    <n v="126340"/>
    <n v="113329"/>
    <n v="107813"/>
    <x v="0"/>
    <n v="0.08"/>
    <n v="8625.0400000000009"/>
    <n v="0.89701598860218457"/>
    <n v="4512.1428571428569"/>
  </r>
  <r>
    <s v="STATE BANK OF CERRO GORDO"/>
    <s v="Cerro Gordo"/>
    <x v="1"/>
    <n v="61818"/>
    <d v="2019-09-30T00:00:00"/>
    <x v="0"/>
    <n v="7"/>
    <n v="31074"/>
    <n v="8113"/>
    <n v="31074"/>
    <n v="26820"/>
    <n v="26689"/>
    <x v="2"/>
    <n v="0.09"/>
    <n v="2402.0099999999998"/>
    <n v="0.86310098474608998"/>
    <n v="4439.1428571428569"/>
  </r>
  <r>
    <s v="STATE BANK OF CERRO GORDO"/>
    <s v="Cerro Gordo"/>
    <x v="1"/>
    <n v="61818"/>
    <d v="2020-09-30T00:00:00"/>
    <x v="1"/>
    <n v="6"/>
    <n v="39383"/>
    <n v="11811"/>
    <n v="39383"/>
    <n v="34999"/>
    <n v="30777"/>
    <x v="2"/>
    <n v="0.09"/>
    <n v="2769.93"/>
    <n v="0.88868293426097555"/>
    <n v="6563.833333333333"/>
  </r>
  <r>
    <s v="STATE BANK OF CERRO GORDO"/>
    <s v="Cerro Gordo"/>
    <x v="1"/>
    <n v="61818"/>
    <d v="2021-09-30T00:00:00"/>
    <x v="2"/>
    <n v="5"/>
    <n v="37922"/>
    <n v="6974"/>
    <n v="37922"/>
    <n v="33549"/>
    <n v="33363"/>
    <x v="2"/>
    <n v="0.09"/>
    <n v="3002.67"/>
    <n v="0.88468435209113438"/>
    <n v="7584.4"/>
  </r>
  <r>
    <s v="STATE BANK OF CHERRY"/>
    <s v="Cherry"/>
    <x v="1"/>
    <n v="61317"/>
    <d v="2019-09-30T00:00:00"/>
    <x v="0"/>
    <n v="12"/>
    <n v="90673"/>
    <n v="12784"/>
    <n v="90673"/>
    <n v="77823"/>
    <n v="77638"/>
    <x v="2"/>
    <n v="0.09"/>
    <n v="6987.42"/>
    <n v="0.85828195824556375"/>
    <n v="7556.083333333333"/>
  </r>
  <r>
    <s v="STATE BANK OF CHERRY"/>
    <s v="Cherry"/>
    <x v="1"/>
    <n v="61317"/>
    <d v="2020-09-30T00:00:00"/>
    <x v="1"/>
    <n v="12"/>
    <n v="104319"/>
    <n v="15176"/>
    <n v="104319"/>
    <n v="90783"/>
    <n v="89717"/>
    <x v="0"/>
    <n v="0.08"/>
    <n v="7177.3600000000006"/>
    <n v="0.87024415494780438"/>
    <n v="8693.25"/>
  </r>
  <r>
    <s v="STATE BANK OF CHERRY"/>
    <s v="Cherry"/>
    <x v="1"/>
    <n v="61317"/>
    <d v="2021-09-30T00:00:00"/>
    <x v="2"/>
    <n v="12"/>
    <n v="117070"/>
    <n v="10465"/>
    <n v="117070"/>
    <n v="103237"/>
    <n v="102106"/>
    <x v="0"/>
    <n v="0.08"/>
    <n v="8168.4800000000005"/>
    <n v="0.88183992483129747"/>
    <n v="9755.8333333333339"/>
  </r>
  <r>
    <s v="STATE BANK OF DAVIS"/>
    <s v="Davis"/>
    <x v="1"/>
    <n v="61019"/>
    <d v="2019-09-30T00:00:00"/>
    <x v="0"/>
    <n v="15"/>
    <n v="161243"/>
    <n v="13756"/>
    <n v="161243"/>
    <n v="142389"/>
    <n v="125405"/>
    <x v="0"/>
    <n v="0.08"/>
    <n v="10032.4"/>
    <n v="0.88307089300000619"/>
    <n v="10749.533333333333"/>
  </r>
  <r>
    <s v="STATE BANK OF DAVIS"/>
    <s v="Davis"/>
    <x v="1"/>
    <n v="61019"/>
    <d v="2020-09-30T00:00:00"/>
    <x v="1"/>
    <n v="18"/>
    <n v="176462"/>
    <n v="11849"/>
    <n v="176462"/>
    <n v="156580"/>
    <n v="134253"/>
    <x v="0"/>
    <n v="0.08"/>
    <n v="10740.24"/>
    <n v="0.8873298500527026"/>
    <n v="9803.4444444444453"/>
  </r>
  <r>
    <s v="STATE BANK OF DAVIS"/>
    <s v="Davis"/>
    <x v="1"/>
    <n v="61019"/>
    <d v="2021-09-30T00:00:00"/>
    <x v="2"/>
    <n v="18"/>
    <n v="170488"/>
    <n v="19084"/>
    <n v="170488"/>
    <n v="149963"/>
    <n v="148412"/>
    <x v="0"/>
    <n v="0.08"/>
    <n v="11872.960000000001"/>
    <n v="0.87961029515273803"/>
    <n v="9471.5555555555547"/>
  </r>
  <r>
    <s v="STATE BANK OF GRAYMONT"/>
    <s v="Graymont"/>
    <x v="1"/>
    <n v="61743"/>
    <d v="2019-09-30T00:00:00"/>
    <x v="0"/>
    <n v="40"/>
    <n v="211812"/>
    <n v="12221"/>
    <n v="211812"/>
    <n v="185677"/>
    <n v="184258"/>
    <x v="0"/>
    <n v="0.08"/>
    <n v="14740.64"/>
    <n v="0.87661227881328729"/>
    <n v="5295.3"/>
  </r>
  <r>
    <s v="STATE BANK OF GRAYMONT"/>
    <s v="Graymont"/>
    <x v="1"/>
    <n v="61743"/>
    <d v="2020-09-30T00:00:00"/>
    <x v="1"/>
    <n v="42"/>
    <n v="234828"/>
    <n v="13627"/>
    <n v="234828"/>
    <n v="207244"/>
    <n v="200963"/>
    <x v="0"/>
    <n v="0.08"/>
    <n v="16077.04"/>
    <n v="0.88253530243412204"/>
    <n v="5591.1428571428569"/>
  </r>
  <r>
    <s v="STATE BANK OF GRAYMONT"/>
    <s v="Graymont"/>
    <x v="1"/>
    <n v="61743"/>
    <d v="2021-09-30T00:00:00"/>
    <x v="2"/>
    <n v="38"/>
    <n v="260439"/>
    <n v="14622"/>
    <n v="260439"/>
    <n v="230195"/>
    <n v="222616"/>
    <x v="0"/>
    <n v="0.08"/>
    <n v="17809.28"/>
    <n v="0.88387299905160133"/>
    <n v="6853.6578947368425"/>
  </r>
  <r>
    <s v="STATE BANK OF HERSCHER"/>
    <s v="Herscher"/>
    <x v="1"/>
    <n v="60941"/>
    <d v="2019-09-30T00:00:00"/>
    <x v="0"/>
    <n v="27"/>
    <n v="146236"/>
    <n v="11016"/>
    <n v="146236"/>
    <n v="126053"/>
    <n v="125196"/>
    <x v="0"/>
    <n v="0.08"/>
    <n v="10015.68"/>
    <n v="0.86198336934817688"/>
    <n v="5416.1481481481478"/>
  </r>
  <r>
    <s v="STATE BANK OF HERSCHER"/>
    <s v="Herscher"/>
    <x v="1"/>
    <n v="60941"/>
    <d v="2020-09-30T00:00:00"/>
    <x v="1"/>
    <n v="26"/>
    <n v="164325"/>
    <n v="20361"/>
    <n v="164324"/>
    <n v="144198"/>
    <n v="139234"/>
    <x v="0"/>
    <n v="0.08"/>
    <n v="11138.72"/>
    <n v="0.87751711547238709"/>
    <n v="6320.1923076923076"/>
  </r>
  <r>
    <s v="STATE BANK OF HERSCHER"/>
    <s v="Herscher"/>
    <x v="1"/>
    <n v="60941"/>
    <d v="2021-09-30T00:00:00"/>
    <x v="2"/>
    <n v="24"/>
    <n v="168892"/>
    <n v="20087"/>
    <n v="168892"/>
    <n v="148571"/>
    <n v="147673"/>
    <x v="0"/>
    <n v="0.08"/>
    <n v="11813.84"/>
    <n v="0.87968050588541791"/>
    <n v="7037.166666666667"/>
  </r>
  <r>
    <s v="STATE BANK OF INDIA"/>
    <s v="Chicago"/>
    <x v="1"/>
    <n v="60603"/>
    <d v="2019-09-30T00:00:00"/>
    <x v="0"/>
    <n v="200"/>
    <n v="2084538"/>
    <n v="145821"/>
    <n v="2084538"/>
    <n v="2084538"/>
    <n v="1483155"/>
    <x v="1"/>
    <n v="7.4999999999999997E-2"/>
    <n v="111236.625"/>
    <n v="1"/>
    <n v="10422.69"/>
  </r>
  <r>
    <s v="STATE BANK OF INDIA"/>
    <s v="New York"/>
    <x v="2"/>
    <n v="10022"/>
    <d v="2019-09-30T00:00:00"/>
    <x v="0"/>
    <n v="356"/>
    <n v="9619142"/>
    <n v="552625"/>
    <n v="9619142"/>
    <n v="9619142"/>
    <n v="6594021"/>
    <x v="1"/>
    <n v="0.08"/>
    <n v="527521.68000000005"/>
    <n v="1"/>
    <n v="27020.061797752809"/>
  </r>
  <r>
    <s v="STATE BANK OF INDIA"/>
    <s v="Chicago"/>
    <x v="1"/>
    <n v="60603"/>
    <d v="2020-09-30T00:00:00"/>
    <x v="1"/>
    <n v="30"/>
    <n v="1794345"/>
    <n v="48867"/>
    <n v="1794345"/>
    <n v="1794345"/>
    <n v="1045947"/>
    <x v="1"/>
    <n v="7.4999999999999997E-2"/>
    <n v="78446.024999999994"/>
    <n v="1"/>
    <n v="59811.5"/>
  </r>
  <r>
    <s v="STATE BANK OF INDIA"/>
    <s v="New York"/>
    <x v="2"/>
    <n v="10022"/>
    <d v="2020-09-30T00:00:00"/>
    <x v="1"/>
    <n v="760"/>
    <n v="10025197"/>
    <n v="917083"/>
    <n v="10025197"/>
    <n v="10025197"/>
    <n v="7521063"/>
    <x v="1"/>
    <n v="0.08"/>
    <n v="601685.04"/>
    <n v="1"/>
    <n v="13191.048684210526"/>
  </r>
  <r>
    <s v="STATE BANK OF INDIA"/>
    <s v="Chicago"/>
    <x v="1"/>
    <n v="60603"/>
    <d v="2021-09-30T00:00:00"/>
    <x v="2"/>
    <n v="167"/>
    <n v="2175115"/>
    <n v="6132"/>
    <n v="2175115"/>
    <n v="2175115"/>
    <n v="1091081"/>
    <x v="1"/>
    <n v="7.4999999999999997E-2"/>
    <n v="81831.074999999997"/>
    <n v="1"/>
    <n v="13024.640718562874"/>
  </r>
  <r>
    <s v="STATE BANK OF INDIA"/>
    <s v="New York"/>
    <x v="2"/>
    <n v="10022"/>
    <d v="2021-09-30T00:00:00"/>
    <x v="2"/>
    <n v="418"/>
    <n v="12544226"/>
    <n v="1621938"/>
    <n v="12544226"/>
    <n v="12544226"/>
    <n v="8666982"/>
    <x v="1"/>
    <n v="0.08"/>
    <n v="693358.56"/>
    <n v="1"/>
    <n v="30010.110047846891"/>
  </r>
  <r>
    <s v="STATE BANK OF INDIA (CALIFORNIA)"/>
    <s v="Los Angeles"/>
    <x v="0"/>
    <n v="90017"/>
    <d v="2019-09-30T00:00:00"/>
    <x v="0"/>
    <n v="89"/>
    <n v="839421"/>
    <n v="54988"/>
    <n v="839421"/>
    <n v="697515"/>
    <n v="687278"/>
    <x v="0"/>
    <n v="0.09"/>
    <n v="61855.02"/>
    <n v="0.83094776042057561"/>
    <n v="9431.6966292134839"/>
  </r>
  <r>
    <s v="STATE BANK OF INDIA (CALIFORNIA)"/>
    <s v="Los Angeles"/>
    <x v="0"/>
    <n v="90017"/>
    <d v="2020-09-30T00:00:00"/>
    <x v="1"/>
    <n v="90"/>
    <n v="886657"/>
    <n v="50874"/>
    <n v="886657"/>
    <n v="735529"/>
    <n v="689529"/>
    <x v="0"/>
    <n v="0.09"/>
    <n v="62057.61"/>
    <n v="0.829553028961594"/>
    <n v="9851.7444444444445"/>
  </r>
  <r>
    <s v="STATE BANK OF INDIA (CALIFORNIA)"/>
    <s v="Los Angeles"/>
    <x v="0"/>
    <n v="90017"/>
    <d v="2021-09-30T00:00:00"/>
    <x v="2"/>
    <n v="89"/>
    <n v="891941"/>
    <n v="52862"/>
    <n v="891941"/>
    <n v="737575"/>
    <n v="734949"/>
    <x v="0"/>
    <n v="0.09"/>
    <n v="66145.41"/>
    <n v="0.82693249889846976"/>
    <n v="10021.808988764045"/>
  </r>
  <r>
    <s v="STATE BANK OF INDUSTRY"/>
    <s v="Industry"/>
    <x v="1"/>
    <n v="61440"/>
    <d v="2019-09-30T00:00:00"/>
    <x v="0"/>
    <n v="8"/>
    <n v="51494"/>
    <n v="5490"/>
    <n v="51494"/>
    <n v="43490"/>
    <n v="43135"/>
    <x v="2"/>
    <n v="0.09"/>
    <n v="3882.1499999999996"/>
    <n v="0.84456441527168213"/>
    <n v="6436.75"/>
  </r>
  <r>
    <s v="STATE BANK OF INDUSTRY"/>
    <s v="Industry"/>
    <x v="1"/>
    <n v="61440"/>
    <d v="2020-09-30T00:00:00"/>
    <x v="1"/>
    <n v="8"/>
    <n v="54891"/>
    <n v="8294"/>
    <n v="54891"/>
    <n v="46516"/>
    <n v="46202"/>
    <x v="2"/>
    <n v="0.09"/>
    <n v="4158.18"/>
    <n v="0.84742489661328813"/>
    <n v="6861.375"/>
  </r>
  <r>
    <s v="STATE BANK OF INDUSTRY"/>
    <s v="Industry"/>
    <x v="1"/>
    <n v="61440"/>
    <d v="2021-09-30T00:00:00"/>
    <x v="2"/>
    <n v="8"/>
    <n v="53660"/>
    <n v="8376"/>
    <n v="53660"/>
    <n v="44965"/>
    <n v="44691"/>
    <x v="2"/>
    <n v="0.09"/>
    <n v="4022.19"/>
    <n v="0.83796123742079764"/>
    <n v="6707.5"/>
  </r>
  <r>
    <s v="STATE BANK OF LINCOLN"/>
    <s v="Lincoln"/>
    <x v="1"/>
    <n v="62656"/>
    <d v="2019-09-30T00:00:00"/>
    <x v="0"/>
    <n v="81"/>
    <n v="344730"/>
    <n v="46576"/>
    <n v="344730"/>
    <n v="307557"/>
    <n v="306152"/>
    <x v="0"/>
    <n v="0.08"/>
    <n v="24492.16"/>
    <n v="0.89216778348272563"/>
    <n v="4255.9259259259261"/>
  </r>
  <r>
    <s v="STATE BANK OF LINCOLN"/>
    <s v="Lincoln"/>
    <x v="1"/>
    <n v="62656"/>
    <d v="2020-09-30T00:00:00"/>
    <x v="1"/>
    <n v="77"/>
    <n v="349362"/>
    <n v="45980"/>
    <n v="349362"/>
    <n v="312634"/>
    <n v="310034"/>
    <x v="0"/>
    <n v="0.08"/>
    <n v="24802.720000000001"/>
    <n v="0.89487122239968853"/>
    <n v="4537.1688311688313"/>
  </r>
  <r>
    <s v="STATE BANK OF NAUVOO"/>
    <s v="Nauvoo"/>
    <x v="1"/>
    <n v="62354"/>
    <d v="2019-09-30T00:00:00"/>
    <x v="0"/>
    <n v="8"/>
    <n v="33356"/>
    <n v="8112"/>
    <n v="33356"/>
    <n v="30498"/>
    <n v="30470"/>
    <x v="2"/>
    <n v="0.09"/>
    <n v="2742.2999999999997"/>
    <n v="0.91431826358076507"/>
    <n v="4169.5"/>
  </r>
  <r>
    <s v="STATE BANK OF NAUVOO"/>
    <s v="Nauvoo"/>
    <x v="1"/>
    <n v="62354"/>
    <d v="2020-09-30T00:00:00"/>
    <x v="1"/>
    <n v="7"/>
    <n v="33195"/>
    <n v="8011"/>
    <n v="33195"/>
    <n v="30150"/>
    <n v="30121"/>
    <x v="2"/>
    <n v="0.09"/>
    <n v="2710.89"/>
    <n v="0.90826931766832353"/>
    <n v="4742.1428571428569"/>
  </r>
  <r>
    <s v="STATE BANK OF NAUVOO"/>
    <s v="Nauvoo"/>
    <x v="1"/>
    <n v="62354"/>
    <d v="2021-09-30T00:00:00"/>
    <x v="2"/>
    <n v="8"/>
    <n v="36944"/>
    <n v="13381"/>
    <n v="36944"/>
    <n v="33877"/>
    <n v="33847"/>
    <x v="2"/>
    <n v="0.09"/>
    <n v="3046.23"/>
    <n v="0.91698245993936767"/>
    <n v="4618"/>
  </r>
  <r>
    <s v="STATE BANK OF SAUNEMIN"/>
    <s v="Saunemin"/>
    <x v="1"/>
    <n v="61769"/>
    <d v="2019-09-30T00:00:00"/>
    <x v="0"/>
    <n v="7"/>
    <n v="35240"/>
    <n v="4766"/>
    <n v="35240"/>
    <n v="31069"/>
    <n v="31001"/>
    <x v="2"/>
    <n v="0.09"/>
    <n v="2790.0899999999997"/>
    <n v="0.8816401816118048"/>
    <n v="5034.2857142857147"/>
  </r>
  <r>
    <s v="STATE BANK OF SAUNEMIN"/>
    <s v="Saunemin"/>
    <x v="1"/>
    <n v="61769"/>
    <d v="2020-09-30T00:00:00"/>
    <x v="1"/>
    <n v="7"/>
    <n v="38152"/>
    <n v="6369"/>
    <n v="38152"/>
    <n v="33458"/>
    <n v="33380"/>
    <x v="2"/>
    <n v="0.09"/>
    <n v="3004.2"/>
    <n v="0.87696582092681907"/>
    <n v="5450.2857142857147"/>
  </r>
  <r>
    <s v="STATE BANK OF SAUNEMIN"/>
    <s v="Saunemin"/>
    <x v="1"/>
    <n v="61769"/>
    <d v="2021-09-30T00:00:00"/>
    <x v="2"/>
    <n v="7"/>
    <n v="40174"/>
    <n v="6001"/>
    <n v="40174"/>
    <n v="35213"/>
    <n v="35182"/>
    <x v="2"/>
    <n v="0.09"/>
    <n v="3166.38"/>
    <n v="0.87651217205157561"/>
    <n v="5739.1428571428569"/>
  </r>
  <r>
    <s v="STATE BANK OF ST. JACOB"/>
    <s v="Saint Jacob"/>
    <x v="1"/>
    <n v="62281"/>
    <d v="2019-09-30T00:00:00"/>
    <x v="0"/>
    <n v="10"/>
    <n v="65080"/>
    <n v="11855"/>
    <n v="65080"/>
    <n v="54261"/>
    <n v="54017"/>
    <x v="2"/>
    <n v="0.09"/>
    <n v="4861.53"/>
    <n v="0.83375845113706204"/>
    <n v="6508"/>
  </r>
  <r>
    <s v="STATE BANK OF ST. JACOB"/>
    <s v="Saint Jacob"/>
    <x v="1"/>
    <n v="62281"/>
    <d v="2020-09-30T00:00:00"/>
    <x v="1"/>
    <n v="11"/>
    <n v="71303"/>
    <n v="14253"/>
    <n v="71303"/>
    <n v="59758"/>
    <n v="59568"/>
    <x v="2"/>
    <n v="0.09"/>
    <n v="5361.12"/>
    <n v="0.83808535405242413"/>
    <n v="6482.090909090909"/>
  </r>
  <r>
    <s v="STATE BANK OF ST. JACOB"/>
    <s v="Saint Jacob"/>
    <x v="1"/>
    <n v="62281"/>
    <d v="2021-09-30T00:00:00"/>
    <x v="2"/>
    <n v="10"/>
    <n v="81571"/>
    <n v="12052"/>
    <n v="81571"/>
    <n v="70072"/>
    <n v="69919"/>
    <x v="2"/>
    <n v="0.09"/>
    <n v="6292.71"/>
    <n v="0.85903078299885993"/>
    <n v="8157.1"/>
  </r>
  <r>
    <s v="STATE BANK OF THE LAKES"/>
    <s v="Antioch"/>
    <x v="1"/>
    <n v="60002"/>
    <d v="2019-09-30T00:00:00"/>
    <x v="0"/>
    <n v="90"/>
    <n v="1321022"/>
    <n v="92691"/>
    <n v="1321022"/>
    <n v="1148132"/>
    <n v="1115388"/>
    <x v="1"/>
    <n v="7.4999999999999997E-2"/>
    <n v="83654.099999999991"/>
    <n v="0.86912405698012596"/>
    <n v="14678.022222222222"/>
  </r>
  <r>
    <s v="STATE BANK OF THE LAKES, NATIONAL ASSOCIATION"/>
    <s v="Antioch"/>
    <x v="1"/>
    <n v="60002"/>
    <d v="2020-09-30T00:00:00"/>
    <x v="1"/>
    <n v="89"/>
    <n v="1538380"/>
    <n v="212671"/>
    <n v="1538380"/>
    <n v="1361574"/>
    <n v="1323596"/>
    <x v="1"/>
    <n v="7.4999999999999997E-2"/>
    <n v="99269.7"/>
    <n v="0.88507000871046171"/>
    <n v="17285.168539325841"/>
  </r>
  <r>
    <s v="STATE BANK OF THE LAKES, NATIONAL ASSOCIATION"/>
    <s v="Antioch"/>
    <x v="1"/>
    <n v="60002"/>
    <d v="2021-09-30T00:00:00"/>
    <x v="2"/>
    <n v="88"/>
    <n v="1669504"/>
    <n v="267212"/>
    <n v="1669504"/>
    <n v="1479229"/>
    <n v="1442333"/>
    <x v="1"/>
    <n v="7.4999999999999997E-2"/>
    <n v="108174.97499999999"/>
    <n v="0.88602902418922025"/>
    <n v="18971.636363636364"/>
  </r>
  <r>
    <s v="STATE BANK OF TOULON"/>
    <s v="Toulon"/>
    <x v="1"/>
    <n v="61483"/>
    <d v="2019-09-30T00:00:00"/>
    <x v="0"/>
    <n v="42"/>
    <n v="229145"/>
    <n v="12325"/>
    <n v="229145"/>
    <n v="202186"/>
    <n v="189484"/>
    <x v="0"/>
    <n v="0.08"/>
    <n v="15158.720000000001"/>
    <n v="0.88234960396255646"/>
    <n v="5455.833333333333"/>
  </r>
  <r>
    <s v="STATE BANK OF TOULON"/>
    <s v="Toulon"/>
    <x v="1"/>
    <n v="61483"/>
    <d v="2020-09-30T00:00:00"/>
    <x v="1"/>
    <n v="42"/>
    <n v="262645"/>
    <n v="10298"/>
    <n v="262645"/>
    <n v="232544"/>
    <n v="216055"/>
    <x v="0"/>
    <n v="0.08"/>
    <n v="17284.400000000001"/>
    <n v="0.88539283062689178"/>
    <n v="6253.4523809523807"/>
  </r>
  <r>
    <s v="STATE BANK OF TOULON"/>
    <s v="Toulon"/>
    <x v="1"/>
    <n v="61483"/>
    <d v="2021-09-30T00:00:00"/>
    <x v="2"/>
    <n v="43"/>
    <n v="299485"/>
    <n v="12605"/>
    <n v="299485"/>
    <n v="267502"/>
    <n v="254669"/>
    <x v="0"/>
    <n v="0.08"/>
    <n v="20373.52"/>
    <n v="0.89320667145266042"/>
    <n v="6964.7674418604647"/>
  </r>
  <r>
    <s v="STATE BANK OF WATERLOO"/>
    <s v="Waterloo"/>
    <x v="1"/>
    <n v="62298"/>
    <d v="2019-09-30T00:00:00"/>
    <x v="0"/>
    <n v="41"/>
    <n v="190275"/>
    <n v="27982"/>
    <n v="190275"/>
    <n v="174088"/>
    <n v="145709"/>
    <x v="0"/>
    <n v="0.08"/>
    <n v="11656.72"/>
    <n v="0.914928393115228"/>
    <n v="4640.8536585365855"/>
  </r>
  <r>
    <s v="STATE BANK OF WHITTINGTON"/>
    <s v="Benton"/>
    <x v="1"/>
    <n v="62812"/>
    <d v="2019-09-30T00:00:00"/>
    <x v="0"/>
    <n v="41"/>
    <n v="132991"/>
    <n v="8304"/>
    <n v="132991"/>
    <n v="118320"/>
    <n v="117367"/>
    <x v="0"/>
    <n v="0.08"/>
    <n v="9389.36"/>
    <n v="0.88968426434871528"/>
    <n v="3243.6829268292681"/>
  </r>
  <r>
    <s v="STATE BANK OF WHITTINGTON"/>
    <s v="Benton"/>
    <x v="1"/>
    <n v="62812"/>
    <d v="2020-09-30T00:00:00"/>
    <x v="1"/>
    <n v="45"/>
    <n v="146091"/>
    <n v="13411"/>
    <n v="146091"/>
    <n v="129888"/>
    <n v="128821"/>
    <x v="0"/>
    <n v="0.08"/>
    <n v="10305.68"/>
    <n v="0.88908967698215491"/>
    <n v="3246.4666666666667"/>
  </r>
  <r>
    <s v="STATE BANK OF WHITTINGTON"/>
    <s v="Benton"/>
    <x v="1"/>
    <n v="62812"/>
    <d v="2021-09-30T00:00:00"/>
    <x v="2"/>
    <n v="45"/>
    <n v="163586"/>
    <n v="16396"/>
    <n v="163586"/>
    <n v="147119"/>
    <n v="146185"/>
    <x v="0"/>
    <n v="0.08"/>
    <n v="11694.800000000001"/>
    <n v="0.89933735160710571"/>
    <n v="3635.2444444444445"/>
  </r>
  <r>
    <s v="STATE FARM BANK, F.S.B."/>
    <s v="Bloomington"/>
    <x v="1"/>
    <n v="61710"/>
    <d v="2019-09-30T00:00:00"/>
    <x v="0"/>
    <n v="1589"/>
    <n v="15959138"/>
    <n v="354064"/>
    <n v="15959138"/>
    <n v="14023768"/>
    <n v="11014830"/>
    <x v="1"/>
    <n v="7.4999999999999997E-2"/>
    <n v="826112.25"/>
    <n v="0.87872966572505362"/>
    <n v="10043.510383889239"/>
  </r>
  <r>
    <s v="STATE FARM BANK, F.S.B."/>
    <s v="Bloomington"/>
    <x v="1"/>
    <n v="61710"/>
    <d v="2020-09-30T00:00:00"/>
    <x v="1"/>
    <n v="892"/>
    <n v="12285312"/>
    <n v="10309195"/>
    <n v="12285312"/>
    <n v="10544522"/>
    <n v="10144754"/>
    <x v="1"/>
    <n v="7.4999999999999997E-2"/>
    <n v="760856.54999999993"/>
    <n v="0.8583031509496869"/>
    <n v="13772.77130044843"/>
  </r>
  <r>
    <s v="STATE STREET BANK AND TRUST COMPANY"/>
    <s v="Boston"/>
    <x v="3"/>
    <n v="2111"/>
    <d v="2019-09-30T00:00:00"/>
    <x v="0"/>
    <n v="30915"/>
    <n v="241364000"/>
    <n v="65283000"/>
    <n v="241364000"/>
    <n v="215039000"/>
    <n v="176022000"/>
    <x v="1"/>
    <n v="0.08"/>
    <n v="14081760"/>
    <n v="0.89093236771018047"/>
    <n v="7807.3427138929319"/>
  </r>
  <r>
    <s v="STATE STREET BANK AND TRUST COMPANY"/>
    <s v="Quincy"/>
    <x v="1"/>
    <n v="62301"/>
    <d v="2019-09-30T00:00:00"/>
    <x v="0"/>
    <n v="62"/>
    <n v="224381"/>
    <n v="13793"/>
    <n v="224381"/>
    <n v="202734"/>
    <n v="202136"/>
    <x v="0"/>
    <n v="0.08"/>
    <n v="16170.880000000001"/>
    <n v="0.90352569959132012"/>
    <n v="3619.0483870967741"/>
  </r>
  <r>
    <s v="STATE STREET BANK AND TRUST COMPANY"/>
    <s v="Boston"/>
    <x v="3"/>
    <n v="2111"/>
    <d v="2020-09-30T00:00:00"/>
    <x v="1"/>
    <n v="30040"/>
    <n v="268733000"/>
    <n v="83710000"/>
    <n v="268733000"/>
    <n v="242327000"/>
    <n v="203511000"/>
    <x v="1"/>
    <n v="0.08"/>
    <n v="16280880"/>
    <n v="0.90173890069325313"/>
    <n v="8945.8388814913451"/>
  </r>
  <r>
    <s v="STATE STREET BANK AND TRUST COMPANY"/>
    <s v="Quincy"/>
    <x v="1"/>
    <n v="62301"/>
    <d v="2020-09-30T00:00:00"/>
    <x v="1"/>
    <n v="64"/>
    <n v="266360"/>
    <n v="33225"/>
    <n v="266360"/>
    <n v="241814"/>
    <n v="236455"/>
    <x v="0"/>
    <n v="0.08"/>
    <n v="18916.400000000001"/>
    <n v="0.90784652350202732"/>
    <n v="4161.875"/>
  </r>
  <r>
    <s v="STATE STREET BANK AND TRUST COMPANY"/>
    <s v="Boston"/>
    <x v="3"/>
    <n v="2111"/>
    <d v="2021-09-30T00:00:00"/>
    <x v="2"/>
    <n v="29444"/>
    <n v="319439000"/>
    <n v="111439000"/>
    <n v="319439000"/>
    <n v="292099000"/>
    <n v="265086000"/>
    <x v="1"/>
    <n v="0.08"/>
    <n v="21206880"/>
    <n v="0.91441245433400431"/>
    <n v="10849.035457138976"/>
  </r>
  <r>
    <s v="STATE STREET BANK AND TRUST COMPANY"/>
    <s v="Quincy"/>
    <x v="1"/>
    <n v="62301"/>
    <d v="2021-09-30T00:00:00"/>
    <x v="2"/>
    <n v="65"/>
    <n v="289517"/>
    <n v="17217"/>
    <n v="289517"/>
    <n v="263632"/>
    <n v="262208"/>
    <x v="0"/>
    <n v="0.08"/>
    <n v="20976.639999999999"/>
    <n v="0.91059246952683259"/>
    <n v="4454.1076923076926"/>
  </r>
  <r>
    <s v="STC CAPITAL BANK"/>
    <s v="Saint Charles"/>
    <x v="1"/>
    <n v="60174"/>
    <d v="2019-09-30T00:00:00"/>
    <x v="0"/>
    <n v="46"/>
    <n v="239526"/>
    <n v="31333"/>
    <n v="239526"/>
    <n v="209319"/>
    <n v="208132"/>
    <x v="0"/>
    <n v="0.08"/>
    <n v="16650.560000000001"/>
    <n v="0.87388842964855595"/>
    <n v="5207.086956521739"/>
  </r>
  <r>
    <s v="STERLING FEDERAL BANK, F.S.B."/>
    <s v="Sterling"/>
    <x v="1"/>
    <n v="61081"/>
    <d v="2019-09-30T00:00:00"/>
    <x v="0"/>
    <n v="112"/>
    <n v="454001"/>
    <n v="14011"/>
    <n v="454000"/>
    <n v="412582"/>
    <n v="364099"/>
    <x v="0"/>
    <n v="0.08"/>
    <n v="29127.920000000002"/>
    <n v="0.9087689234164682"/>
    <n v="4053.5803571428573"/>
  </r>
  <r>
    <s v="STERLING FEDERAL BANK, F.S.B."/>
    <s v="Sterling"/>
    <x v="1"/>
    <n v="61081"/>
    <d v="2020-09-30T00:00:00"/>
    <x v="1"/>
    <n v="103"/>
    <n v="487500"/>
    <n v="23546"/>
    <n v="487500"/>
    <n v="444364"/>
    <n v="390654"/>
    <x v="0"/>
    <n v="0.08"/>
    <n v="31252.32"/>
    <n v="0.91151589743589745"/>
    <n v="4733.0097087378645"/>
  </r>
  <r>
    <s v="STERLING FEDERAL BANK, F.S.B."/>
    <s v="Sterling"/>
    <x v="1"/>
    <n v="61081"/>
    <d v="2021-09-30T00:00:00"/>
    <x v="2"/>
    <n v="101"/>
    <n v="482451"/>
    <n v="15795"/>
    <n v="482451"/>
    <n v="440189"/>
    <n v="427149"/>
    <x v="0"/>
    <n v="0.08"/>
    <n v="34171.919999999998"/>
    <n v="0.91240146667744493"/>
    <n v="4776.742574257426"/>
  </r>
  <r>
    <s v="STERLING NATIONAL BANK"/>
    <s v="Montebello"/>
    <x v="2"/>
    <n v="10901"/>
    <d v="2019-09-30T00:00:00"/>
    <x v="0"/>
    <n v="1689"/>
    <n v="30019454"/>
    <n v="545603"/>
    <n v="30019454"/>
    <n v="25458846"/>
    <n v="21734461"/>
    <x v="1"/>
    <n v="0.08"/>
    <n v="1738756.8800000001"/>
    <n v="0.84807824952445843"/>
    <n v="17773.507400828894"/>
  </r>
  <r>
    <s v="STERLING NATIONAL BANK"/>
    <s v="Pearl River"/>
    <x v="2"/>
    <n v="10965"/>
    <d v="2020-09-30T00:00:00"/>
    <x v="1"/>
    <n v="1466"/>
    <n v="30539176"/>
    <n v="437558"/>
    <n v="30539176"/>
    <n v="25873909"/>
    <n v="24432505"/>
    <x v="1"/>
    <n v="0.08"/>
    <n v="1954600.4000000001"/>
    <n v="0.84723664449885616"/>
    <n v="20831.634379263302"/>
  </r>
  <r>
    <s v="STERLING NATIONAL BANK"/>
    <s v="Pearl River"/>
    <x v="2"/>
    <n v="10965"/>
    <d v="2021-09-30T00:00:00"/>
    <x v="2"/>
    <n v="1460"/>
    <n v="29938002"/>
    <n v="929320"/>
    <n v="29938002"/>
    <n v="24840845"/>
    <n v="24130341"/>
    <x v="1"/>
    <n v="0.08"/>
    <n v="1930427.28"/>
    <n v="0.82974291337144013"/>
    <n v="20505.480821917808"/>
  </r>
  <r>
    <s v="STEUBEN TRUST COMPANY"/>
    <s v="Hornell"/>
    <x v="2"/>
    <n v="14843"/>
    <d v="2019-09-30T00:00:00"/>
    <x v="0"/>
    <n v="126"/>
    <n v="575985"/>
    <n v="22411"/>
    <n v="575985"/>
    <n v="508989"/>
    <n v="483762"/>
    <x v="0"/>
    <n v="8.5000000000000006E-2"/>
    <n v="41119.770000000004"/>
    <n v="0.88368447094976432"/>
    <n v="4571.3095238095239"/>
  </r>
  <r>
    <s v="STILLMAN BANCCORP N.A."/>
    <s v="Stillman Valley"/>
    <x v="1"/>
    <n v="61084"/>
    <d v="2019-09-30T00:00:00"/>
    <x v="0"/>
    <n v="96"/>
    <n v="464215"/>
    <n v="35013"/>
    <n v="464215"/>
    <n v="419411"/>
    <n v="389121"/>
    <x v="0"/>
    <n v="0.08"/>
    <n v="31129.68"/>
    <n v="0.9034843768512435"/>
    <n v="4835.572916666667"/>
  </r>
  <r>
    <s v="STILLMAN BANCCORP N.A."/>
    <s v="Stillman Valley"/>
    <x v="1"/>
    <n v="61084"/>
    <d v="2020-09-30T00:00:00"/>
    <x v="1"/>
    <n v="99"/>
    <n v="534987"/>
    <n v="41544"/>
    <n v="534987"/>
    <n v="478914"/>
    <n v="443285"/>
    <x v="0"/>
    <n v="0.08"/>
    <n v="35462.800000000003"/>
    <n v="0.89518810737457177"/>
    <n v="5403.909090909091"/>
  </r>
  <r>
    <s v="STILLMAN BANCCORP N.A."/>
    <s v="Stillman Valley"/>
    <x v="1"/>
    <n v="61084"/>
    <d v="2021-09-30T00:00:00"/>
    <x v="2"/>
    <n v="103"/>
    <n v="628533"/>
    <n v="61027"/>
    <n v="628533"/>
    <n v="570443"/>
    <n v="525189"/>
    <x v="0"/>
    <n v="0.08"/>
    <n v="42015.12"/>
    <n v="0.90757844059102699"/>
    <n v="6102.2621359223303"/>
  </r>
  <r>
    <s v="STONEHAMBANK, A CO-OPERATIVE BANK"/>
    <s v="Stoneham"/>
    <x v="3"/>
    <n v="2180"/>
    <d v="2019-09-30T00:00:00"/>
    <x v="0"/>
    <n v="86"/>
    <n v="615560"/>
    <n v="28722"/>
    <n v="615560"/>
    <n v="553271"/>
    <n v="466866"/>
    <x v="0"/>
    <n v="8.5000000000000006E-2"/>
    <n v="39683.61"/>
    <n v="0.89880921437390349"/>
    <n v="7157.6744186046508"/>
  </r>
  <r>
    <s v="STONEHAMBANK, A CO-OPERATIVE BANK"/>
    <s v="Stoneham"/>
    <x v="3"/>
    <n v="2180"/>
    <d v="2020-09-30T00:00:00"/>
    <x v="1"/>
    <n v="84"/>
    <n v="678853"/>
    <n v="81489"/>
    <n v="678853"/>
    <n v="612905"/>
    <n v="513212"/>
    <x v="0"/>
    <n v="8.5000000000000006E-2"/>
    <n v="43623.020000000004"/>
    <n v="0.90285378425078777"/>
    <n v="8081.583333333333"/>
  </r>
  <r>
    <s v="STONEHAMBANK, A CO-OPERATIVE BANK"/>
    <s v="Stoneham"/>
    <x v="3"/>
    <n v="2180"/>
    <d v="2021-09-30T00:00:00"/>
    <x v="2"/>
    <n v="82"/>
    <n v="689579"/>
    <n v="56365"/>
    <n v="689579"/>
    <n v="621290"/>
    <n v="559371"/>
    <x v="0"/>
    <n v="8.5000000000000006E-2"/>
    <n v="47546.535000000003"/>
    <n v="0.90097001213784067"/>
    <n v="8409.5"/>
  </r>
  <r>
    <s v="STOUGHTON CO-OPERATIVE BANK"/>
    <s v="Stoughton"/>
    <x v="3"/>
    <n v="2072"/>
    <d v="2019-09-30T00:00:00"/>
    <x v="0"/>
    <n v="20"/>
    <n v="119071"/>
    <n v="4220"/>
    <n v="119071"/>
    <n v="108965"/>
    <n v="108429"/>
    <x v="0"/>
    <n v="8.5000000000000006E-2"/>
    <n v="9216.4650000000001"/>
    <n v="0.91512626920072893"/>
    <n v="5953.55"/>
  </r>
  <r>
    <s v="STOUGHTON CO-OPERATIVE BANK"/>
    <s v="Stoughton"/>
    <x v="3"/>
    <n v="2072"/>
    <d v="2020-09-30T00:00:00"/>
    <x v="1"/>
    <n v="21"/>
    <n v="122455"/>
    <n v="10779"/>
    <n v="122455"/>
    <n v="111435"/>
    <n v="111012"/>
    <x v="0"/>
    <n v="8.5000000000000006E-2"/>
    <n v="9436.02"/>
    <n v="0.9100077579519007"/>
    <n v="5831.1904761904761"/>
  </r>
  <r>
    <s v="STOUGHTON CO-OPERATIVE BANK"/>
    <s v="Stoughton"/>
    <x v="3"/>
    <n v="2072"/>
    <d v="2021-09-30T00:00:00"/>
    <x v="2"/>
    <n v="21"/>
    <n v="125786"/>
    <n v="10465"/>
    <n v="125786"/>
    <n v="114347"/>
    <n v="113977"/>
    <x v="0"/>
    <n v="8.5000000000000006E-2"/>
    <n v="9688.0450000000001"/>
    <n v="0.90905983177778127"/>
    <n v="5989.8095238095239"/>
  </r>
  <r>
    <s v="STREATOR HOME SAVINGS BANK"/>
    <s v="Streator"/>
    <x v="1"/>
    <n v="61364"/>
    <d v="2019-09-30T00:00:00"/>
    <x v="0"/>
    <n v="18"/>
    <n v="162931"/>
    <n v="10245"/>
    <n v="162931"/>
    <n v="120977"/>
    <n v="119304"/>
    <x v="0"/>
    <n v="0.08"/>
    <n v="9544.32"/>
    <n v="0.74250449576814725"/>
    <n v="9051.7222222222226"/>
  </r>
  <r>
    <s v="STREATOR HOME SAVINGS BANK"/>
    <s v="Streator"/>
    <x v="1"/>
    <n v="61364"/>
    <d v="2020-09-30T00:00:00"/>
    <x v="1"/>
    <n v="15"/>
    <n v="166688"/>
    <n v="9978"/>
    <n v="166688"/>
    <n v="124200"/>
    <n v="118409"/>
    <x v="0"/>
    <n v="0.08"/>
    <n v="9472.7199999999993"/>
    <n v="0.7451046266077942"/>
    <n v="11112.533333333333"/>
  </r>
  <r>
    <s v="STREATOR HOME SAVINGS BANK"/>
    <s v="Streator"/>
    <x v="1"/>
    <n v="61364"/>
    <d v="2021-09-30T00:00:00"/>
    <x v="2"/>
    <n v="17"/>
    <n v="170632"/>
    <n v="10833"/>
    <n v="170632"/>
    <n v="127751"/>
    <n v="120704"/>
    <x v="0"/>
    <n v="0.08"/>
    <n v="9656.32"/>
    <n v="0.7486930939097004"/>
    <n v="10037.176470588236"/>
  </r>
  <r>
    <s v="SUMMIT BANK"/>
    <s v="Oakland"/>
    <x v="0"/>
    <n v="94611"/>
    <d v="2019-09-30T00:00:00"/>
    <x v="0"/>
    <n v="39"/>
    <n v="250919"/>
    <n v="64267"/>
    <n v="250919"/>
    <n v="217459"/>
    <n v="210042"/>
    <x v="0"/>
    <n v="0.09"/>
    <n v="18903.78"/>
    <n v="0.86665019388727038"/>
    <n v="6433.8205128205127"/>
  </r>
  <r>
    <s v="SUMMIT BANK"/>
    <s v="Oakland"/>
    <x v="0"/>
    <n v="94611"/>
    <d v="2020-09-30T00:00:00"/>
    <x v="1"/>
    <n v="33"/>
    <n v="317370"/>
    <n v="87701"/>
    <n v="317371"/>
    <n v="281384"/>
    <n v="273859"/>
    <x v="0"/>
    <n v="0.09"/>
    <n v="24647.309999999998"/>
    <n v="0.8866118410687841"/>
    <n v="9617.2727272727279"/>
  </r>
  <r>
    <s v="SUMMIT BANK"/>
    <s v="Oakland"/>
    <x v="0"/>
    <n v="94611"/>
    <d v="2021-09-30T00:00:00"/>
    <x v="2"/>
    <n v="36"/>
    <n v="371428"/>
    <n v="164416"/>
    <n v="371428"/>
    <n v="333284"/>
    <n v="325663"/>
    <x v="0"/>
    <n v="0.09"/>
    <n v="29309.67"/>
    <n v="0.89730445739147291"/>
    <n v="10317.444444444445"/>
  </r>
  <r>
    <s v="SUMMIT STATE BANK"/>
    <s v="Santa Rosa"/>
    <x v="0"/>
    <n v="95403"/>
    <d v="2019-09-30T00:00:00"/>
    <x v="0"/>
    <n v="89"/>
    <n v="680840"/>
    <n v="36979"/>
    <n v="680840"/>
    <n v="614336"/>
    <n v="605130"/>
    <x v="0"/>
    <n v="0.09"/>
    <n v="54461.7"/>
    <n v="0.90232066271076905"/>
    <n v="7649.8876404494385"/>
  </r>
  <r>
    <s v="SUMMIT STATE BANK"/>
    <s v="Santa Rosa"/>
    <x v="0"/>
    <n v="95403"/>
    <d v="2020-09-30T00:00:00"/>
    <x v="1"/>
    <n v="96"/>
    <n v="833806"/>
    <n v="24256"/>
    <n v="833806"/>
    <n v="760382"/>
    <n v="688026"/>
    <x v="0"/>
    <n v="0.09"/>
    <n v="61922.34"/>
    <n v="0.91194114698143214"/>
    <n v="8685.4791666666661"/>
  </r>
  <r>
    <s v="SUMMIT STATE BANK"/>
    <s v="Santa Rosa"/>
    <x v="0"/>
    <n v="95403"/>
    <d v="2021-09-30T00:00:00"/>
    <x v="2"/>
    <n v="100"/>
    <n v="922592"/>
    <n v="37773"/>
    <n v="922592"/>
    <n v="840609"/>
    <n v="749007"/>
    <x v="0"/>
    <n v="0.09"/>
    <n v="67410.63"/>
    <n v="0.91113840137352153"/>
    <n v="9225.92"/>
  </r>
  <r>
    <s v="SUNCREST BANK"/>
    <s v="Visalia"/>
    <x v="0"/>
    <n v="93291"/>
    <d v="2019-09-30T00:00:00"/>
    <x v="0"/>
    <n v="111"/>
    <n v="997413"/>
    <n v="35955"/>
    <n v="997413"/>
    <n v="851687"/>
    <n v="843326"/>
    <x v="0"/>
    <n v="0.09"/>
    <n v="75899.34"/>
    <n v="0.85389602902709305"/>
    <n v="8985.7027027027034"/>
  </r>
  <r>
    <s v="SUNCREST BANK"/>
    <s v="Visalia"/>
    <x v="0"/>
    <n v="93291"/>
    <d v="2020-09-30T00:00:00"/>
    <x v="1"/>
    <n v="120"/>
    <n v="1290368"/>
    <n v="44893"/>
    <n v="1290368"/>
    <n v="1126766"/>
    <n v="1050620"/>
    <x v="1"/>
    <n v="0.08"/>
    <n v="84049.600000000006"/>
    <n v="0.87321291290546577"/>
    <n v="10753.066666666668"/>
  </r>
  <r>
    <s v="SUNCREST BANK"/>
    <s v="Visalia"/>
    <x v="0"/>
    <n v="93291"/>
    <d v="2021-09-30T00:00:00"/>
    <x v="2"/>
    <n v="111"/>
    <n v="1416159"/>
    <n v="22721"/>
    <n v="1416159"/>
    <n v="1241372"/>
    <n v="1233088"/>
    <x v="1"/>
    <n v="0.08"/>
    <n v="98647.040000000008"/>
    <n v="0.87657671207823418"/>
    <n v="12758.18918918919"/>
  </r>
  <r>
    <s v="SUNNYSIDE FEDERAL SAVINGS AND LOAN ASSOCIATION OF IRVINGTON"/>
    <s v="Irvington"/>
    <x v="2"/>
    <n v="10533"/>
    <d v="2019-09-30T00:00:00"/>
    <x v="0"/>
    <n v="11"/>
    <n v="87938"/>
    <n v="1863"/>
    <n v="87938"/>
    <n v="77239"/>
    <n v="74163"/>
    <x v="2"/>
    <n v="0.09"/>
    <n v="6674.67"/>
    <n v="0.87833473583661215"/>
    <n v="7994.363636363636"/>
  </r>
  <r>
    <s v="SUNNYSIDE FEDERAL SAVINGS AND LOAN ASSOCIATION OF IRVINGTON"/>
    <s v="Irvington"/>
    <x v="2"/>
    <n v="10533"/>
    <d v="2020-09-30T00:00:00"/>
    <x v="1"/>
    <n v="10"/>
    <n v="97024"/>
    <n v="2595"/>
    <n v="97024"/>
    <n v="85813"/>
    <n v="77420"/>
    <x v="2"/>
    <n v="0.09"/>
    <n v="6967.8"/>
    <n v="0.88445126978891819"/>
    <n v="9702.4"/>
  </r>
  <r>
    <s v="SUNNYSIDE FEDERAL SAVINGS AND LOAN ASSOCIATION OF IRVINGTON"/>
    <s v="Irvington"/>
    <x v="2"/>
    <n v="10533"/>
    <d v="2021-09-30T00:00:00"/>
    <x v="2"/>
    <n v="10"/>
    <n v="93926"/>
    <n v="2899"/>
    <n v="93926"/>
    <n v="84704"/>
    <n v="82611"/>
    <x v="2"/>
    <n v="0.09"/>
    <n v="7434.99"/>
    <n v="0.90181632348870389"/>
    <n v="9392.6"/>
  </r>
  <r>
    <s v="SUNWEST BANK"/>
    <s v="Irvine"/>
    <x v="0"/>
    <n v="92614"/>
    <d v="2019-09-30T00:00:00"/>
    <x v="0"/>
    <n v="176"/>
    <n v="1346571"/>
    <n v="114295"/>
    <n v="1346571"/>
    <n v="1172783"/>
    <n v="1033354"/>
    <x v="1"/>
    <n v="0.08"/>
    <n v="82668.320000000007"/>
    <n v="0.87094033660312009"/>
    <n v="7650.971590909091"/>
  </r>
  <r>
    <s v="SUNWEST BANK"/>
    <s v="Irvine"/>
    <x v="0"/>
    <n v="92614"/>
    <d v="2020-09-30T00:00:00"/>
    <x v="1"/>
    <n v="191"/>
    <n v="1976181"/>
    <n v="107447"/>
    <n v="1976181"/>
    <n v="1778887"/>
    <n v="1501614"/>
    <x v="1"/>
    <n v="0.08"/>
    <n v="120129.12"/>
    <n v="0.90016400319606349"/>
    <n v="10346.497382198953"/>
  </r>
  <r>
    <s v="SUNWEST BANK"/>
    <s v="Irvine"/>
    <x v="0"/>
    <n v="92614"/>
    <d v="2021-09-30T00:00:00"/>
    <x v="2"/>
    <n v="194"/>
    <n v="2153412"/>
    <n v="485018"/>
    <n v="2153412"/>
    <n v="1928229"/>
    <n v="1914972"/>
    <x v="1"/>
    <n v="0.08"/>
    <n v="153197.76000000001"/>
    <n v="0.89542967160952014"/>
    <n v="11100.061855670103"/>
  </r>
  <r>
    <s v="TABLE GROVE STATE BANK"/>
    <s v="Table Grove"/>
    <x v="1"/>
    <n v="61482"/>
    <d v="2019-09-30T00:00:00"/>
    <x v="0"/>
    <n v="10"/>
    <n v="46308"/>
    <n v="2199"/>
    <n v="46308"/>
    <n v="40551"/>
    <n v="37847"/>
    <x v="2"/>
    <n v="0.09"/>
    <n v="3406.23"/>
    <n v="0.87568022803835188"/>
    <n v="4630.8"/>
  </r>
  <r>
    <s v="TABLE GROVE STATE BANK"/>
    <s v="Table Grove"/>
    <x v="1"/>
    <n v="61482"/>
    <d v="2020-09-30T00:00:00"/>
    <x v="1"/>
    <n v="10"/>
    <n v="44745"/>
    <n v="1654"/>
    <n v="44745"/>
    <n v="38615"/>
    <n v="37363"/>
    <x v="2"/>
    <n v="0.09"/>
    <n v="3362.67"/>
    <n v="0.8630014526762767"/>
    <n v="4474.5"/>
  </r>
  <r>
    <s v="TABLE GROVE STATE BANK"/>
    <s v="Table Grove"/>
    <x v="1"/>
    <n v="61482"/>
    <d v="2021-09-30T00:00:00"/>
    <x v="2"/>
    <n v="11"/>
    <n v="50275"/>
    <n v="5428"/>
    <n v="50275"/>
    <n v="44118"/>
    <n v="43909"/>
    <x v="2"/>
    <n v="0.09"/>
    <n v="3951.81"/>
    <n v="0.8775335653903531"/>
    <n v="4570.454545454545"/>
  </r>
  <r>
    <s v="TEMPO BANK, A FEDERAL SAVINGS BANK"/>
    <s v="Trenton"/>
    <x v="1"/>
    <n v="62293"/>
    <d v="2019-09-30T00:00:00"/>
    <x v="0"/>
    <n v="17"/>
    <n v="94936"/>
    <n v="1528"/>
    <n v="94936"/>
    <n v="83946"/>
    <n v="73727"/>
    <x v="2"/>
    <n v="0.09"/>
    <n v="6635.4299999999994"/>
    <n v="0.8842378023089239"/>
    <n v="5584.4705882352937"/>
  </r>
  <r>
    <s v="TEMPO BANK, A FEDERAL SAVINGS BANK"/>
    <s v="Trenton"/>
    <x v="1"/>
    <n v="62293"/>
    <d v="2020-09-30T00:00:00"/>
    <x v="1"/>
    <n v="17"/>
    <n v="102140"/>
    <n v="2232"/>
    <n v="102140"/>
    <n v="93148"/>
    <n v="79352"/>
    <x v="0"/>
    <n v="0.08"/>
    <n v="6348.16"/>
    <n v="0.91196397102016835"/>
    <n v="6008.2352941176468"/>
  </r>
  <r>
    <s v="TEMPO BANK, A FEDERAL SAVINGS BANK"/>
    <s v="Trenton"/>
    <x v="1"/>
    <n v="62293"/>
    <d v="2021-09-30T00:00:00"/>
    <x v="2"/>
    <n v="16"/>
    <n v="90664"/>
    <n v="1730"/>
    <n v="90664"/>
    <n v="80593"/>
    <n v="74775"/>
    <x v="2"/>
    <n v="0.09"/>
    <n v="6729.75"/>
    <n v="0.88891952704491306"/>
    <n v="5666.5"/>
  </r>
  <r>
    <s v="TEUTOPOLIS STATE BANK"/>
    <s v="Teutopolis"/>
    <x v="1"/>
    <n v="62467"/>
    <d v="2019-09-30T00:00:00"/>
    <x v="0"/>
    <n v="39"/>
    <n v="246484"/>
    <n v="29344"/>
    <n v="246484"/>
    <n v="212456"/>
    <n v="211981"/>
    <x v="0"/>
    <n v="0.08"/>
    <n v="16958.48"/>
    <n v="0.86194641437172392"/>
    <n v="6320.1025641025644"/>
  </r>
  <r>
    <s v="TEUTOPOLIS STATE BANK"/>
    <s v="Teutopolis"/>
    <x v="1"/>
    <n v="62467"/>
    <d v="2020-09-30T00:00:00"/>
    <x v="1"/>
    <n v="41"/>
    <n v="277895"/>
    <n v="35724"/>
    <n v="277895"/>
    <n v="240060"/>
    <n v="239470"/>
    <x v="0"/>
    <n v="0.08"/>
    <n v="19157.600000000002"/>
    <n v="0.86385145468612246"/>
    <n v="6777.9268292682927"/>
  </r>
  <r>
    <s v="TEUTOPOLIS STATE BANK"/>
    <s v="Teutopolis"/>
    <x v="1"/>
    <n v="62467"/>
    <d v="2021-09-30T00:00:00"/>
    <x v="2"/>
    <n v="35"/>
    <n v="311062"/>
    <n v="51975"/>
    <n v="311062"/>
    <n v="271116"/>
    <n v="270672"/>
    <x v="0"/>
    <n v="0.08"/>
    <n v="21653.760000000002"/>
    <n v="0.87158187113822971"/>
    <n v="8887.4857142857145"/>
  </r>
  <r>
    <s v="TEXICO STATE BANK"/>
    <s v="Texico"/>
    <x v="1"/>
    <n v="62889"/>
    <d v="2019-09-30T00:00:00"/>
    <x v="0"/>
    <n v="2"/>
    <n v="8184"/>
    <n v="4253"/>
    <n v="8184"/>
    <n v="7474"/>
    <n v="7439"/>
    <x v="2"/>
    <n v="0.09"/>
    <n v="669.51"/>
    <n v="0.91324535679374386"/>
    <n v="4092"/>
  </r>
  <r>
    <s v="TEXICO STATE BANK"/>
    <s v="Texico"/>
    <x v="1"/>
    <n v="62889"/>
    <d v="2020-09-30T00:00:00"/>
    <x v="1"/>
    <n v="3"/>
    <n v="11297"/>
    <n v="3988"/>
    <n v="11297"/>
    <n v="10546"/>
    <n v="8201"/>
    <x v="2"/>
    <n v="0.09"/>
    <n v="738.08999999999992"/>
    <n v="0.93352217402850313"/>
    <n v="3765.6666666666665"/>
  </r>
  <r>
    <s v="TEXICO STATE BANK"/>
    <s v="Texico"/>
    <x v="1"/>
    <n v="62889"/>
    <d v="2021-09-30T00:00:00"/>
    <x v="2"/>
    <n v="2"/>
    <n v="10263"/>
    <n v="5599"/>
    <n v="10263"/>
    <n v="9800"/>
    <n v="9774"/>
    <x v="2"/>
    <n v="0.09"/>
    <n v="879.66"/>
    <n v="0.95488648543310928"/>
    <n v="5131.5"/>
  </r>
  <r>
    <s v="THE ADIRONDACK TRUST COMPANY"/>
    <s v="Saratoga Springs"/>
    <x v="2"/>
    <n v="12866"/>
    <d v="2019-09-30T00:00:00"/>
    <x v="0"/>
    <n v="236"/>
    <n v="1204350"/>
    <n v="121539"/>
    <n v="1204350"/>
    <n v="1071270"/>
    <n v="1040057"/>
    <x v="1"/>
    <n v="0.08"/>
    <n v="83204.56"/>
    <n v="0.88950056046830239"/>
    <n v="5103.1779661016953"/>
  </r>
  <r>
    <s v="THE ADIRONDACK TRUST COMPANY"/>
    <s v="Saratoga Springs"/>
    <x v="2"/>
    <n v="12866"/>
    <d v="2020-09-30T00:00:00"/>
    <x v="1"/>
    <n v="235"/>
    <n v="1460006"/>
    <n v="317755"/>
    <n v="1460006"/>
    <n v="1316895"/>
    <n v="1288992"/>
    <x v="1"/>
    <n v="0.08"/>
    <n v="103119.36"/>
    <n v="0.9019791699486166"/>
    <n v="6212.7914893617017"/>
  </r>
  <r>
    <s v="THE ADIRONDACK TRUST COMPANY"/>
    <s v="Saratoga Springs"/>
    <x v="2"/>
    <n v="12866"/>
    <d v="2021-09-30T00:00:00"/>
    <x v="2"/>
    <n v="249"/>
    <n v="1617518"/>
    <n v="334204"/>
    <n v="1617518"/>
    <n v="1469759"/>
    <n v="1433803"/>
    <x v="1"/>
    <n v="0.08"/>
    <n v="114704.24"/>
    <n v="0.90865078472078831"/>
    <n v="6496.0562248995984"/>
  </r>
  <r>
    <s v="THE ANNA -JONESBORO NATIONAL BANK"/>
    <s v="Anna"/>
    <x v="1"/>
    <n v="62906"/>
    <d v="2019-09-30T00:00:00"/>
    <x v="0"/>
    <n v="50"/>
    <n v="219665"/>
    <n v="18700"/>
    <n v="219665"/>
    <n v="187633"/>
    <n v="186784"/>
    <x v="0"/>
    <n v="0.08"/>
    <n v="14942.720000000001"/>
    <n v="0.85417795279175113"/>
    <n v="4393.3"/>
  </r>
  <r>
    <s v="THE ANNA -JONESBORO NATIONAL BANK"/>
    <s v="Anna"/>
    <x v="1"/>
    <n v="62906"/>
    <d v="2020-09-30T00:00:00"/>
    <x v="1"/>
    <n v="46"/>
    <n v="239590"/>
    <n v="19952"/>
    <n v="239590"/>
    <n v="205795"/>
    <n v="202658"/>
    <x v="0"/>
    <n v="0.08"/>
    <n v="16212.640000000001"/>
    <n v="0.85894653366167206"/>
    <n v="5208.478260869565"/>
  </r>
  <r>
    <s v="THE ANNA -JONESBORO NATIONAL BANK"/>
    <s v="Anna"/>
    <x v="1"/>
    <n v="62906"/>
    <d v="2021-09-30T00:00:00"/>
    <x v="2"/>
    <n v="44"/>
    <n v="271406"/>
    <n v="15131"/>
    <n v="271406"/>
    <n v="237342"/>
    <n v="231072"/>
    <x v="0"/>
    <n v="0.08"/>
    <n v="18485.760000000002"/>
    <n v="0.8744906155353972"/>
    <n v="6168.318181818182"/>
  </r>
  <r>
    <s v="THE ATLANTA NATIONAL BANK"/>
    <s v="Atlanta"/>
    <x v="1"/>
    <n v="61723"/>
    <d v="2019-09-30T00:00:00"/>
    <x v="0"/>
    <n v="14"/>
    <n v="59349"/>
    <n v="4030"/>
    <n v="59349"/>
    <n v="51010"/>
    <n v="50574"/>
    <x v="2"/>
    <n v="0.09"/>
    <n v="4551.66"/>
    <n v="0.85949215656540123"/>
    <n v="4239.2142857142853"/>
  </r>
  <r>
    <s v="THE ATLANTA NATIONAL BANK"/>
    <s v="Atlanta"/>
    <x v="1"/>
    <n v="61723"/>
    <d v="2020-09-30T00:00:00"/>
    <x v="1"/>
    <n v="14"/>
    <n v="70918"/>
    <n v="5519"/>
    <n v="70917"/>
    <n v="61991"/>
    <n v="58006"/>
    <x v="2"/>
    <n v="0.09"/>
    <n v="5220.54"/>
    <n v="0.8741222256690826"/>
    <n v="5065.5714285714284"/>
  </r>
  <r>
    <s v="THE ATLANTA NATIONAL BANK"/>
    <s v="Atlanta"/>
    <x v="1"/>
    <n v="61723"/>
    <d v="2021-09-30T00:00:00"/>
    <x v="2"/>
    <n v="13"/>
    <n v="71707"/>
    <n v="3363"/>
    <n v="71707"/>
    <n v="62460"/>
    <n v="61070"/>
    <x v="2"/>
    <n v="0.09"/>
    <n v="5496.3"/>
    <n v="0.8710446678845859"/>
    <n v="5515.9230769230771"/>
  </r>
  <r>
    <s v="THE BANK OF BOURBONNAIS"/>
    <s v="Bourbonnais"/>
    <x v="1"/>
    <n v="60914"/>
    <d v="2019-09-30T00:00:00"/>
    <x v="0"/>
    <n v="11"/>
    <n v="68071"/>
    <n v="2761"/>
    <n v="68071"/>
    <n v="59605"/>
    <n v="51608"/>
    <x v="2"/>
    <n v="0.09"/>
    <n v="4644.72"/>
    <n v="0.87562985706100982"/>
    <n v="6188.272727272727"/>
  </r>
  <r>
    <s v="THE BANK OF BOURBONNAIS"/>
    <s v="Bourbonnais"/>
    <x v="1"/>
    <n v="60914"/>
    <d v="2020-09-30T00:00:00"/>
    <x v="1"/>
    <n v="10"/>
    <n v="80313"/>
    <n v="2457"/>
    <n v="80313"/>
    <n v="71838"/>
    <n v="63508"/>
    <x v="2"/>
    <n v="0.09"/>
    <n v="5715.7199999999993"/>
    <n v="0.89447536513391357"/>
    <n v="8031.3"/>
  </r>
  <r>
    <s v="THE BANK OF BOURBONNAIS"/>
    <s v="Bourbonnais"/>
    <x v="1"/>
    <n v="60914"/>
    <d v="2021-09-30T00:00:00"/>
    <x v="2"/>
    <n v="10"/>
    <n v="90327"/>
    <n v="23456"/>
    <n v="90327"/>
    <n v="82351"/>
    <n v="71803"/>
    <x v="2"/>
    <n v="0.09"/>
    <n v="6462.2699999999995"/>
    <n v="0.91169860617534071"/>
    <n v="9032.7000000000007"/>
  </r>
  <r>
    <s v="THE BANK OF CANTON"/>
    <s v="Canton"/>
    <x v="3"/>
    <n v="2021"/>
    <d v="2019-09-30T00:00:00"/>
    <x v="0"/>
    <n v="106"/>
    <n v="643963"/>
    <n v="35294"/>
    <n v="643963"/>
    <n v="570454"/>
    <n v="537702"/>
    <x v="0"/>
    <n v="8.5000000000000006E-2"/>
    <n v="45704.670000000006"/>
    <n v="0.88584903169902618"/>
    <n v="6075.1226415094343"/>
  </r>
  <r>
    <s v="THE BANK OF CANTON"/>
    <s v="Canton"/>
    <x v="3"/>
    <n v="2021"/>
    <d v="2020-09-30T00:00:00"/>
    <x v="1"/>
    <n v="110"/>
    <n v="721782"/>
    <n v="52307"/>
    <n v="721782"/>
    <n v="647055"/>
    <n v="611200"/>
    <x v="0"/>
    <n v="8.5000000000000006E-2"/>
    <n v="51952.000000000007"/>
    <n v="0.89646873986882469"/>
    <n v="6561.6545454545458"/>
  </r>
  <r>
    <s v="THE BANK OF CANTON"/>
    <s v="Canton"/>
    <x v="3"/>
    <n v="2021"/>
    <d v="2021-09-30T00:00:00"/>
    <x v="2"/>
    <n v="108"/>
    <n v="816707"/>
    <n v="227219"/>
    <n v="816707"/>
    <n v="732793"/>
    <n v="725043"/>
    <x v="0"/>
    <n v="8.5000000000000006E-2"/>
    <n v="61628.655000000006"/>
    <n v="0.8972532376972403"/>
    <n v="7562.1018518518522"/>
  </r>
  <r>
    <s v="THE BANK OF CARBONDALE"/>
    <s v="Carbondale"/>
    <x v="1"/>
    <n v="62901"/>
    <d v="2019-09-30T00:00:00"/>
    <x v="0"/>
    <n v="54"/>
    <n v="246160"/>
    <n v="40152"/>
    <n v="246160"/>
    <n v="215246"/>
    <n v="214264"/>
    <x v="0"/>
    <n v="0.08"/>
    <n v="17141.12"/>
    <n v="0.87441501462463433"/>
    <n v="4558.5185185185182"/>
  </r>
  <r>
    <s v="THE BANK OF CARBONDALE"/>
    <s v="Carbondale"/>
    <x v="1"/>
    <n v="62901"/>
    <d v="2020-09-30T00:00:00"/>
    <x v="1"/>
    <n v="49"/>
    <n v="261571"/>
    <n v="29835"/>
    <n v="261571"/>
    <n v="227860"/>
    <n v="222166"/>
    <x v="0"/>
    <n v="0.08"/>
    <n v="17773.28"/>
    <n v="0.87112103405958607"/>
    <n v="5338.1836734693879"/>
  </r>
  <r>
    <s v="THE BANK OF CARBONDALE"/>
    <s v="Carbondale"/>
    <x v="1"/>
    <n v="62901"/>
    <d v="2021-09-30T00:00:00"/>
    <x v="2"/>
    <n v="43"/>
    <n v="282425"/>
    <n v="24411"/>
    <n v="282425"/>
    <n v="246641"/>
    <n v="241221"/>
    <x v="0"/>
    <n v="0.08"/>
    <n v="19297.68"/>
    <n v="0.87329733557581657"/>
    <n v="6568.0232558139533"/>
  </r>
  <r>
    <s v="THE BANK OF CASTILE"/>
    <s v="Castile"/>
    <x v="2"/>
    <n v="14427"/>
    <d v="2019-09-30T00:00:00"/>
    <x v="0"/>
    <n v="129"/>
    <n v="1483140"/>
    <n v="29926"/>
    <n v="1483140"/>
    <n v="1353487"/>
    <n v="1264907"/>
    <x v="1"/>
    <n v="0.08"/>
    <n v="101192.56"/>
    <n v="0.91258208935097163"/>
    <n v="11497.209302325582"/>
  </r>
  <r>
    <s v="THE BANK OF CASTILE"/>
    <s v="Castile"/>
    <x v="2"/>
    <n v="14427"/>
    <d v="2020-09-30T00:00:00"/>
    <x v="1"/>
    <n v="127"/>
    <n v="1782679"/>
    <n v="103864"/>
    <n v="1782679"/>
    <n v="1641033"/>
    <n v="1579981"/>
    <x v="1"/>
    <n v="0.08"/>
    <n v="126398.48"/>
    <n v="0.92054318247985201"/>
    <n v="14036.842519685038"/>
  </r>
  <r>
    <s v="THE BANK OF CASTILE"/>
    <s v="Castile"/>
    <x v="2"/>
    <n v="14427"/>
    <d v="2021-09-30T00:00:00"/>
    <x v="2"/>
    <n v="127"/>
    <n v="1932677"/>
    <n v="97443"/>
    <n v="1932677"/>
    <n v="1789695"/>
    <n v="1741726"/>
    <x v="1"/>
    <n v="0.08"/>
    <n v="139338.08000000002"/>
    <n v="0.92601867772007429"/>
    <n v="15217.929133858268"/>
  </r>
  <r>
    <s v="THE BANK OF EAST ASIA LTD."/>
    <s v="New York"/>
    <x v="2"/>
    <n v="10022"/>
    <d v="2019-09-30T00:00:00"/>
    <x v="0"/>
    <n v="301"/>
    <n v="2789917"/>
    <n v="297786"/>
    <n v="2789917"/>
    <n v="2789917"/>
    <n v="2378558"/>
    <x v="1"/>
    <n v="0.08"/>
    <n v="190284.64"/>
    <n v="1"/>
    <n v="9268.8272425249161"/>
  </r>
  <r>
    <s v="THE BANK OF EAST ASIA LTD."/>
    <s v="New York"/>
    <x v="2"/>
    <n v="10022"/>
    <d v="2020-09-30T00:00:00"/>
    <x v="1"/>
    <n v="432"/>
    <n v="3059158"/>
    <n v="616901"/>
    <n v="3059158"/>
    <n v="3059158"/>
    <n v="2810359"/>
    <x v="1"/>
    <n v="0.08"/>
    <n v="224828.72"/>
    <n v="1"/>
    <n v="7081.3842592592591"/>
  </r>
  <r>
    <s v="THE BANK OF EAST ASIA LTD."/>
    <s v="New York"/>
    <x v="2"/>
    <n v="10022"/>
    <d v="2021-09-30T00:00:00"/>
    <x v="2"/>
    <n v="433"/>
    <n v="3216565"/>
    <n v="806426"/>
    <n v="3216565"/>
    <n v="3216565"/>
    <n v="2846161"/>
    <x v="1"/>
    <n v="0.08"/>
    <n v="227692.88"/>
    <n v="1"/>
    <n v="7428.5565819861431"/>
  </r>
  <r>
    <s v="THE BANK OF EDWARDSVILLE"/>
    <s v="Edwardsville"/>
    <x v="1"/>
    <n v="62025"/>
    <d v="2019-09-30T00:00:00"/>
    <x v="0"/>
    <n v="293"/>
    <n v="1943295"/>
    <n v="339078"/>
    <n v="1943295"/>
    <n v="1670234"/>
    <n v="1573132"/>
    <x v="1"/>
    <n v="7.4999999999999997E-2"/>
    <n v="117984.9"/>
    <n v="0.85948556446653745"/>
    <n v="6632.4061433447096"/>
  </r>
  <r>
    <s v="THE BANK OF GREENE COUNTY"/>
    <s v="Catskill"/>
    <x v="2"/>
    <n v="12414"/>
    <d v="2019-09-30T00:00:00"/>
    <x v="0"/>
    <n v="169"/>
    <n v="1406753"/>
    <n v="111077"/>
    <n v="1406753"/>
    <n v="1294634"/>
    <n v="1265307"/>
    <x v="1"/>
    <n v="0.08"/>
    <n v="101224.56"/>
    <n v="0.92029944133760511"/>
    <n v="8323.9822485207096"/>
  </r>
  <r>
    <s v="THE BANK OF GREENE COUNTY"/>
    <s v="Catskill"/>
    <x v="2"/>
    <n v="12414"/>
    <d v="2020-09-30T00:00:00"/>
    <x v="1"/>
    <n v="189"/>
    <n v="1796065"/>
    <n v="76493"/>
    <n v="1796065"/>
    <n v="1655668"/>
    <n v="1629143"/>
    <x v="1"/>
    <n v="0.08"/>
    <n v="130331.44"/>
    <n v="0.92183078006642294"/>
    <n v="9502.9894179894181"/>
  </r>
  <r>
    <s v="THE BANK OF GREENE COUNTY"/>
    <s v="Catskill"/>
    <x v="2"/>
    <n v="12414"/>
    <d v="2021-09-30T00:00:00"/>
    <x v="2"/>
    <n v="187"/>
    <n v="2279557"/>
    <n v="113586"/>
    <n v="2279557"/>
    <n v="2101531"/>
    <n v="2080482"/>
    <x v="1"/>
    <n v="0.08"/>
    <n v="166438.56"/>
    <n v="0.92190324699053372"/>
    <n v="12190.144385026739"/>
  </r>
  <r>
    <s v="THE BANK OF HEMET"/>
    <s v="Riverside"/>
    <x v="0"/>
    <n v="92506"/>
    <d v="2019-09-30T00:00:00"/>
    <x v="0"/>
    <n v="88"/>
    <n v="722266"/>
    <n v="83412"/>
    <n v="722266"/>
    <n v="641251"/>
    <n v="636386"/>
    <x v="0"/>
    <n v="0.09"/>
    <n v="57274.74"/>
    <n v="0.88783218371071049"/>
    <n v="8207.568181818182"/>
  </r>
  <r>
    <s v="THE BANK OF HEMET"/>
    <s v="Riverside"/>
    <x v="0"/>
    <n v="92506"/>
    <d v="2020-09-30T00:00:00"/>
    <x v="1"/>
    <n v="88"/>
    <n v="854584"/>
    <n v="185409"/>
    <n v="854584"/>
    <n v="766884"/>
    <n v="751647"/>
    <x v="0"/>
    <n v="0.09"/>
    <n v="67648.23"/>
    <n v="0.89737696937925349"/>
    <n v="9711.181818181818"/>
  </r>
  <r>
    <s v="THE BANK OF HEMET"/>
    <s v="Riverside"/>
    <x v="0"/>
    <n v="92506"/>
    <d v="2021-09-30T00:00:00"/>
    <x v="2"/>
    <n v="87"/>
    <n v="1021411"/>
    <n v="242018"/>
    <n v="1021411"/>
    <n v="929040"/>
    <n v="923338"/>
    <x v="1"/>
    <n v="0.08"/>
    <n v="73867.040000000008"/>
    <n v="0.90956529741700454"/>
    <n v="11740.356321839081"/>
  </r>
  <r>
    <s v="THE BANK OF HERRIN"/>
    <s v="Herrin"/>
    <x v="1"/>
    <n v="62948"/>
    <d v="2019-09-30T00:00:00"/>
    <x v="0"/>
    <n v="60"/>
    <n v="250381"/>
    <n v="12283"/>
    <n v="250381"/>
    <n v="223065"/>
    <n v="222870"/>
    <x v="0"/>
    <n v="0.08"/>
    <n v="17829.600000000002"/>
    <n v="0.89090226494821889"/>
    <n v="4173.0166666666664"/>
  </r>
  <r>
    <s v="THE BANK OF HERRIN"/>
    <s v="Herrin"/>
    <x v="1"/>
    <n v="62948"/>
    <d v="2020-09-30T00:00:00"/>
    <x v="1"/>
    <n v="59"/>
    <n v="277395"/>
    <n v="28319"/>
    <n v="277395"/>
    <n v="251689"/>
    <n v="251422"/>
    <x v="0"/>
    <n v="0.08"/>
    <n v="20113.760000000002"/>
    <n v="0.90733070170695218"/>
    <n v="4701.6101694915251"/>
  </r>
  <r>
    <s v="THE BANK OF HERRIN"/>
    <s v="Herrin"/>
    <x v="1"/>
    <n v="62948"/>
    <d v="2021-09-30T00:00:00"/>
    <x v="2"/>
    <n v="58"/>
    <n v="309223"/>
    <n v="31278"/>
    <n v="309223"/>
    <n v="282969"/>
    <n v="282788"/>
    <x v="0"/>
    <n v="0.08"/>
    <n v="22623.040000000001"/>
    <n v="0.91509687183682975"/>
    <n v="5331.4310344827591"/>
  </r>
  <r>
    <s v="THE BANK OF NEW YORK MELLON"/>
    <s v="New York"/>
    <x v="2"/>
    <n v="10286"/>
    <d v="2019-09-30T00:00:00"/>
    <x v="0"/>
    <n v="38520"/>
    <n v="304096000"/>
    <n v="97459000"/>
    <n v="304096000"/>
    <n v="278093000"/>
    <n v="255504000"/>
    <x v="1"/>
    <n v="0.08"/>
    <n v="20440320"/>
    <n v="0.91449081868883508"/>
    <n v="7894.4963655244028"/>
  </r>
  <r>
    <s v="THE BANK OF NEW YORK MELLON"/>
    <s v="New York"/>
    <x v="2"/>
    <n v="10286"/>
    <d v="2020-09-30T00:00:00"/>
    <x v="1"/>
    <n v="39108"/>
    <n v="349432000"/>
    <n v="128562000"/>
    <n v="349432000"/>
    <n v="320352000"/>
    <n v="300672000"/>
    <x v="1"/>
    <n v="0.08"/>
    <n v="24053760"/>
    <n v="0.91677923029373387"/>
    <n v="8935.0516518359418"/>
  </r>
  <r>
    <s v="THE BANK OF NEW YORK MELLON"/>
    <s v="New York"/>
    <x v="2"/>
    <n v="10286"/>
    <d v="2021-09-30T00:00:00"/>
    <x v="2"/>
    <n v="39711"/>
    <n v="385830000"/>
    <n v="148509000"/>
    <n v="385830000"/>
    <n v="357319000"/>
    <n v="341915000"/>
    <x v="1"/>
    <n v="0.08"/>
    <n v="27353200"/>
    <n v="0.92610476116424334"/>
    <n v="9715.9477222935711"/>
  </r>
  <r>
    <s v="THE BANK OF NEW YORK MELLON TRUST COMPANY, NATIONAL ASSOCIATION"/>
    <s v="Los Angeles"/>
    <x v="0"/>
    <n v="90071"/>
    <d v="2019-09-30T00:00:00"/>
    <x v="0"/>
    <n v="1194"/>
    <n v="1360505"/>
    <n v="211851"/>
    <n v="1360505"/>
    <n v="251620"/>
    <n v="2897"/>
    <x v="1"/>
    <n v="0.08"/>
    <n v="231.76"/>
    <n v="0.18494603106934557"/>
    <n v="1139.4514237855947"/>
  </r>
  <r>
    <s v="THE BANK OF NEW YORK MELLON TRUST COMPANY, NATIONAL ASSOCIATION"/>
    <s v="Los Angeles"/>
    <x v="0"/>
    <n v="90071"/>
    <d v="2020-09-30T00:00:00"/>
    <x v="1"/>
    <n v="880"/>
    <n v="1478507"/>
    <n v="353022"/>
    <n v="1478507"/>
    <n v="260014"/>
    <n v="2258"/>
    <x v="1"/>
    <n v="0.08"/>
    <n v="180.64000000000001"/>
    <n v="0.17586254241609947"/>
    <n v="1680.1215909090909"/>
  </r>
  <r>
    <s v="THE BANK OF NEW YORK MELLON TRUST COMPANY, NATIONAL ASSOCIATION"/>
    <s v="Los Angeles"/>
    <x v="0"/>
    <n v="90071"/>
    <d v="2021-09-30T00:00:00"/>
    <x v="2"/>
    <n v="804"/>
    <n v="1422604"/>
    <n v="404688"/>
    <n v="1422604"/>
    <n v="270055"/>
    <n v="749"/>
    <x v="1"/>
    <n v="0.08"/>
    <n v="59.92"/>
    <n v="0.18983146399138481"/>
    <n v="1769.4079601990049"/>
  </r>
  <r>
    <s v="THE BERKSHIRE BANK"/>
    <s v="New York"/>
    <x v="2"/>
    <n v="10016"/>
    <d v="2019-09-30T00:00:00"/>
    <x v="0"/>
    <n v="93"/>
    <n v="642882"/>
    <n v="92442"/>
    <n v="642882"/>
    <n v="522005"/>
    <n v="512462"/>
    <x v="0"/>
    <n v="8.5000000000000006E-2"/>
    <n v="43559.270000000004"/>
    <n v="0.81197638135769856"/>
    <n v="6912.7096774193551"/>
  </r>
  <r>
    <s v="THE BERKSHIRE BANK"/>
    <s v="New York"/>
    <x v="2"/>
    <n v="10016"/>
    <d v="2020-09-30T00:00:00"/>
    <x v="1"/>
    <n v="89"/>
    <n v="686442"/>
    <n v="262852"/>
    <n v="686442"/>
    <n v="564120"/>
    <n v="557111"/>
    <x v="0"/>
    <n v="8.5000000000000006E-2"/>
    <n v="47354.435000000005"/>
    <n v="0.82180286171300709"/>
    <n v="7712.8314606741569"/>
  </r>
  <r>
    <s v="THE BERKSHIRE BANK"/>
    <s v="New York"/>
    <x v="2"/>
    <n v="10016"/>
    <d v="2021-09-30T00:00:00"/>
    <x v="2"/>
    <n v="79"/>
    <n v="665807"/>
    <n v="233015"/>
    <n v="665807"/>
    <n v="541995"/>
    <n v="533877"/>
    <x v="0"/>
    <n v="8.5000000000000006E-2"/>
    <n v="45379.545000000006"/>
    <n v="0.81404220742647648"/>
    <n v="8427.9367088607596"/>
  </r>
  <r>
    <s v="THE BRADFORD NATIONAL BANK OF GREENVILLE"/>
    <s v="Greenville"/>
    <x v="1"/>
    <n v="62246"/>
    <d v="2019-09-30T00:00:00"/>
    <x v="0"/>
    <n v="48"/>
    <n v="318318"/>
    <n v="9382"/>
    <n v="318318"/>
    <n v="276463"/>
    <n v="259937"/>
    <x v="0"/>
    <n v="0.08"/>
    <n v="20794.96"/>
    <n v="0.86851199115350064"/>
    <n v="6631.625"/>
  </r>
  <r>
    <s v="THE BRADFORD NATIONAL BANK OF GREENVILLE"/>
    <s v="Greenville"/>
    <x v="1"/>
    <n v="62246"/>
    <d v="2020-09-30T00:00:00"/>
    <x v="1"/>
    <n v="49"/>
    <n v="406648"/>
    <n v="5388"/>
    <n v="406648"/>
    <n v="349299"/>
    <n v="324401"/>
    <x v="0"/>
    <n v="0.08"/>
    <n v="25952.080000000002"/>
    <n v="0.8589713954083138"/>
    <n v="8298.9387755102034"/>
  </r>
  <r>
    <s v="THE BRADFORD NATIONAL BANK OF GREENVILLE"/>
    <s v="Greenville"/>
    <x v="1"/>
    <n v="62246"/>
    <d v="2021-09-30T00:00:00"/>
    <x v="2"/>
    <n v="50"/>
    <n v="469614"/>
    <n v="6513"/>
    <n v="469614"/>
    <n v="403098"/>
    <n v="333993"/>
    <x v="0"/>
    <n v="0.08"/>
    <n v="26719.440000000002"/>
    <n v="0.85836027034969142"/>
    <n v="9392.2800000000007"/>
  </r>
  <r>
    <s v="THE CANANDAIGUA NATIONAL BANK AND TRUST COMPANY"/>
    <s v="Canandaigua"/>
    <x v="2"/>
    <n v="14424"/>
    <d v="2019-09-30T00:00:00"/>
    <x v="0"/>
    <n v="507"/>
    <n v="2978215"/>
    <n v="82157"/>
    <n v="2978215"/>
    <n v="2688301"/>
    <n v="2396881"/>
    <x v="1"/>
    <n v="0.08"/>
    <n v="191750.48"/>
    <n v="0.9026551138853306"/>
    <n v="5874.1913214990136"/>
  </r>
  <r>
    <s v="THE CANANDAIGUA NATIONAL BANK AND TRUST COMPANY"/>
    <s v="Canandaigua"/>
    <x v="2"/>
    <n v="14424"/>
    <d v="2020-09-30T00:00:00"/>
    <x v="1"/>
    <n v="540"/>
    <n v="3598624"/>
    <n v="78169"/>
    <n v="3598624"/>
    <n v="3280717"/>
    <n v="2935991"/>
    <x v="1"/>
    <n v="0.08"/>
    <n v="234879.28"/>
    <n v="0.91165873400499742"/>
    <n v="6664.1185185185186"/>
  </r>
  <r>
    <s v="THE CANANDAIGUA NATIONAL BANK AND TRUST COMPANY"/>
    <s v="Canandaigua"/>
    <x v="2"/>
    <n v="14424"/>
    <d v="2021-09-30T00:00:00"/>
    <x v="2"/>
    <n v="577"/>
    <n v="4057834"/>
    <n v="95579"/>
    <n v="4057834"/>
    <n v="3715167"/>
    <n v="3449977"/>
    <x v="1"/>
    <n v="0.08"/>
    <n v="275998.16000000003"/>
    <n v="0.91555420946248667"/>
    <n v="7032.6412478336224"/>
  </r>
  <r>
    <s v="THE CAPE COD FIVE CENTS SAVINGS BANK"/>
    <s v="Harwich Port"/>
    <x v="3"/>
    <n v="2646"/>
    <d v="2019-09-30T00:00:00"/>
    <x v="0"/>
    <n v="533"/>
    <n v="3617824"/>
    <n v="46055"/>
    <n v="3617824"/>
    <n v="3269035"/>
    <n v="3031387"/>
    <x v="1"/>
    <n v="0.08"/>
    <n v="242510.96"/>
    <n v="0.9035914958826079"/>
    <n v="6787.6622889305818"/>
  </r>
  <r>
    <s v="THE CAPE COD FIVE CENTS SAVINGS BANK"/>
    <s v="Hyannis"/>
    <x v="3"/>
    <n v="2601"/>
    <d v="2020-09-30T00:00:00"/>
    <x v="1"/>
    <n v="529"/>
    <n v="4172702"/>
    <n v="335573"/>
    <n v="4172702"/>
    <n v="3790591"/>
    <n v="3696173"/>
    <x v="1"/>
    <n v="0.08"/>
    <n v="295693.84000000003"/>
    <n v="0.90842600310302535"/>
    <n v="7887.9054820415877"/>
  </r>
  <r>
    <s v="THE CAPE COD FIVE CENTS SAVINGS BANK"/>
    <s v="Hyannis"/>
    <x v="3"/>
    <n v="2601"/>
    <d v="2021-09-30T00:00:00"/>
    <x v="2"/>
    <n v="527"/>
    <n v="4792923"/>
    <n v="761865"/>
    <n v="4792923"/>
    <n v="4324502"/>
    <n v="4302241"/>
    <x v="1"/>
    <n v="0.08"/>
    <n v="344179.28"/>
    <n v="0.90226819834159655"/>
    <n v="9094.7305502846302"/>
  </r>
  <r>
    <s v="THE CITIZENS NATIONAL BANK OF HAMMOND"/>
    <s v="Hammond"/>
    <x v="2"/>
    <n v="13646"/>
    <d v="2019-09-30T00:00:00"/>
    <x v="0"/>
    <n v="7"/>
    <n v="25217"/>
    <n v="3661"/>
    <n v="25217"/>
    <n v="22931"/>
    <n v="22864"/>
    <x v="2"/>
    <n v="0.09"/>
    <n v="2057.7599999999998"/>
    <n v="0.90934686917555618"/>
    <n v="3602.4285714285716"/>
  </r>
  <r>
    <s v="THE CITIZENS NATIONAL BANK OF HAMMOND"/>
    <s v="Hammond"/>
    <x v="2"/>
    <n v="13646"/>
    <d v="2020-09-30T00:00:00"/>
    <x v="1"/>
    <n v="7"/>
    <n v="26184"/>
    <n v="5239"/>
    <n v="26184"/>
    <n v="23693"/>
    <n v="23627"/>
    <x v="2"/>
    <n v="0.09"/>
    <n v="2126.4299999999998"/>
    <n v="0.90486556675832575"/>
    <n v="3740.5714285714284"/>
  </r>
  <r>
    <s v="THE CITIZENS NATIONAL BANK OF HAMMOND"/>
    <s v="Hammond"/>
    <x v="2"/>
    <n v="13646"/>
    <d v="2021-09-30T00:00:00"/>
    <x v="2"/>
    <n v="7"/>
    <n v="26520"/>
    <n v="4233"/>
    <n v="26520"/>
    <n v="24022"/>
    <n v="23955"/>
    <x v="2"/>
    <n v="0.09"/>
    <n v="2155.9499999999998"/>
    <n v="0.90580693815987934"/>
    <n v="3788.5714285714284"/>
  </r>
  <r>
    <s v="THE CITY NATIONAL BANK OF METROPOLIS"/>
    <s v="Metropolis"/>
    <x v="1"/>
    <n v="62960"/>
    <d v="2019-09-30T00:00:00"/>
    <x v="0"/>
    <n v="49"/>
    <n v="388746"/>
    <n v="33899"/>
    <n v="388746"/>
    <n v="336153"/>
    <n v="302137"/>
    <x v="0"/>
    <n v="0.08"/>
    <n v="24170.959999999999"/>
    <n v="0.86471114815329286"/>
    <n v="7933.591836734694"/>
  </r>
  <r>
    <s v="THE CITY NATIONAL BANK OF METROPOLIS"/>
    <s v="Metropolis"/>
    <x v="1"/>
    <n v="62960"/>
    <d v="2020-09-30T00:00:00"/>
    <x v="1"/>
    <n v="50"/>
    <n v="446930"/>
    <n v="19495"/>
    <n v="446930"/>
    <n v="389768"/>
    <n v="340647"/>
    <x v="0"/>
    <n v="0.08"/>
    <n v="27251.760000000002"/>
    <n v="0.87210077640793859"/>
    <n v="8938.6"/>
  </r>
  <r>
    <s v="THE CITY NATIONAL BANK OF METROPOLIS"/>
    <s v="Metropolis"/>
    <x v="1"/>
    <n v="62960"/>
    <d v="2021-09-30T00:00:00"/>
    <x v="2"/>
    <n v="50"/>
    <n v="477297"/>
    <n v="69724"/>
    <n v="477297"/>
    <n v="419444"/>
    <n v="375610"/>
    <x v="0"/>
    <n v="0.08"/>
    <n v="30048.799999999999"/>
    <n v="0.8787903548524294"/>
    <n v="9545.94"/>
  </r>
  <r>
    <s v="THE CLAY CITY BANKING CO."/>
    <s v="Clay City"/>
    <x v="1"/>
    <n v="62824"/>
    <d v="2019-09-30T00:00:00"/>
    <x v="0"/>
    <n v="35"/>
    <n v="149516"/>
    <n v="4837"/>
    <n v="149516"/>
    <n v="134893"/>
    <n v="130668"/>
    <x v="0"/>
    <n v="0.08"/>
    <n v="10453.44"/>
    <n v="0.90219775809946756"/>
    <n v="4271.8857142857141"/>
  </r>
  <r>
    <s v="THE CLAY CITY BANKING CO."/>
    <s v="Clay City"/>
    <x v="1"/>
    <n v="62824"/>
    <d v="2020-09-30T00:00:00"/>
    <x v="1"/>
    <n v="35"/>
    <n v="169881"/>
    <n v="8406"/>
    <n v="169881"/>
    <n v="154013"/>
    <n v="149600"/>
    <x v="0"/>
    <n v="0.08"/>
    <n v="11968"/>
    <n v="0.90659343893666744"/>
    <n v="4853.7428571428572"/>
  </r>
  <r>
    <s v="THE CLAY CITY BANKING CO."/>
    <s v="Clay City"/>
    <x v="1"/>
    <n v="62824"/>
    <d v="2021-09-30T00:00:00"/>
    <x v="2"/>
    <n v="33"/>
    <n v="192378"/>
    <n v="6565"/>
    <n v="192378"/>
    <n v="175254"/>
    <n v="170652"/>
    <x v="0"/>
    <n v="0.08"/>
    <n v="13652.16"/>
    <n v="0.91098774288120266"/>
    <n v="5829.636363636364"/>
  </r>
  <r>
    <s v="THE COOPERATIVE BANK"/>
    <s v="Roslindale"/>
    <x v="3"/>
    <n v="2131"/>
    <d v="2019-09-30T00:00:00"/>
    <x v="0"/>
    <n v="66"/>
    <n v="439192"/>
    <n v="14624"/>
    <n v="439192"/>
    <n v="396402"/>
    <n v="350862"/>
    <x v="0"/>
    <n v="8.5000000000000006E-2"/>
    <n v="29823.27"/>
    <n v="0.90257108508351702"/>
    <n v="6654.424242424242"/>
  </r>
  <r>
    <s v="THE COOPERATIVE BANK"/>
    <s v="Roslindale"/>
    <x v="3"/>
    <n v="2131"/>
    <d v="2020-09-30T00:00:00"/>
    <x v="1"/>
    <n v="71"/>
    <n v="472403"/>
    <n v="27293"/>
    <n v="472403"/>
    <n v="426894"/>
    <n v="391163"/>
    <x v="0"/>
    <n v="8.5000000000000006E-2"/>
    <n v="33248.855000000003"/>
    <n v="0.90366487935089324"/>
    <n v="6653.5633802816901"/>
  </r>
  <r>
    <s v="THE COOPERATIVE BANK"/>
    <s v="Roslindale"/>
    <x v="3"/>
    <n v="2131"/>
    <d v="2021-09-30T00:00:00"/>
    <x v="2"/>
    <n v="78"/>
    <n v="483441"/>
    <n v="15209"/>
    <n v="483441"/>
    <n v="435810"/>
    <n v="423036"/>
    <x v="0"/>
    <n v="8.5000000000000006E-2"/>
    <n v="35958.060000000005"/>
    <n v="0.90147505073007872"/>
    <n v="6197.9615384615381"/>
  </r>
  <r>
    <s v="THE DELAWARE NATIONAL BANK OF DELHI"/>
    <s v="Delhi"/>
    <x v="2"/>
    <n v="13753"/>
    <d v="2019-09-30T00:00:00"/>
    <x v="0"/>
    <n v="49"/>
    <n v="304811"/>
    <n v="39965"/>
    <n v="304811"/>
    <n v="273769"/>
    <n v="269741"/>
    <x v="0"/>
    <n v="8.5000000000000006E-2"/>
    <n v="22927.985000000001"/>
    <n v="0.89815984331274135"/>
    <n v="6220.6326530612241"/>
  </r>
  <r>
    <s v="THE DELAWARE NATIONAL BANK OF DELHI"/>
    <s v="Delhi"/>
    <x v="2"/>
    <n v="13753"/>
    <d v="2020-09-30T00:00:00"/>
    <x v="1"/>
    <n v="51"/>
    <n v="336613"/>
    <n v="44233"/>
    <n v="336614"/>
    <n v="302711"/>
    <n v="298725"/>
    <x v="0"/>
    <n v="8.5000000000000006E-2"/>
    <n v="25391.625000000004"/>
    <n v="0.89928493551942434"/>
    <n v="6600.2549019607841"/>
  </r>
  <r>
    <s v="THE DELAWARE NATIONAL BANK OF DELHI"/>
    <s v="Delhi"/>
    <x v="2"/>
    <n v="13753"/>
    <d v="2021-09-30T00:00:00"/>
    <x v="2"/>
    <n v="49"/>
    <n v="376835"/>
    <n v="50416"/>
    <n v="376835"/>
    <n v="342139"/>
    <n v="338116"/>
    <x v="0"/>
    <n v="8.5000000000000006E-2"/>
    <n v="28739.86"/>
    <n v="0.90792787294173838"/>
    <n v="7690.5102040816328"/>
  </r>
  <r>
    <s v="THE FAIRFIELD NATIONAL BANK"/>
    <s v="Fairfield"/>
    <x v="1"/>
    <n v="62837"/>
    <d v="2019-09-30T00:00:00"/>
    <x v="0"/>
    <n v="59"/>
    <n v="551260"/>
    <n v="16014"/>
    <n v="551260"/>
    <n v="479126"/>
    <n v="329217"/>
    <x v="0"/>
    <n v="0.08"/>
    <n v="26337.360000000001"/>
    <n v="0.86914704495156547"/>
    <n v="9343.3898305084749"/>
  </r>
  <r>
    <s v="THE FAIRFIELD NATIONAL BANK"/>
    <s v="Fairfield"/>
    <x v="1"/>
    <n v="62837"/>
    <d v="2020-09-30T00:00:00"/>
    <x v="1"/>
    <n v="60"/>
    <n v="582433"/>
    <n v="9932"/>
    <n v="582433"/>
    <n v="502050"/>
    <n v="340256"/>
    <x v="0"/>
    <n v="0.08"/>
    <n v="27220.48"/>
    <n v="0.86198755908404912"/>
    <n v="9707.2166666666672"/>
  </r>
  <r>
    <s v="THE FAIRFIELD NATIONAL BANK"/>
    <s v="Fairfield"/>
    <x v="1"/>
    <n v="62837"/>
    <d v="2021-09-30T00:00:00"/>
    <x v="2"/>
    <n v="59"/>
    <n v="661486"/>
    <n v="14272"/>
    <n v="661486"/>
    <n v="580582"/>
    <n v="401762"/>
    <x v="0"/>
    <n v="0.08"/>
    <n v="32140.959999999999"/>
    <n v="0.87769355662856052"/>
    <n v="11211.627118644068"/>
  </r>
  <r>
    <s v="THE FARMERS AND MERCHANTS NATIONAL BANK OF NASHVILLE"/>
    <s v="Nashville"/>
    <x v="1"/>
    <n v="62263"/>
    <d v="2019-09-30T00:00:00"/>
    <x v="0"/>
    <n v="45"/>
    <n v="183440"/>
    <n v="10169"/>
    <n v="183440"/>
    <n v="160808"/>
    <n v="160382"/>
    <x v="0"/>
    <n v="0.08"/>
    <n v="12830.56"/>
    <n v="0.87662450937636283"/>
    <n v="4076.4444444444443"/>
  </r>
  <r>
    <s v="THE FARMERS AND MERCHANTS NATIONAL BANK OF NASHVILLE"/>
    <s v="Nashville"/>
    <x v="1"/>
    <n v="62263"/>
    <d v="2020-09-30T00:00:00"/>
    <x v="1"/>
    <n v="46"/>
    <n v="215562"/>
    <n v="15211"/>
    <n v="215562"/>
    <n v="190804"/>
    <n v="190080"/>
    <x v="0"/>
    <n v="0.08"/>
    <n v="15206.4"/>
    <n v="0.88514673272654731"/>
    <n v="4686.130434782609"/>
  </r>
  <r>
    <s v="THE FARMERS AND MERCHANTS NATIONAL BANK OF NASHVILLE"/>
    <s v="Nashville"/>
    <x v="1"/>
    <n v="62263"/>
    <d v="2021-09-30T00:00:00"/>
    <x v="2"/>
    <n v="44"/>
    <n v="238493"/>
    <n v="23939"/>
    <n v="238493"/>
    <n v="211692"/>
    <n v="211186"/>
    <x v="0"/>
    <n v="0.08"/>
    <n v="16894.88"/>
    <n v="0.887623536120557"/>
    <n v="5420.295454545455"/>
  </r>
  <r>
    <s v="THE FARMERS BANK OF MT. PULASKI"/>
    <s v="Mount Pulaski"/>
    <x v="1"/>
    <n v="62548"/>
    <d v="2019-09-30T00:00:00"/>
    <x v="0"/>
    <n v="12"/>
    <n v="57018"/>
    <n v="16318"/>
    <n v="57018"/>
    <n v="50163"/>
    <n v="50090"/>
    <x v="2"/>
    <n v="0.09"/>
    <n v="4508.0999999999995"/>
    <n v="0.87977480795538254"/>
    <n v="4751.5"/>
  </r>
  <r>
    <s v="THE FARMERS BANK OF MT. PULASKI"/>
    <s v="Mount Pulaski"/>
    <x v="1"/>
    <n v="62548"/>
    <d v="2020-09-30T00:00:00"/>
    <x v="1"/>
    <n v="10"/>
    <n v="57895"/>
    <n v="25606"/>
    <n v="57895"/>
    <n v="50760"/>
    <n v="46668"/>
    <x v="2"/>
    <n v="0.09"/>
    <n v="4200.12"/>
    <n v="0.87675965109249498"/>
    <n v="5789.5"/>
  </r>
  <r>
    <s v="THE FARMERS BANK OF MT. PULASKI"/>
    <s v="Mount Pulaski"/>
    <x v="1"/>
    <n v="62548"/>
    <d v="2021-09-30T00:00:00"/>
    <x v="2"/>
    <n v="10"/>
    <n v="60356"/>
    <n v="12090"/>
    <n v="60356"/>
    <n v="53166"/>
    <n v="53110"/>
    <x v="2"/>
    <n v="0.09"/>
    <n v="4779.8999999999996"/>
    <n v="0.88087348399496324"/>
    <n v="6035.6"/>
  </r>
  <r>
    <s v="THE FARMERS NATIONAL BANK"/>
    <s v="Prophetstown"/>
    <x v="1"/>
    <n v="61277"/>
    <d v="2019-09-30T00:00:00"/>
    <x v="0"/>
    <n v="49"/>
    <n v="726119"/>
    <n v="33905"/>
    <n v="726119"/>
    <n v="620535"/>
    <n v="484282"/>
    <x v="0"/>
    <n v="0.08"/>
    <n v="38742.559999999998"/>
    <n v="0.85459132731687226"/>
    <n v="14818.755102040815"/>
  </r>
  <r>
    <s v="THE FARMERS STATE BANK AND TRUST COMPANY"/>
    <s v="Jacksonville"/>
    <x v="1"/>
    <n v="62650"/>
    <d v="2019-09-30T00:00:00"/>
    <x v="0"/>
    <n v="54"/>
    <n v="196711"/>
    <n v="5437"/>
    <n v="196711"/>
    <n v="172079"/>
    <n v="168977"/>
    <x v="0"/>
    <n v="0.08"/>
    <n v="13518.16"/>
    <n v="0.87478076975868146"/>
    <n v="3642.7962962962961"/>
  </r>
  <r>
    <s v="THE FARMERS STATE BANK AND TRUST COMPANY"/>
    <s v="Jacksonville"/>
    <x v="1"/>
    <n v="62650"/>
    <d v="2020-09-30T00:00:00"/>
    <x v="1"/>
    <n v="55"/>
    <n v="217103"/>
    <n v="4469"/>
    <n v="217103"/>
    <n v="190522"/>
    <n v="186661"/>
    <x v="0"/>
    <n v="0.08"/>
    <n v="14932.880000000001"/>
    <n v="0.8775650267384606"/>
    <n v="3947.3272727272729"/>
  </r>
  <r>
    <s v="THE FARMERS STATE BANK AND TRUST COMPANY"/>
    <s v="Jacksonville"/>
    <x v="1"/>
    <n v="62650"/>
    <d v="2021-09-30T00:00:00"/>
    <x v="2"/>
    <n v="48"/>
    <n v="238156"/>
    <n v="11683"/>
    <n v="238156"/>
    <n v="210996"/>
    <n v="210725"/>
    <x v="0"/>
    <n v="0.08"/>
    <n v="16858"/>
    <n v="0.88595710374712378"/>
    <n v="4961.583333333333"/>
  </r>
  <r>
    <s v="THE FEDERAL SAVINGS BANK"/>
    <s v="Chicago"/>
    <x v="1"/>
    <n v="60607"/>
    <d v="2019-09-30T00:00:00"/>
    <x v="0"/>
    <n v="1090"/>
    <n v="756162"/>
    <n v="63500"/>
    <n v="756162"/>
    <n v="655057"/>
    <n v="621830"/>
    <x v="0"/>
    <n v="0.08"/>
    <n v="49746.400000000001"/>
    <n v="0.86629187925338746"/>
    <n v="693.72660550458716"/>
  </r>
  <r>
    <s v="THE FEDERAL SAVINGS BANK"/>
    <s v="Chicago"/>
    <x v="1"/>
    <n v="60607"/>
    <d v="2020-09-30T00:00:00"/>
    <x v="1"/>
    <n v="1514"/>
    <n v="1360504"/>
    <n v="206307"/>
    <n v="1360504"/>
    <n v="1203486"/>
    <n v="1137811"/>
    <x v="1"/>
    <n v="7.4999999999999997E-2"/>
    <n v="85335.824999999997"/>
    <n v="0.88458835843187522"/>
    <n v="898.61558784676356"/>
  </r>
  <r>
    <s v="THE FEDERAL SAVINGS BANK"/>
    <s v="Chicago"/>
    <x v="1"/>
    <n v="60639"/>
    <d v="2021-09-30T00:00:00"/>
    <x v="2"/>
    <n v="1710"/>
    <n v="861090"/>
    <n v="22695"/>
    <n v="861090"/>
    <n v="700732"/>
    <n v="599496"/>
    <x v="0"/>
    <n v="0.08"/>
    <n v="47959.68"/>
    <n v="0.81377324089235736"/>
    <n v="503.56140350877195"/>
  </r>
  <r>
    <s v="THE FIRST BANK AND TRUST COMPANY OF MURPHYSBORO"/>
    <s v="Murphysboro"/>
    <x v="1"/>
    <n v="62966"/>
    <d v="2019-09-30T00:00:00"/>
    <x v="0"/>
    <n v="28"/>
    <n v="79165"/>
    <n v="5284"/>
    <n v="79165"/>
    <n v="72174"/>
    <n v="70306"/>
    <x v="2"/>
    <n v="0.09"/>
    <n v="6327.54"/>
    <n v="0.91169077243731445"/>
    <n v="2827.3214285714284"/>
  </r>
  <r>
    <s v="THE FIRST BANK AND TRUST COMPANY OF MURPHYSBORO"/>
    <s v="Murphysboro"/>
    <x v="1"/>
    <n v="62966"/>
    <d v="2020-09-30T00:00:00"/>
    <x v="1"/>
    <n v="26"/>
    <n v="84607"/>
    <n v="8024"/>
    <n v="84607"/>
    <n v="77260"/>
    <n v="74504"/>
    <x v="2"/>
    <n v="0.09"/>
    <n v="6705.36"/>
    <n v="0.91316321344569595"/>
    <n v="3254.1153846153848"/>
  </r>
  <r>
    <s v="THE FIRST BANK AND TRUST COMPANY OF MURPHYSBORO"/>
    <s v="Murphysboro"/>
    <x v="1"/>
    <n v="62966"/>
    <d v="2021-09-30T00:00:00"/>
    <x v="2"/>
    <n v="28"/>
    <n v="88872"/>
    <n v="8887"/>
    <n v="88872"/>
    <n v="81112"/>
    <n v="80438"/>
    <x v="2"/>
    <n v="0.09"/>
    <n v="7239.42"/>
    <n v="0.91268340984787111"/>
    <n v="3174"/>
  </r>
  <r>
    <s v="THE FIRST NATIONAL BANK"/>
    <s v="Mattoon"/>
    <x v="1"/>
    <n v="61938"/>
    <d v="2019-09-30T00:00:00"/>
    <x v="0"/>
    <n v="22"/>
    <n v="92080"/>
    <n v="5884"/>
    <n v="92080"/>
    <n v="83825"/>
    <n v="79587"/>
    <x v="2"/>
    <n v="0.09"/>
    <n v="7162.83"/>
    <n v="0.91034969591659431"/>
    <n v="4185.454545454545"/>
  </r>
  <r>
    <s v="THE FIRST NATIONAL BANK"/>
    <s v="Mattoon"/>
    <x v="1"/>
    <n v="61938"/>
    <d v="2020-09-30T00:00:00"/>
    <x v="1"/>
    <n v="22"/>
    <n v="101569"/>
    <n v="15784"/>
    <n v="101569"/>
    <n v="92397"/>
    <n v="84022"/>
    <x v="0"/>
    <n v="0.08"/>
    <n v="6721.76"/>
    <n v="0.90969685632427222"/>
    <n v="4616.772727272727"/>
  </r>
  <r>
    <s v="THE FIRST NATIONAL BANK IN AMBOY"/>
    <s v="Amboy"/>
    <x v="1"/>
    <n v="61310"/>
    <d v="2019-09-30T00:00:00"/>
    <x v="0"/>
    <n v="60"/>
    <n v="206310"/>
    <n v="14905"/>
    <n v="206310"/>
    <n v="181763"/>
    <n v="177397"/>
    <x v="0"/>
    <n v="0.08"/>
    <n v="14191.76"/>
    <n v="0.88101885512093447"/>
    <n v="3438.5"/>
  </r>
  <r>
    <s v="THE FIRST NATIONAL BANK IN AMBOY"/>
    <s v="Amboy"/>
    <x v="1"/>
    <n v="61310"/>
    <d v="2020-09-30T00:00:00"/>
    <x v="1"/>
    <n v="59"/>
    <n v="231527"/>
    <n v="14276"/>
    <n v="231527"/>
    <n v="204371"/>
    <n v="197280"/>
    <x v="0"/>
    <n v="0.08"/>
    <n v="15782.4"/>
    <n v="0.88270914407390932"/>
    <n v="3924.1864406779659"/>
  </r>
  <r>
    <s v="THE FIRST NATIONAL BANK IN AMBOY"/>
    <s v="Amboy"/>
    <x v="1"/>
    <n v="61310"/>
    <d v="2021-09-30T00:00:00"/>
    <x v="2"/>
    <n v="56"/>
    <n v="273527"/>
    <n v="32214"/>
    <n v="273527"/>
    <n v="244685"/>
    <n v="237451"/>
    <x v="0"/>
    <n v="0.08"/>
    <n v="18996.080000000002"/>
    <n v="0.89455519930390781"/>
    <n v="4884.4107142857147"/>
  </r>
  <r>
    <s v="THE FIRST NATIONAL BANK IN CARLYLE"/>
    <s v="Carlyle"/>
    <x v="1"/>
    <n v="62231"/>
    <d v="2019-09-30T00:00:00"/>
    <x v="0"/>
    <n v="33"/>
    <n v="196892"/>
    <n v="13712"/>
    <n v="196892"/>
    <n v="174293"/>
    <n v="156778"/>
    <x v="0"/>
    <n v="0.08"/>
    <n v="12542.24"/>
    <n v="0.88522133961765836"/>
    <n v="5966.424242424242"/>
  </r>
  <r>
    <s v="THE FIRST NATIONAL BANK IN CARLYLE"/>
    <s v="Carlyle"/>
    <x v="1"/>
    <n v="62231"/>
    <d v="2020-09-30T00:00:00"/>
    <x v="1"/>
    <n v="30"/>
    <n v="228500"/>
    <n v="16347"/>
    <n v="228500"/>
    <n v="204539"/>
    <n v="176686"/>
    <x v="0"/>
    <n v="0.08"/>
    <n v="14134.880000000001"/>
    <n v="0.89513785557986869"/>
    <n v="7616.666666666667"/>
  </r>
  <r>
    <s v="THE FIRST NATIONAL BANK IN CARLYLE"/>
    <s v="Carlyle"/>
    <x v="1"/>
    <n v="62231"/>
    <d v="2021-09-30T00:00:00"/>
    <x v="2"/>
    <n v="31"/>
    <n v="259072"/>
    <n v="13188"/>
    <n v="259072"/>
    <n v="234068"/>
    <n v="207532"/>
    <x v="0"/>
    <n v="0.08"/>
    <n v="16602.560000000001"/>
    <n v="0.90348628952569165"/>
    <n v="8357.1612903225814"/>
  </r>
  <r>
    <s v="THE FIRST NATIONAL BANK IN STAUNTON"/>
    <s v="Staunton"/>
    <x v="1"/>
    <n v="62088"/>
    <d v="2019-09-30T00:00:00"/>
    <x v="0"/>
    <n v="123"/>
    <n v="543284"/>
    <n v="44530"/>
    <n v="543285"/>
    <n v="477153"/>
    <n v="435780"/>
    <x v="0"/>
    <n v="0.08"/>
    <n v="34862.400000000001"/>
    <n v="0.87827545077712577"/>
    <n v="4416.9430894308944"/>
  </r>
  <r>
    <s v="THE FIRST NATIONAL BANK IN TREMONT"/>
    <s v="Tremont"/>
    <x v="1"/>
    <n v="61568"/>
    <d v="2019-09-30T00:00:00"/>
    <x v="0"/>
    <n v="30"/>
    <n v="122698"/>
    <n v="7552"/>
    <n v="122698"/>
    <n v="107248"/>
    <n v="106410"/>
    <x v="0"/>
    <n v="0.08"/>
    <n v="8512.7999999999993"/>
    <n v="0.87408107711617145"/>
    <n v="4089.9333333333334"/>
  </r>
  <r>
    <s v="THE FIRST NATIONAL BANK IN TREMONT"/>
    <s v="Tremont"/>
    <x v="1"/>
    <n v="61568"/>
    <d v="2020-09-30T00:00:00"/>
    <x v="1"/>
    <n v="31"/>
    <n v="135550"/>
    <n v="12965"/>
    <n v="135550"/>
    <n v="118825"/>
    <n v="113600"/>
    <x v="0"/>
    <n v="0.08"/>
    <n v="9088"/>
    <n v="0.87661379564736264"/>
    <n v="4372.5806451612907"/>
  </r>
  <r>
    <s v="THE FIRST NATIONAL BANK IN TREMONT"/>
    <s v="Tremont"/>
    <x v="1"/>
    <n v="61568"/>
    <d v="2021-09-30T00:00:00"/>
    <x v="2"/>
    <n v="31"/>
    <n v="152624"/>
    <n v="29537"/>
    <n v="152624"/>
    <n v="135520"/>
    <n v="129366"/>
    <x v="0"/>
    <n v="0.08"/>
    <n v="10349.280000000001"/>
    <n v="0.88793374567564731"/>
    <n v="4923.3548387096771"/>
  </r>
  <r>
    <s v="THE FIRST NATIONAL BANK OF ALLENDALE"/>
    <s v="Allendale"/>
    <x v="1"/>
    <n v="62410"/>
    <d v="2019-09-30T00:00:00"/>
    <x v="0"/>
    <n v="43"/>
    <n v="239993"/>
    <n v="12906"/>
    <n v="239993"/>
    <n v="213365"/>
    <n v="205703"/>
    <x v="0"/>
    <n v="0.08"/>
    <n v="16456.240000000002"/>
    <n v="0.88904676386394599"/>
    <n v="5581.2325581395353"/>
  </r>
  <r>
    <s v="THE FIRST NATIONAL BANK OF ALLENDALE"/>
    <s v="Allendale"/>
    <x v="1"/>
    <n v="62410"/>
    <d v="2020-09-30T00:00:00"/>
    <x v="1"/>
    <n v="45"/>
    <n v="284578"/>
    <n v="21141"/>
    <n v="284579"/>
    <n v="254949"/>
    <n v="237711"/>
    <x v="0"/>
    <n v="0.08"/>
    <n v="19016.88"/>
    <n v="0.89588443238760551"/>
    <n v="6323.9555555555553"/>
  </r>
  <r>
    <s v="THE FIRST NATIONAL BANK OF ALLENDALE"/>
    <s v="Allendale"/>
    <x v="1"/>
    <n v="62410"/>
    <d v="2021-09-30T00:00:00"/>
    <x v="2"/>
    <n v="46"/>
    <n v="319317"/>
    <n v="17471"/>
    <n v="319317"/>
    <n v="287653"/>
    <n v="281787"/>
    <x v="0"/>
    <n v="0.08"/>
    <n v="22542.959999999999"/>
    <n v="0.90083835185724526"/>
    <n v="6941.673913043478"/>
  </r>
  <r>
    <s v="THE FIRST NATIONAL BANK OF ARENZVILLE"/>
    <s v="Arenzville"/>
    <x v="1"/>
    <n v="62611"/>
    <d v="2019-09-30T00:00:00"/>
    <x v="0"/>
    <n v="21"/>
    <n v="86888"/>
    <n v="8793"/>
    <n v="86888"/>
    <n v="77836"/>
    <n v="77610"/>
    <x v="2"/>
    <n v="0.09"/>
    <n v="6984.9"/>
    <n v="0.89581990608599571"/>
    <n v="4137.5238095238092"/>
  </r>
  <r>
    <s v="THE FIRST NATIONAL BANK OF ARENZVILLE"/>
    <s v="Arenzville"/>
    <x v="1"/>
    <n v="62611"/>
    <d v="2020-09-30T00:00:00"/>
    <x v="1"/>
    <n v="20"/>
    <n v="101156"/>
    <n v="19906"/>
    <n v="101156"/>
    <n v="91310"/>
    <n v="91047"/>
    <x v="0"/>
    <n v="0.08"/>
    <n v="7283.76"/>
    <n v="0.90266519039898774"/>
    <n v="5057.8"/>
  </r>
  <r>
    <s v="THE FIRST NATIONAL BANK OF ARENZVILLE"/>
    <s v="Arenzville"/>
    <x v="1"/>
    <n v="62611"/>
    <d v="2021-09-30T00:00:00"/>
    <x v="2"/>
    <n v="21"/>
    <n v="109838"/>
    <n v="22565"/>
    <n v="109838"/>
    <n v="99585"/>
    <n v="99254"/>
    <x v="0"/>
    <n v="0.08"/>
    <n v="7940.3200000000006"/>
    <n v="0.90665343505890494"/>
    <n v="5230.3809523809523"/>
  </r>
  <r>
    <s v="THE FIRST NATIONAL BANK OF ASSUMPTION"/>
    <s v="Assumption"/>
    <x v="1"/>
    <n v="62510"/>
    <d v="2019-09-30T00:00:00"/>
    <x v="0"/>
    <n v="4"/>
    <n v="20868"/>
    <n v="6673"/>
    <n v="20868"/>
    <n v="18652"/>
    <n v="18579"/>
    <x v="2"/>
    <n v="0.09"/>
    <n v="1672.11"/>
    <n v="0.89380870231934062"/>
    <n v="5217"/>
  </r>
  <r>
    <s v="THE FIRST NATIONAL BANK OF ASSUMPTION"/>
    <s v="Assumption"/>
    <x v="1"/>
    <n v="62510"/>
    <d v="2020-09-30T00:00:00"/>
    <x v="1"/>
    <n v="4"/>
    <n v="24080"/>
    <n v="7792"/>
    <n v="24080"/>
    <n v="21792"/>
    <n v="21735"/>
    <x v="2"/>
    <n v="0.09"/>
    <n v="1956.1499999999999"/>
    <n v="0.90498338870431894"/>
    <n v="6020"/>
  </r>
  <r>
    <s v="THE FIRST NATIONAL BANK OF ASSUMPTION"/>
    <s v="Assumption"/>
    <x v="1"/>
    <n v="62510"/>
    <d v="2021-09-30T00:00:00"/>
    <x v="2"/>
    <n v="4"/>
    <n v="23212"/>
    <n v="6588"/>
    <n v="23212"/>
    <n v="20923"/>
    <n v="20872"/>
    <x v="2"/>
    <n v="0.09"/>
    <n v="1878.48"/>
    <n v="0.9013872135102533"/>
    <n v="5803"/>
  </r>
  <r>
    <s v="THE FIRST NATIONAL BANK OF AVA"/>
    <s v="Ava"/>
    <x v="1"/>
    <n v="62907"/>
    <d v="2019-09-30T00:00:00"/>
    <x v="0"/>
    <n v="18"/>
    <n v="63576"/>
    <n v="1814"/>
    <n v="63576"/>
    <n v="54631"/>
    <n v="54231"/>
    <x v="2"/>
    <n v="0.09"/>
    <n v="4880.79"/>
    <n v="0.85930225242229774"/>
    <n v="3532"/>
  </r>
  <r>
    <s v="THE FIRST NATIONAL BANK OF AVA"/>
    <s v="Ava"/>
    <x v="1"/>
    <n v="62907"/>
    <d v="2020-09-30T00:00:00"/>
    <x v="1"/>
    <n v="18"/>
    <n v="72862"/>
    <n v="2525"/>
    <n v="72862"/>
    <n v="63332"/>
    <n v="58790"/>
    <x v="2"/>
    <n v="0.09"/>
    <n v="5291.0999999999995"/>
    <n v="0.86920479811149842"/>
    <n v="4047.8888888888887"/>
  </r>
  <r>
    <s v="THE FIRST NATIONAL BANK OF AVA"/>
    <s v="Ava"/>
    <x v="1"/>
    <n v="62907"/>
    <d v="2021-09-30T00:00:00"/>
    <x v="2"/>
    <n v="16"/>
    <n v="79624"/>
    <n v="2799"/>
    <n v="79624"/>
    <n v="69571"/>
    <n v="64081"/>
    <x v="2"/>
    <n v="0.09"/>
    <n v="5767.29"/>
    <n v="0.87374409725710844"/>
    <n v="4976.5"/>
  </r>
  <r>
    <s v="THE FIRST NATIONAL BANK OF BEARDSTOWN"/>
    <s v="Beardstown"/>
    <x v="1"/>
    <n v="62618"/>
    <d v="2019-09-30T00:00:00"/>
    <x v="0"/>
    <n v="32"/>
    <n v="128799"/>
    <n v="20769"/>
    <n v="128799"/>
    <n v="113067"/>
    <n v="112806"/>
    <x v="0"/>
    <n v="0.08"/>
    <n v="9024.48"/>
    <n v="0.87785619453567187"/>
    <n v="4024.96875"/>
  </r>
  <r>
    <s v="THE FIRST NATIONAL BANK OF BEARDSTOWN"/>
    <s v="Beardstown"/>
    <x v="1"/>
    <n v="62618"/>
    <d v="2020-09-30T00:00:00"/>
    <x v="1"/>
    <n v="37"/>
    <n v="141253"/>
    <n v="26831"/>
    <n v="141253"/>
    <n v="124359"/>
    <n v="124135"/>
    <x v="0"/>
    <n v="0.08"/>
    <n v="9930.8000000000011"/>
    <n v="0.88039900037521324"/>
    <n v="3817.6486486486488"/>
  </r>
  <r>
    <s v="THE FIRST NATIONAL BANK OF BEARDSTOWN"/>
    <s v="Beardstown"/>
    <x v="1"/>
    <n v="62618"/>
    <d v="2021-09-30T00:00:00"/>
    <x v="2"/>
    <n v="37"/>
    <n v="156379"/>
    <n v="35358"/>
    <n v="156379"/>
    <n v="138796"/>
    <n v="138599"/>
    <x v="0"/>
    <n v="0.08"/>
    <n v="11087.92"/>
    <n v="0.88756162911899938"/>
    <n v="4226.4594594594591"/>
  </r>
  <r>
    <s v="THE FIRST NATIONAL BANK OF BROWNSTOWN"/>
    <s v="Brownstown"/>
    <x v="1"/>
    <n v="62418"/>
    <d v="2019-09-30T00:00:00"/>
    <x v="0"/>
    <n v="8"/>
    <n v="39184"/>
    <n v="7661"/>
    <n v="39184"/>
    <n v="34634"/>
    <n v="34258"/>
    <x v="2"/>
    <n v="0.09"/>
    <n v="3083.22"/>
    <n v="0.88388117599020011"/>
    <n v="4898"/>
  </r>
  <r>
    <s v="THE FIRST NATIONAL BANK OF BROWNSTOWN"/>
    <s v="Brownstown"/>
    <x v="1"/>
    <n v="62418"/>
    <d v="2020-09-30T00:00:00"/>
    <x v="1"/>
    <n v="8"/>
    <n v="43738"/>
    <n v="7827"/>
    <n v="43738"/>
    <n v="38752"/>
    <n v="38301"/>
    <x v="2"/>
    <n v="0.09"/>
    <n v="3447.0899999999997"/>
    <n v="0.8860030179706434"/>
    <n v="5467.25"/>
  </r>
  <r>
    <s v="THE FIRST NATIONAL BANK OF BROWNSTOWN"/>
    <s v="Brownstown"/>
    <x v="1"/>
    <n v="62418"/>
    <d v="2021-09-30T00:00:00"/>
    <x v="2"/>
    <n v="8"/>
    <n v="45835"/>
    <n v="6594"/>
    <n v="45835"/>
    <n v="40673"/>
    <n v="40364"/>
    <x v="2"/>
    <n v="0.09"/>
    <n v="3632.7599999999998"/>
    <n v="0.88737864077669903"/>
    <n v="5729.375"/>
  </r>
  <r>
    <s v="THE FIRST NATIONAL BANK OF CARMI"/>
    <s v="Carmi"/>
    <x v="1"/>
    <n v="62821"/>
    <d v="2019-09-30T00:00:00"/>
    <x v="0"/>
    <n v="97"/>
    <n v="414962"/>
    <n v="66389"/>
    <n v="414963"/>
    <n v="373772"/>
    <n v="371661"/>
    <x v="0"/>
    <n v="0.08"/>
    <n v="29732.880000000001"/>
    <n v="0.90073789889194678"/>
    <n v="4277.9587628865984"/>
  </r>
  <r>
    <s v="THE FIRST NATIONAL BANK OF CARMI"/>
    <s v="Carmi"/>
    <x v="1"/>
    <n v="62821"/>
    <d v="2020-09-30T00:00:00"/>
    <x v="1"/>
    <n v="97"/>
    <n v="467381"/>
    <n v="83170"/>
    <n v="467381"/>
    <n v="424239"/>
    <n v="420872"/>
    <x v="0"/>
    <n v="0.08"/>
    <n v="33669.760000000002"/>
    <n v="0.90769415102453888"/>
    <n v="4818.3608247422681"/>
  </r>
  <r>
    <s v="THE FIRST NATIONAL BANK OF CARMI"/>
    <s v="Carmi"/>
    <x v="1"/>
    <n v="62821"/>
    <d v="2021-09-30T00:00:00"/>
    <x v="2"/>
    <n v="104"/>
    <n v="610373"/>
    <n v="162910"/>
    <n v="610373"/>
    <n v="552879"/>
    <n v="550337"/>
    <x v="0"/>
    <n v="0.08"/>
    <n v="44026.96"/>
    <n v="0.90580513882494806"/>
    <n v="5868.9711538461543"/>
  </r>
  <r>
    <s v="THE FIRST NATIONAL BANK OF DRYDEN"/>
    <s v="Dryden"/>
    <x v="2"/>
    <n v="13053"/>
    <d v="2019-09-30T00:00:00"/>
    <x v="0"/>
    <n v="36"/>
    <n v="187098"/>
    <n v="43955"/>
    <n v="187098"/>
    <n v="167460"/>
    <n v="167156"/>
    <x v="0"/>
    <n v="8.5000000000000006E-2"/>
    <n v="14208.26"/>
    <n v="0.89503896353782508"/>
    <n v="5197.166666666667"/>
  </r>
  <r>
    <s v="THE FIRST NATIONAL BANK OF DRYDEN"/>
    <s v="Dryden"/>
    <x v="2"/>
    <n v="13053"/>
    <d v="2020-09-30T00:00:00"/>
    <x v="1"/>
    <n v="35"/>
    <n v="201670"/>
    <n v="54724"/>
    <n v="201670"/>
    <n v="180962"/>
    <n v="180309"/>
    <x v="0"/>
    <n v="8.5000000000000006E-2"/>
    <n v="15326.265000000001"/>
    <n v="0.89731739971240143"/>
    <n v="5762"/>
  </r>
  <r>
    <s v="THE FIRST NATIONAL BANK OF DRYDEN"/>
    <s v="Dryden"/>
    <x v="2"/>
    <n v="13053"/>
    <d v="2021-09-30T00:00:00"/>
    <x v="2"/>
    <n v="34"/>
    <n v="224329"/>
    <n v="72070"/>
    <n v="224329"/>
    <n v="203039"/>
    <n v="202773"/>
    <x v="0"/>
    <n v="8.5000000000000006E-2"/>
    <n v="17235.705000000002"/>
    <n v="0.90509474922992572"/>
    <n v="6597.911764705882"/>
  </r>
  <r>
    <s v="THE FIRST NATIONAL BANK OF GROTON"/>
    <s v="Groton"/>
    <x v="2"/>
    <n v="13073"/>
    <d v="2019-09-30T00:00:00"/>
    <x v="0"/>
    <n v="37"/>
    <n v="180813"/>
    <n v="6255"/>
    <n v="180813"/>
    <n v="153424"/>
    <n v="152775"/>
    <x v="0"/>
    <n v="8.5000000000000006E-2"/>
    <n v="12985.875000000002"/>
    <n v="0.84852305973574904"/>
    <n v="4886.8378378378375"/>
  </r>
  <r>
    <s v="THE FIRST NATIONAL BANK OF GROTON"/>
    <s v="Groton"/>
    <x v="2"/>
    <n v="13073"/>
    <d v="2020-09-30T00:00:00"/>
    <x v="1"/>
    <n v="36"/>
    <n v="195736"/>
    <n v="8823"/>
    <n v="195736"/>
    <n v="166435"/>
    <n v="165483"/>
    <x v="0"/>
    <n v="8.5000000000000006E-2"/>
    <n v="14066.055"/>
    <n v="0.85030346997997297"/>
    <n v="5437.1111111111113"/>
  </r>
  <r>
    <s v="THE FIRST NATIONAL BANK OF GROTON"/>
    <s v="Groton"/>
    <x v="2"/>
    <n v="13073"/>
    <d v="2021-09-30T00:00:00"/>
    <x v="2"/>
    <n v="36"/>
    <n v="216285"/>
    <n v="12209"/>
    <n v="216285"/>
    <n v="186420"/>
    <n v="185755"/>
    <x v="0"/>
    <n v="8.5000000000000006E-2"/>
    <n v="15789.175000000001"/>
    <n v="0.86191830224009991"/>
    <n v="6007.916666666667"/>
  </r>
  <r>
    <s v="THE FIRST NATIONAL BANK OF LACON"/>
    <s v="Lacon"/>
    <x v="1"/>
    <n v="61540"/>
    <d v="2019-09-30T00:00:00"/>
    <x v="0"/>
    <n v="12"/>
    <n v="59916"/>
    <n v="6407"/>
    <n v="59916"/>
    <n v="54011"/>
    <n v="52852"/>
    <x v="2"/>
    <n v="0.09"/>
    <n v="4756.6799999999994"/>
    <n v="0.90144535683289939"/>
    <n v="4993"/>
  </r>
  <r>
    <s v="THE FIRST NATIONAL BANK OF LACON"/>
    <s v="Lacon"/>
    <x v="1"/>
    <n v="61540"/>
    <d v="2020-09-30T00:00:00"/>
    <x v="1"/>
    <n v="12"/>
    <n v="65298"/>
    <n v="12350"/>
    <n v="65298"/>
    <n v="59277"/>
    <n v="58133"/>
    <x v="2"/>
    <n v="0.09"/>
    <n v="5231.97"/>
    <n v="0.90779196912616011"/>
    <n v="5441.5"/>
  </r>
  <r>
    <s v="THE FIRST NATIONAL BANK OF LACON"/>
    <s v="Lacon"/>
    <x v="1"/>
    <n v="61540"/>
    <d v="2021-09-30T00:00:00"/>
    <x v="2"/>
    <n v="13"/>
    <n v="80256"/>
    <n v="16777"/>
    <n v="80256"/>
    <n v="74205"/>
    <n v="73022"/>
    <x v="2"/>
    <n v="0.09"/>
    <n v="6571.98"/>
    <n v="0.9246037679425837"/>
    <n v="6173.5384615384619"/>
  </r>
  <r>
    <s v="THE FIRST NATIONAL BANK OF LITCHFIELD"/>
    <s v="Litchfield"/>
    <x v="1"/>
    <n v="62056"/>
    <d v="2019-09-30T00:00:00"/>
    <x v="0"/>
    <n v="25"/>
    <n v="96696"/>
    <n v="1764"/>
    <n v="96696"/>
    <n v="83805"/>
    <n v="75066"/>
    <x v="2"/>
    <n v="0.09"/>
    <n v="6755.94"/>
    <n v="0.86668528170761971"/>
    <n v="3867.84"/>
  </r>
  <r>
    <s v="THE FIRST NATIONAL BANK OF LITCHFIELD"/>
    <s v="Litchfield"/>
    <x v="1"/>
    <n v="62056"/>
    <d v="2020-09-30T00:00:00"/>
    <x v="1"/>
    <n v="26"/>
    <n v="106581"/>
    <n v="3653"/>
    <n v="106582"/>
    <n v="92854"/>
    <n v="88498"/>
    <x v="0"/>
    <n v="0.08"/>
    <n v="7079.84"/>
    <n v="0.8712059372683687"/>
    <n v="4099.2692307692305"/>
  </r>
  <r>
    <s v="THE FIRST NATIONAL BANK OF LITCHFIELD"/>
    <s v="Litchfield"/>
    <x v="1"/>
    <n v="62056"/>
    <d v="2021-09-30T00:00:00"/>
    <x v="2"/>
    <n v="26"/>
    <n v="122501"/>
    <n v="2157"/>
    <n v="122501"/>
    <n v="108131"/>
    <n v="104868"/>
    <x v="0"/>
    <n v="0.08"/>
    <n v="8389.44"/>
    <n v="0.88269483514420288"/>
    <n v="4711.5769230769229"/>
  </r>
  <r>
    <s v="THE FIRST NATIONAL BANK OF LONG ISLAND"/>
    <s v="Glen Head"/>
    <x v="2"/>
    <n v="11545"/>
    <d v="2019-09-30T00:00:00"/>
    <x v="0"/>
    <n v="344"/>
    <n v="4160695"/>
    <n v="62870"/>
    <n v="4160695"/>
    <n v="3772643"/>
    <n v="3227698"/>
    <x v="1"/>
    <n v="0.08"/>
    <n v="258215.84"/>
    <n v="0.90673385095518899"/>
    <n v="12095.043604651162"/>
  </r>
  <r>
    <s v="THE FIRST NATIONAL BANK OF LONG ISLAND"/>
    <s v="Glen Head"/>
    <x v="2"/>
    <n v="11545"/>
    <d v="2020-09-30T00:00:00"/>
    <x v="1"/>
    <n v="350"/>
    <n v="4009635"/>
    <n v="163768"/>
    <n v="4009635"/>
    <n v="3611649"/>
    <n v="3249974"/>
    <x v="1"/>
    <n v="0.08"/>
    <n v="259997.92"/>
    <n v="0.90074258629526127"/>
    <n v="11456.1"/>
  </r>
  <r>
    <s v="THE FIRST NATIONAL BANK OF LONG ISLAND"/>
    <s v="Glen Head"/>
    <x v="2"/>
    <n v="11545"/>
    <d v="2021-09-30T00:00:00"/>
    <x v="2"/>
    <n v="323"/>
    <n v="4095377"/>
    <n v="258980"/>
    <n v="4095377"/>
    <n v="3675351"/>
    <n v="3371672"/>
    <x v="1"/>
    <n v="0.08"/>
    <n v="269733.76000000001"/>
    <n v="0.89743899035424579"/>
    <n v="12679.185758513931"/>
  </r>
  <r>
    <s v="THE FIRST NATIONAL BANK OF OKAWVILLE"/>
    <s v="Okawville"/>
    <x v="1"/>
    <n v="62271"/>
    <d v="2019-09-30T00:00:00"/>
    <x v="0"/>
    <n v="15"/>
    <n v="59846"/>
    <n v="8494"/>
    <n v="59846"/>
    <n v="51985"/>
    <n v="51473"/>
    <x v="2"/>
    <n v="0.09"/>
    <n v="4632.57"/>
    <n v="0.86864619189252412"/>
    <n v="3989.7333333333331"/>
  </r>
  <r>
    <s v="THE FIRST NATIONAL BANK OF OKAWVILLE"/>
    <s v="Okawville"/>
    <x v="1"/>
    <n v="62271"/>
    <d v="2020-09-30T00:00:00"/>
    <x v="1"/>
    <n v="15"/>
    <n v="70693"/>
    <n v="7721"/>
    <n v="70693"/>
    <n v="62707"/>
    <n v="62502"/>
    <x v="2"/>
    <n v="0.09"/>
    <n v="5625.1799999999994"/>
    <n v="0.88703266235695188"/>
    <n v="4712.8666666666668"/>
  </r>
  <r>
    <s v="THE FIRST NATIONAL BANK OF OKAWVILLE"/>
    <s v="Okawville"/>
    <x v="1"/>
    <n v="62271"/>
    <d v="2021-09-30T00:00:00"/>
    <x v="2"/>
    <n v="15"/>
    <n v="75121"/>
    <n v="6402"/>
    <n v="75121"/>
    <n v="67100"/>
    <n v="66949"/>
    <x v="2"/>
    <n v="0.09"/>
    <n v="6025.41"/>
    <n v="0.89322559603839136"/>
    <n v="5008.0666666666666"/>
  </r>
  <r>
    <s v="THE FIRST NATIONAL BANK OF OTTAWA"/>
    <s v="Ottawa"/>
    <x v="1"/>
    <n v="61350"/>
    <d v="2019-09-30T00:00:00"/>
    <x v="0"/>
    <n v="109"/>
    <n v="378859"/>
    <n v="9577"/>
    <n v="378859"/>
    <n v="330504"/>
    <n v="312069"/>
    <x v="0"/>
    <n v="0.08"/>
    <n v="24965.52"/>
    <n v="0.87236676441631322"/>
    <n v="3475.770642201835"/>
  </r>
  <r>
    <s v="THE FIRST NATIONAL BANK OF OTTAWA"/>
    <s v="Ottawa"/>
    <x v="1"/>
    <n v="61350"/>
    <d v="2020-09-30T00:00:00"/>
    <x v="1"/>
    <n v="132"/>
    <n v="859412"/>
    <n v="34788"/>
    <n v="859412"/>
    <n v="781850"/>
    <n v="708290"/>
    <x v="0"/>
    <n v="0.08"/>
    <n v="56663.200000000004"/>
    <n v="0.90974992203972016"/>
    <n v="6510.69696969697"/>
  </r>
  <r>
    <s v="THE FIRST NATIONAL BANK OF RAYMOND"/>
    <s v="Raymond"/>
    <x v="1"/>
    <n v="62560"/>
    <d v="2019-09-30T00:00:00"/>
    <x v="0"/>
    <n v="40"/>
    <n v="149590"/>
    <n v="6494"/>
    <n v="149590"/>
    <n v="132716"/>
    <n v="132561"/>
    <x v="0"/>
    <n v="0.08"/>
    <n v="10604.880000000001"/>
    <n v="0.88719834213516946"/>
    <n v="3739.75"/>
  </r>
  <r>
    <s v="THE FIRST NATIONAL BANK OF RAYMOND"/>
    <s v="Raymond"/>
    <x v="1"/>
    <n v="62560"/>
    <d v="2020-09-30T00:00:00"/>
    <x v="1"/>
    <n v="35"/>
    <n v="166649"/>
    <n v="6357"/>
    <n v="166649"/>
    <n v="147799"/>
    <n v="143604"/>
    <x v="0"/>
    <n v="0.08"/>
    <n v="11488.32"/>
    <n v="0.8868880101290737"/>
    <n v="4761.3999999999996"/>
  </r>
  <r>
    <s v="THE FIRST NATIONAL BANK OF RAYMOND"/>
    <s v="Raymond"/>
    <x v="1"/>
    <n v="62560"/>
    <d v="2021-09-30T00:00:00"/>
    <x v="2"/>
    <n v="36"/>
    <n v="178937"/>
    <n v="3899"/>
    <n v="178937"/>
    <n v="159543"/>
    <n v="159363"/>
    <x v="0"/>
    <n v="0.08"/>
    <n v="12749.04"/>
    <n v="0.89161548477955932"/>
    <n v="4970.4722222222226"/>
  </r>
  <r>
    <s v="THE FIRST NATIONAL BANK OF SANDOVAL"/>
    <s v="Sandoval"/>
    <x v="1"/>
    <n v="62882"/>
    <d v="2019-09-30T00:00:00"/>
    <x v="0"/>
    <n v="14"/>
    <n v="53731"/>
    <n v="3448"/>
    <n v="53731"/>
    <n v="47346"/>
    <n v="46970"/>
    <x v="2"/>
    <n v="0.09"/>
    <n v="4227.3"/>
    <n v="0.8811672963466155"/>
    <n v="3837.9285714285716"/>
  </r>
  <r>
    <s v="THE FIRST NATIONAL BANK OF SANDOVAL"/>
    <s v="Sandoval"/>
    <x v="1"/>
    <n v="62882"/>
    <d v="2020-09-30T00:00:00"/>
    <x v="1"/>
    <n v="14"/>
    <n v="64554"/>
    <n v="4665"/>
    <n v="64554"/>
    <n v="57084"/>
    <n v="52644"/>
    <x v="2"/>
    <n v="0.09"/>
    <n v="4737.96"/>
    <n v="0.88428292592248348"/>
    <n v="4611"/>
  </r>
  <r>
    <s v="THE FIRST NATIONAL BANK OF SANDOVAL"/>
    <s v="Sandoval"/>
    <x v="1"/>
    <n v="62882"/>
    <d v="2021-09-30T00:00:00"/>
    <x v="2"/>
    <n v="14"/>
    <n v="71265"/>
    <n v="3322"/>
    <n v="71265"/>
    <n v="63047"/>
    <n v="57650"/>
    <x v="2"/>
    <n v="0.09"/>
    <n v="5188.5"/>
    <n v="0.88468392619097735"/>
    <n v="5090.3571428571431"/>
  </r>
  <r>
    <s v="THE FIRST NATIONAL BANK OF SPARTA"/>
    <s v="Sparta"/>
    <x v="1"/>
    <n v="62286"/>
    <d v="2019-09-30T00:00:00"/>
    <x v="0"/>
    <n v="21"/>
    <n v="78758"/>
    <n v="6830"/>
    <n v="78758"/>
    <n v="67555"/>
    <n v="63236"/>
    <x v="2"/>
    <n v="0.09"/>
    <n v="5691.24"/>
    <n v="0.85775413291348179"/>
    <n v="3750.3809523809523"/>
  </r>
  <r>
    <s v="THE FIRST NATIONAL BANK OF SPARTA"/>
    <s v="Sparta"/>
    <x v="1"/>
    <n v="62286"/>
    <d v="2020-09-30T00:00:00"/>
    <x v="1"/>
    <n v="21"/>
    <n v="90684"/>
    <n v="8989"/>
    <n v="90684"/>
    <n v="78672"/>
    <n v="70101"/>
    <x v="2"/>
    <n v="0.09"/>
    <n v="6309.09"/>
    <n v="0.8675400291120815"/>
    <n v="4318.2857142857147"/>
  </r>
  <r>
    <s v="THE FIRST NATIONAL BANK OF SPARTA"/>
    <s v="Sparta"/>
    <x v="1"/>
    <n v="62286"/>
    <d v="2021-09-30T00:00:00"/>
    <x v="2"/>
    <n v="21"/>
    <n v="105041"/>
    <n v="8921"/>
    <n v="105041"/>
    <n v="93182"/>
    <n v="86875"/>
    <x v="0"/>
    <n v="0.08"/>
    <n v="6950"/>
    <n v="0.88710122713987871"/>
    <n v="5001.9523809523807"/>
  </r>
  <r>
    <s v="THE FIRST STATE BANK OF DONGOLA"/>
    <s v="Dongola"/>
    <x v="1"/>
    <n v="62926"/>
    <d v="2019-09-30T00:00:00"/>
    <x v="0"/>
    <n v="8"/>
    <n v="25099"/>
    <n v="7199"/>
    <n v="25099"/>
    <n v="22288"/>
    <n v="22208"/>
    <x v="2"/>
    <n v="0.09"/>
    <n v="1998.72"/>
    <n v="0.88800350611578149"/>
    <n v="3137.375"/>
  </r>
  <r>
    <s v="THE FIRST STATE BANK OF DONGOLA"/>
    <s v="Dongola"/>
    <x v="1"/>
    <n v="62926"/>
    <d v="2020-09-30T00:00:00"/>
    <x v="1"/>
    <n v="9"/>
    <n v="28609"/>
    <n v="7508"/>
    <n v="28609"/>
    <n v="25641"/>
    <n v="24547"/>
    <x v="2"/>
    <n v="0.09"/>
    <n v="2209.23"/>
    <n v="0.89625642280401274"/>
    <n v="3178.7777777777778"/>
  </r>
  <r>
    <s v="THE FIRST STATE BANK OF DONGOLA"/>
    <s v="Dongola"/>
    <x v="1"/>
    <n v="62926"/>
    <d v="2021-09-30T00:00:00"/>
    <x v="2"/>
    <n v="8"/>
    <n v="30698"/>
    <n v="9358"/>
    <n v="30698"/>
    <n v="27565"/>
    <n v="25998"/>
    <x v="2"/>
    <n v="0.09"/>
    <n v="2339.8199999999997"/>
    <n v="0.89794123395660952"/>
    <n v="3837.25"/>
  </r>
  <r>
    <s v="THE FIRST TRUST AND SAVINGS BANK OF WATSEKA, ILLINOIS"/>
    <s v="Watseka"/>
    <x v="1"/>
    <n v="60970"/>
    <d v="2019-09-30T00:00:00"/>
    <x v="0"/>
    <n v="32"/>
    <n v="255964"/>
    <n v="48148"/>
    <n v="255964"/>
    <n v="215474"/>
    <n v="214567"/>
    <x v="0"/>
    <n v="0.08"/>
    <n v="17165.36"/>
    <n v="0.84181369255051497"/>
    <n v="7998.875"/>
  </r>
  <r>
    <s v="THE FIRST TRUST AND SAVINGS BANK OF WATSEKA, ILLINOIS"/>
    <s v="Watseka"/>
    <x v="1"/>
    <n v="60970"/>
    <d v="2020-09-30T00:00:00"/>
    <x v="1"/>
    <n v="31"/>
    <n v="270860"/>
    <n v="46780"/>
    <n v="270860"/>
    <n v="228341"/>
    <n v="227130"/>
    <x v="0"/>
    <n v="0.08"/>
    <n v="18170.400000000001"/>
    <n v="0.84302222550395034"/>
    <n v="8737.4193548387102"/>
  </r>
  <r>
    <s v="THE FIRST TRUST AND SAVINGS BANK OF WATSEKA, ILLINOIS"/>
    <s v="Watseka"/>
    <x v="1"/>
    <n v="60970"/>
    <d v="2021-09-30T00:00:00"/>
    <x v="2"/>
    <n v="33"/>
    <n v="296937"/>
    <n v="98618"/>
    <n v="296937"/>
    <n v="253365"/>
    <n v="252646"/>
    <x v="0"/>
    <n v="0.08"/>
    <n v="20211.68"/>
    <n v="0.85326180300871901"/>
    <n v="8998.0909090909099"/>
  </r>
  <r>
    <s v="THE FISHER NATIONAL BANK"/>
    <s v="Fisher"/>
    <x v="1"/>
    <n v="61843"/>
    <d v="2019-09-30T00:00:00"/>
    <x v="0"/>
    <n v="27"/>
    <n v="127820"/>
    <n v="5997"/>
    <n v="127820"/>
    <n v="110570"/>
    <n v="108416"/>
    <x v="0"/>
    <n v="0.08"/>
    <n v="8673.2800000000007"/>
    <n v="0.86504459396025657"/>
    <n v="4734.0740740740739"/>
  </r>
  <r>
    <s v="THE FISHER NATIONAL BANK"/>
    <s v="Fisher"/>
    <x v="1"/>
    <n v="61843"/>
    <d v="2020-09-30T00:00:00"/>
    <x v="1"/>
    <n v="30"/>
    <n v="149729"/>
    <n v="10623"/>
    <n v="149729"/>
    <n v="130168"/>
    <n v="128723"/>
    <x v="0"/>
    <n v="0.08"/>
    <n v="10297.84"/>
    <n v="0.86935730553199442"/>
    <n v="4990.9666666666662"/>
  </r>
  <r>
    <s v="THE FISHER NATIONAL BANK"/>
    <s v="Fisher"/>
    <x v="1"/>
    <n v="61843"/>
    <d v="2021-09-30T00:00:00"/>
    <x v="2"/>
    <n v="40"/>
    <n v="187307"/>
    <n v="3331"/>
    <n v="187307"/>
    <n v="166661"/>
    <n v="148327"/>
    <x v="0"/>
    <n v="0.08"/>
    <n v="11866.16"/>
    <n v="0.88977454126113809"/>
    <n v="4682.6750000000002"/>
  </r>
  <r>
    <s v="THE FNB COMMUNITY BANK"/>
    <s v="Vandalia"/>
    <x v="1"/>
    <n v="62471"/>
    <d v="2019-09-30T00:00:00"/>
    <x v="0"/>
    <n v="86"/>
    <n v="351272"/>
    <n v="24197"/>
    <n v="351272"/>
    <n v="301693"/>
    <n v="293160"/>
    <x v="0"/>
    <n v="0.08"/>
    <n v="23452.799999999999"/>
    <n v="0.85885866223325513"/>
    <n v="4084.5581395348836"/>
  </r>
  <r>
    <s v="THE FNB COMMUNITY BANK"/>
    <s v="Vandalia"/>
    <x v="1"/>
    <n v="62471"/>
    <d v="2020-09-30T00:00:00"/>
    <x v="1"/>
    <n v="82"/>
    <n v="395270"/>
    <n v="22816"/>
    <n v="395270"/>
    <n v="340293"/>
    <n v="325652"/>
    <x v="0"/>
    <n v="0.08"/>
    <n v="26052.16"/>
    <n v="0.86091279378652563"/>
    <n v="4820.3658536585363"/>
  </r>
  <r>
    <s v="THE FNB COMMUNITY BANK"/>
    <s v="Vandalia"/>
    <x v="1"/>
    <n v="62471"/>
    <d v="2021-09-30T00:00:00"/>
    <x v="2"/>
    <n v="81"/>
    <n v="438020"/>
    <n v="12710"/>
    <n v="438020"/>
    <n v="380340"/>
    <n v="370925"/>
    <x v="0"/>
    <n v="0.08"/>
    <n v="29674"/>
    <n v="0.86831651522761522"/>
    <n v="5407.6543209876545"/>
  </r>
  <r>
    <s v="THE GERBER STATE BANK"/>
    <s v="Argenta"/>
    <x v="1"/>
    <n v="62501"/>
    <d v="2019-09-30T00:00:00"/>
    <x v="0"/>
    <n v="19"/>
    <n v="77258"/>
    <n v="5610"/>
    <n v="77258"/>
    <n v="67528"/>
    <n v="66478"/>
    <x v="2"/>
    <n v="0.09"/>
    <n v="5983.0199999999995"/>
    <n v="0.87405834994434228"/>
    <n v="4066.2105263157896"/>
  </r>
  <r>
    <s v="THE GERBER STATE BANK"/>
    <s v="Argenta"/>
    <x v="1"/>
    <n v="62501"/>
    <d v="2020-09-30T00:00:00"/>
    <x v="1"/>
    <n v="17"/>
    <n v="84112"/>
    <n v="5585"/>
    <n v="84112"/>
    <n v="73075"/>
    <n v="68844"/>
    <x v="2"/>
    <n v="0.09"/>
    <n v="6195.96"/>
    <n v="0.8687821000570668"/>
    <n v="4947.7647058823532"/>
  </r>
  <r>
    <s v="THE GERBER STATE BANK"/>
    <s v="Argenta"/>
    <x v="1"/>
    <n v="62501"/>
    <d v="2021-09-30T00:00:00"/>
    <x v="2"/>
    <n v="16"/>
    <n v="94487"/>
    <n v="3683"/>
    <n v="94487"/>
    <n v="83300"/>
    <n v="83168"/>
    <x v="2"/>
    <n v="0.09"/>
    <n v="7485.12"/>
    <n v="0.88160276016806549"/>
    <n v="5905.4375"/>
  </r>
  <r>
    <s v="THE GIFFORD STATE BANK"/>
    <s v="Gifford"/>
    <x v="1"/>
    <n v="61847"/>
    <d v="2019-09-30T00:00:00"/>
    <x v="0"/>
    <n v="40"/>
    <n v="155119"/>
    <n v="3600"/>
    <n v="155119"/>
    <n v="139760"/>
    <n v="131222"/>
    <x v="0"/>
    <n v="0.08"/>
    <n v="10497.76"/>
    <n v="0.90098569485362845"/>
    <n v="3877.9749999999999"/>
  </r>
  <r>
    <s v="THE GIFFORD STATE BANK"/>
    <s v="Gifford"/>
    <x v="1"/>
    <n v="61847"/>
    <d v="2020-09-30T00:00:00"/>
    <x v="1"/>
    <n v="40"/>
    <n v="166035"/>
    <n v="5673"/>
    <n v="166035"/>
    <n v="150542"/>
    <n v="149313"/>
    <x v="0"/>
    <n v="0.08"/>
    <n v="11945.04"/>
    <n v="0.90668834884211158"/>
    <n v="4150.875"/>
  </r>
  <r>
    <s v="THE GIFFORD STATE BANK"/>
    <s v="Gifford"/>
    <x v="1"/>
    <n v="61847"/>
    <d v="2021-09-30T00:00:00"/>
    <x v="2"/>
    <n v="40"/>
    <n v="178767"/>
    <n v="53142"/>
    <n v="178767"/>
    <n v="163270"/>
    <n v="161899"/>
    <x v="0"/>
    <n v="0.08"/>
    <n v="12951.92"/>
    <n v="0.91331174098127732"/>
    <n v="4469.1750000000002"/>
  </r>
  <r>
    <s v="THE GRANVILLE NATIONAL BANK"/>
    <s v="Granville"/>
    <x v="1"/>
    <n v="61326"/>
    <d v="2019-09-30T00:00:00"/>
    <x v="0"/>
    <n v="15"/>
    <n v="88723"/>
    <n v="16321"/>
    <n v="88723"/>
    <n v="77956"/>
    <n v="77513"/>
    <x v="2"/>
    <n v="0.09"/>
    <n v="6976.17"/>
    <n v="0.87864477080351211"/>
    <n v="5914.8666666666668"/>
  </r>
  <r>
    <s v="THE GRANVILLE NATIONAL BANK"/>
    <s v="Granville"/>
    <x v="1"/>
    <n v="61326"/>
    <d v="2020-09-30T00:00:00"/>
    <x v="1"/>
    <n v="13"/>
    <n v="101379"/>
    <n v="22520"/>
    <n v="101379"/>
    <n v="89276"/>
    <n v="88587"/>
    <x v="0"/>
    <n v="0.08"/>
    <n v="7086.96"/>
    <n v="0.88061630120636425"/>
    <n v="7798.3846153846152"/>
  </r>
  <r>
    <s v="THE GRANVILLE NATIONAL BANK"/>
    <s v="Granville"/>
    <x v="1"/>
    <n v="61326"/>
    <d v="2021-09-30T00:00:00"/>
    <x v="2"/>
    <n v="13"/>
    <n v="111813"/>
    <n v="20401"/>
    <n v="111813"/>
    <n v="99781"/>
    <n v="99162"/>
    <x v="0"/>
    <n v="0.08"/>
    <n v="7932.96"/>
    <n v="0.89239176124422026"/>
    <n v="8601"/>
  </r>
  <r>
    <s v="THE HARVARD STATE BANK"/>
    <s v="Harvard"/>
    <x v="1"/>
    <n v="60033"/>
    <d v="2019-09-30T00:00:00"/>
    <x v="0"/>
    <n v="54"/>
    <n v="254234"/>
    <n v="10551"/>
    <n v="254234"/>
    <n v="228063"/>
    <n v="224370"/>
    <x v="0"/>
    <n v="0.08"/>
    <n v="17949.600000000002"/>
    <n v="0.8970594019682655"/>
    <n v="4708.0370370370374"/>
  </r>
  <r>
    <s v="THE HARVARD STATE BANK"/>
    <s v="Harvard"/>
    <x v="1"/>
    <n v="60033"/>
    <d v="2020-09-30T00:00:00"/>
    <x v="1"/>
    <n v="54"/>
    <n v="296788"/>
    <n v="6548"/>
    <n v="296788"/>
    <n v="266371"/>
    <n v="262677"/>
    <x v="0"/>
    <n v="0.08"/>
    <n v="21014.16"/>
    <n v="0.89751270266991923"/>
    <n v="5496.0740740740739"/>
  </r>
  <r>
    <s v="THE HARVARD STATE BANK"/>
    <s v="Harvard"/>
    <x v="1"/>
    <n v="60033"/>
    <d v="2021-09-30T00:00:00"/>
    <x v="2"/>
    <n v="43"/>
    <n v="330211"/>
    <n v="7767"/>
    <n v="330211"/>
    <n v="299574"/>
    <n v="295451"/>
    <x v="0"/>
    <n v="0.08"/>
    <n v="23636.080000000002"/>
    <n v="0.90721992907565163"/>
    <n v="7679.3255813953492"/>
  </r>
  <r>
    <s v="THE HAVANA NATIONAL BANK"/>
    <s v="Havana"/>
    <x v="1"/>
    <n v="62644"/>
    <d v="2019-09-30T00:00:00"/>
    <x v="0"/>
    <n v="54"/>
    <n v="254207"/>
    <n v="8444"/>
    <n v="254207"/>
    <n v="225383"/>
    <n v="189335"/>
    <x v="0"/>
    <n v="0.08"/>
    <n v="15146.800000000001"/>
    <n v="0.88661209172052702"/>
    <n v="4707.5370370370374"/>
  </r>
  <r>
    <s v="THE HAVANA NATIONAL BANK"/>
    <s v="Havana"/>
    <x v="1"/>
    <n v="62644"/>
    <d v="2020-09-30T00:00:00"/>
    <x v="1"/>
    <n v="52"/>
    <n v="297931"/>
    <n v="54623"/>
    <n v="297931"/>
    <n v="267569"/>
    <n v="216973"/>
    <x v="0"/>
    <n v="0.08"/>
    <n v="17357.84"/>
    <n v="0.89809049746417791"/>
    <n v="5729.4423076923076"/>
  </r>
  <r>
    <s v="THE HAVANA NATIONAL BANK"/>
    <s v="Havana"/>
    <x v="1"/>
    <n v="62644"/>
    <d v="2021-09-30T00:00:00"/>
    <x v="2"/>
    <n v="53"/>
    <n v="322740"/>
    <n v="69623"/>
    <n v="322740"/>
    <n v="292128"/>
    <n v="246683"/>
    <x v="0"/>
    <n v="0.08"/>
    <n v="19734.64"/>
    <n v="0.9051496560699015"/>
    <n v="6089.433962264151"/>
  </r>
  <r>
    <s v="THE HILL-DODGE BANKING COMPANY"/>
    <s v="Warsaw"/>
    <x v="1"/>
    <n v="62379"/>
    <d v="2019-09-30T00:00:00"/>
    <x v="0"/>
    <n v="8"/>
    <n v="41506"/>
    <n v="14328"/>
    <n v="41506"/>
    <n v="35107"/>
    <n v="34974"/>
    <x v="2"/>
    <n v="0.09"/>
    <n v="3147.66"/>
    <n v="0.84582951862381339"/>
    <n v="5188.25"/>
  </r>
  <r>
    <s v="THE HILL-DODGE BANKING COMPANY"/>
    <s v="Warsaw"/>
    <x v="1"/>
    <n v="62379"/>
    <d v="2020-09-30T00:00:00"/>
    <x v="1"/>
    <n v="6"/>
    <n v="44951"/>
    <n v="20122"/>
    <n v="44951"/>
    <n v="38923"/>
    <n v="38803"/>
    <x v="2"/>
    <n v="0.09"/>
    <n v="3492.27"/>
    <n v="0.86589842272696937"/>
    <n v="7491.833333333333"/>
  </r>
  <r>
    <s v="THE HILL-DODGE BANKING COMPANY"/>
    <s v="Warsaw"/>
    <x v="1"/>
    <n v="62379"/>
    <d v="2021-09-30T00:00:00"/>
    <x v="2"/>
    <n v="6"/>
    <n v="51074"/>
    <n v="26780"/>
    <n v="51074"/>
    <n v="44483"/>
    <n v="44449"/>
    <x v="2"/>
    <n v="0.09"/>
    <n v="4000.41"/>
    <n v="0.87095195206954612"/>
    <n v="8512.3333333333339"/>
  </r>
  <r>
    <s v="THE IUKA STATE BANK"/>
    <s v="Salem"/>
    <x v="1"/>
    <n v="62881"/>
    <d v="2019-09-30T00:00:00"/>
    <x v="0"/>
    <n v="20"/>
    <n v="97572"/>
    <n v="6372"/>
    <n v="97573"/>
    <n v="87918"/>
    <n v="83042"/>
    <x v="2"/>
    <n v="0.09"/>
    <n v="7473.78"/>
    <n v="0.90105768048210555"/>
    <n v="4878.6000000000004"/>
  </r>
  <r>
    <s v="THE IUKA STATE BANK"/>
    <s v="Salem"/>
    <x v="1"/>
    <n v="62881"/>
    <d v="2020-09-30T00:00:00"/>
    <x v="1"/>
    <n v="27"/>
    <n v="112427"/>
    <n v="18741"/>
    <n v="112428"/>
    <n v="102036"/>
    <n v="96487"/>
    <x v="0"/>
    <n v="0.08"/>
    <n v="7718.96"/>
    <n v="0.90757558237789859"/>
    <n v="4163.9629629629626"/>
  </r>
  <r>
    <s v="THE IUKA STATE BANK"/>
    <s v="Salem"/>
    <x v="1"/>
    <n v="62881"/>
    <d v="2021-09-30T00:00:00"/>
    <x v="2"/>
    <n v="25"/>
    <n v="117549"/>
    <n v="19524"/>
    <n v="117549"/>
    <n v="106731"/>
    <n v="101199"/>
    <x v="0"/>
    <n v="0.08"/>
    <n v="8095.92"/>
    <n v="0.90797029323941503"/>
    <n v="4701.96"/>
  </r>
  <r>
    <s v="THE LEADERS BANK"/>
    <s v="Oak Brook"/>
    <x v="1"/>
    <n v="60523"/>
    <d v="2019-09-30T00:00:00"/>
    <x v="0"/>
    <n v="37"/>
    <n v="335661"/>
    <n v="30800"/>
    <n v="335661"/>
    <n v="292519"/>
    <n v="272660"/>
    <x v="0"/>
    <n v="0.08"/>
    <n v="21812.799999999999"/>
    <n v="0.87147151441484116"/>
    <n v="9071.9189189189183"/>
  </r>
  <r>
    <s v="THE LEADERS BANK"/>
    <s v="Oak Brook"/>
    <x v="1"/>
    <n v="60523"/>
    <d v="2020-09-30T00:00:00"/>
    <x v="1"/>
    <n v="38"/>
    <n v="361726"/>
    <n v="49915"/>
    <n v="361726"/>
    <n v="316991"/>
    <n v="292856"/>
    <x v="0"/>
    <n v="0.08"/>
    <n v="23428.48"/>
    <n v="0.87632904463599515"/>
    <n v="9519.105263157895"/>
  </r>
  <r>
    <s v="THE LEADERS BANK"/>
    <s v="Oak Brook"/>
    <x v="1"/>
    <n v="60523"/>
    <d v="2021-09-30T00:00:00"/>
    <x v="2"/>
    <n v="37"/>
    <n v="358771"/>
    <n v="96383"/>
    <n v="358771"/>
    <n v="313048"/>
    <n v="291743"/>
    <x v="0"/>
    <n v="0.08"/>
    <n v="23339.439999999999"/>
    <n v="0.87255658902196664"/>
    <n v="9696.5135135135133"/>
  </r>
  <r>
    <s v="THE LEMONT NATIONAL BANK"/>
    <s v="Lemont"/>
    <x v="1"/>
    <n v="60439"/>
    <d v="2019-09-30T00:00:00"/>
    <x v="0"/>
    <n v="16"/>
    <n v="51892"/>
    <n v="8833"/>
    <n v="51892"/>
    <n v="48150"/>
    <n v="47791"/>
    <x v="2"/>
    <n v="0.09"/>
    <n v="4301.1899999999996"/>
    <n v="0.92788869189855849"/>
    <n v="3243.25"/>
  </r>
  <r>
    <s v="THE LEMONT NATIONAL BANK"/>
    <s v="Lemont"/>
    <x v="1"/>
    <n v="60439"/>
    <d v="2020-09-30T00:00:00"/>
    <x v="1"/>
    <n v="12"/>
    <n v="57773"/>
    <n v="23322"/>
    <n v="57773"/>
    <n v="54060"/>
    <n v="53752"/>
    <x v="2"/>
    <n v="0.09"/>
    <n v="4837.6799999999994"/>
    <n v="0.93573122392813257"/>
    <n v="4814.416666666667"/>
  </r>
  <r>
    <s v="THE LEMONT NATIONAL BANK"/>
    <s v="Lemont"/>
    <x v="1"/>
    <n v="60439"/>
    <d v="2021-09-30T00:00:00"/>
    <x v="2"/>
    <n v="12"/>
    <n v="59313"/>
    <n v="21350"/>
    <n v="59313"/>
    <n v="55796"/>
    <n v="55621"/>
    <x v="2"/>
    <n v="0.09"/>
    <n v="5005.8899999999994"/>
    <n v="0.94070439869843037"/>
    <n v="4942.75"/>
  </r>
  <r>
    <s v="THE LITCHFIELD NATIONAL BANK"/>
    <s v="Litchfield"/>
    <x v="1"/>
    <n v="62056"/>
    <d v="2019-09-30T00:00:00"/>
    <x v="0"/>
    <n v="31"/>
    <n v="107303"/>
    <n v="12192"/>
    <n v="107303"/>
    <n v="97838"/>
    <n v="97304"/>
    <x v="0"/>
    <n v="0.08"/>
    <n v="7784.32"/>
    <n v="0.91179184179379891"/>
    <n v="3461.3870967741937"/>
  </r>
  <r>
    <s v="THE LITCHFIELD NATIONAL BANK"/>
    <s v="Litchfield"/>
    <x v="1"/>
    <n v="62056"/>
    <d v="2020-09-30T00:00:00"/>
    <x v="1"/>
    <n v="32"/>
    <n v="123564"/>
    <n v="23519"/>
    <n v="123564"/>
    <n v="113899"/>
    <n v="105598"/>
    <x v="0"/>
    <n v="0.08"/>
    <n v="8447.84"/>
    <n v="0.92178142501052085"/>
    <n v="3861.375"/>
  </r>
  <r>
    <s v="THE LITCHFIELD NATIONAL BANK"/>
    <s v="Litchfield"/>
    <x v="1"/>
    <n v="62056"/>
    <d v="2021-09-30T00:00:00"/>
    <x v="2"/>
    <n v="32"/>
    <n v="120504"/>
    <n v="7704"/>
    <n v="120504"/>
    <n v="110768"/>
    <n v="105302"/>
    <x v="0"/>
    <n v="0.08"/>
    <n v="8424.16"/>
    <n v="0.91920600146053244"/>
    <n v="3765.75"/>
  </r>
  <r>
    <s v="THE LOWELL FIVE CENT SAVINGS BANK"/>
    <s v="Lowell"/>
    <x v="3"/>
    <n v="1852"/>
    <d v="2019-09-30T00:00:00"/>
    <x v="0"/>
    <n v="210"/>
    <n v="1181248"/>
    <n v="89279"/>
    <n v="1181248"/>
    <n v="1030653"/>
    <n v="1010091"/>
    <x v="1"/>
    <n v="0.08"/>
    <n v="80807.28"/>
    <n v="0.87251195345939214"/>
    <n v="5624.9904761904763"/>
  </r>
  <r>
    <s v="THE LOWELL FIVE CENT SAVINGS BANK"/>
    <s v="Tewksbury"/>
    <x v="3"/>
    <n v="1876"/>
    <d v="2020-09-30T00:00:00"/>
    <x v="1"/>
    <n v="215"/>
    <n v="1396566"/>
    <n v="171382"/>
    <n v="1396566"/>
    <n v="1237854"/>
    <n v="1219684"/>
    <x v="1"/>
    <n v="0.08"/>
    <n v="97574.720000000001"/>
    <n v="0.8863555320693759"/>
    <n v="6495.6558139534882"/>
  </r>
  <r>
    <s v="THE LOWELL FIVE CENT SAVINGS BANK"/>
    <s v="Tewksbury"/>
    <x v="3"/>
    <n v="1876"/>
    <d v="2021-09-30T00:00:00"/>
    <x v="2"/>
    <n v="215"/>
    <n v="1554281"/>
    <n v="281118"/>
    <n v="1554281"/>
    <n v="1387182"/>
    <n v="1367829"/>
    <x v="1"/>
    <n v="0.08"/>
    <n v="109426.32"/>
    <n v="0.89249112612198178"/>
    <n v="7229.2139534883718"/>
  </r>
  <r>
    <s v="THE LYONS NATIONAL BANK"/>
    <s v="Lyons"/>
    <x v="2"/>
    <n v="14489"/>
    <d v="2019-09-30T00:00:00"/>
    <x v="0"/>
    <n v="214"/>
    <n v="1152495"/>
    <n v="43989"/>
    <n v="1152495"/>
    <n v="1059642"/>
    <n v="1034895"/>
    <x v="1"/>
    <n v="0.08"/>
    <n v="82791.600000000006"/>
    <n v="0.91943305610870329"/>
    <n v="5385.4906542056078"/>
  </r>
  <r>
    <s v="THE LYONS NATIONAL BANK"/>
    <s v="Lyons"/>
    <x v="2"/>
    <n v="14489"/>
    <d v="2020-09-30T00:00:00"/>
    <x v="1"/>
    <n v="224"/>
    <n v="1382958"/>
    <n v="103591"/>
    <n v="1382958"/>
    <n v="1281559"/>
    <n v="1263613"/>
    <x v="1"/>
    <n v="0.08"/>
    <n v="101089.04000000001"/>
    <n v="0.92667962439929485"/>
    <n v="6173.9196428571431"/>
  </r>
  <r>
    <s v="THE LYONS NATIONAL BANK"/>
    <s v="Lyons"/>
    <x v="2"/>
    <n v="14489"/>
    <d v="2021-09-30T00:00:00"/>
    <x v="2"/>
    <n v="228"/>
    <n v="1641929"/>
    <n v="109267"/>
    <n v="1641929"/>
    <n v="1514039"/>
    <n v="1489693"/>
    <x v="1"/>
    <n v="0.08"/>
    <n v="119175.44"/>
    <n v="0.92210990852832253"/>
    <n v="7201.4429824561403"/>
  </r>
  <r>
    <s v="THE NATIONAL BANK OF COXSACKIE"/>
    <s v="Coxsackie"/>
    <x v="2"/>
    <n v="12051"/>
    <d v="2019-09-30T00:00:00"/>
    <x v="0"/>
    <n v="74"/>
    <n v="335472"/>
    <n v="22173"/>
    <n v="335472"/>
    <n v="306845"/>
    <n v="306052"/>
    <x v="0"/>
    <n v="8.5000000000000006E-2"/>
    <n v="26014.420000000002"/>
    <n v="0.91466649973768299"/>
    <n v="4533.405405405405"/>
  </r>
  <r>
    <s v="THE NATIONAL BANK OF COXSACKIE"/>
    <s v="Coxsackie"/>
    <x v="2"/>
    <n v="12051"/>
    <d v="2020-09-30T00:00:00"/>
    <x v="1"/>
    <n v="73"/>
    <n v="408758"/>
    <n v="38717"/>
    <n v="408758"/>
    <n v="373990"/>
    <n v="358144"/>
    <x v="0"/>
    <n v="8.5000000000000006E-2"/>
    <n v="30442.240000000002"/>
    <n v="0.91494233751999965"/>
    <n v="5599.4246575342468"/>
  </r>
  <r>
    <s v="THE NATIONAL BANK OF COXSACKIE"/>
    <s v="Coxsackie"/>
    <x v="2"/>
    <n v="12051"/>
    <d v="2021-09-30T00:00:00"/>
    <x v="2"/>
    <n v="74"/>
    <n v="474779"/>
    <n v="28767"/>
    <n v="474779"/>
    <n v="436166"/>
    <n v="419927"/>
    <x v="0"/>
    <n v="8.5000000000000006E-2"/>
    <n v="35693.795000000006"/>
    <n v="0.91867163459209444"/>
    <n v="6415.9324324324325"/>
  </r>
  <r>
    <s v="THE NATIONAL GRAND BANK OF MARBLEHEAD"/>
    <s v="Marblehead"/>
    <x v="3"/>
    <n v="1945"/>
    <d v="2019-09-30T00:00:00"/>
    <x v="0"/>
    <n v="45"/>
    <n v="340145"/>
    <n v="6320"/>
    <n v="340145"/>
    <n v="299504"/>
    <n v="271923"/>
    <x v="0"/>
    <n v="8.5000000000000006E-2"/>
    <n v="23113.455000000002"/>
    <n v="0.88051860236075796"/>
    <n v="7558.7777777777774"/>
  </r>
  <r>
    <s v="THE NATIONAL GRAND BANK OF MARBLEHEAD"/>
    <s v="Marblehead"/>
    <x v="3"/>
    <n v="1945"/>
    <d v="2020-09-30T00:00:00"/>
    <x v="1"/>
    <n v="41"/>
    <n v="408625"/>
    <n v="51585"/>
    <n v="408625"/>
    <n v="366687"/>
    <n v="345324"/>
    <x v="0"/>
    <n v="8.5000000000000006E-2"/>
    <n v="29352.54"/>
    <n v="0.89736800244723158"/>
    <n v="9966.4634146341468"/>
  </r>
  <r>
    <s v="THE NATIONAL GRAND BANK OF MARBLEHEAD"/>
    <s v="Marblehead"/>
    <x v="3"/>
    <n v="1945"/>
    <d v="2021-09-30T00:00:00"/>
    <x v="2"/>
    <n v="47"/>
    <n v="417669"/>
    <n v="33559"/>
    <n v="417669"/>
    <n v="375066"/>
    <n v="365261"/>
    <x v="0"/>
    <n v="8.5000000000000006E-2"/>
    <n v="31047.185000000001"/>
    <n v="0.89799817558880357"/>
    <n v="8886.5744680851058"/>
  </r>
  <r>
    <s v="THE NORTH COUNTRY SAVINGS BANK"/>
    <s v="Canton"/>
    <x v="2"/>
    <n v="13617"/>
    <d v="2019-09-30T00:00:00"/>
    <x v="0"/>
    <n v="68"/>
    <n v="264829"/>
    <n v="14050"/>
    <n v="264829"/>
    <n v="230847"/>
    <n v="200997"/>
    <x v="0"/>
    <n v="8.5000000000000006E-2"/>
    <n v="17084.745000000003"/>
    <n v="0.87168323710771856"/>
    <n v="3894.544117647059"/>
  </r>
  <r>
    <s v="THE NORTH COUNTRY SAVINGS BANK"/>
    <s v="Canton"/>
    <x v="2"/>
    <n v="13617"/>
    <d v="2020-09-30T00:00:00"/>
    <x v="1"/>
    <n v="66"/>
    <n v="295774"/>
    <n v="38616"/>
    <n v="295774"/>
    <n v="260333"/>
    <n v="228100"/>
    <x v="0"/>
    <n v="8.5000000000000006E-2"/>
    <n v="19388.5"/>
    <n v="0.88017540419374252"/>
    <n v="4481.424242424242"/>
  </r>
  <r>
    <s v="THE NORTH COUNTRY SAVINGS BANK"/>
    <s v="Canton"/>
    <x v="2"/>
    <n v="13617"/>
    <d v="2021-09-30T00:00:00"/>
    <x v="2"/>
    <n v="68"/>
    <n v="327719"/>
    <n v="58323"/>
    <n v="327719"/>
    <n v="289158"/>
    <n v="267078"/>
    <x v="0"/>
    <n v="8.5000000000000006E-2"/>
    <n v="22701.63"/>
    <n v="0.88233517129003813"/>
    <n v="4819.3970588235297"/>
  </r>
  <r>
    <s v="THE NORTHERN TRUST COMPANY"/>
    <s v="Chicago"/>
    <x v="1"/>
    <n v="60603"/>
    <d v="2019-09-30T00:00:00"/>
    <x v="0"/>
    <n v="19371"/>
    <n v="123824257"/>
    <n v="31618917"/>
    <n v="123824257"/>
    <n v="113822992"/>
    <n v="99393651"/>
    <x v="1"/>
    <n v="7.4999999999999997E-2"/>
    <n v="7454523.8250000002"/>
    <n v="0.91923016344043151"/>
    <n v="6392.2490836817924"/>
  </r>
  <r>
    <s v="THE NORTHERN TRUST COMPANY"/>
    <s v="Chicago"/>
    <x v="1"/>
    <n v="60603"/>
    <d v="2020-09-30T00:00:00"/>
    <x v="1"/>
    <n v="20511"/>
    <n v="151628924"/>
    <n v="47458911"/>
    <n v="151628924"/>
    <n v="140770325"/>
    <n v="125681969"/>
    <x v="1"/>
    <n v="7.4999999999999997E-2"/>
    <n v="9426147.6749999989"/>
    <n v="0.92838702067159695"/>
    <n v="7392.5661352445031"/>
  </r>
  <r>
    <s v="THE NORTHERN TRUST COMPANY"/>
    <s v="Chicago"/>
    <x v="1"/>
    <n v="60603"/>
    <d v="2021-09-30T00:00:00"/>
    <x v="2"/>
    <n v="20612"/>
    <n v="168651038"/>
    <n v="57934667"/>
    <n v="168651038"/>
    <n v="157276873"/>
    <n v="142974592"/>
    <x v="1"/>
    <n v="7.4999999999999997E-2"/>
    <n v="10723094.4"/>
    <n v="0.93255798994845207"/>
    <n v="8182.1772753735686"/>
  </r>
  <r>
    <s v="THE OLD EXCHANGE NATIONAL BANK OF OKAWVILLE"/>
    <s v="Okawville"/>
    <x v="1"/>
    <n v="62271"/>
    <d v="2019-09-30T00:00:00"/>
    <x v="0"/>
    <n v="13"/>
    <n v="68469"/>
    <n v="8227"/>
    <n v="68469"/>
    <n v="60277"/>
    <n v="59987"/>
    <x v="2"/>
    <n v="0.09"/>
    <n v="5398.83"/>
    <n v="0.88035461303655671"/>
    <n v="5266.8461538461543"/>
  </r>
  <r>
    <s v="THE OLD EXCHANGE NATIONAL BANK OF OKAWVILLE"/>
    <s v="Okawville"/>
    <x v="1"/>
    <n v="62271"/>
    <d v="2020-09-30T00:00:00"/>
    <x v="1"/>
    <n v="12"/>
    <n v="83970"/>
    <n v="11680"/>
    <n v="83970"/>
    <n v="74635"/>
    <n v="70211"/>
    <x v="2"/>
    <n v="0.09"/>
    <n v="6318.99"/>
    <n v="0.88882934381326661"/>
    <n v="6997.5"/>
  </r>
  <r>
    <s v="THE OLD EXCHANGE NATIONAL BANK OF OKAWVILLE"/>
    <s v="Okawville"/>
    <x v="1"/>
    <n v="62271"/>
    <d v="2021-09-30T00:00:00"/>
    <x v="2"/>
    <n v="12"/>
    <n v="85862"/>
    <n v="6862"/>
    <n v="85862"/>
    <n v="76089"/>
    <n v="75828"/>
    <x v="2"/>
    <n v="0.09"/>
    <n v="6824.5199999999995"/>
    <n v="0.88617782022314873"/>
    <n v="7155.166666666667"/>
  </r>
  <r>
    <s v="THE PEOPLES STATE BANK OF NEWTON, ILLINOIS"/>
    <s v="Newton"/>
    <x v="1"/>
    <n v="62448"/>
    <d v="2019-09-30T00:00:00"/>
    <x v="0"/>
    <n v="91"/>
    <n v="461907"/>
    <n v="9879"/>
    <n v="461907"/>
    <n v="409425"/>
    <n v="390357"/>
    <x v="0"/>
    <n v="0.08"/>
    <n v="31228.560000000001"/>
    <n v="0.88637972578895752"/>
    <n v="5075.9010989010985"/>
  </r>
  <r>
    <s v="THE PEOPLES STATE BANK OF NEWTON, ILLINOIS"/>
    <s v="Newton"/>
    <x v="1"/>
    <n v="62448"/>
    <d v="2020-09-30T00:00:00"/>
    <x v="1"/>
    <n v="96"/>
    <n v="498199"/>
    <n v="12683"/>
    <n v="498199"/>
    <n v="440761"/>
    <n v="417692"/>
    <x v="0"/>
    <n v="0.08"/>
    <n v="33415.360000000001"/>
    <n v="0.88470872081236618"/>
    <n v="5189.572916666667"/>
  </r>
  <r>
    <s v="THE PEOPLES STATE BANK OF NEWTON, ILLINOIS"/>
    <s v="Newton"/>
    <x v="1"/>
    <n v="62448"/>
    <d v="2021-09-30T00:00:00"/>
    <x v="2"/>
    <n v="97"/>
    <n v="578892"/>
    <n v="21229"/>
    <n v="578892"/>
    <n v="518148"/>
    <n v="490501"/>
    <x v="0"/>
    <n v="0.08"/>
    <n v="39240.080000000002"/>
    <n v="0.89506851018842892"/>
    <n v="5967.9587628865984"/>
  </r>
  <r>
    <s v="THE PITTSFIELD CO-OPERATIVE BANK"/>
    <s v="Pittsfield"/>
    <x v="3"/>
    <n v="1201"/>
    <d v="2019-09-30T00:00:00"/>
    <x v="0"/>
    <n v="50"/>
    <n v="322619"/>
    <n v="23363"/>
    <n v="322619"/>
    <n v="271534"/>
    <n v="253787"/>
    <x v="0"/>
    <n v="8.5000000000000006E-2"/>
    <n v="21571.895"/>
    <n v="0.84165532718159808"/>
    <n v="6452.38"/>
  </r>
  <r>
    <s v="THE PITTSFIELD CO-OPERATIVE BANK"/>
    <s v="Pittsfield"/>
    <x v="3"/>
    <n v="1201"/>
    <d v="2020-09-30T00:00:00"/>
    <x v="1"/>
    <n v="51"/>
    <n v="361280"/>
    <n v="33066"/>
    <n v="361280"/>
    <n v="307514"/>
    <n v="287469"/>
    <x v="0"/>
    <n v="8.5000000000000006E-2"/>
    <n v="24434.865000000002"/>
    <n v="0.85117914083259527"/>
    <n v="7083.9215686274511"/>
  </r>
  <r>
    <s v="THE PITTSFIELD CO-OPERATIVE BANK"/>
    <s v="Pittsfield"/>
    <x v="3"/>
    <n v="1201"/>
    <d v="2021-09-30T00:00:00"/>
    <x v="2"/>
    <n v="50"/>
    <n v="386966"/>
    <n v="36901"/>
    <n v="386966"/>
    <n v="332237"/>
    <n v="320720"/>
    <x v="0"/>
    <n v="8.5000000000000006E-2"/>
    <n v="27261.200000000001"/>
    <n v="0.85856896988365905"/>
    <n v="7739.32"/>
  </r>
  <r>
    <s v="THE POPLAR GROVE STATE BANK"/>
    <s v="Poplar Grove"/>
    <x v="1"/>
    <n v="61065"/>
    <d v="2019-09-30T00:00:00"/>
    <x v="0"/>
    <n v="12"/>
    <n v="86458"/>
    <n v="11979"/>
    <n v="86457"/>
    <n v="62751"/>
    <n v="61959"/>
    <x v="2"/>
    <n v="0.09"/>
    <n v="5576.3099999999995"/>
    <n v="0.72579749705059105"/>
    <n v="7204.833333333333"/>
  </r>
  <r>
    <s v="THE PROVIDENT BANK"/>
    <s v="Amesbury"/>
    <x v="3"/>
    <n v="1913"/>
    <d v="2019-09-30T00:00:00"/>
    <x v="0"/>
    <n v="134"/>
    <n v="1077862"/>
    <n v="38405"/>
    <n v="1077862"/>
    <n v="950019"/>
    <n v="901896"/>
    <x v="1"/>
    <n v="0.08"/>
    <n v="72151.680000000008"/>
    <n v="0.88139205204376814"/>
    <n v="8043.746268656716"/>
  </r>
  <r>
    <s v="THE PROVIDENT BANK"/>
    <s v="Amesbury"/>
    <x v="3"/>
    <n v="1913"/>
    <d v="2020-09-30T00:00:00"/>
    <x v="1"/>
    <n v="153"/>
    <n v="1497189"/>
    <n v="46877"/>
    <n v="1497189"/>
    <n v="1319005"/>
    <n v="1218065"/>
    <x v="1"/>
    <n v="0.08"/>
    <n v="97445.2"/>
    <n v="0.88098763749934039"/>
    <n v="9785.5490196078426"/>
  </r>
  <r>
    <s v="THE PROVIDENT BANK"/>
    <s v="Amesbury"/>
    <x v="3"/>
    <n v="1913"/>
    <d v="2021-09-30T00:00:00"/>
    <x v="2"/>
    <n v="176"/>
    <n v="1624862"/>
    <n v="190787"/>
    <n v="1624862"/>
    <n v="1426114"/>
    <n v="1383524"/>
    <x v="1"/>
    <n v="0.08"/>
    <n v="110681.92"/>
    <n v="0.87768315093835658"/>
    <n v="9232.170454545454"/>
  </r>
  <r>
    <s v="THE PUTNAM COUNTY NATIONAL BANK OF CARMEL"/>
    <s v="Carmel"/>
    <x v="2"/>
    <n v="10512"/>
    <d v="2019-09-30T00:00:00"/>
    <x v="0"/>
    <n v="31"/>
    <n v="166707"/>
    <n v="56175"/>
    <n v="166707"/>
    <n v="131208"/>
    <n v="129201"/>
    <x v="0"/>
    <n v="8.5000000000000006E-2"/>
    <n v="10982.085000000001"/>
    <n v="0.78705753207723728"/>
    <n v="5377.6451612903229"/>
  </r>
  <r>
    <s v="THE PUTNAM COUNTY NATIONAL BANK OF CARMEL"/>
    <s v="Carmel"/>
    <x v="2"/>
    <n v="10512"/>
    <d v="2020-09-30T00:00:00"/>
    <x v="1"/>
    <n v="31"/>
    <n v="195232"/>
    <n v="84025"/>
    <n v="195232"/>
    <n v="158630"/>
    <n v="156696"/>
    <x v="0"/>
    <n v="8.5000000000000006E-2"/>
    <n v="13319.160000000002"/>
    <n v="0.8125204884445173"/>
    <n v="6297.8064516129034"/>
  </r>
  <r>
    <s v="THE PUTNAM COUNTY NATIONAL BANK OF CARMEL"/>
    <s v="Carmel"/>
    <x v="2"/>
    <n v="10512"/>
    <d v="2021-09-30T00:00:00"/>
    <x v="2"/>
    <n v="31"/>
    <n v="208586"/>
    <n v="74535"/>
    <n v="208586"/>
    <n v="171817"/>
    <n v="169714"/>
    <x v="0"/>
    <n v="8.5000000000000006E-2"/>
    <n v="14425.69"/>
    <n v="0.82372258924376518"/>
    <n v="6728.5806451612907"/>
  </r>
  <r>
    <s v="THE SAVINGS BANK"/>
    <s v="Wakefield"/>
    <x v="3"/>
    <n v="1880"/>
    <d v="2019-09-30T00:00:00"/>
    <x v="0"/>
    <n v="109"/>
    <n v="615260"/>
    <n v="29328"/>
    <n v="615260"/>
    <n v="537397"/>
    <n v="520145"/>
    <x v="0"/>
    <n v="8.5000000000000006E-2"/>
    <n v="44212.325000000004"/>
    <n v="0.87344699801709846"/>
    <n v="5644.5871559633024"/>
  </r>
  <r>
    <s v="THE SAVINGS BANK"/>
    <s v="Wakefield"/>
    <x v="3"/>
    <n v="1880"/>
    <d v="2020-09-30T00:00:00"/>
    <x v="1"/>
    <n v="108"/>
    <n v="655631"/>
    <n v="85396"/>
    <n v="655631"/>
    <n v="575343"/>
    <n v="569902"/>
    <x v="0"/>
    <n v="8.5000000000000006E-2"/>
    <n v="48441.670000000006"/>
    <n v="0.87754087283853266"/>
    <n v="6070.6574074074078"/>
  </r>
  <r>
    <s v="THE SAVINGS BANK"/>
    <s v="Wakefield"/>
    <x v="3"/>
    <n v="1880"/>
    <d v="2021-09-30T00:00:00"/>
    <x v="2"/>
    <n v="107"/>
    <n v="707756"/>
    <n v="104501"/>
    <n v="707756"/>
    <n v="625074"/>
    <n v="621328"/>
    <x v="0"/>
    <n v="8.5000000000000006E-2"/>
    <n v="52812.880000000005"/>
    <n v="0.88317725317764884"/>
    <n v="6614.5420560747662"/>
  </r>
  <r>
    <s v="THE STATE BANK OF GENEVA"/>
    <s v="Geneva"/>
    <x v="1"/>
    <n v="60134"/>
    <d v="2019-09-30T00:00:00"/>
    <x v="0"/>
    <n v="24"/>
    <n v="80285"/>
    <n v="12140"/>
    <n v="80285"/>
    <n v="72247"/>
    <n v="72017"/>
    <x v="2"/>
    <n v="0.09"/>
    <n v="6481.53"/>
    <n v="0.89988167154512055"/>
    <n v="3345.2083333333335"/>
  </r>
  <r>
    <s v="THE STATE BANK OF GENEVA"/>
    <s v="Geneva"/>
    <x v="1"/>
    <n v="60134"/>
    <d v="2020-09-30T00:00:00"/>
    <x v="1"/>
    <n v="23"/>
    <n v="96592"/>
    <n v="21924"/>
    <n v="96592"/>
    <n v="87844"/>
    <n v="87446"/>
    <x v="2"/>
    <n v="0.09"/>
    <n v="7870.1399999999994"/>
    <n v="0.90943349345701507"/>
    <n v="4199.652173913043"/>
  </r>
  <r>
    <s v="THE STATE BANK OF GENEVA"/>
    <s v="Geneva"/>
    <x v="1"/>
    <n v="60134"/>
    <d v="2021-09-30T00:00:00"/>
    <x v="2"/>
    <n v="23"/>
    <n v="110869"/>
    <n v="18247"/>
    <n v="110869"/>
    <n v="100675"/>
    <n v="97278"/>
    <x v="0"/>
    <n v="0.08"/>
    <n v="7782.24"/>
    <n v="0.90805364890095519"/>
    <n v="4820.391304347826"/>
  </r>
  <r>
    <s v="THE STATE BANK OF PEARL CITY"/>
    <s v="Pearl City"/>
    <x v="1"/>
    <n v="61062"/>
    <d v="2019-09-30T00:00:00"/>
    <x v="0"/>
    <n v="18"/>
    <n v="58217"/>
    <n v="12807"/>
    <n v="58218"/>
    <n v="51320"/>
    <n v="51082"/>
    <x v="2"/>
    <n v="0.09"/>
    <n v="4597.38"/>
    <n v="0.88152945016060602"/>
    <n v="3234.2777777777778"/>
  </r>
  <r>
    <s v="THE STATE BANK OF PEARL CITY"/>
    <s v="Pearl City"/>
    <x v="1"/>
    <n v="61062"/>
    <d v="2020-09-30T00:00:00"/>
    <x v="1"/>
    <n v="18"/>
    <n v="63822"/>
    <n v="20517"/>
    <n v="63822"/>
    <n v="56684"/>
    <n v="55472"/>
    <x v="2"/>
    <n v="0.09"/>
    <n v="4992.4799999999996"/>
    <n v="0.88815768857133903"/>
    <n v="3545.6666666666665"/>
  </r>
  <r>
    <s v="THE STATE BANK OF PEARL CITY"/>
    <s v="Pearl City"/>
    <x v="1"/>
    <n v="61062"/>
    <d v="2021-09-30T00:00:00"/>
    <x v="2"/>
    <n v="15"/>
    <n v="69833"/>
    <n v="25086"/>
    <n v="69833"/>
    <n v="62447"/>
    <n v="62259"/>
    <x v="2"/>
    <n v="0.09"/>
    <n v="5603.3099999999995"/>
    <n v="0.8942333853622213"/>
    <n v="4655.5333333333338"/>
  </r>
  <r>
    <s v="THE UPSTATE NATIONAL BANK"/>
    <s v="Ogdensburg"/>
    <x v="2"/>
    <n v="13669"/>
    <d v="2019-09-30T00:00:00"/>
    <x v="0"/>
    <n v="21"/>
    <n v="156763"/>
    <n v="9905"/>
    <n v="156762"/>
    <n v="139653"/>
    <n v="111401"/>
    <x v="0"/>
    <n v="8.5000000000000006E-2"/>
    <n v="9469.0850000000009"/>
    <n v="0.89085434700790367"/>
    <n v="7464.9047619047615"/>
  </r>
  <r>
    <s v="THE UPSTATE NATIONAL BANK"/>
    <s v="Ogdensburg"/>
    <x v="2"/>
    <n v="13669"/>
    <d v="2020-09-30T00:00:00"/>
    <x v="1"/>
    <n v="22"/>
    <n v="192147"/>
    <n v="9433"/>
    <n v="192147"/>
    <n v="173100"/>
    <n v="149964"/>
    <x v="0"/>
    <n v="8.5000000000000006E-2"/>
    <n v="12746.94"/>
    <n v="0.90087276928601534"/>
    <n v="8733.954545454546"/>
  </r>
  <r>
    <s v="THE UPSTATE NATIONAL BANK"/>
    <s v="Ogdensburg"/>
    <x v="2"/>
    <n v="13669"/>
    <d v="2021-09-30T00:00:00"/>
    <x v="2"/>
    <n v="20"/>
    <n v="244137"/>
    <n v="8419"/>
    <n v="244137"/>
    <n v="223202"/>
    <n v="203444"/>
    <x v="0"/>
    <n v="8.5000000000000006E-2"/>
    <n v="17292.740000000002"/>
    <n v="0.91424896676865863"/>
    <n v="12206.85"/>
  </r>
  <r>
    <s v="THE VILLAGE BANK"/>
    <s v="Saint Libory"/>
    <x v="1"/>
    <n v="62282"/>
    <d v="2019-09-30T00:00:00"/>
    <x v="0"/>
    <n v="14"/>
    <n v="89244"/>
    <n v="18650"/>
    <n v="89244"/>
    <n v="80648"/>
    <n v="79642"/>
    <x v="2"/>
    <n v="0.09"/>
    <n v="7167.78"/>
    <n v="0.90367979920218722"/>
    <n v="6374.5714285714284"/>
  </r>
  <r>
    <s v="THE VILLAGE BANK"/>
    <s v="Auburndale"/>
    <x v="3"/>
    <n v="2466"/>
    <d v="2019-09-30T00:00:00"/>
    <x v="0"/>
    <n v="130"/>
    <n v="1249472"/>
    <n v="11392"/>
    <n v="1249472"/>
    <n v="1113028"/>
    <n v="1045614"/>
    <x v="1"/>
    <n v="0.08"/>
    <n v="83649.119999999995"/>
    <n v="0.89079867335962715"/>
    <n v="9611.3230769230777"/>
  </r>
  <r>
    <s v="THE VILLAGE BANK"/>
    <s v="Saint Libory"/>
    <x v="1"/>
    <n v="62282"/>
    <d v="2020-09-30T00:00:00"/>
    <x v="1"/>
    <n v="15"/>
    <n v="98402"/>
    <n v="7651"/>
    <n v="98402"/>
    <n v="89327"/>
    <n v="88314"/>
    <x v="2"/>
    <n v="0.09"/>
    <n v="7948.2599999999993"/>
    <n v="0.90777626471006689"/>
    <n v="6560.1333333333332"/>
  </r>
  <r>
    <s v="THE VILLAGE BANK"/>
    <s v="Auburndale"/>
    <x v="3"/>
    <n v="2466"/>
    <d v="2020-09-30T00:00:00"/>
    <x v="1"/>
    <n v="129"/>
    <n v="1455159"/>
    <n v="125165"/>
    <n v="1455159"/>
    <n v="1306562"/>
    <n v="1300110"/>
    <x v="1"/>
    <n v="0.08"/>
    <n v="104008.8"/>
    <n v="0.89788263688023096"/>
    <n v="11280.302325581395"/>
  </r>
  <r>
    <s v="THE VILLAGE BANK"/>
    <s v="Saint Libory"/>
    <x v="1"/>
    <n v="62282"/>
    <d v="2021-09-30T00:00:00"/>
    <x v="2"/>
    <n v="16"/>
    <n v="105502"/>
    <n v="12140"/>
    <n v="105502"/>
    <n v="95209"/>
    <n v="94195"/>
    <x v="0"/>
    <n v="0.08"/>
    <n v="7535.6"/>
    <n v="0.90243786847642704"/>
    <n v="6593.875"/>
  </r>
  <r>
    <s v="THE VILLAGE BANK"/>
    <s v="Auburndale"/>
    <x v="3"/>
    <n v="2466"/>
    <d v="2021-09-30T00:00:00"/>
    <x v="2"/>
    <n v="128"/>
    <n v="1653262"/>
    <n v="145938"/>
    <n v="1653262"/>
    <n v="1494900"/>
    <n v="1487678"/>
    <x v="1"/>
    <n v="0.08"/>
    <n v="119014.24"/>
    <n v="0.90421239948659071"/>
    <n v="12916.109375"/>
  </r>
  <r>
    <s v="THE WESTCHESTER BANK"/>
    <s v="Yonkers"/>
    <x v="2"/>
    <n v="10710"/>
    <d v="2019-09-30T00:00:00"/>
    <x v="0"/>
    <n v="68"/>
    <n v="886217"/>
    <n v="25773"/>
    <n v="886217"/>
    <n v="766682"/>
    <n v="692222"/>
    <x v="0"/>
    <n v="8.5000000000000006E-2"/>
    <n v="58838.87"/>
    <n v="0.86511768562327285"/>
    <n v="13032.60294117647"/>
  </r>
  <r>
    <s v="THE WESTCHESTER BANK"/>
    <s v="Yonkers"/>
    <x v="2"/>
    <n v="10710"/>
    <d v="2020-09-30T00:00:00"/>
    <x v="1"/>
    <n v="70"/>
    <n v="1200899"/>
    <n v="220435"/>
    <n v="1200899"/>
    <n v="1075463"/>
    <n v="1005797"/>
    <x v="1"/>
    <n v="0.08"/>
    <n v="80463.759999999995"/>
    <n v="0.89554825176805042"/>
    <n v="17155.7"/>
  </r>
  <r>
    <s v="THE WESTCHESTER BANK"/>
    <s v="Yonkers"/>
    <x v="2"/>
    <n v="10710"/>
    <d v="2021-09-30T00:00:00"/>
    <x v="2"/>
    <n v="67"/>
    <n v="1280654"/>
    <n v="230620"/>
    <n v="1280654"/>
    <n v="1139721"/>
    <n v="1082870"/>
    <x v="1"/>
    <n v="0.08"/>
    <n v="86629.6"/>
    <n v="0.88995232123586854"/>
    <n v="19114.238805970148"/>
  </r>
  <r>
    <s v="TIOGA STATE BANK"/>
    <s v="Spencer"/>
    <x v="2"/>
    <n v="14883"/>
    <d v="2019-09-30T00:00:00"/>
    <x v="0"/>
    <n v="99"/>
    <n v="481885"/>
    <n v="10639"/>
    <n v="481885"/>
    <n v="423101"/>
    <n v="401612"/>
    <x v="0"/>
    <n v="8.5000000000000006E-2"/>
    <n v="34137.020000000004"/>
    <n v="0.87801238884796162"/>
    <n v="4867.5252525252527"/>
  </r>
  <r>
    <s v="TIOGA STATE BANK"/>
    <s v="Spencer"/>
    <x v="2"/>
    <n v="14883"/>
    <d v="2020-09-30T00:00:00"/>
    <x v="1"/>
    <n v="101"/>
    <n v="531113"/>
    <n v="9323"/>
    <n v="531113"/>
    <n v="464245"/>
    <n v="441228"/>
    <x v="0"/>
    <n v="8.5000000000000006E-2"/>
    <n v="37504.380000000005"/>
    <n v="0.87409835571714489"/>
    <n v="5258.5445544554459"/>
  </r>
  <r>
    <s v="TIOGA STATE BANK NATIONAL ASSOCIATION"/>
    <s v="Spencer"/>
    <x v="2"/>
    <n v="14883"/>
    <d v="2021-09-30T00:00:00"/>
    <x v="2"/>
    <n v="100"/>
    <n v="562945"/>
    <n v="41660"/>
    <n v="562945"/>
    <n v="492420"/>
    <n v="486773"/>
    <x v="0"/>
    <n v="8.5000000000000006E-2"/>
    <n v="41375.705000000002"/>
    <n v="0.87472133156880338"/>
    <n v="5629.45"/>
  </r>
  <r>
    <s v="TNB BANK"/>
    <s v="Tuscola"/>
    <x v="1"/>
    <n v="61953"/>
    <d v="2019-09-30T00:00:00"/>
    <x v="0"/>
    <n v="19"/>
    <n v="85899"/>
    <n v="18001"/>
    <n v="85898"/>
    <n v="74597"/>
    <n v="74332"/>
    <x v="2"/>
    <n v="0.09"/>
    <n v="6689.88"/>
    <n v="0.8684268734211108"/>
    <n v="4521"/>
  </r>
  <r>
    <s v="TNB BANK"/>
    <s v="Tuscola"/>
    <x v="1"/>
    <n v="61953"/>
    <d v="2020-09-30T00:00:00"/>
    <x v="1"/>
    <n v="22"/>
    <n v="95236"/>
    <n v="29195"/>
    <n v="95236"/>
    <n v="84070"/>
    <n v="83772"/>
    <x v="2"/>
    <n v="0.09"/>
    <n v="7539.48"/>
    <n v="0.88275442059725318"/>
    <n v="4328.909090909091"/>
  </r>
  <r>
    <s v="TNB BANK"/>
    <s v="Tuscola"/>
    <x v="1"/>
    <n v="61953"/>
    <d v="2021-09-30T00:00:00"/>
    <x v="2"/>
    <n v="18"/>
    <n v="96031"/>
    <n v="24759"/>
    <n v="96031"/>
    <n v="84952"/>
    <n v="84790"/>
    <x v="2"/>
    <n v="0.09"/>
    <n v="7631.0999999999995"/>
    <n v="0.8846310045714405"/>
    <n v="5335.0555555555557"/>
  </r>
  <r>
    <s v="TOMPKINS STATE BANK"/>
    <s v="Avon"/>
    <x v="1"/>
    <n v="61415"/>
    <d v="2019-09-30T00:00:00"/>
    <x v="0"/>
    <n v="45"/>
    <n v="217230"/>
    <n v="4372"/>
    <n v="217230"/>
    <n v="193510"/>
    <n v="183180"/>
    <x v="0"/>
    <n v="0.08"/>
    <n v="14654.4"/>
    <n v="0.89080697877825343"/>
    <n v="4827.333333333333"/>
  </r>
  <r>
    <s v="TOMPKINS STATE BANK"/>
    <s v="Avon"/>
    <x v="1"/>
    <n v="61415"/>
    <d v="2020-09-30T00:00:00"/>
    <x v="1"/>
    <n v="48"/>
    <n v="252441"/>
    <n v="4058"/>
    <n v="252441"/>
    <n v="225536"/>
    <n v="211153"/>
    <x v="0"/>
    <n v="0.08"/>
    <n v="16892.240000000002"/>
    <n v="0.89342064086261741"/>
    <n v="5259.1875"/>
  </r>
  <r>
    <s v="TOMPKINS STATE BANK"/>
    <s v="Avon"/>
    <x v="1"/>
    <n v="61415"/>
    <d v="2021-09-30T00:00:00"/>
    <x v="2"/>
    <n v="51"/>
    <n v="263634"/>
    <n v="16942"/>
    <n v="263634"/>
    <n v="235725"/>
    <n v="225289"/>
    <x v="0"/>
    <n v="0.08"/>
    <n v="18023.12"/>
    <n v="0.8941373267484467"/>
    <n v="5169.2941176470586"/>
  </r>
  <r>
    <s v="TOMPKINS TRUST COMPANY"/>
    <s v="Ithaca"/>
    <x v="2"/>
    <n v="14850"/>
    <d v="2019-09-30T00:00:00"/>
    <x v="0"/>
    <n v="476"/>
    <n v="2048741"/>
    <n v="40264"/>
    <n v="2048741"/>
    <n v="1890972"/>
    <n v="1652306"/>
    <x v="1"/>
    <n v="0.08"/>
    <n v="132184.48000000001"/>
    <n v="0.9229922181476331"/>
    <n v="4304.0777310924368"/>
  </r>
  <r>
    <s v="TOMPKINS TRUST COMPANY"/>
    <s v="Ithaca"/>
    <x v="2"/>
    <n v="14850"/>
    <d v="2020-09-30T00:00:00"/>
    <x v="1"/>
    <n v="495"/>
    <n v="2366849"/>
    <n v="64014"/>
    <n v="2366849"/>
    <n v="2197698"/>
    <n v="2014960"/>
    <x v="1"/>
    <n v="0.08"/>
    <n v="161196.80000000002"/>
    <n v="0.92853325243815721"/>
    <n v="4781.5131313131315"/>
  </r>
  <r>
    <s v="TOMPKINS TRUST COMPANY"/>
    <s v="Ithaca"/>
    <x v="2"/>
    <n v="14850"/>
    <d v="2021-09-30T00:00:00"/>
    <x v="2"/>
    <n v="488"/>
    <n v="2478349"/>
    <n v="63808"/>
    <n v="2478349"/>
    <n v="2311529"/>
    <n v="2144402"/>
    <x v="1"/>
    <n v="0.08"/>
    <n v="171552.16"/>
    <n v="0.93268906033815258"/>
    <n v="5078.5840163934427"/>
  </r>
  <r>
    <s v="TOWN &amp; COUNTRY BANK MIDWEST"/>
    <s v="Quincy"/>
    <x v="1"/>
    <n v="62301"/>
    <d v="2019-09-30T00:00:00"/>
    <x v="0"/>
    <n v="45"/>
    <n v="188276"/>
    <n v="40796"/>
    <n v="188276"/>
    <n v="167074"/>
    <n v="166696"/>
    <x v="0"/>
    <n v="0.08"/>
    <n v="13335.68"/>
    <n v="0.88738872718774564"/>
    <n v="4183.9111111111115"/>
  </r>
  <r>
    <s v="TOWN &amp; COUNTRY BANK MIDWEST"/>
    <s v="Quincy"/>
    <x v="1"/>
    <n v="62301"/>
    <d v="2020-09-30T00:00:00"/>
    <x v="1"/>
    <n v="42"/>
    <n v="191392"/>
    <n v="36014"/>
    <n v="191393"/>
    <n v="166734"/>
    <n v="162609"/>
    <x v="0"/>
    <n v="0.08"/>
    <n v="13008.720000000001"/>
    <n v="0.87116493897341585"/>
    <n v="4556.9523809523807"/>
  </r>
  <r>
    <s v="TOWN &amp; COUNTRY BANK MIDWEST"/>
    <s v="Quincy"/>
    <x v="1"/>
    <n v="62301"/>
    <d v="2021-09-30T00:00:00"/>
    <x v="2"/>
    <n v="42"/>
    <n v="219335"/>
    <n v="80068"/>
    <n v="219335"/>
    <n v="195053"/>
    <n v="189648"/>
    <x v="0"/>
    <n v="0.08"/>
    <n v="15171.84"/>
    <n v="0.88929263455444862"/>
    <n v="5222.2619047619046"/>
  </r>
  <r>
    <s v="TOWN AND COUNTRY BANK"/>
    <s v="Springfield"/>
    <x v="1"/>
    <n v="62704"/>
    <d v="2019-09-30T00:00:00"/>
    <x v="0"/>
    <n v="187"/>
    <n v="826124"/>
    <n v="27943"/>
    <n v="826124"/>
    <n v="742811"/>
    <n v="640651"/>
    <x v="0"/>
    <n v="0.08"/>
    <n v="51252.08"/>
    <n v="0.89915194329180603"/>
    <n v="4417.7754010695189"/>
  </r>
  <r>
    <s v="TOWN AND COUNTRY BANK"/>
    <s v="Springfield"/>
    <x v="1"/>
    <n v="62704"/>
    <d v="2020-09-30T00:00:00"/>
    <x v="1"/>
    <n v="189"/>
    <n v="866812"/>
    <n v="17609"/>
    <n v="866812"/>
    <n v="777632"/>
    <n v="704329"/>
    <x v="0"/>
    <n v="0.08"/>
    <n v="56346.32"/>
    <n v="0.8971172526453256"/>
    <n v="4586.3068783068784"/>
  </r>
  <r>
    <s v="TOWN AND COUNTRY BANK"/>
    <s v="Springfield"/>
    <x v="1"/>
    <n v="62704"/>
    <d v="2021-09-30T00:00:00"/>
    <x v="2"/>
    <n v="177"/>
    <n v="890685"/>
    <n v="105574"/>
    <n v="890685"/>
    <n v="792363"/>
    <n v="771547"/>
    <x v="0"/>
    <n v="0.08"/>
    <n v="61723.76"/>
    <n v="0.88961080516680979"/>
    <n v="5032.1186440677966"/>
  </r>
  <r>
    <s v="TOWN CENTER BANK"/>
    <s v="Frankfort"/>
    <x v="1"/>
    <n v="60423"/>
    <d v="2019-09-30T00:00:00"/>
    <x v="0"/>
    <n v="26"/>
    <n v="101551"/>
    <n v="2353"/>
    <n v="101551"/>
    <n v="89307"/>
    <n v="85875"/>
    <x v="0"/>
    <n v="0.08"/>
    <n v="6870"/>
    <n v="0.87943004007838421"/>
    <n v="3905.8076923076924"/>
  </r>
  <r>
    <s v="TOWN CENTER BANK"/>
    <s v="Frankfort"/>
    <x v="1"/>
    <n v="60423"/>
    <d v="2020-09-30T00:00:00"/>
    <x v="1"/>
    <n v="18"/>
    <n v="155697"/>
    <n v="14660"/>
    <n v="155697"/>
    <n v="140514"/>
    <n v="97436"/>
    <x v="0"/>
    <n v="0.08"/>
    <n v="7794.88"/>
    <n v="0.90248367020559161"/>
    <n v="8649.8333333333339"/>
  </r>
  <r>
    <s v="TOWN CENTER BANK"/>
    <s v="Frankfort"/>
    <x v="1"/>
    <n v="60423"/>
    <d v="2021-09-30T00:00:00"/>
    <x v="2"/>
    <n v="20"/>
    <n v="152832"/>
    <n v="19327"/>
    <n v="152832"/>
    <n v="136608"/>
    <n v="119490"/>
    <x v="0"/>
    <n v="0.08"/>
    <n v="9559.2000000000007"/>
    <n v="0.89384422110552764"/>
    <n v="7641.6"/>
  </r>
  <r>
    <s v="TRI COUNTIES BANK"/>
    <s v="Chico"/>
    <x v="0"/>
    <n v="95973"/>
    <d v="2019-09-30T00:00:00"/>
    <x v="0"/>
    <n v="1159"/>
    <n v="6383135"/>
    <n v="259047"/>
    <n v="6383135"/>
    <n v="5435532"/>
    <n v="5300507"/>
    <x v="1"/>
    <n v="0.08"/>
    <n v="424040.56"/>
    <n v="0.85154583131956318"/>
    <n v="5507.4503882657464"/>
  </r>
  <r>
    <s v="TRI COUNTIES BANK"/>
    <s v="Chico"/>
    <x v="0"/>
    <n v="95973"/>
    <d v="2020-09-30T00:00:00"/>
    <x v="1"/>
    <n v="1093"/>
    <n v="7447929"/>
    <n v="652583"/>
    <n v="7447929"/>
    <n v="6494390"/>
    <n v="6345298"/>
    <x v="1"/>
    <n v="0.08"/>
    <n v="507623.84"/>
    <n v="0.87197259802020133"/>
    <n v="6814.2076852698992"/>
  </r>
  <r>
    <s v="TRI COUNTIES BANK"/>
    <s v="Chico"/>
    <x v="0"/>
    <n v="95973"/>
    <d v="2021-09-30T00:00:00"/>
    <x v="2"/>
    <n v="1052"/>
    <n v="8451844"/>
    <n v="740235"/>
    <n v="8451844"/>
    <n v="7422623"/>
    <n v="7241738"/>
    <x v="1"/>
    <n v="0.08"/>
    <n v="579339.04"/>
    <n v="0.87822527249674742"/>
    <n v="8034.0722433460078"/>
  </r>
  <r>
    <s v="TRUSTBANK"/>
    <s v="Olney"/>
    <x v="1"/>
    <n v="62450"/>
    <d v="2019-09-30T00:00:00"/>
    <x v="0"/>
    <n v="67"/>
    <n v="234083"/>
    <n v="11977"/>
    <n v="234083"/>
    <n v="205815"/>
    <n v="201845"/>
    <x v="0"/>
    <n v="0.08"/>
    <n v="16147.6"/>
    <n v="0.87923941507926673"/>
    <n v="3493.7761194029849"/>
  </r>
  <r>
    <s v="TRUSTBANK"/>
    <s v="Olney"/>
    <x v="1"/>
    <n v="62450"/>
    <d v="2020-09-30T00:00:00"/>
    <x v="1"/>
    <n v="71"/>
    <n v="279556"/>
    <n v="24626"/>
    <n v="279556"/>
    <n v="248561"/>
    <n v="241141"/>
    <x v="0"/>
    <n v="0.08"/>
    <n v="19291.28"/>
    <n v="0.88912775973329139"/>
    <n v="3937.4084507042253"/>
  </r>
  <r>
    <s v="TRUSTBANK"/>
    <s v="Olney"/>
    <x v="1"/>
    <n v="62450"/>
    <d v="2021-09-30T00:00:00"/>
    <x v="2"/>
    <n v="72"/>
    <n v="295762"/>
    <n v="17979"/>
    <n v="295762"/>
    <n v="262655"/>
    <n v="259513"/>
    <x v="0"/>
    <n v="0.08"/>
    <n v="20761.04"/>
    <n v="0.88806202284269109"/>
    <n v="4107.8055555555557"/>
  </r>
  <r>
    <s v="TRUSTCO BANK"/>
    <s v="Glenville"/>
    <x v="2"/>
    <n v="12302"/>
    <d v="2019-09-30T00:00:00"/>
    <x v="0"/>
    <n v="823"/>
    <n v="5222139"/>
    <n v="450934"/>
    <n v="5222139"/>
    <n v="4712126"/>
    <n v="4461180"/>
    <x v="1"/>
    <n v="0.08"/>
    <n v="356894.4"/>
    <n v="0.90233637978613745"/>
    <n v="6345.2478736330495"/>
  </r>
  <r>
    <s v="TRUSTCO BANK"/>
    <s v="Glenville"/>
    <x v="2"/>
    <n v="12302"/>
    <d v="2020-09-30T00:00:00"/>
    <x v="1"/>
    <n v="771"/>
    <n v="5735478"/>
    <n v="956399"/>
    <n v="5735477"/>
    <n v="5189513"/>
    <n v="4899064"/>
    <x v="1"/>
    <n v="0.08"/>
    <n v="391925.12"/>
    <n v="0.90480915452905586"/>
    <n v="7439.011673151751"/>
  </r>
  <r>
    <s v="TRUSTCO BANK"/>
    <s v="Glenville"/>
    <x v="2"/>
    <n v="12302"/>
    <d v="2021-09-30T00:00:00"/>
    <x v="2"/>
    <n v="744"/>
    <n v="6134106"/>
    <n v="1193358"/>
    <n v="6134106"/>
    <n v="5564279"/>
    <n v="5241031"/>
    <x v="1"/>
    <n v="0.08"/>
    <n v="419282.48"/>
    <n v="0.9071051266476321"/>
    <n v="8244.7661290322576"/>
  </r>
  <r>
    <s v="TUSTIN COMMUNITY BANK"/>
    <s v="Tustin"/>
    <x v="0"/>
    <n v="92780"/>
    <d v="2019-09-30T00:00:00"/>
    <x v="0"/>
    <n v="23"/>
    <n v="74181"/>
    <n v="8743"/>
    <n v="74181"/>
    <n v="63327"/>
    <n v="58346"/>
    <x v="2"/>
    <n v="0.1"/>
    <n v="5834.6"/>
    <n v="0.85368220973025433"/>
    <n v="3225.2608695652175"/>
  </r>
  <r>
    <s v="TUSTIN COMMUNITY BANK"/>
    <s v="Tustin"/>
    <x v="0"/>
    <n v="92780"/>
    <d v="2020-09-30T00:00:00"/>
    <x v="1"/>
    <n v="22"/>
    <n v="87582"/>
    <n v="18356"/>
    <n v="87582"/>
    <n v="76626"/>
    <n v="67725"/>
    <x v="2"/>
    <n v="0.1"/>
    <n v="6772.5"/>
    <n v="0.87490580256217032"/>
    <n v="3981"/>
  </r>
  <r>
    <s v="TUSTIN COMMUNITY BANK"/>
    <s v="Tustin"/>
    <x v="0"/>
    <n v="92780"/>
    <d v="2021-09-30T00:00:00"/>
    <x v="2"/>
    <n v="22"/>
    <n v="88127"/>
    <n v="23507"/>
    <n v="88127"/>
    <n v="76858"/>
    <n v="75617"/>
    <x v="2"/>
    <n v="0.1"/>
    <n v="7561.7000000000007"/>
    <n v="0.87212772476085654"/>
    <n v="4005.7727272727275"/>
  </r>
  <r>
    <s v="ULSTER SAVINGS BANK"/>
    <s v="Kingston"/>
    <x v="2"/>
    <n v="12401"/>
    <d v="2019-09-30T00:00:00"/>
    <x v="0"/>
    <n v="255"/>
    <n v="944797"/>
    <n v="26887"/>
    <n v="944797"/>
    <n v="841930"/>
    <n v="821011"/>
    <x v="0"/>
    <n v="8.5000000000000006E-2"/>
    <n v="69785.935000000012"/>
    <n v="0.89112264327680968"/>
    <n v="3705.0862745098038"/>
  </r>
  <r>
    <s v="ULSTER SAVINGS BANK"/>
    <s v="Kingston"/>
    <x v="2"/>
    <n v="12401"/>
    <d v="2020-09-30T00:00:00"/>
    <x v="1"/>
    <n v="245"/>
    <n v="1133556"/>
    <n v="152897"/>
    <n v="1133556"/>
    <n v="1022374"/>
    <n v="1017303"/>
    <x v="1"/>
    <n v="0.08"/>
    <n v="81384.240000000005"/>
    <n v="0.90191750561948414"/>
    <n v="4626.7591836734691"/>
  </r>
  <r>
    <s v="ULSTER SAVINGS BANK"/>
    <s v="Kingston"/>
    <x v="2"/>
    <n v="12401"/>
    <d v="2021-09-30T00:00:00"/>
    <x v="2"/>
    <n v="249"/>
    <n v="1279748"/>
    <n v="262147"/>
    <n v="1279748"/>
    <n v="1164256"/>
    <n v="1157817"/>
    <x v="1"/>
    <n v="0.08"/>
    <n v="92625.36"/>
    <n v="0.90975410783998101"/>
    <n v="5139.5502008032126"/>
  </r>
  <r>
    <s v="UNIBANK FOR SAVINGS"/>
    <s v="Whitinsville"/>
    <x v="3"/>
    <n v="1588"/>
    <d v="2019-09-30T00:00:00"/>
    <x v="0"/>
    <n v="280"/>
    <n v="1763811"/>
    <n v="158242"/>
    <n v="1763811"/>
    <n v="1605610"/>
    <n v="1590356"/>
    <x v="1"/>
    <n v="0.08"/>
    <n v="127228.48"/>
    <n v="0.91030728349012446"/>
    <n v="6299.3249999999998"/>
  </r>
  <r>
    <s v="UNIBANK FOR SAVINGS"/>
    <s v="Whitinsville"/>
    <x v="3"/>
    <n v="1588"/>
    <d v="2020-09-30T00:00:00"/>
    <x v="1"/>
    <n v="249"/>
    <n v="2098629"/>
    <n v="418909"/>
    <n v="2098629"/>
    <n v="1917242"/>
    <n v="1886406"/>
    <x v="1"/>
    <n v="0.08"/>
    <n v="150912.48000000001"/>
    <n v="0.91356881087605291"/>
    <n v="8428.2289156626503"/>
  </r>
  <r>
    <s v="UNIBANK FOR SAVINGS"/>
    <s v="Whitinsville"/>
    <x v="3"/>
    <n v="1588"/>
    <d v="2021-09-30T00:00:00"/>
    <x v="2"/>
    <n v="263"/>
    <n v="2567352"/>
    <n v="305999"/>
    <n v="2567352"/>
    <n v="2381160"/>
    <n v="2053205"/>
    <x v="1"/>
    <n v="0.08"/>
    <n v="164256.4"/>
    <n v="0.92747702691333322"/>
    <n v="9761.7946768060829"/>
  </r>
  <r>
    <s v="UNION FEDERAL SAVINGS AND LOAN ASSOCIATION"/>
    <s v="Kewanee"/>
    <x v="1"/>
    <n v="61443"/>
    <d v="2019-09-30T00:00:00"/>
    <x v="0"/>
    <n v="33"/>
    <n v="150107"/>
    <n v="14298"/>
    <n v="150107"/>
    <n v="127491"/>
    <n v="127143"/>
    <x v="0"/>
    <n v="0.08"/>
    <n v="10171.44"/>
    <n v="0.84933414164562615"/>
    <n v="4548.69696969697"/>
  </r>
  <r>
    <s v="UNION FEDERAL SAVINGS AND LOAN ASSOCIATION"/>
    <s v="Kewanee"/>
    <x v="1"/>
    <n v="61443"/>
    <d v="2020-09-30T00:00:00"/>
    <x v="1"/>
    <n v="33"/>
    <n v="159654"/>
    <n v="23551"/>
    <n v="159654"/>
    <n v="136450"/>
    <n v="132100"/>
    <x v="0"/>
    <n v="0.08"/>
    <n v="10568"/>
    <n v="0.85466070377190673"/>
    <n v="4838"/>
  </r>
  <r>
    <s v="UNION FEDERAL SAVINGS AND LOAN ASSOCIATION"/>
    <s v="Kewanee"/>
    <x v="1"/>
    <n v="61443"/>
    <d v="2021-09-30T00:00:00"/>
    <x v="2"/>
    <n v="32"/>
    <n v="164399"/>
    <n v="27885"/>
    <n v="164399"/>
    <n v="140335"/>
    <n v="139832"/>
    <x v="0"/>
    <n v="0.08"/>
    <n v="11186.56"/>
    <n v="0.85362441377380638"/>
    <n v="5137.46875"/>
  </r>
  <r>
    <s v="UNION NATIONAL BANK AND TRUST COMPANY OF ELGIN"/>
    <s v="Elgin"/>
    <x v="1"/>
    <n v="60120"/>
    <d v="2019-09-30T00:00:00"/>
    <x v="0"/>
    <n v="26"/>
    <n v="314233"/>
    <n v="40774"/>
    <n v="314233"/>
    <n v="275641"/>
    <n v="274956"/>
    <x v="0"/>
    <n v="0.08"/>
    <n v="21996.48"/>
    <n v="0.87718667358297819"/>
    <n v="12085.884615384615"/>
  </r>
  <r>
    <s v="UNION NATIONAL BANK AND TRUST COMPANY OF ELGIN"/>
    <s v="Elgin"/>
    <x v="1"/>
    <n v="60120"/>
    <d v="2020-09-30T00:00:00"/>
    <x v="1"/>
    <n v="25"/>
    <n v="444264"/>
    <n v="42077"/>
    <n v="444264"/>
    <n v="404832"/>
    <n v="364573"/>
    <x v="0"/>
    <n v="0.08"/>
    <n v="29165.84"/>
    <n v="0.91124196423748038"/>
    <n v="17770.560000000001"/>
  </r>
  <r>
    <s v="UNION NATIONAL BANK AND TRUST COMPANY OF ELGIN"/>
    <s v="Elgin"/>
    <x v="1"/>
    <n v="60120"/>
    <d v="2021-09-30T00:00:00"/>
    <x v="2"/>
    <n v="25"/>
    <n v="433389"/>
    <n v="63363"/>
    <n v="433389"/>
    <n v="391676"/>
    <n v="336873"/>
    <x v="0"/>
    <n v="0.08"/>
    <n v="26949.84"/>
    <n v="0.9037515949874132"/>
    <n v="17335.560000000001"/>
  </r>
  <r>
    <s v="UNION SAVINGS BANK"/>
    <s v="Freeport"/>
    <x v="1"/>
    <n v="61032"/>
    <d v="2019-09-30T00:00:00"/>
    <x v="0"/>
    <n v="53"/>
    <n v="151825"/>
    <n v="6080"/>
    <n v="151825"/>
    <n v="135758"/>
    <n v="134557"/>
    <x v="0"/>
    <n v="0.08"/>
    <n v="10764.56"/>
    <n v="0.89417421373291617"/>
    <n v="2864.6226415094338"/>
  </r>
  <r>
    <s v="UNION SAVINGS BANK"/>
    <s v="Freeport"/>
    <x v="1"/>
    <n v="61032"/>
    <d v="2020-09-30T00:00:00"/>
    <x v="1"/>
    <n v="54"/>
    <n v="170728"/>
    <n v="12915"/>
    <n v="170728"/>
    <n v="153905"/>
    <n v="152499"/>
    <x v="0"/>
    <n v="0.08"/>
    <n v="12199.92"/>
    <n v="0.90146314605688582"/>
    <n v="3161.6296296296296"/>
  </r>
  <r>
    <s v="UNION SAVINGS BANK"/>
    <s v="Freeport"/>
    <x v="1"/>
    <n v="61032"/>
    <d v="2021-09-30T00:00:00"/>
    <x v="2"/>
    <n v="50"/>
    <n v="186847"/>
    <n v="14697"/>
    <n v="186847"/>
    <n v="170533"/>
    <n v="169352"/>
    <x v="0"/>
    <n v="0.08"/>
    <n v="13548.16"/>
    <n v="0.91268792113333364"/>
    <n v="3736.94"/>
  </r>
  <r>
    <s v="UNITED BUSINESS BANK"/>
    <s v="Walnut Creek"/>
    <x v="0"/>
    <n v="94596"/>
    <d v="2019-09-30T00:00:00"/>
    <x v="0"/>
    <n v="256"/>
    <n v="1769856"/>
    <n v="332216"/>
    <n v="1769856"/>
    <n v="1525269"/>
    <n v="1501903"/>
    <x v="1"/>
    <n v="0.08"/>
    <n v="120152.24"/>
    <n v="0.86180401117379046"/>
    <n v="6913.5"/>
  </r>
  <r>
    <s v="UNITED BUSINESS BANK"/>
    <s v="Walnut Creek"/>
    <x v="0"/>
    <n v="94596"/>
    <d v="2020-09-30T00:00:00"/>
    <x v="1"/>
    <n v="312"/>
    <n v="2270142"/>
    <n v="328549"/>
    <n v="2270142"/>
    <n v="2000431"/>
    <n v="1964578"/>
    <x v="1"/>
    <n v="0.08"/>
    <n v="157166.24"/>
    <n v="0.88119201353924115"/>
    <n v="7276.0961538461543"/>
  </r>
  <r>
    <s v="UNITED BUSINESS BANK"/>
    <s v="Walnut Creek"/>
    <x v="0"/>
    <n v="94596"/>
    <d v="2021-09-30T00:00:00"/>
    <x v="2"/>
    <n v="305"/>
    <n v="2347016"/>
    <n v="448133"/>
    <n v="2347016"/>
    <n v="2053898"/>
    <n v="2027200"/>
    <x v="1"/>
    <n v="0.08"/>
    <n v="162176"/>
    <n v="0.8751103528906492"/>
    <n v="7695.1344262295079"/>
  </r>
  <r>
    <s v="UNITED COMMUNITY BANK"/>
    <s v="Chatham"/>
    <x v="1"/>
    <n v="62629"/>
    <d v="2019-09-30T00:00:00"/>
    <x v="0"/>
    <n v="602"/>
    <n v="2601097"/>
    <n v="279859"/>
    <n v="2601097"/>
    <n v="2351051"/>
    <n v="2144619"/>
    <x v="1"/>
    <n v="7.4999999999999997E-2"/>
    <n v="160846.42499999999"/>
    <n v="0.90386902141673298"/>
    <n v="4320.759136212625"/>
  </r>
  <r>
    <s v="UNITED COMMUNITY BANK"/>
    <s v="Chatham"/>
    <x v="1"/>
    <n v="62629"/>
    <d v="2020-09-30T00:00:00"/>
    <x v="1"/>
    <n v="590"/>
    <n v="2999572"/>
    <n v="294397"/>
    <n v="2999572"/>
    <n v="2700433"/>
    <n v="2491516"/>
    <x v="1"/>
    <n v="7.4999999999999997E-2"/>
    <n v="186863.69999999998"/>
    <n v="0.90027277224884084"/>
    <n v="5084.0203389830513"/>
  </r>
  <r>
    <s v="UNITED COMMUNITY BANK"/>
    <s v="Chatham"/>
    <x v="1"/>
    <n v="62629"/>
    <d v="2021-09-30T00:00:00"/>
    <x v="2"/>
    <n v="564"/>
    <n v="3437415"/>
    <n v="614292"/>
    <n v="3437415"/>
    <n v="3116448"/>
    <n v="2903164"/>
    <x v="1"/>
    <n v="7.4999999999999997E-2"/>
    <n v="217737.3"/>
    <n v="0.90662547292078499"/>
    <n v="6094.7074468085102"/>
  </r>
  <r>
    <s v="UNITED ORIENT BANK"/>
    <s v="New York"/>
    <x v="2"/>
    <n v="10038"/>
    <d v="2019-09-30T00:00:00"/>
    <x v="0"/>
    <n v="33"/>
    <n v="86286"/>
    <n v="13126"/>
    <n v="86286"/>
    <n v="72524"/>
    <n v="67057"/>
    <x v="2"/>
    <n v="0.09"/>
    <n v="6035.13"/>
    <n v="0.84050715063857406"/>
    <n v="2614.7272727272725"/>
  </r>
  <r>
    <s v="UNITED ORIENT BANK"/>
    <s v="New York"/>
    <x v="2"/>
    <n v="10038"/>
    <d v="2020-09-30T00:00:00"/>
    <x v="1"/>
    <n v="33"/>
    <n v="83752"/>
    <n v="11671"/>
    <n v="83752"/>
    <n v="70198"/>
    <n v="67855"/>
    <x v="2"/>
    <n v="0.09"/>
    <n v="6106.95"/>
    <n v="0.8381650587448658"/>
    <n v="2537.939393939394"/>
  </r>
  <r>
    <s v="UNITED ORIENT BANK"/>
    <s v="New York"/>
    <x v="2"/>
    <n v="10038"/>
    <d v="2021-09-30T00:00:00"/>
    <x v="2"/>
    <n v="34"/>
    <n v="93645"/>
    <n v="14559"/>
    <n v="93645"/>
    <n v="80618"/>
    <n v="79334"/>
    <x v="2"/>
    <n v="0.09"/>
    <n v="7140.0599999999995"/>
    <n v="0.86088952960649257"/>
    <n v="2754.2647058823532"/>
  </r>
  <r>
    <s v="UNITED PACIFIC BANK"/>
    <s v="City Of Industry"/>
    <x v="0"/>
    <n v="91748"/>
    <d v="2019-09-30T00:00:00"/>
    <x v="0"/>
    <n v="29"/>
    <n v="143619"/>
    <n v="21606"/>
    <n v="143619"/>
    <n v="119070"/>
    <n v="104567"/>
    <x v="0"/>
    <n v="0.09"/>
    <n v="9411.0299999999988"/>
    <n v="0.8290685772773797"/>
    <n v="4952.3793103448279"/>
  </r>
  <r>
    <s v="UNITED PACIFIC BANK"/>
    <s v="City Of Industry"/>
    <x v="0"/>
    <n v="91748"/>
    <d v="2020-09-30T00:00:00"/>
    <x v="1"/>
    <n v="28"/>
    <n v="173334"/>
    <n v="34790"/>
    <n v="173334"/>
    <n v="148002"/>
    <n v="130399"/>
    <x v="0"/>
    <n v="0.09"/>
    <n v="11735.91"/>
    <n v="0.85385440825227599"/>
    <n v="6190.5"/>
  </r>
  <r>
    <s v="UNITED PACIFIC BANK"/>
    <s v="City Of Industry"/>
    <x v="0"/>
    <n v="91748"/>
    <d v="2021-09-30T00:00:00"/>
    <x v="2"/>
    <n v="28"/>
    <n v="175957"/>
    <n v="58013"/>
    <n v="175957"/>
    <n v="149207"/>
    <n v="138485"/>
    <x v="0"/>
    <n v="0.09"/>
    <n v="12463.65"/>
    <n v="0.84797422097444264"/>
    <n v="6284.1785714285716"/>
  </r>
  <r>
    <s v="UNITED SECURITY BANK"/>
    <s v="Fresno"/>
    <x v="0"/>
    <n v="93711"/>
    <d v="2019-09-30T00:00:00"/>
    <x v="0"/>
    <n v="116"/>
    <n v="956213"/>
    <n v="245943"/>
    <n v="956213"/>
    <n v="832673"/>
    <n v="822904"/>
    <x v="0"/>
    <n v="0.09"/>
    <n v="74061.36"/>
    <n v="0.87080284413619147"/>
    <n v="8243.2155172413786"/>
  </r>
  <r>
    <s v="UNITED SECURITY BANK"/>
    <s v="Fresno"/>
    <x v="0"/>
    <n v="93711"/>
    <d v="2020-09-30T00:00:00"/>
    <x v="1"/>
    <n v="121"/>
    <n v="1133063"/>
    <n v="323333"/>
    <n v="1133063"/>
    <n v="1006859"/>
    <n v="997702"/>
    <x v="1"/>
    <n v="0.08"/>
    <n v="79816.160000000003"/>
    <n v="0.88861696128105849"/>
    <n v="9364.1570247933887"/>
  </r>
  <r>
    <s v="UNITED SECURITY BANK"/>
    <s v="Fresno"/>
    <x v="0"/>
    <n v="93711"/>
    <d v="2021-09-30T00:00:00"/>
    <x v="2"/>
    <n v="115"/>
    <n v="1291469"/>
    <n v="259428"/>
    <n v="1291469"/>
    <n v="1163422"/>
    <n v="1153652"/>
    <x v="1"/>
    <n v="0.08"/>
    <n v="92292.160000000003"/>
    <n v="0.9008516658162139"/>
    <n v="11230.165217391304"/>
  </r>
  <r>
    <s v="UNITED TRUST BANK"/>
    <s v="Palos Heights"/>
    <x v="1"/>
    <n v="60463"/>
    <d v="2019-09-30T00:00:00"/>
    <x v="0"/>
    <n v="13"/>
    <n v="26262"/>
    <n v="4815"/>
    <n v="26262"/>
    <n v="23276"/>
    <n v="20225"/>
    <x v="2"/>
    <n v="0.09"/>
    <n v="1820.25"/>
    <n v="0.88629959637499045"/>
    <n v="2020.1538461538462"/>
  </r>
  <r>
    <s v="UNITED TRUST BANK"/>
    <s v="Palos Heights"/>
    <x v="1"/>
    <n v="60463"/>
    <d v="2020-09-30T00:00:00"/>
    <x v="1"/>
    <n v="13"/>
    <n v="34162"/>
    <n v="10248"/>
    <n v="34162"/>
    <n v="32288"/>
    <n v="30512"/>
    <x v="2"/>
    <n v="0.09"/>
    <n v="2746.08"/>
    <n v="0.94514372694807092"/>
    <n v="2627.8461538461538"/>
  </r>
  <r>
    <s v="UNITED TRUST BANK"/>
    <s v="Palos Heights"/>
    <x v="1"/>
    <n v="60463"/>
    <d v="2021-09-30T00:00:00"/>
    <x v="2"/>
    <n v="131"/>
    <n v="79722"/>
    <n v="30136"/>
    <n v="79722"/>
    <n v="72616"/>
    <n v="67568"/>
    <x v="2"/>
    <n v="0.09"/>
    <n v="6081.12"/>
    <n v="0.91086525676726626"/>
    <n v="608.56488549618325"/>
  </r>
  <r>
    <s v="UNIVERSAL BANK"/>
    <s v="West Covina"/>
    <x v="0"/>
    <n v="91792"/>
    <d v="2019-09-30T00:00:00"/>
    <x v="0"/>
    <n v="74"/>
    <n v="406499"/>
    <n v="48584"/>
    <n v="406499"/>
    <n v="348601"/>
    <n v="342826"/>
    <x v="0"/>
    <n v="0.09"/>
    <n v="30854.34"/>
    <n v="0.8575691453115506"/>
    <n v="5493.22972972973"/>
  </r>
  <r>
    <s v="UNIVERSAL BANK"/>
    <s v="West Covina"/>
    <x v="0"/>
    <n v="91792"/>
    <d v="2020-09-30T00:00:00"/>
    <x v="1"/>
    <n v="67"/>
    <n v="423819"/>
    <n v="73347"/>
    <n v="423819"/>
    <n v="363056"/>
    <n v="307711"/>
    <x v="0"/>
    <n v="0.09"/>
    <n v="27693.989999999998"/>
    <n v="0.85662983490593858"/>
    <n v="6325.6567164179105"/>
  </r>
  <r>
    <s v="UNIVERSAL BANK"/>
    <s v="West Covina"/>
    <x v="0"/>
    <n v="91792"/>
    <d v="2021-09-30T00:00:00"/>
    <x v="2"/>
    <n v="58"/>
    <n v="383865"/>
    <n v="64670"/>
    <n v="383865"/>
    <n v="321787"/>
    <n v="280256"/>
    <x v="0"/>
    <n v="0.09"/>
    <n v="25223.040000000001"/>
    <n v="0.8382816875724538"/>
    <n v="6618.3620689655172"/>
  </r>
  <r>
    <s v="US METRO BANK"/>
    <s v="Garden Grove"/>
    <x v="0"/>
    <n v="92844"/>
    <d v="2019-09-30T00:00:00"/>
    <x v="0"/>
    <n v="80"/>
    <n v="507248"/>
    <n v="115398"/>
    <n v="507248"/>
    <n v="450738"/>
    <n v="442098"/>
    <x v="0"/>
    <n v="0.09"/>
    <n v="39788.82"/>
    <n v="0.8885949279248021"/>
    <n v="6340.6"/>
  </r>
  <r>
    <s v="US METRO BANK"/>
    <s v="Garden Grove"/>
    <x v="0"/>
    <n v="92844"/>
    <d v="2020-09-30T00:00:00"/>
    <x v="1"/>
    <n v="89"/>
    <n v="733656"/>
    <n v="140026"/>
    <n v="733656"/>
    <n v="662755"/>
    <n v="641813"/>
    <x v="0"/>
    <n v="0.09"/>
    <n v="57763.17"/>
    <n v="0.90335934007218643"/>
    <n v="8243.3258426966295"/>
  </r>
  <r>
    <s v="US METRO BANK"/>
    <s v="Garden Grove"/>
    <x v="0"/>
    <n v="92844"/>
    <d v="2021-09-30T00:00:00"/>
    <x v="2"/>
    <n v="101"/>
    <n v="991473"/>
    <n v="206585"/>
    <n v="991473"/>
    <n v="893830"/>
    <n v="886629"/>
    <x v="0"/>
    <n v="0.09"/>
    <n v="79796.61"/>
    <n v="0.90151723748402635"/>
    <n v="9816.5643564356433"/>
  </r>
  <r>
    <s v="USNY BANK"/>
    <s v="Geneva"/>
    <x v="2"/>
    <n v="14456"/>
    <d v="2019-09-30T00:00:00"/>
    <x v="0"/>
    <n v="49"/>
    <n v="435907"/>
    <n v="25651"/>
    <n v="435907"/>
    <n v="390637"/>
    <n v="387097"/>
    <x v="0"/>
    <n v="8.5000000000000006E-2"/>
    <n v="32903.245000000003"/>
    <n v="0.89614757276208001"/>
    <n v="8896.0612244897966"/>
  </r>
  <r>
    <s v="VALLEY REPUBLIC BANK"/>
    <s v="Bakersfield"/>
    <x v="0"/>
    <n v="93309"/>
    <d v="2019-09-30T00:00:00"/>
    <x v="0"/>
    <n v="106"/>
    <n v="915006"/>
    <n v="147275"/>
    <n v="915006"/>
    <n v="821768"/>
    <n v="808567"/>
    <x v="0"/>
    <n v="0.09"/>
    <n v="72771.03"/>
    <n v="0.89810121463684389"/>
    <n v="8632.132075471698"/>
  </r>
  <r>
    <s v="VALLEY REPUBLIC BANK"/>
    <s v="Bakersfield"/>
    <x v="0"/>
    <n v="93309"/>
    <d v="2020-09-30T00:00:00"/>
    <x v="1"/>
    <n v="110"/>
    <n v="1193970"/>
    <n v="87548"/>
    <n v="1193970"/>
    <n v="1067626"/>
    <n v="1045141"/>
    <x v="1"/>
    <n v="0.08"/>
    <n v="83611.28"/>
    <n v="0.89418159585249213"/>
    <n v="10854.272727272728"/>
  </r>
  <r>
    <s v="VALLEY REPUBLIC BANK"/>
    <s v="Bakersfield"/>
    <x v="0"/>
    <n v="93309"/>
    <d v="2021-09-30T00:00:00"/>
    <x v="2"/>
    <n v="122"/>
    <n v="1410288"/>
    <n v="258658"/>
    <n v="1410288"/>
    <n v="1266787"/>
    <n v="1254908"/>
    <x v="1"/>
    <n v="0.08"/>
    <n v="100392.64"/>
    <n v="0.89824702472119167"/>
    <n v="11559.737704918032"/>
  </r>
  <r>
    <s v="VERMILION VALLEY BANK"/>
    <s v="Piper City"/>
    <x v="1"/>
    <n v="60959"/>
    <d v="2019-09-30T00:00:00"/>
    <x v="0"/>
    <n v="21"/>
    <n v="130693"/>
    <n v="9219"/>
    <n v="130692"/>
    <n v="108459"/>
    <n v="108169"/>
    <x v="0"/>
    <n v="0.08"/>
    <n v="8653.52"/>
    <n v="0.82987612190400406"/>
    <n v="6223.4761904761908"/>
  </r>
  <r>
    <s v="VERMILION VALLEY BANK"/>
    <s v="Piper City"/>
    <x v="1"/>
    <n v="60959"/>
    <d v="2020-09-30T00:00:00"/>
    <x v="1"/>
    <n v="19"/>
    <n v="147105"/>
    <n v="6730"/>
    <n v="147106"/>
    <n v="122840"/>
    <n v="118558"/>
    <x v="0"/>
    <n v="0.08"/>
    <n v="9484.64"/>
    <n v="0.8350497943645695"/>
    <n v="7742.3684210526317"/>
  </r>
  <r>
    <s v="VERMILION VALLEY BANK"/>
    <s v="Piper City"/>
    <x v="1"/>
    <n v="60959"/>
    <d v="2021-09-30T00:00:00"/>
    <x v="2"/>
    <n v="19"/>
    <n v="163730"/>
    <n v="4692"/>
    <n v="163730"/>
    <n v="138222"/>
    <n v="133218"/>
    <x v="0"/>
    <n v="0.08"/>
    <n v="10657.44"/>
    <n v="0.84420692603676784"/>
    <n v="8617.3684210526317"/>
  </r>
  <r>
    <s v="VERMONT STATE BANK"/>
    <s v="Vermont"/>
    <x v="1"/>
    <n v="61484"/>
    <d v="2019-09-30T00:00:00"/>
    <x v="0"/>
    <n v="10"/>
    <n v="29932"/>
    <n v="2147"/>
    <n v="29932"/>
    <n v="25849"/>
    <n v="25725"/>
    <x v="2"/>
    <n v="0.09"/>
    <n v="2315.25"/>
    <n v="0.86359080582654013"/>
    <n v="2993.2"/>
  </r>
  <r>
    <s v="VERMONT STATE BANK"/>
    <s v="Vermont"/>
    <x v="1"/>
    <n v="61484"/>
    <d v="2020-09-30T00:00:00"/>
    <x v="1"/>
    <n v="7"/>
    <n v="29537"/>
    <n v="2889"/>
    <n v="29537"/>
    <n v="25624"/>
    <n v="25496"/>
    <x v="2"/>
    <n v="0.09"/>
    <n v="2294.64"/>
    <n v="0.86752209093679111"/>
    <n v="4219.5714285714284"/>
  </r>
  <r>
    <s v="VERMONT STATE BANK"/>
    <s v="Vermont"/>
    <x v="1"/>
    <n v="61484"/>
    <d v="2021-09-30T00:00:00"/>
    <x v="2"/>
    <n v="9"/>
    <n v="28022"/>
    <n v="3151"/>
    <n v="28022"/>
    <n v="24546"/>
    <n v="24436"/>
    <x v="2"/>
    <n v="0.09"/>
    <n v="2199.2399999999998"/>
    <n v="0.87595460709442585"/>
    <n v="3113.5555555555557"/>
  </r>
  <r>
    <s v="VICTORY STATE BANK"/>
    <s v="Staten Island"/>
    <x v="2"/>
    <n v="10308"/>
    <d v="2019-09-30T00:00:00"/>
    <x v="0"/>
    <n v="62"/>
    <n v="378014"/>
    <n v="40759"/>
    <n v="378014"/>
    <n v="340922"/>
    <n v="328554"/>
    <x v="0"/>
    <n v="8.5000000000000006E-2"/>
    <n v="27927.090000000004"/>
    <n v="0.90187665007116136"/>
    <n v="6097"/>
  </r>
  <r>
    <s v="VILLA GROVE STATE BANK"/>
    <s v="Villa Grove"/>
    <x v="1"/>
    <n v="61956"/>
    <d v="2019-09-30T00:00:00"/>
    <x v="0"/>
    <n v="18"/>
    <n v="72229"/>
    <n v="9276"/>
    <n v="72230"/>
    <n v="63594"/>
    <n v="63063"/>
    <x v="2"/>
    <n v="0.09"/>
    <n v="5675.67"/>
    <n v="0.88044968087610243"/>
    <n v="4012.7222222222222"/>
  </r>
  <r>
    <s v="VILLA GROVE STATE BANK"/>
    <s v="Villa Grove"/>
    <x v="1"/>
    <n v="61956"/>
    <d v="2020-09-30T00:00:00"/>
    <x v="1"/>
    <n v="18"/>
    <n v="73805"/>
    <n v="14649"/>
    <n v="73805"/>
    <n v="64967"/>
    <n v="64401"/>
    <x v="2"/>
    <n v="0.09"/>
    <n v="5796.09"/>
    <n v="0.88025201544610798"/>
    <n v="4100.2777777777774"/>
  </r>
  <r>
    <s v="VILLA GROVE STATE BANK"/>
    <s v="Villa Grove"/>
    <x v="1"/>
    <n v="61956"/>
    <d v="2021-09-30T00:00:00"/>
    <x v="2"/>
    <n v="18"/>
    <n v="79022"/>
    <n v="15166"/>
    <n v="79022"/>
    <n v="69963"/>
    <n v="69119"/>
    <x v="2"/>
    <n v="0.09"/>
    <n v="6220.71"/>
    <n v="0.88536103869808402"/>
    <n v="4390.1111111111113"/>
  </r>
  <r>
    <s v="VILLAGE BANK AND TRUST"/>
    <s v="Arlington Height"/>
    <x v="1"/>
    <n v="60004"/>
    <d v="2019-09-30T00:00:00"/>
    <x v="0"/>
    <n v="106"/>
    <n v="1754822"/>
    <n v="153020"/>
    <n v="1754822"/>
    <n v="1565867"/>
    <n v="1516081"/>
    <x v="1"/>
    <n v="7.4999999999999997E-2"/>
    <n v="113706.075"/>
    <n v="0.89232241218767483"/>
    <n v="16554.924528301886"/>
  </r>
  <r>
    <s v="VILLAGE BANK AND TRUST, NATIONAL ASSOCIATION"/>
    <s v="Arlington Height"/>
    <x v="1"/>
    <n v="60004"/>
    <d v="2020-09-30T00:00:00"/>
    <x v="1"/>
    <n v="104"/>
    <n v="2087003"/>
    <n v="88250"/>
    <n v="2087003"/>
    <n v="1882377"/>
    <n v="1776416"/>
    <x v="1"/>
    <n v="7.4999999999999997E-2"/>
    <n v="133231.19999999998"/>
    <n v="0.90195222527231633"/>
    <n v="20067.336538461539"/>
  </r>
  <r>
    <s v="VILLAGE BANK AND TRUST, NATIONAL ASSOCIATION"/>
    <s v="Arlington Height"/>
    <x v="1"/>
    <n v="60004"/>
    <d v="2021-09-30T00:00:00"/>
    <x v="2"/>
    <n v="89"/>
    <n v="2279843"/>
    <n v="279061"/>
    <n v="2279843"/>
    <n v="2046818"/>
    <n v="1949434"/>
    <x v="1"/>
    <n v="7.4999999999999997E-2"/>
    <n v="146207.54999999999"/>
    <n v="0.8977890144189753"/>
    <n v="25616.213483146068"/>
  </r>
  <r>
    <s v="WABASH SAVINGS BANK"/>
    <s v="Mount Carmel"/>
    <x v="1"/>
    <n v="62863"/>
    <d v="2019-09-30T00:00:00"/>
    <x v="0"/>
    <n v="3"/>
    <n v="9072"/>
    <n v="3964"/>
    <n v="9072"/>
    <n v="7910"/>
    <n v="7870"/>
    <x v="2"/>
    <n v="0.09"/>
    <n v="708.3"/>
    <n v="0.87191358024691357"/>
    <n v="3024"/>
  </r>
  <r>
    <s v="WABASH SAVINGS BANK"/>
    <s v="Mount Carmel"/>
    <x v="1"/>
    <n v="62863"/>
    <d v="2020-09-30T00:00:00"/>
    <x v="1"/>
    <n v="3"/>
    <n v="9267"/>
    <n v="4463"/>
    <n v="9267"/>
    <n v="8200"/>
    <n v="8147"/>
    <x v="2"/>
    <n v="0.09"/>
    <n v="733.23"/>
    <n v="0.88486025682529401"/>
    <n v="3089"/>
  </r>
  <r>
    <s v="WABASH SAVINGS BANK"/>
    <s v="Mount Carmel"/>
    <x v="1"/>
    <n v="62863"/>
    <d v="2021-09-30T00:00:00"/>
    <x v="2"/>
    <n v="2"/>
    <n v="10168"/>
    <n v="5266"/>
    <n v="10168"/>
    <n v="9210"/>
    <n v="9158"/>
    <x v="2"/>
    <n v="0.09"/>
    <n v="824.21999999999991"/>
    <n v="0.90578284815106214"/>
    <n v="5084"/>
  </r>
  <r>
    <s v="WAKEFIELD CO-OPERATIVE BANK"/>
    <s v="Wakefield"/>
    <x v="3"/>
    <n v="1880"/>
    <d v="2019-09-30T00:00:00"/>
    <x v="0"/>
    <n v="39"/>
    <n v="249145"/>
    <n v="4196"/>
    <n v="249145"/>
    <n v="230086"/>
    <n v="213829"/>
    <x v="0"/>
    <n v="8.5000000000000006E-2"/>
    <n v="18175.465"/>
    <n v="0.92350237813321556"/>
    <n v="6388.333333333333"/>
  </r>
  <r>
    <s v="WAKEFIELD CO-OPERATIVE BANK"/>
    <s v="Wakefield"/>
    <x v="3"/>
    <n v="1880"/>
    <d v="2020-09-30T00:00:00"/>
    <x v="1"/>
    <n v="39"/>
    <n v="276088"/>
    <n v="20748"/>
    <n v="276088"/>
    <n v="255017"/>
    <n v="244284"/>
    <x v="0"/>
    <n v="8.5000000000000006E-2"/>
    <n v="20764.140000000003"/>
    <n v="0.92368013097273338"/>
    <n v="7079.1794871794873"/>
  </r>
  <r>
    <s v="WAKEFIELD CO-OPERATIVE BANK"/>
    <s v="Wakefield"/>
    <x v="3"/>
    <n v="1880"/>
    <d v="2021-09-30T00:00:00"/>
    <x v="2"/>
    <n v="42"/>
    <n v="263738"/>
    <n v="18742"/>
    <n v="263738"/>
    <n v="241440"/>
    <n v="240850"/>
    <x v="0"/>
    <n v="8.5000000000000006E-2"/>
    <n v="20472.25"/>
    <n v="0.9154539732613427"/>
    <n v="6279.4761904761908"/>
  </r>
  <r>
    <s v="WALDEN SAVINGS BANK"/>
    <s v="Montgomery"/>
    <x v="2"/>
    <n v="12549"/>
    <d v="2019-09-30T00:00:00"/>
    <x v="0"/>
    <n v="145"/>
    <n v="603357"/>
    <n v="39339"/>
    <n v="603357"/>
    <n v="543864"/>
    <n v="537564"/>
    <x v="0"/>
    <n v="8.5000000000000006E-2"/>
    <n v="45692.94"/>
    <n v="0.90139668554437924"/>
    <n v="4161.0827586206897"/>
  </r>
  <r>
    <s v="WALDEN SAVINGS BANK"/>
    <s v="Montgomery"/>
    <x v="2"/>
    <n v="12549"/>
    <d v="2020-09-30T00:00:00"/>
    <x v="1"/>
    <n v="137"/>
    <n v="715447"/>
    <n v="85506"/>
    <n v="715447"/>
    <n v="650710"/>
    <n v="643599"/>
    <x v="0"/>
    <n v="8.5000000000000006E-2"/>
    <n v="54705.915000000001"/>
    <n v="0.90951531000898744"/>
    <n v="5222.2408759124091"/>
  </r>
  <r>
    <s v="WALDEN SAVINGS BANK"/>
    <s v="Montgomery"/>
    <x v="2"/>
    <n v="12549"/>
    <d v="2021-09-30T00:00:00"/>
    <x v="2"/>
    <n v="147"/>
    <n v="812912"/>
    <n v="56801"/>
    <n v="812912"/>
    <n v="744862"/>
    <n v="737939"/>
    <x v="0"/>
    <n v="8.5000000000000006E-2"/>
    <n v="62724.815000000002"/>
    <n v="0.91628860196429629"/>
    <n v="5530.0136054421773"/>
  </r>
  <r>
    <s v="WALLKILL VALLEY FEDERAL SAVINGS AND LOAN ASSOCIATION"/>
    <s v="Wallkill"/>
    <x v="2"/>
    <n v="12589"/>
    <d v="2019-09-30T00:00:00"/>
    <x v="0"/>
    <n v="74"/>
    <n v="329550"/>
    <n v="6680"/>
    <n v="329550"/>
    <n v="291653"/>
    <n v="267539"/>
    <x v="0"/>
    <n v="8.5000000000000006E-2"/>
    <n v="22740.815000000002"/>
    <n v="0.88500379305113031"/>
    <n v="4453.3783783783783"/>
  </r>
  <r>
    <s v="WALLKILL VALLEY FEDERAL SAVINGS AND LOAN ASSOCIATION"/>
    <s v="Wallkill"/>
    <x v="2"/>
    <n v="12589"/>
    <d v="2020-09-30T00:00:00"/>
    <x v="1"/>
    <n v="72"/>
    <n v="351483"/>
    <n v="6473"/>
    <n v="351483"/>
    <n v="311855"/>
    <n v="290762"/>
    <x v="0"/>
    <n v="8.5000000000000006E-2"/>
    <n v="24714.77"/>
    <n v="0.88725486012125765"/>
    <n v="4881.708333333333"/>
  </r>
  <r>
    <s v="WALLKILL VALLEY FEDERAL SAVINGS AND LOAN ASSOCIATION"/>
    <s v="Wallkill"/>
    <x v="2"/>
    <n v="12589"/>
    <d v="2021-09-30T00:00:00"/>
    <x v="2"/>
    <n v="72"/>
    <n v="384335"/>
    <n v="7259"/>
    <n v="384335"/>
    <n v="342604"/>
    <n v="327514"/>
    <x v="0"/>
    <n v="8.5000000000000006E-2"/>
    <n v="27838.690000000002"/>
    <n v="0.89142024535886666"/>
    <n v="5337.9861111111113"/>
  </r>
  <r>
    <s v="WALPOLE CO-OPERATIVE BANK"/>
    <s v="Walpole"/>
    <x v="3"/>
    <n v="2081"/>
    <d v="2019-09-30T00:00:00"/>
    <x v="0"/>
    <n v="46"/>
    <n v="510281"/>
    <n v="5349"/>
    <n v="510281"/>
    <n v="415384"/>
    <n v="366630"/>
    <x v="0"/>
    <n v="8.5000000000000006E-2"/>
    <n v="31163.550000000003"/>
    <n v="0.81402991684973569"/>
    <n v="11093.065217391304"/>
  </r>
  <r>
    <s v="WALPOLE CO-OPERATIVE BANK"/>
    <s v="Walpole"/>
    <x v="3"/>
    <n v="2081"/>
    <d v="2020-09-30T00:00:00"/>
    <x v="1"/>
    <n v="41"/>
    <n v="562093"/>
    <n v="9369"/>
    <n v="562093"/>
    <n v="463242"/>
    <n v="420418"/>
    <x v="0"/>
    <n v="8.5000000000000006E-2"/>
    <n v="35735.530000000006"/>
    <n v="0.82413764270325374"/>
    <n v="13709.585365853658"/>
  </r>
  <r>
    <s v="WALPOLE CO-OPERATIVE BANK"/>
    <s v="Walpole"/>
    <x v="3"/>
    <n v="2081"/>
    <d v="2021-09-30T00:00:00"/>
    <x v="2"/>
    <n v="36"/>
    <n v="571231"/>
    <n v="47576"/>
    <n v="571231"/>
    <n v="467607"/>
    <n v="455657"/>
    <x v="0"/>
    <n v="8.5000000000000006E-2"/>
    <n v="38730.845000000001"/>
    <n v="0.81859527931782416"/>
    <n v="15867.527777777777"/>
  </r>
  <r>
    <s v="WARREN-BOYNTON STATE BANK"/>
    <s v="New Berlin"/>
    <x v="1"/>
    <n v="62670"/>
    <d v="2019-09-30T00:00:00"/>
    <x v="0"/>
    <n v="34"/>
    <n v="174206"/>
    <n v="8022"/>
    <n v="174205"/>
    <n v="149512"/>
    <n v="141894"/>
    <x v="0"/>
    <n v="0.08"/>
    <n v="11351.52"/>
    <n v="0.85824828077104121"/>
    <n v="5123.7058823529414"/>
  </r>
  <r>
    <s v="WARREN-BOYNTON STATE BANK"/>
    <s v="New Berlin"/>
    <x v="1"/>
    <n v="62670"/>
    <d v="2020-09-30T00:00:00"/>
    <x v="1"/>
    <n v="34"/>
    <n v="183086"/>
    <n v="7661"/>
    <n v="183085"/>
    <n v="156486"/>
    <n v="146492"/>
    <x v="0"/>
    <n v="0.08"/>
    <n v="11719.36"/>
    <n v="0.85471308565373649"/>
    <n v="5384.8823529411766"/>
  </r>
  <r>
    <s v="WARREN-BOYNTON STATE BANK"/>
    <s v="New Berlin"/>
    <x v="1"/>
    <n v="62670"/>
    <d v="2021-09-30T00:00:00"/>
    <x v="2"/>
    <n v="33"/>
    <n v="197992"/>
    <n v="12797"/>
    <n v="197992"/>
    <n v="170009"/>
    <n v="161477"/>
    <x v="0"/>
    <n v="0.08"/>
    <n v="12918.16"/>
    <n v="0.85866600670734172"/>
    <n v="5999.757575757576"/>
  </r>
  <r>
    <s v="WASHINGTON SAVINGS BANK"/>
    <s v="Effingham"/>
    <x v="1"/>
    <n v="62401"/>
    <d v="2019-09-30T00:00:00"/>
    <x v="0"/>
    <n v="61"/>
    <n v="398968"/>
    <n v="41457"/>
    <n v="398968"/>
    <n v="333435"/>
    <n v="322945"/>
    <x v="0"/>
    <n v="0.08"/>
    <n v="25835.600000000002"/>
    <n v="0.83574371879448983"/>
    <n v="6540.4590163934427"/>
  </r>
  <r>
    <s v="WASHINGTON SAVINGS BANK"/>
    <s v="Lowell"/>
    <x v="3"/>
    <n v="1852"/>
    <d v="2019-09-30T00:00:00"/>
    <x v="0"/>
    <n v="42"/>
    <n v="252085"/>
    <n v="9923"/>
    <n v="252085"/>
    <n v="229765"/>
    <n v="197211"/>
    <x v="0"/>
    <n v="8.5000000000000006E-2"/>
    <n v="16762.935000000001"/>
    <n v="0.9114584366384354"/>
    <n v="6002.0238095238092"/>
  </r>
  <r>
    <s v="WASHINGTON SAVINGS BANK"/>
    <s v="Effingham"/>
    <x v="1"/>
    <n v="62401"/>
    <d v="2020-09-30T00:00:00"/>
    <x v="1"/>
    <n v="62"/>
    <n v="433084"/>
    <n v="20487"/>
    <n v="433084"/>
    <n v="362696"/>
    <n v="349562"/>
    <x v="0"/>
    <n v="0.08"/>
    <n v="27964.959999999999"/>
    <n v="0.83747263810253902"/>
    <n v="6985.2258064516127"/>
  </r>
  <r>
    <s v="WASHINGTON SAVINGS BANK"/>
    <s v="Lowell"/>
    <x v="3"/>
    <n v="1852"/>
    <d v="2020-09-30T00:00:00"/>
    <x v="1"/>
    <n v="45"/>
    <n v="256281"/>
    <n v="16816"/>
    <n v="256281"/>
    <n v="233231"/>
    <n v="219334"/>
    <x v="0"/>
    <n v="8.5000000000000006E-2"/>
    <n v="18643.390000000003"/>
    <n v="0.91005966107514802"/>
    <n v="5695.1333333333332"/>
  </r>
  <r>
    <s v="WASHINGTON SAVINGS BANK"/>
    <s v="Effingham"/>
    <x v="1"/>
    <n v="62401"/>
    <d v="2021-09-30T00:00:00"/>
    <x v="2"/>
    <n v="75"/>
    <n v="571922"/>
    <n v="38702"/>
    <n v="571922"/>
    <n v="499747"/>
    <n v="481822"/>
    <x v="0"/>
    <n v="0.08"/>
    <n v="38545.760000000002"/>
    <n v="0.87380272135011416"/>
    <n v="7625.626666666667"/>
  </r>
  <r>
    <s v="WASHINGTON SAVINGS BANK"/>
    <s v="Lowell"/>
    <x v="3"/>
    <n v="1852"/>
    <d v="2021-09-30T00:00:00"/>
    <x v="2"/>
    <n v="38"/>
    <n v="269430"/>
    <n v="16361"/>
    <n v="269430"/>
    <n v="244490"/>
    <n v="232866"/>
    <x v="0"/>
    <n v="8.5000000000000006E-2"/>
    <n v="19793.61"/>
    <n v="0.90743421296811788"/>
    <n v="7090.2631578947367"/>
  </r>
  <r>
    <s v="WASHINGTON STATE BANK"/>
    <s v="Washington"/>
    <x v="1"/>
    <n v="61571"/>
    <d v="2019-09-30T00:00:00"/>
    <x v="0"/>
    <n v="12"/>
    <n v="62278"/>
    <n v="4788"/>
    <n v="62278"/>
    <n v="55584"/>
    <n v="55393"/>
    <x v="2"/>
    <n v="0.09"/>
    <n v="4985.37"/>
    <n v="0.89251421047560942"/>
    <n v="5189.833333333333"/>
  </r>
  <r>
    <s v="WASHINGTON STATE BANK"/>
    <s v="Washington"/>
    <x v="1"/>
    <n v="61571"/>
    <d v="2020-09-30T00:00:00"/>
    <x v="1"/>
    <n v="11"/>
    <n v="64808"/>
    <n v="4272"/>
    <n v="64808"/>
    <n v="57575"/>
    <n v="57306"/>
    <x v="2"/>
    <n v="0.09"/>
    <n v="5157.54"/>
    <n v="0.88839340822120727"/>
    <n v="5891.636363636364"/>
  </r>
  <r>
    <s v="WASHINGTON STATE BANK"/>
    <s v="Washington"/>
    <x v="1"/>
    <n v="61571"/>
    <d v="2021-09-30T00:00:00"/>
    <x v="2"/>
    <n v="10"/>
    <n v="76352"/>
    <n v="4169"/>
    <n v="76352"/>
    <n v="69162"/>
    <n v="68948"/>
    <x v="2"/>
    <n v="0.09"/>
    <n v="6205.32"/>
    <n v="0.9058308885163453"/>
    <n v="7635.2"/>
  </r>
  <r>
    <s v="WATERMAN BANK"/>
    <s v="Waterman"/>
    <x v="1"/>
    <n v="60556"/>
    <d v="2021-09-30T00:00:00"/>
    <x v="2"/>
    <n v="41"/>
    <n v="81301"/>
    <n v="1443"/>
    <n v="81301"/>
    <n v="65679"/>
    <n v="58127"/>
    <x v="2"/>
    <n v="0.09"/>
    <n v="5231.4299999999994"/>
    <n v="0.80784984194536358"/>
    <n v="1982.9512195121952"/>
  </r>
  <r>
    <s v="WATERMAN STATE BANK"/>
    <s v="Waterman"/>
    <x v="1"/>
    <n v="60556"/>
    <d v="2019-09-30T00:00:00"/>
    <x v="0"/>
    <n v="4"/>
    <n v="33551"/>
    <n v="1037"/>
    <n v="33551"/>
    <n v="29872"/>
    <n v="26333"/>
    <x v="2"/>
    <n v="0.09"/>
    <n v="2369.9699999999998"/>
    <n v="0.89034604035647225"/>
    <n v="8387.75"/>
  </r>
  <r>
    <s v="WATERMAN STATE BANK"/>
    <s v="Waterman"/>
    <x v="1"/>
    <n v="60556"/>
    <d v="2020-09-30T00:00:00"/>
    <x v="1"/>
    <n v="26"/>
    <n v="62332"/>
    <n v="352"/>
    <n v="62332"/>
    <n v="56021"/>
    <n v="37820"/>
    <x v="2"/>
    <n v="0.09"/>
    <n v="3403.7999999999997"/>
    <n v="0.89875184495925042"/>
    <n v="2397.3846153846152"/>
  </r>
  <r>
    <s v="WATERTOWN SAVINGS BANK"/>
    <s v="Watertown"/>
    <x v="2"/>
    <n v="13601"/>
    <d v="2019-09-30T00:00:00"/>
    <x v="0"/>
    <n v="119"/>
    <n v="690979"/>
    <n v="76632"/>
    <n v="690979"/>
    <n v="580978"/>
    <n v="575654"/>
    <x v="0"/>
    <n v="8.5000000000000006E-2"/>
    <n v="48930.590000000004"/>
    <n v="0.84080413442376689"/>
    <n v="5806.546218487395"/>
  </r>
  <r>
    <s v="WATERTOWN SAVINGS BANK"/>
    <s v="Watertown"/>
    <x v="3"/>
    <n v="2472"/>
    <d v="2019-09-30T00:00:00"/>
    <x v="0"/>
    <n v="123"/>
    <n v="1258344"/>
    <n v="50995"/>
    <n v="1258344"/>
    <n v="1131383"/>
    <n v="1114555"/>
    <x v="1"/>
    <n v="0.08"/>
    <n v="89164.400000000009"/>
    <n v="0.89910469633105095"/>
    <n v="10230.439024390244"/>
  </r>
  <r>
    <s v="WATERTOWN SAVINGS BANK"/>
    <s v="Watertown"/>
    <x v="2"/>
    <n v="13601"/>
    <d v="2020-09-30T00:00:00"/>
    <x v="1"/>
    <n v="121"/>
    <n v="840628"/>
    <n v="127560"/>
    <n v="840628"/>
    <n v="723128"/>
    <n v="714483"/>
    <x v="0"/>
    <n v="8.5000000000000006E-2"/>
    <n v="60731.055000000008"/>
    <n v="0.86022354715760119"/>
    <n v="6947.3388429752067"/>
  </r>
  <r>
    <s v="WATERTOWN SAVINGS BANK"/>
    <s v="Watertown"/>
    <x v="3"/>
    <n v="2472"/>
    <d v="2020-09-30T00:00:00"/>
    <x v="1"/>
    <n v="112"/>
    <n v="1364038"/>
    <n v="153009"/>
    <n v="1364038"/>
    <n v="1232464"/>
    <n v="1212128"/>
    <x v="1"/>
    <n v="0.08"/>
    <n v="96970.240000000005"/>
    <n v="0.90354081044662982"/>
    <n v="12178.910714285714"/>
  </r>
  <r>
    <s v="WATERTOWN SAVINGS BANK"/>
    <s v="Watertown"/>
    <x v="2"/>
    <n v="13601"/>
    <d v="2021-09-30T00:00:00"/>
    <x v="2"/>
    <n v="126"/>
    <n v="978144"/>
    <n v="194221"/>
    <n v="978144"/>
    <n v="851939"/>
    <n v="846267"/>
    <x v="0"/>
    <n v="8.5000000000000006E-2"/>
    <n v="71932.695000000007"/>
    <n v="0.870975030261393"/>
    <n v="7763.0476190476193"/>
  </r>
  <r>
    <s v="WATERTOWN SAVINGS BANK"/>
    <s v="Watertown"/>
    <x v="3"/>
    <n v="2472"/>
    <d v="2021-09-30T00:00:00"/>
    <x v="2"/>
    <n v="110"/>
    <n v="1464599"/>
    <n v="148461"/>
    <n v="1464599"/>
    <n v="1331443"/>
    <n v="1307103"/>
    <x v="1"/>
    <n v="0.08"/>
    <n v="104568.24"/>
    <n v="0.90908364678659481"/>
    <n v="13314.536363636364"/>
  </r>
  <r>
    <s v="WEBSTER FIVE CENTS SAVINGS BANK"/>
    <s v="Webster"/>
    <x v="3"/>
    <n v="1570"/>
    <d v="2019-09-30T00:00:00"/>
    <x v="0"/>
    <n v="153"/>
    <n v="882406"/>
    <n v="18563"/>
    <n v="882406"/>
    <n v="771573"/>
    <n v="689957"/>
    <x v="0"/>
    <n v="8.5000000000000006E-2"/>
    <n v="58646.345000000001"/>
    <n v="0.87439681960458115"/>
    <n v="5767.3594771241833"/>
  </r>
  <r>
    <s v="WEBSTER FIVE CENTS SAVINGS BANK"/>
    <s v="Webster"/>
    <x v="3"/>
    <n v="1570"/>
    <d v="2020-09-30T00:00:00"/>
    <x v="1"/>
    <n v="145"/>
    <n v="982412"/>
    <n v="17693"/>
    <n v="982412"/>
    <n v="861644"/>
    <n v="775982"/>
    <x v="0"/>
    <n v="8.5000000000000006E-2"/>
    <n v="65958.47"/>
    <n v="0.87706990549789698"/>
    <n v="6775.2551724137929"/>
  </r>
  <r>
    <s v="WEBSTER FIVE CENTS SAVINGS BANK"/>
    <s v="Webster"/>
    <x v="3"/>
    <n v="1570"/>
    <d v="2021-09-30T00:00:00"/>
    <x v="2"/>
    <n v="145"/>
    <n v="1035309"/>
    <n v="80001"/>
    <n v="1035309"/>
    <n v="909071"/>
    <n v="897906"/>
    <x v="1"/>
    <n v="0.08"/>
    <n v="71832.479999999996"/>
    <n v="0.87806732096407936"/>
    <n v="7140.062068965517"/>
  </r>
  <r>
    <s v="WELLESLEY BANK"/>
    <s v="Wellesley"/>
    <x v="3"/>
    <n v="2482"/>
    <d v="2019-09-30T00:00:00"/>
    <x v="0"/>
    <n v="77"/>
    <n v="979235"/>
    <n v="81453"/>
    <n v="979235"/>
    <n v="900363"/>
    <n v="759212"/>
    <x v="0"/>
    <n v="8.5000000000000006E-2"/>
    <n v="64533.020000000004"/>
    <n v="0.91945549331876408"/>
    <n v="12717.337662337663"/>
  </r>
  <r>
    <s v="WELLS FARGO BANK, LTD."/>
    <s v="Los Angeles"/>
    <x v="0"/>
    <n v="90017"/>
    <d v="2019-09-30T00:00:00"/>
    <x v="0"/>
    <n v="471"/>
    <n v="908919"/>
    <n v="182707"/>
    <n v="908919"/>
    <n v="199355"/>
    <n v="27439"/>
    <x v="0"/>
    <n v="0.09"/>
    <n v="2469.5099999999998"/>
    <n v="0.21933197567660045"/>
    <n v="1929.7643312101911"/>
  </r>
  <r>
    <s v="WENONA STATE BANK"/>
    <s v="Wenona"/>
    <x v="1"/>
    <n v="61377"/>
    <d v="2019-09-30T00:00:00"/>
    <x v="0"/>
    <n v="6"/>
    <n v="34338"/>
    <n v="3760"/>
    <n v="34338"/>
    <n v="29487"/>
    <n v="28890"/>
    <x v="2"/>
    <n v="0.09"/>
    <n v="2600.1"/>
    <n v="0.85872793989166518"/>
    <n v="5723"/>
  </r>
  <r>
    <s v="WENONA STATE BANK"/>
    <s v="Wenona"/>
    <x v="1"/>
    <n v="61377"/>
    <d v="2020-09-30T00:00:00"/>
    <x v="1"/>
    <n v="6"/>
    <n v="39783"/>
    <n v="3752"/>
    <n v="39783"/>
    <n v="34464"/>
    <n v="30366"/>
    <x v="2"/>
    <n v="0.09"/>
    <n v="2732.94"/>
    <n v="0.86629967574089439"/>
    <n v="6630.5"/>
  </r>
  <r>
    <s v="WEST CENTRAL BANK"/>
    <s v="Ashland"/>
    <x v="1"/>
    <n v="62612"/>
    <d v="2019-09-30T00:00:00"/>
    <x v="0"/>
    <n v="53"/>
    <n v="182037"/>
    <n v="5980"/>
    <n v="182037"/>
    <n v="161901"/>
    <n v="155022"/>
    <x v="0"/>
    <n v="0.08"/>
    <n v="12401.76"/>
    <n v="0.88938512500206002"/>
    <n v="3434.6603773584907"/>
  </r>
  <r>
    <s v="WEST CENTRAL BANK"/>
    <s v="Ashland"/>
    <x v="1"/>
    <n v="62612"/>
    <d v="2020-09-30T00:00:00"/>
    <x v="1"/>
    <n v="46"/>
    <n v="198500"/>
    <n v="10923"/>
    <n v="198500"/>
    <n v="176762"/>
    <n v="168258"/>
    <x v="0"/>
    <n v="0.08"/>
    <n v="13460.64"/>
    <n v="0.89048866498740553"/>
    <n v="4315.217391304348"/>
  </r>
  <r>
    <s v="WEST CENTRAL BANK"/>
    <s v="Ashland"/>
    <x v="1"/>
    <n v="62612"/>
    <d v="2021-09-30T00:00:00"/>
    <x v="2"/>
    <n v="44"/>
    <n v="221685"/>
    <n v="9588"/>
    <n v="221685"/>
    <n v="198510"/>
    <n v="189250"/>
    <x v="0"/>
    <n v="0.08"/>
    <n v="15140"/>
    <n v="0.89545977400365384"/>
    <n v="5038.295454545455"/>
  </r>
  <r>
    <s v="WEST SUBURBAN BANK"/>
    <s v="Lombard"/>
    <x v="1"/>
    <n v="60148"/>
    <d v="2019-09-30T00:00:00"/>
    <x v="0"/>
    <n v="472"/>
    <n v="2263428"/>
    <n v="69962"/>
    <n v="2263428"/>
    <n v="2044640"/>
    <n v="2031133"/>
    <x v="1"/>
    <n v="7.4999999999999997E-2"/>
    <n v="152334.97500000001"/>
    <n v="0.90333776908300156"/>
    <n v="4795.3983050847455"/>
  </r>
  <r>
    <s v="WEST SUBURBAN BANK"/>
    <s v="Lombard"/>
    <x v="1"/>
    <n v="60148"/>
    <d v="2020-09-30T00:00:00"/>
    <x v="1"/>
    <n v="445"/>
    <n v="2646028"/>
    <n v="94229"/>
    <n v="2646028"/>
    <n v="2415723"/>
    <n v="2398563"/>
    <x v="1"/>
    <n v="7.4999999999999997E-2"/>
    <n v="179892.22500000001"/>
    <n v="0.91296199435531289"/>
    <n v="5946.1303370786518"/>
  </r>
  <r>
    <s v="WEST SUBURBAN BANK"/>
    <s v="Lombard"/>
    <x v="1"/>
    <n v="60148"/>
    <d v="2021-09-30T00:00:00"/>
    <x v="2"/>
    <n v="365"/>
    <n v="2901235"/>
    <n v="132807"/>
    <n v="2901235"/>
    <n v="2657580"/>
    <n v="2636081"/>
    <x v="1"/>
    <n v="7.4999999999999997E-2"/>
    <n v="197706.07499999998"/>
    <n v="0.91601679974217876"/>
    <n v="7948.58904109589"/>
  </r>
  <r>
    <s v="WEST TOWN BANK &amp; TRUST"/>
    <s v="North Riverside"/>
    <x v="1"/>
    <n v="60546"/>
    <d v="2019-09-30T00:00:00"/>
    <x v="0"/>
    <n v="72"/>
    <n v="275241"/>
    <n v="22094"/>
    <n v="275241"/>
    <n v="239554"/>
    <n v="234610"/>
    <x v="0"/>
    <n v="0.08"/>
    <n v="18768.8"/>
    <n v="0.87034271783636885"/>
    <n v="3822.7916666666665"/>
  </r>
  <r>
    <s v="WEST TOWN BANK &amp; TRUST"/>
    <s v="North Riverside"/>
    <x v="1"/>
    <n v="60546"/>
    <d v="2020-09-30T00:00:00"/>
    <x v="1"/>
    <n v="64"/>
    <n v="333823"/>
    <n v="21224"/>
    <n v="333823"/>
    <n v="298251"/>
    <n v="290034"/>
    <x v="0"/>
    <n v="0.08"/>
    <n v="23202.720000000001"/>
    <n v="0.89344053585283223"/>
    <n v="5215.984375"/>
  </r>
  <r>
    <s v="WEST TOWN BANK &amp; TRUST"/>
    <s v="North Riverside"/>
    <x v="1"/>
    <n v="60546"/>
    <d v="2021-09-30T00:00:00"/>
    <x v="2"/>
    <n v="88"/>
    <n v="402932"/>
    <n v="89257"/>
    <n v="402932"/>
    <n v="363023"/>
    <n v="351123"/>
    <x v="0"/>
    <n v="0.08"/>
    <n v="28089.84"/>
    <n v="0.90095351076608465"/>
    <n v="4578.772727272727"/>
  </r>
  <r>
    <s v="WESTAMERICA BANK"/>
    <s v="San Rafael"/>
    <x v="0"/>
    <n v="94901"/>
    <d v="2019-09-30T00:00:00"/>
    <x v="0"/>
    <n v="730"/>
    <n v="5589309"/>
    <n v="416194"/>
    <n v="5589309"/>
    <n v="5026637"/>
    <n v="4799327"/>
    <x v="1"/>
    <n v="0.08"/>
    <n v="383946.16000000003"/>
    <n v="0.89933066860322086"/>
    <n v="7656.5876712328763"/>
  </r>
  <r>
    <s v="WESTAMERICA BANK"/>
    <s v="San Rafael"/>
    <x v="0"/>
    <n v="94901"/>
    <d v="2020-09-30T00:00:00"/>
    <x v="1"/>
    <n v="685"/>
    <n v="6517382"/>
    <n v="399153"/>
    <n v="6517382"/>
    <n v="5809403"/>
    <n v="5541531"/>
    <x v="1"/>
    <n v="0.08"/>
    <n v="443322.48"/>
    <n v="0.89137064545242251"/>
    <n v="9514.4262773722621"/>
  </r>
  <r>
    <s v="WESTAMERICA BANK"/>
    <s v="San Rafael"/>
    <x v="0"/>
    <n v="94901"/>
    <d v="2021-09-30T00:00:00"/>
    <x v="2"/>
    <n v="624"/>
    <n v="7363293"/>
    <n v="1011365"/>
    <n v="7363293"/>
    <n v="6636580"/>
    <n v="6291418"/>
    <x v="1"/>
    <n v="0.08"/>
    <n v="503313.44"/>
    <n v="0.90130597818122948"/>
    <n v="11800.149038461539"/>
  </r>
  <r>
    <s v="WESTFIELD BANK"/>
    <s v="Westfield"/>
    <x v="3"/>
    <n v="1085"/>
    <d v="2019-09-30T00:00:00"/>
    <x v="0"/>
    <n v="300"/>
    <n v="2171146"/>
    <n v="37407"/>
    <n v="2171146"/>
    <n v="1951677"/>
    <n v="1678485"/>
    <x v="1"/>
    <n v="0.08"/>
    <n v="134278.79999999999"/>
    <n v="0.89891559572686497"/>
    <n v="7237.1533333333336"/>
  </r>
  <r>
    <s v="WESTFIELD BANK"/>
    <s v="Westfield"/>
    <x v="3"/>
    <n v="1085"/>
    <d v="2020-09-30T00:00:00"/>
    <x v="1"/>
    <n v="312"/>
    <n v="2480786"/>
    <n v="168769"/>
    <n v="2480786"/>
    <n v="2263388"/>
    <n v="2017980"/>
    <x v="1"/>
    <n v="0.08"/>
    <n v="161438.39999999999"/>
    <n v="0.91236729004436501"/>
    <n v="7951.2371794871797"/>
  </r>
  <r>
    <s v="WESTFIELD BANK"/>
    <s v="Westfield"/>
    <x v="3"/>
    <n v="1085"/>
    <d v="2021-09-30T00:00:00"/>
    <x v="2"/>
    <n v="309"/>
    <n v="2503631"/>
    <n v="134422"/>
    <n v="2503631"/>
    <n v="2284166"/>
    <n v="2232183"/>
    <x v="1"/>
    <n v="0.08"/>
    <n v="178574.64"/>
    <n v="0.91234131547340647"/>
    <n v="8102.3656957928806"/>
  </r>
  <r>
    <s v="WHEATON BANK &amp; TRUST"/>
    <s v="Wheaton"/>
    <x v="1"/>
    <n v="60187"/>
    <d v="2019-09-30T00:00:00"/>
    <x v="0"/>
    <n v="99"/>
    <n v="1984708"/>
    <n v="145881"/>
    <n v="1984708"/>
    <n v="1755282"/>
    <n v="1661058"/>
    <x v="1"/>
    <n v="7.4999999999999997E-2"/>
    <n v="124579.34999999999"/>
    <n v="0.88440314645781648"/>
    <n v="20047.555555555555"/>
  </r>
  <r>
    <s v="WHEATON BANK &amp; TRUST, NATIONAL ASSOCIATION"/>
    <s v="Wheaton"/>
    <x v="1"/>
    <n v="60187"/>
    <d v="2020-09-30T00:00:00"/>
    <x v="1"/>
    <n v="99"/>
    <n v="2653035"/>
    <n v="249859"/>
    <n v="2653035"/>
    <n v="2405100"/>
    <n v="2248665"/>
    <x v="1"/>
    <n v="7.4999999999999997E-2"/>
    <n v="168649.875"/>
    <n v="0.90654665317268712"/>
    <n v="26798.333333333332"/>
  </r>
  <r>
    <s v="WHEATON BANK &amp; TRUST, NATIONAL ASSOCIATION"/>
    <s v="Wheaton"/>
    <x v="1"/>
    <n v="60187"/>
    <d v="2021-09-30T00:00:00"/>
    <x v="2"/>
    <n v="85"/>
    <n v="2972256"/>
    <n v="531176"/>
    <n v="2972256"/>
    <n v="2696380"/>
    <n v="2544265"/>
    <x v="1"/>
    <n v="7.4999999999999997E-2"/>
    <n v="190819.875"/>
    <n v="0.90718296135999055"/>
    <n v="34967.717647058824"/>
  </r>
  <r>
    <s v="WILLIAMSVILLE STATE BANK &amp; TRUST"/>
    <s v="Williamsville"/>
    <x v="1"/>
    <n v="62693"/>
    <d v="2019-09-30T00:00:00"/>
    <x v="0"/>
    <n v="31"/>
    <n v="98193"/>
    <n v="1998"/>
    <n v="98194"/>
    <n v="84851"/>
    <n v="84620"/>
    <x v="2"/>
    <n v="0.09"/>
    <n v="7615.7999999999993"/>
    <n v="0.86412473394233802"/>
    <n v="3167.516129032258"/>
  </r>
  <r>
    <s v="WILLIAMSVILLE STATE BANK &amp; TRUST"/>
    <s v="Williamsville"/>
    <x v="1"/>
    <n v="62693"/>
    <d v="2020-09-30T00:00:00"/>
    <x v="1"/>
    <n v="26"/>
    <n v="101738"/>
    <n v="2021"/>
    <n v="101738"/>
    <n v="88199"/>
    <n v="87750"/>
    <x v="0"/>
    <n v="0.08"/>
    <n v="7020"/>
    <n v="0.86692288033969611"/>
    <n v="3913"/>
  </r>
  <r>
    <s v="WILLIAMSVILLE STATE BANK &amp; TRUST"/>
    <s v="Williamsville"/>
    <x v="1"/>
    <n v="62693"/>
    <d v="2021-09-30T00:00:00"/>
    <x v="2"/>
    <n v="27"/>
    <n v="108051"/>
    <n v="2271"/>
    <n v="108051"/>
    <n v="94910"/>
    <n v="94772"/>
    <x v="0"/>
    <n v="0.08"/>
    <n v="7581.76"/>
    <n v="0.87838150503003209"/>
    <n v="4001.8888888888887"/>
  </r>
  <r>
    <s v="WINCHESTER CO-OPERATIVE BANK"/>
    <s v="Winchester"/>
    <x v="3"/>
    <n v="1890"/>
    <d v="2019-09-30T00:00:00"/>
    <x v="0"/>
    <n v="52"/>
    <n v="682949"/>
    <n v="84069"/>
    <n v="682949"/>
    <n v="594314"/>
    <n v="575857"/>
    <x v="0"/>
    <n v="8.5000000000000006E-2"/>
    <n v="48947.845000000001"/>
    <n v="0.87021724901859432"/>
    <n v="13133.634615384615"/>
  </r>
  <r>
    <s v="WINCHESTER CO-OPERATIVE BANK"/>
    <s v="Winchester"/>
    <x v="3"/>
    <n v="1890"/>
    <d v="2020-09-30T00:00:00"/>
    <x v="1"/>
    <n v="53"/>
    <n v="739140"/>
    <n v="162207"/>
    <n v="739140"/>
    <n v="647593"/>
    <n v="634115"/>
    <x v="0"/>
    <n v="8.5000000000000006E-2"/>
    <n v="53899.775000000001"/>
    <n v="0.87614389696133343"/>
    <n v="13946.037735849057"/>
  </r>
  <r>
    <s v="WINCHESTER CO-OPERATIVE BANK"/>
    <s v="Winchester"/>
    <x v="3"/>
    <n v="1890"/>
    <d v="2021-09-30T00:00:00"/>
    <x v="2"/>
    <n v="52"/>
    <n v="772411"/>
    <n v="213923"/>
    <n v="772411"/>
    <n v="677530"/>
    <n v="668863"/>
    <x v="0"/>
    <n v="8.5000000000000006E-2"/>
    <n v="56853.355000000003"/>
    <n v="0.87716254688242401"/>
    <n v="14854.057692307691"/>
  </r>
  <r>
    <s v="WINCHESTER SAVINGS BANK"/>
    <s v="Winchester"/>
    <x v="3"/>
    <n v="1890"/>
    <d v="2019-09-30T00:00:00"/>
    <x v="0"/>
    <n v="82"/>
    <n v="552399"/>
    <n v="31022"/>
    <n v="552399"/>
    <n v="484922"/>
    <n v="473140"/>
    <x v="0"/>
    <n v="8.5000000000000006E-2"/>
    <n v="40216.9"/>
    <n v="0.8778473530907912"/>
    <n v="6736.5731707317073"/>
  </r>
  <r>
    <s v="WINCHESTER SAVINGS BANK"/>
    <s v="Winchester"/>
    <x v="3"/>
    <n v="1890"/>
    <d v="2020-09-30T00:00:00"/>
    <x v="1"/>
    <n v="82"/>
    <n v="594712"/>
    <n v="76634"/>
    <n v="594711"/>
    <n v="527328"/>
    <n v="518882"/>
    <x v="0"/>
    <n v="8.5000000000000006E-2"/>
    <n v="44104.97"/>
    <n v="0.88669473627570994"/>
    <n v="7252.5853658536589"/>
  </r>
  <r>
    <s v="WINCHESTER SAVINGS BANK"/>
    <s v="Winchester"/>
    <x v="3"/>
    <n v="1890"/>
    <d v="2021-09-30T00:00:00"/>
    <x v="2"/>
    <n v="77"/>
    <n v="603697"/>
    <n v="64699"/>
    <n v="603697"/>
    <n v="532781"/>
    <n v="526838"/>
    <x v="0"/>
    <n v="8.5000000000000006E-2"/>
    <n v="44781.23"/>
    <n v="0.88253047472490342"/>
    <n v="7840.2207792207791"/>
  </r>
  <r>
    <s v="WINTER HILL BANK, FSB"/>
    <s v="Somerville"/>
    <x v="3"/>
    <n v="2145"/>
    <d v="2019-09-30T00:00:00"/>
    <x v="0"/>
    <n v="58"/>
    <n v="366505"/>
    <n v="13322"/>
    <n v="366505"/>
    <n v="331817"/>
    <n v="283475"/>
    <x v="0"/>
    <n v="8.5000000000000006E-2"/>
    <n v="24095.375"/>
    <n v="0.90535463363392044"/>
    <n v="6319.0517241379312"/>
  </r>
  <r>
    <s v="WINTER HILL BANK, FSB"/>
    <s v="Somerville"/>
    <x v="3"/>
    <n v="2145"/>
    <d v="2020-09-30T00:00:00"/>
    <x v="1"/>
    <n v="57"/>
    <n v="350831"/>
    <n v="22027"/>
    <n v="350831"/>
    <n v="314967"/>
    <n v="282338"/>
    <x v="0"/>
    <n v="8.5000000000000006E-2"/>
    <n v="23998.730000000003"/>
    <n v="0.89777414196578975"/>
    <n v="6154.9298245614036"/>
  </r>
  <r>
    <s v="WINTER HILL BANK, FSB"/>
    <s v="Somerville"/>
    <x v="3"/>
    <n v="2145"/>
    <d v="2021-09-30T00:00:00"/>
    <x v="2"/>
    <n v="59"/>
    <n v="349567"/>
    <n v="26054"/>
    <n v="349567"/>
    <n v="311830"/>
    <n v="297285"/>
    <x v="0"/>
    <n v="8.5000000000000006E-2"/>
    <n v="25269.225000000002"/>
    <n v="0.89204644603180505"/>
    <n v="5924.8644067796613"/>
  </r>
  <r>
    <s v="WINTRUST BANK"/>
    <s v="Chicago"/>
    <x v="1"/>
    <n v="60604"/>
    <d v="2019-09-30T00:00:00"/>
    <x v="0"/>
    <n v="556"/>
    <n v="6444747"/>
    <n v="578399"/>
    <n v="6444747"/>
    <n v="5739148"/>
    <n v="5572644"/>
    <x v="1"/>
    <n v="7.4999999999999997E-2"/>
    <n v="417948.3"/>
    <n v="0.89051564010193107"/>
    <n v="11591.271582733812"/>
  </r>
  <r>
    <s v="WINTRUST BANK, NATIONAL ASSOCIATION"/>
    <s v="Chicago"/>
    <x v="1"/>
    <n v="60604"/>
    <d v="2020-09-30T00:00:00"/>
    <x v="1"/>
    <n v="564"/>
    <n v="8238313"/>
    <n v="488270"/>
    <n v="8238313"/>
    <n v="7495164"/>
    <n v="7193760"/>
    <x v="1"/>
    <n v="7.4999999999999997E-2"/>
    <n v="539532"/>
    <n v="0.90979354632435061"/>
    <n v="14606.937943262412"/>
  </r>
  <r>
    <s v="WINTRUST BANK, NATIONAL ASSOCIATION"/>
    <s v="Chicago"/>
    <x v="1"/>
    <n v="60604"/>
    <d v="2021-09-30T00:00:00"/>
    <x v="2"/>
    <n v="555"/>
    <n v="8843686"/>
    <n v="897621"/>
    <n v="8843686"/>
    <n v="7986658"/>
    <n v="7744824"/>
    <x v="1"/>
    <n v="7.4999999999999997E-2"/>
    <n v="580861.79999999993"/>
    <n v="0.90309153898046579"/>
    <n v="15934.56936936937"/>
  </r>
  <r>
    <s v="WOORI AMERICA BANK"/>
    <s v="New York"/>
    <x v="2"/>
    <n v="10001"/>
    <d v="2019-09-30T00:00:00"/>
    <x v="0"/>
    <n v="243"/>
    <n v="2053200"/>
    <n v="58068"/>
    <n v="2053199"/>
    <n v="1771387"/>
    <n v="1741452"/>
    <x v="1"/>
    <n v="0.08"/>
    <n v="139316.16"/>
    <n v="0.86274449639586981"/>
    <n v="8449.382716049382"/>
  </r>
  <r>
    <s v="WOORI AMERICA BANK"/>
    <s v="New York"/>
    <x v="2"/>
    <n v="10001"/>
    <d v="2020-09-30T00:00:00"/>
    <x v="1"/>
    <n v="252"/>
    <n v="2134604"/>
    <n v="211192"/>
    <n v="2134604"/>
    <n v="1843789"/>
    <n v="1815178"/>
    <x v="1"/>
    <n v="0.08"/>
    <n v="145214.24"/>
    <n v="0.86376161573762633"/>
    <n v="8470.6507936507933"/>
  </r>
  <r>
    <s v="WOORI AMERICA BANK"/>
    <s v="New York"/>
    <x v="2"/>
    <n v="10001"/>
    <d v="2021-09-30T00:00:00"/>
    <x v="2"/>
    <n v="250"/>
    <n v="2707053"/>
    <n v="378768"/>
    <n v="2707053"/>
    <n v="2400093"/>
    <n v="2292177"/>
    <x v="1"/>
    <n v="0.08"/>
    <n v="183374.16"/>
    <n v="0.88660731799488224"/>
    <n v="10828.212"/>
  </r>
  <r>
    <s v="WRENTHAM CO-OPERATIVE BANK"/>
    <s v="Wrentham"/>
    <x v="3"/>
    <n v="2093"/>
    <d v="2019-09-30T00:00:00"/>
    <x v="0"/>
    <n v="15"/>
    <n v="114998"/>
    <n v="29191"/>
    <n v="114998"/>
    <n v="98564"/>
    <n v="98193"/>
    <x v="0"/>
    <n v="8.5000000000000006E-2"/>
    <n v="8346.4050000000007"/>
    <n v="0.85709316683768411"/>
    <n v="7666.5333333333338"/>
  </r>
  <r>
    <s v="WRENTHAM CO-OPERATIVE BANK"/>
    <s v="Wrentham"/>
    <x v="3"/>
    <n v="2093"/>
    <d v="2020-09-30T00:00:00"/>
    <x v="1"/>
    <n v="15"/>
    <n v="133255"/>
    <n v="44691"/>
    <n v="133255"/>
    <n v="116401"/>
    <n v="115991"/>
    <x v="0"/>
    <n v="8.5000000000000006E-2"/>
    <n v="9859.2350000000006"/>
    <n v="0.87352069340737681"/>
    <n v="8883.6666666666661"/>
  </r>
  <r>
    <s v="WRENTHAM CO-OPERATIVE BANK"/>
    <s v="Wrentham"/>
    <x v="3"/>
    <n v="2093"/>
    <d v="2021-09-30T00:00:00"/>
    <x v="2"/>
    <n v="14"/>
    <n v="142823"/>
    <n v="45263"/>
    <n v="142823"/>
    <n v="125799"/>
    <n v="125399"/>
    <x v="0"/>
    <n v="8.5000000000000006E-2"/>
    <n v="10658.915000000001"/>
    <n v="0.88080351203937746"/>
    <n v="10201.642857142857"/>
  </r>
  <r>
    <s v="WSB MUNICIPAL BANK"/>
    <s v="Watertown"/>
    <x v="2"/>
    <n v="13601"/>
    <d v="2019-09-30T00:00:00"/>
    <x v="0"/>
    <n v="15"/>
    <n v="109330"/>
    <n v="20301"/>
    <n v="109331"/>
    <n v="95210"/>
    <n v="95173"/>
    <x v="0"/>
    <n v="8.5000000000000006E-2"/>
    <n v="8089.7050000000008"/>
    <n v="0.87084972102808011"/>
    <n v="7288.666666666667"/>
  </r>
  <r>
    <s v="WSB MUNICIPAL BANK"/>
    <s v="Watertown"/>
    <x v="2"/>
    <n v="13601"/>
    <d v="2020-09-30T00:00:00"/>
    <x v="1"/>
    <n v="17"/>
    <n v="143191"/>
    <n v="20335"/>
    <n v="143191"/>
    <n v="127239"/>
    <n v="126646"/>
    <x v="0"/>
    <n v="8.5000000000000006E-2"/>
    <n v="10764.910000000002"/>
    <n v="0.88859635032928053"/>
    <n v="8423"/>
  </r>
  <r>
    <s v="WSB MUNICIPAL BANK"/>
    <s v="Watertown"/>
    <x v="2"/>
    <n v="13601"/>
    <d v="2021-09-30T00:00:00"/>
    <x v="2"/>
    <n v="25"/>
    <n v="171437"/>
    <n v="10932"/>
    <n v="171437"/>
    <n v="155007"/>
    <n v="145086"/>
    <x v="0"/>
    <n v="8.5000000000000006E-2"/>
    <n v="12332.310000000001"/>
    <n v="0.90416304531693859"/>
    <n v="6857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9" cacheId="5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" firstHeaderRow="1" firstDataRow="1" firstDataCol="1"/>
  <pivotFields count="17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showAll="0"/>
    <pivotField showAll="0"/>
    <pivotField numFmtId="43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numFmtId="43" showAll="0"/>
    <pivotField numFmtId="43" showAll="0"/>
  </pivotFields>
  <rowFields count="2">
    <field x="12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Cash Requirements" fld="14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8" cacheId="5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" firstHeaderRow="1" firstDataRow="1" firstDataCol="1"/>
  <pivotFields count="17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dataField="1" numFmtId="43" showAll="0"/>
  </pivotFields>
  <rowFields count="2">
    <field x="5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 Asset/Employees" fld="16" subtotal="average" baseField="0" baseItem="0"/>
  </dataFields>
  <formats count="5">
    <format dxfId="14">
      <pivotArea collapsedLevelsAreSubtotals="1" fieldPosition="0">
        <references count="2">
          <reference field="2" count="0"/>
          <reference field="5" count="1" selected="0">
            <x v="0"/>
          </reference>
        </references>
      </pivotArea>
    </format>
    <format dxfId="13">
      <pivotArea collapsedLevelsAreSubtotals="1" fieldPosition="0">
        <references count="1">
          <reference field="5" count="1">
            <x v="1"/>
          </reference>
        </references>
      </pivotArea>
    </format>
    <format dxfId="12">
      <pivotArea collapsedLevelsAreSubtotals="1" fieldPosition="0">
        <references count="2">
          <reference field="2" count="0"/>
          <reference field="5" count="1" selected="0">
            <x v="1"/>
          </reference>
        </references>
      </pivotArea>
    </format>
    <format dxfId="11">
      <pivotArea collapsedLevelsAreSubtotals="1" fieldPosition="0">
        <references count="1">
          <reference field="5" count="1">
            <x v="2"/>
          </reference>
        </references>
      </pivotArea>
    </format>
    <format dxfId="10">
      <pivotArea collapsedLevelsAreSubtotals="1" fieldPosition="0">
        <references count="2">
          <reference field="2" count="0"/>
          <reference field="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7" cacheId="5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" firstHeaderRow="1" firstDataRow="1" firstDataCol="1"/>
  <pivotFields count="17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showAll="0"/>
    <pivotField showAll="0"/>
    <pivotField numFmtId="43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43" showAll="0"/>
    <pivotField numFmtId="43" showAll="0"/>
  </pivotFields>
  <rowFields count="2">
    <field x="12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Liabilities /Total Assets" fld="1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D731D-2D47-4EBB-9067-BF754FE396CB}" name="PivotTable5" cacheId="5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" firstHeaderRow="1" firstDataRow="1" firstDataCol="1"/>
  <pivotFields count="18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showAll="0"/>
    <pivotField showAll="0"/>
    <pivotField numFmtId="43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43" showAll="0"/>
    <pivotField dataField="1" numFmtId="43" showAll="0"/>
    <pivotField showAll="0"/>
  </pivotFields>
  <rowFields count="2">
    <field x="12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 Asset/Employees" fld="1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D8C0B-1872-4730-8CCB-2B6F095ED4A5}" name="PivotTable8" cacheId="5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18">
    <pivotField showAll="0"/>
    <pivotField showAll="0"/>
    <pivotField showAll="0"/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43" showAll="0"/>
    <pivotField numFmtId="43" showAll="0"/>
    <pivotField dataField="1" showAll="0"/>
  </pivotFields>
  <rowFields count="2">
    <field x="5"/>
    <field x="1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CashBalance/Cash Requirements" fld="17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BC65E-5960-42D6-A193-11B68A73439C}" name="PivotTable6" cacheId="52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0:B51" firstHeaderRow="1" firstDataRow="1" firstDataCol="1"/>
  <pivotFields count="18">
    <pivotField showAll="0"/>
    <pivotField showAll="0"/>
    <pivotField showAll="0"/>
    <pivotField showAll="0"/>
    <pivotField numFmtId="14" showAll="0"/>
    <pivotField showAll="0"/>
    <pivotField showAll="0"/>
    <pivotField numFmtId="43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43" showAll="0"/>
    <pivotField numFmtId="43" showAll="0"/>
    <pivotField dataField="1" showAll="0"/>
  </pivotFields>
  <rowFields count="2">
    <field x="12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Max of CashBalance/Cash Requirements2" fld="17" subtotal="max" baseField="15" baseItem="0"/>
    <dataField name="StdDev of CashBalance/Cash Requirements" fld="17" subtotal="stdDev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3BB71-11BC-4020-96AF-E350E7528C9D}" name="PivotTable11" cacheId="5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E8" firstHeaderRow="1" firstDataRow="2" firstDataCol="1"/>
  <pivotFields count="18">
    <pivotField showAll="0"/>
    <pivotField showAll="0"/>
    <pivotField showAll="0"/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numFmtId="43" showAll="0"/>
    <pivotField numFmtId="43"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Average of CashBalance/Cash Requirements" fld="17" subtotal="average" baseField="6" baseItem="0"/>
  </dataFields>
  <chartFormats count="3"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5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17">
    <pivotField showAll="0"/>
    <pivotField showAll="0"/>
    <pivotField showAll="0"/>
    <pivotField showAll="0"/>
    <pivotField numFmtId="14" showAll="0"/>
    <pivotField showAll="0"/>
    <pivotField showAll="0"/>
    <pivotField numFmtId="43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43"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Asset/Employees" fld="16" subtotal="average" baseField="15" baseItem="0"/>
  </dataFields>
  <formats count="1">
    <format dxfId="9">
      <pivotArea dataOnly="0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413"/>
  <sheetViews>
    <sheetView workbookViewId="0">
      <selection activeCell="G1" sqref="G1:G1048576"/>
    </sheetView>
  </sheetViews>
  <sheetFormatPr defaultRowHeight="15" x14ac:dyDescent="0.25"/>
  <cols>
    <col min="1" max="1" width="67.5703125" customWidth="1"/>
    <col min="2" max="2" width="16.140625" customWidth="1"/>
    <col min="4" max="4" width="11.28515625" customWidth="1"/>
    <col min="5" max="5" width="14.42578125" bestFit="1" customWidth="1"/>
    <col min="6" max="6" width="20" customWidth="1"/>
    <col min="7" max="7" width="12.85546875" customWidth="1"/>
    <col min="8" max="8" width="19.85546875" customWidth="1"/>
    <col min="9" max="9" width="17.5703125" customWidth="1"/>
    <col min="10" max="10" width="25.42578125" customWidth="1"/>
    <col min="11" max="11" width="16.140625" customWidth="1"/>
    <col min="12" max="12" width="15.140625" customWidth="1"/>
    <col min="13" max="13" width="19.85546875" customWidth="1"/>
    <col min="14" max="14" width="15.85546875" customWidth="1"/>
    <col min="15" max="15" width="18.42578125" bestFit="1" customWidth="1"/>
    <col min="16" max="16" width="21.85546875" bestFit="1" customWidth="1"/>
    <col min="17" max="17" width="21.7109375" bestFit="1" customWidth="1"/>
    <col min="18" max="18" width="30.5703125" customWidth="1"/>
  </cols>
  <sheetData>
    <row r="1" spans="1:21" x14ac:dyDescent="0.25">
      <c r="A1" t="s">
        <v>1399</v>
      </c>
      <c r="B1" t="s">
        <v>0</v>
      </c>
      <c r="C1" t="s">
        <v>1</v>
      </c>
      <c r="D1" t="s">
        <v>2</v>
      </c>
      <c r="E1" t="s">
        <v>1437</v>
      </c>
      <c r="F1" t="s">
        <v>1411</v>
      </c>
      <c r="G1" t="s">
        <v>1368</v>
      </c>
      <c r="H1" t="s">
        <v>1400</v>
      </c>
      <c r="I1" t="s">
        <v>1401</v>
      </c>
      <c r="J1" t="s">
        <v>1402</v>
      </c>
      <c r="K1" t="s">
        <v>1403</v>
      </c>
      <c r="L1" t="s">
        <v>1417</v>
      </c>
      <c r="M1" t="s">
        <v>1404</v>
      </c>
      <c r="N1" t="s">
        <v>1408</v>
      </c>
      <c r="O1" t="s">
        <v>1410</v>
      </c>
      <c r="P1" t="s">
        <v>1418</v>
      </c>
      <c r="Q1" t="s">
        <v>1415</v>
      </c>
      <c r="R1" t="s">
        <v>1429</v>
      </c>
      <c r="U1" t="s">
        <v>1409</v>
      </c>
    </row>
    <row r="2" spans="1:21" x14ac:dyDescent="0.25">
      <c r="A2" t="s">
        <v>3</v>
      </c>
      <c r="B2" t="s">
        <v>4</v>
      </c>
      <c r="C2" t="s">
        <v>5</v>
      </c>
      <c r="D2">
        <v>93901</v>
      </c>
      <c r="E2" s="1">
        <v>43738</v>
      </c>
      <c r="F2" s="2">
        <f t="shared" ref="F2:F65" si="0">YEAR(E2)</f>
        <v>2019</v>
      </c>
      <c r="G2">
        <v>85</v>
      </c>
      <c r="H2" s="3">
        <v>637456</v>
      </c>
      <c r="I2">
        <v>53476</v>
      </c>
      <c r="J2">
        <v>637456</v>
      </c>
      <c r="K2">
        <v>571121</v>
      </c>
      <c r="L2">
        <v>565655</v>
      </c>
      <c r="M2" t="str">
        <f t="shared" ref="M2:M65" si="1">IF(H2&gt;1000000,"Large",IF(H2&lt;100000,"Small","Medium"))</f>
        <v>Medium</v>
      </c>
      <c r="N2">
        <f>VLOOKUP(C2,Lookup!$A$2:$D$5,MATCH(M2,Lookup!$A$1:$D$1,0),FALSE)</f>
        <v>0.09</v>
      </c>
      <c r="O2">
        <f t="shared" ref="O2:O65" si="2">L2*N2</f>
        <v>50908.95</v>
      </c>
      <c r="P2" s="7">
        <f t="shared" ref="P2:P65" si="3">K2/H2</f>
        <v>0.89593791571496695</v>
      </c>
      <c r="Q2" s="7">
        <f t="shared" ref="Q2:Q65" si="4">H2/G2</f>
        <v>7499.482352941176</v>
      </c>
      <c r="R2">
        <f t="shared" ref="R2:R65" si="5">I2/O2</f>
        <v>1.05042433599593</v>
      </c>
    </row>
    <row r="3" spans="1:21" x14ac:dyDescent="0.25">
      <c r="A3" t="s">
        <v>3</v>
      </c>
      <c r="B3" t="s">
        <v>4</v>
      </c>
      <c r="C3" t="s">
        <v>5</v>
      </c>
      <c r="D3">
        <v>93901</v>
      </c>
      <c r="E3" s="1">
        <v>44104</v>
      </c>
      <c r="F3" s="2">
        <f t="shared" si="0"/>
        <v>2020</v>
      </c>
      <c r="G3">
        <v>94</v>
      </c>
      <c r="H3" s="3">
        <v>749022</v>
      </c>
      <c r="I3">
        <v>45680</v>
      </c>
      <c r="J3">
        <v>749022</v>
      </c>
      <c r="K3">
        <v>676634</v>
      </c>
      <c r="L3">
        <v>661575</v>
      </c>
      <c r="M3" t="str">
        <f t="shared" si="1"/>
        <v>Medium</v>
      </c>
      <c r="N3">
        <f>VLOOKUP(C3,Lookup!$A$2:$D$5,MATCH(M3,Lookup!$A$1:$D$1,0),FALSE)</f>
        <v>0.09</v>
      </c>
      <c r="O3">
        <f t="shared" si="2"/>
        <v>59541.75</v>
      </c>
      <c r="P3" s="7">
        <f t="shared" si="3"/>
        <v>0.90335664373009072</v>
      </c>
      <c r="Q3" s="7">
        <f t="shared" si="4"/>
        <v>7968.3191489361698</v>
      </c>
      <c r="R3">
        <f t="shared" si="5"/>
        <v>0.76719276809969472</v>
      </c>
    </row>
    <row r="4" spans="1:21" x14ac:dyDescent="0.25">
      <c r="A4" t="s">
        <v>3</v>
      </c>
      <c r="B4" t="s">
        <v>4</v>
      </c>
      <c r="C4" t="s">
        <v>5</v>
      </c>
      <c r="D4">
        <v>93901</v>
      </c>
      <c r="E4" s="1">
        <v>44469</v>
      </c>
      <c r="F4" s="2">
        <f t="shared" si="0"/>
        <v>2021</v>
      </c>
      <c r="G4">
        <v>93</v>
      </c>
      <c r="H4" s="3">
        <v>1009352</v>
      </c>
      <c r="I4">
        <v>131582</v>
      </c>
      <c r="J4">
        <v>1009352</v>
      </c>
      <c r="K4">
        <v>930792</v>
      </c>
      <c r="L4">
        <v>926395</v>
      </c>
      <c r="M4" t="str">
        <f t="shared" si="1"/>
        <v>Large</v>
      </c>
      <c r="N4">
        <f>VLOOKUP(C4,Lookup!$A$2:$D$5,MATCH(M4,Lookup!$A$1:$D$1,0),FALSE)</f>
        <v>0.08</v>
      </c>
      <c r="O4">
        <f t="shared" si="2"/>
        <v>74111.600000000006</v>
      </c>
      <c r="P4" s="7">
        <f t="shared" si="3"/>
        <v>0.92216788593077537</v>
      </c>
      <c r="Q4" s="7">
        <f t="shared" si="4"/>
        <v>10853.247311827958</v>
      </c>
      <c r="R4">
        <f t="shared" si="5"/>
        <v>1.775457553203547</v>
      </c>
    </row>
    <row r="5" spans="1:21" x14ac:dyDescent="0.25">
      <c r="A5" t="s">
        <v>6</v>
      </c>
      <c r="B5" t="s">
        <v>7</v>
      </c>
      <c r="C5" t="s">
        <v>8</v>
      </c>
      <c r="D5">
        <v>61281</v>
      </c>
      <c r="E5" s="1">
        <v>43738</v>
      </c>
      <c r="F5" s="2">
        <f t="shared" si="0"/>
        <v>2019</v>
      </c>
      <c r="G5">
        <v>18</v>
      </c>
      <c r="H5" s="3">
        <v>64436</v>
      </c>
      <c r="I5">
        <v>7275</v>
      </c>
      <c r="J5">
        <v>64436</v>
      </c>
      <c r="K5">
        <v>57779</v>
      </c>
      <c r="L5">
        <v>57575</v>
      </c>
      <c r="M5" t="str">
        <f t="shared" si="1"/>
        <v>Small</v>
      </c>
      <c r="N5">
        <f>VLOOKUP(C5,Lookup!$A$2:$D$5,MATCH(M5,Lookup!$A$1:$D$1,0),FALSE)</f>
        <v>0.09</v>
      </c>
      <c r="O5">
        <f t="shared" si="2"/>
        <v>5181.75</v>
      </c>
      <c r="P5" s="7">
        <f t="shared" si="3"/>
        <v>0.89668818672791606</v>
      </c>
      <c r="Q5" s="7">
        <f t="shared" si="4"/>
        <v>3579.7777777777778</v>
      </c>
      <c r="R5">
        <f t="shared" si="5"/>
        <v>1.4039658416558112</v>
      </c>
    </row>
    <row r="6" spans="1:21" x14ac:dyDescent="0.25">
      <c r="A6" t="s">
        <v>6</v>
      </c>
      <c r="B6" t="s">
        <v>7</v>
      </c>
      <c r="C6" t="s">
        <v>8</v>
      </c>
      <c r="D6">
        <v>61281</v>
      </c>
      <c r="E6" s="1">
        <v>44104</v>
      </c>
      <c r="F6" s="2">
        <f t="shared" si="0"/>
        <v>2020</v>
      </c>
      <c r="G6">
        <v>18</v>
      </c>
      <c r="H6" s="3">
        <v>68303</v>
      </c>
      <c r="I6">
        <v>14220</v>
      </c>
      <c r="J6">
        <v>68303</v>
      </c>
      <c r="K6">
        <v>61477</v>
      </c>
      <c r="L6">
        <v>57268</v>
      </c>
      <c r="M6" t="str">
        <f t="shared" si="1"/>
        <v>Small</v>
      </c>
      <c r="N6">
        <f>VLOOKUP(C6,Lookup!$A$2:$D$5,MATCH(M6,Lookup!$A$1:$D$1,0),FALSE)</f>
        <v>0.09</v>
      </c>
      <c r="O6">
        <f t="shared" si="2"/>
        <v>5154.12</v>
      </c>
      <c r="P6" s="7">
        <f t="shared" si="3"/>
        <v>0.9000629547750465</v>
      </c>
      <c r="Q6" s="7">
        <f t="shared" si="4"/>
        <v>3794.6111111111113</v>
      </c>
      <c r="R6">
        <f t="shared" si="5"/>
        <v>2.7589578822378988</v>
      </c>
    </row>
    <row r="7" spans="1:21" x14ac:dyDescent="0.25">
      <c r="A7" t="s">
        <v>6</v>
      </c>
      <c r="B7" t="s">
        <v>7</v>
      </c>
      <c r="C7" t="s">
        <v>8</v>
      </c>
      <c r="D7">
        <v>61281</v>
      </c>
      <c r="E7" s="1">
        <v>44469</v>
      </c>
      <c r="F7" s="2">
        <f t="shared" si="0"/>
        <v>2021</v>
      </c>
      <c r="G7">
        <v>17</v>
      </c>
      <c r="H7" s="3">
        <v>66909</v>
      </c>
      <c r="I7">
        <v>14550</v>
      </c>
      <c r="J7">
        <v>66909</v>
      </c>
      <c r="K7">
        <v>59859</v>
      </c>
      <c r="L7">
        <v>59693</v>
      </c>
      <c r="M7" t="str">
        <f t="shared" si="1"/>
        <v>Small</v>
      </c>
      <c r="N7">
        <f>VLOOKUP(C7,Lookup!$A$2:$D$5,MATCH(M7,Lookup!$A$1:$D$1,0),FALSE)</f>
        <v>0.09</v>
      </c>
      <c r="O7">
        <f t="shared" si="2"/>
        <v>5372.37</v>
      </c>
      <c r="P7" s="7">
        <f t="shared" si="3"/>
        <v>0.89463300901224052</v>
      </c>
      <c r="Q7" s="7">
        <f t="shared" si="4"/>
        <v>3935.8235294117649</v>
      </c>
      <c r="R7">
        <f t="shared" si="5"/>
        <v>2.7083019226151586</v>
      </c>
    </row>
    <row r="8" spans="1:21" x14ac:dyDescent="0.25">
      <c r="A8" t="s">
        <v>9</v>
      </c>
      <c r="B8" t="s">
        <v>10</v>
      </c>
      <c r="C8" t="s">
        <v>8</v>
      </c>
      <c r="D8">
        <v>60076</v>
      </c>
      <c r="E8" s="1">
        <v>43738</v>
      </c>
      <c r="F8" s="2">
        <f t="shared" si="0"/>
        <v>2019</v>
      </c>
      <c r="G8">
        <v>12</v>
      </c>
      <c r="H8" s="3">
        <v>95211</v>
      </c>
      <c r="I8">
        <v>19382</v>
      </c>
      <c r="J8">
        <v>95211</v>
      </c>
      <c r="K8">
        <v>80418</v>
      </c>
      <c r="L8">
        <v>75039</v>
      </c>
      <c r="M8" t="str">
        <f t="shared" si="1"/>
        <v>Small</v>
      </c>
      <c r="N8">
        <f>VLOOKUP(C8,Lookup!$A$2:$D$5,MATCH(M8,Lookup!$A$1:$D$1,0),FALSE)</f>
        <v>0.09</v>
      </c>
      <c r="O8">
        <f t="shared" si="2"/>
        <v>6753.5099999999993</v>
      </c>
      <c r="P8" s="7">
        <f t="shared" si="3"/>
        <v>0.84462929703500644</v>
      </c>
      <c r="Q8" s="7">
        <f t="shared" si="4"/>
        <v>7934.25</v>
      </c>
      <c r="R8">
        <f t="shared" si="5"/>
        <v>2.8699150515805858</v>
      </c>
    </row>
    <row r="9" spans="1:21" x14ac:dyDescent="0.25">
      <c r="A9" t="s">
        <v>9</v>
      </c>
      <c r="B9" t="s">
        <v>10</v>
      </c>
      <c r="C9" t="s">
        <v>8</v>
      </c>
      <c r="D9">
        <v>60076</v>
      </c>
      <c r="E9" s="1">
        <v>44104</v>
      </c>
      <c r="F9" s="2">
        <f t="shared" si="0"/>
        <v>2020</v>
      </c>
      <c r="G9">
        <v>10</v>
      </c>
      <c r="H9" s="3">
        <v>141545</v>
      </c>
      <c r="I9">
        <v>28951</v>
      </c>
      <c r="J9">
        <v>141545</v>
      </c>
      <c r="K9">
        <v>117899</v>
      </c>
      <c r="L9">
        <v>101378</v>
      </c>
      <c r="M9" t="str">
        <f t="shared" si="1"/>
        <v>Medium</v>
      </c>
      <c r="N9">
        <f>VLOOKUP(C9,Lookup!$A$2:$D$5,MATCH(M9,Lookup!$A$1:$D$1,0),FALSE)</f>
        <v>0.08</v>
      </c>
      <c r="O9">
        <f t="shared" si="2"/>
        <v>8110.24</v>
      </c>
      <c r="P9" s="7">
        <f t="shared" si="3"/>
        <v>0.83294358684517289</v>
      </c>
      <c r="Q9" s="7">
        <f t="shared" si="4"/>
        <v>14154.5</v>
      </c>
      <c r="R9">
        <f t="shared" si="5"/>
        <v>3.5696847442245851</v>
      </c>
    </row>
    <row r="10" spans="1:21" x14ac:dyDescent="0.25">
      <c r="A10" t="s">
        <v>9</v>
      </c>
      <c r="B10" t="s">
        <v>10</v>
      </c>
      <c r="C10" t="s">
        <v>8</v>
      </c>
      <c r="D10">
        <v>60076</v>
      </c>
      <c r="E10" s="1">
        <v>44469</v>
      </c>
      <c r="F10" s="2">
        <f t="shared" si="0"/>
        <v>2021</v>
      </c>
      <c r="G10">
        <v>10</v>
      </c>
      <c r="H10" s="3">
        <v>140756</v>
      </c>
      <c r="I10">
        <v>32317</v>
      </c>
      <c r="J10">
        <v>140756</v>
      </c>
      <c r="K10">
        <v>117814</v>
      </c>
      <c r="L10">
        <v>104078</v>
      </c>
      <c r="M10" t="str">
        <f t="shared" si="1"/>
        <v>Medium</v>
      </c>
      <c r="N10">
        <f>VLOOKUP(C10,Lookup!$A$2:$D$5,MATCH(M10,Lookup!$A$1:$D$1,0),FALSE)</f>
        <v>0.08</v>
      </c>
      <c r="O10">
        <f t="shared" si="2"/>
        <v>8326.24</v>
      </c>
      <c r="P10" s="7">
        <f t="shared" si="3"/>
        <v>0.83700872431725826</v>
      </c>
      <c r="Q10" s="7">
        <f t="shared" si="4"/>
        <v>14075.6</v>
      </c>
      <c r="R10">
        <f t="shared" si="5"/>
        <v>3.8813437998424258</v>
      </c>
    </row>
    <row r="11" spans="1:21" x14ac:dyDescent="0.25">
      <c r="A11" t="s">
        <v>11</v>
      </c>
      <c r="B11" t="s">
        <v>12</v>
      </c>
      <c r="C11" t="s">
        <v>8</v>
      </c>
      <c r="D11">
        <v>60089</v>
      </c>
      <c r="E11" s="1">
        <v>43738</v>
      </c>
      <c r="F11" s="2">
        <f t="shared" si="0"/>
        <v>2019</v>
      </c>
      <c r="G11">
        <v>4</v>
      </c>
      <c r="H11" s="3">
        <v>40877</v>
      </c>
      <c r="I11">
        <v>7973</v>
      </c>
      <c r="J11">
        <v>40877</v>
      </c>
      <c r="K11">
        <v>32220</v>
      </c>
      <c r="L11">
        <v>31131</v>
      </c>
      <c r="M11" t="str">
        <f t="shared" si="1"/>
        <v>Small</v>
      </c>
      <c r="N11">
        <f>VLOOKUP(C11,Lookup!$A$2:$D$5,MATCH(M11,Lookup!$A$1:$D$1,0),FALSE)</f>
        <v>0.09</v>
      </c>
      <c r="O11">
        <f t="shared" si="2"/>
        <v>2801.79</v>
      </c>
      <c r="P11" s="7">
        <f t="shared" si="3"/>
        <v>0.78821831347701643</v>
      </c>
      <c r="Q11" s="7">
        <f t="shared" si="4"/>
        <v>10219.25</v>
      </c>
      <c r="R11">
        <f t="shared" si="5"/>
        <v>2.8456807969191122</v>
      </c>
    </row>
    <row r="12" spans="1:21" x14ac:dyDescent="0.25">
      <c r="A12" t="s">
        <v>13</v>
      </c>
      <c r="B12" t="s">
        <v>14</v>
      </c>
      <c r="C12" t="s">
        <v>8</v>
      </c>
      <c r="D12">
        <v>62664</v>
      </c>
      <c r="E12" s="1">
        <v>43738</v>
      </c>
      <c r="F12" s="2">
        <f t="shared" si="0"/>
        <v>2019</v>
      </c>
      <c r="G12">
        <v>5</v>
      </c>
      <c r="H12" s="3">
        <v>25319</v>
      </c>
      <c r="I12">
        <v>1712</v>
      </c>
      <c r="J12">
        <v>25320</v>
      </c>
      <c r="K12">
        <v>21384</v>
      </c>
      <c r="L12">
        <v>21370</v>
      </c>
      <c r="M12" t="str">
        <f t="shared" si="1"/>
        <v>Small</v>
      </c>
      <c r="N12">
        <f>VLOOKUP(C12,Lookup!$A$2:$D$5,MATCH(M12,Lookup!$A$1:$D$1,0),FALSE)</f>
        <v>0.09</v>
      </c>
      <c r="O12">
        <f t="shared" si="2"/>
        <v>1923.3</v>
      </c>
      <c r="P12" s="7">
        <f t="shared" si="3"/>
        <v>0.84458311939650066</v>
      </c>
      <c r="Q12" s="7">
        <f t="shared" si="4"/>
        <v>5063.8</v>
      </c>
      <c r="R12">
        <f t="shared" si="5"/>
        <v>0.89013674413768007</v>
      </c>
    </row>
    <row r="13" spans="1:21" x14ac:dyDescent="0.25">
      <c r="A13" t="s">
        <v>13</v>
      </c>
      <c r="B13" t="s">
        <v>14</v>
      </c>
      <c r="C13" t="s">
        <v>8</v>
      </c>
      <c r="D13">
        <v>62664</v>
      </c>
      <c r="E13" s="1">
        <v>44104</v>
      </c>
      <c r="F13" s="2">
        <f t="shared" si="0"/>
        <v>2020</v>
      </c>
      <c r="G13">
        <v>7</v>
      </c>
      <c r="H13" s="3">
        <v>30790</v>
      </c>
      <c r="I13">
        <v>1861</v>
      </c>
      <c r="J13">
        <v>30790</v>
      </c>
      <c r="K13">
        <v>26898</v>
      </c>
      <c r="L13">
        <v>22886</v>
      </c>
      <c r="M13" t="str">
        <f t="shared" si="1"/>
        <v>Small</v>
      </c>
      <c r="N13">
        <f>VLOOKUP(C13,Lookup!$A$2:$D$5,MATCH(M13,Lookup!$A$1:$D$1,0),FALSE)</f>
        <v>0.09</v>
      </c>
      <c r="O13">
        <f t="shared" si="2"/>
        <v>2059.7399999999998</v>
      </c>
      <c r="P13" s="7">
        <f t="shared" si="3"/>
        <v>0.87359532315686916</v>
      </c>
      <c r="Q13" s="7">
        <f t="shared" si="4"/>
        <v>4398.5714285714284</v>
      </c>
      <c r="R13">
        <f t="shared" si="5"/>
        <v>0.90351209375940666</v>
      </c>
    </row>
    <row r="14" spans="1:21" x14ac:dyDescent="0.25">
      <c r="A14" t="s">
        <v>13</v>
      </c>
      <c r="B14" t="s">
        <v>14</v>
      </c>
      <c r="C14" t="s">
        <v>8</v>
      </c>
      <c r="D14">
        <v>62664</v>
      </c>
      <c r="E14" s="1">
        <v>44469</v>
      </c>
      <c r="F14" s="2">
        <f t="shared" si="0"/>
        <v>2021</v>
      </c>
      <c r="G14">
        <v>4</v>
      </c>
      <c r="H14" s="3">
        <v>28801</v>
      </c>
      <c r="I14">
        <v>1162</v>
      </c>
      <c r="J14">
        <v>28801</v>
      </c>
      <c r="K14">
        <v>26611</v>
      </c>
      <c r="L14">
        <v>26541</v>
      </c>
      <c r="M14" t="str">
        <f t="shared" si="1"/>
        <v>Small</v>
      </c>
      <c r="N14">
        <f>VLOOKUP(C14,Lookup!$A$2:$D$5,MATCH(M14,Lookup!$A$1:$D$1,0),FALSE)</f>
        <v>0.09</v>
      </c>
      <c r="O14">
        <f t="shared" si="2"/>
        <v>2388.69</v>
      </c>
      <c r="P14" s="7">
        <f t="shared" si="3"/>
        <v>0.92396097357730633</v>
      </c>
      <c r="Q14" s="7">
        <f t="shared" si="4"/>
        <v>7200.25</v>
      </c>
      <c r="R14">
        <f t="shared" si="5"/>
        <v>0.4864591051999213</v>
      </c>
    </row>
    <row r="15" spans="1:21" x14ac:dyDescent="0.25">
      <c r="A15" t="s">
        <v>15</v>
      </c>
      <c r="B15" t="s">
        <v>16</v>
      </c>
      <c r="C15" t="s">
        <v>17</v>
      </c>
      <c r="D15">
        <v>10013</v>
      </c>
      <c r="E15" s="1">
        <v>43738</v>
      </c>
      <c r="F15" s="2">
        <f t="shared" si="0"/>
        <v>2019</v>
      </c>
      <c r="G15">
        <v>99</v>
      </c>
      <c r="H15" s="3">
        <v>335290</v>
      </c>
      <c r="I15">
        <v>35626</v>
      </c>
      <c r="J15">
        <v>335290</v>
      </c>
      <c r="K15">
        <v>289120</v>
      </c>
      <c r="L15">
        <v>287606</v>
      </c>
      <c r="M15" t="str">
        <f t="shared" si="1"/>
        <v>Medium</v>
      </c>
      <c r="N15">
        <f>VLOOKUP(C15,Lookup!$A$2:$D$5,MATCH(M15,Lookup!$A$1:$D$1,0),FALSE)</f>
        <v>8.5000000000000006E-2</v>
      </c>
      <c r="O15">
        <f t="shared" si="2"/>
        <v>24446.510000000002</v>
      </c>
      <c r="P15" s="7">
        <f t="shared" si="3"/>
        <v>0.86229830892660086</v>
      </c>
      <c r="Q15" s="7">
        <f t="shared" si="4"/>
        <v>3386.7676767676767</v>
      </c>
      <c r="R15">
        <f t="shared" si="5"/>
        <v>1.457304130528243</v>
      </c>
    </row>
    <row r="16" spans="1:21" x14ac:dyDescent="0.25">
      <c r="A16" t="s">
        <v>15</v>
      </c>
      <c r="B16" t="s">
        <v>16</v>
      </c>
      <c r="C16" t="s">
        <v>17</v>
      </c>
      <c r="D16">
        <v>10013</v>
      </c>
      <c r="E16" s="1">
        <v>44104</v>
      </c>
      <c r="F16" s="2">
        <f t="shared" si="0"/>
        <v>2020</v>
      </c>
      <c r="G16">
        <v>83</v>
      </c>
      <c r="H16" s="3">
        <v>359791</v>
      </c>
      <c r="I16">
        <v>49879</v>
      </c>
      <c r="J16">
        <v>359791</v>
      </c>
      <c r="K16">
        <v>311253</v>
      </c>
      <c r="L16">
        <v>309628</v>
      </c>
      <c r="M16" t="str">
        <f t="shared" si="1"/>
        <v>Medium</v>
      </c>
      <c r="N16">
        <f>VLOOKUP(C16,Lookup!$A$2:$D$5,MATCH(M16,Lookup!$A$1:$D$1,0),FALSE)</f>
        <v>8.5000000000000006E-2</v>
      </c>
      <c r="O16">
        <f t="shared" si="2"/>
        <v>26318.38</v>
      </c>
      <c r="P16" s="7">
        <f t="shared" si="3"/>
        <v>0.86509390173739753</v>
      </c>
      <c r="Q16" s="7">
        <f t="shared" si="4"/>
        <v>4334.8313253012047</v>
      </c>
      <c r="R16">
        <f t="shared" si="5"/>
        <v>1.8952154349925792</v>
      </c>
    </row>
    <row r="17" spans="1:18" x14ac:dyDescent="0.25">
      <c r="A17" t="s">
        <v>15</v>
      </c>
      <c r="B17" t="s">
        <v>16</v>
      </c>
      <c r="C17" t="s">
        <v>17</v>
      </c>
      <c r="D17">
        <v>10013</v>
      </c>
      <c r="E17" s="1">
        <v>44469</v>
      </c>
      <c r="F17" s="2">
        <f t="shared" si="0"/>
        <v>2021</v>
      </c>
      <c r="G17">
        <v>90</v>
      </c>
      <c r="H17" s="3">
        <v>327989</v>
      </c>
      <c r="I17">
        <v>76889</v>
      </c>
      <c r="J17">
        <v>327989</v>
      </c>
      <c r="K17">
        <v>277870</v>
      </c>
      <c r="L17">
        <v>276197</v>
      </c>
      <c r="M17" t="str">
        <f t="shared" si="1"/>
        <v>Medium</v>
      </c>
      <c r="N17">
        <f>VLOOKUP(C17,Lookup!$A$2:$D$5,MATCH(M17,Lookup!$A$1:$D$1,0),FALSE)</f>
        <v>8.5000000000000006E-2</v>
      </c>
      <c r="O17">
        <f t="shared" si="2"/>
        <v>23476.745000000003</v>
      </c>
      <c r="P17" s="7">
        <f t="shared" si="3"/>
        <v>0.84719304610825363</v>
      </c>
      <c r="Q17" s="7">
        <f t="shared" si="4"/>
        <v>3644.3222222222221</v>
      </c>
      <c r="R17">
        <f t="shared" si="5"/>
        <v>3.2751133089361404</v>
      </c>
    </row>
    <row r="18" spans="1:18" x14ac:dyDescent="0.25">
      <c r="A18" t="s">
        <v>18</v>
      </c>
      <c r="B18" t="s">
        <v>19</v>
      </c>
      <c r="C18" t="s">
        <v>20</v>
      </c>
      <c r="D18">
        <v>2351</v>
      </c>
      <c r="E18" s="1">
        <v>43738</v>
      </c>
      <c r="F18" s="2">
        <f t="shared" si="0"/>
        <v>2019</v>
      </c>
      <c r="G18">
        <v>76</v>
      </c>
      <c r="H18" s="3">
        <v>577410</v>
      </c>
      <c r="I18">
        <v>15854</v>
      </c>
      <c r="J18">
        <v>577410</v>
      </c>
      <c r="K18">
        <v>489082</v>
      </c>
      <c r="L18">
        <v>447077</v>
      </c>
      <c r="M18" t="str">
        <f t="shared" si="1"/>
        <v>Medium</v>
      </c>
      <c r="N18">
        <f>VLOOKUP(C18,Lookup!$A$2:$D$5,MATCH(M18,Lookup!$A$1:$D$1,0),FALSE)</f>
        <v>8.5000000000000006E-2</v>
      </c>
      <c r="O18">
        <f t="shared" si="2"/>
        <v>38001.545000000006</v>
      </c>
      <c r="P18" s="7">
        <f t="shared" si="3"/>
        <v>0.84702724234079774</v>
      </c>
      <c r="Q18" s="7">
        <f t="shared" si="4"/>
        <v>7597.5</v>
      </c>
      <c r="R18">
        <f t="shared" si="5"/>
        <v>0.41719356410377517</v>
      </c>
    </row>
    <row r="19" spans="1:18" x14ac:dyDescent="0.25">
      <c r="A19" t="s">
        <v>18</v>
      </c>
      <c r="B19" t="s">
        <v>19</v>
      </c>
      <c r="C19" t="s">
        <v>20</v>
      </c>
      <c r="D19">
        <v>2351</v>
      </c>
      <c r="E19" s="1">
        <v>44104</v>
      </c>
      <c r="F19" s="2">
        <f t="shared" si="0"/>
        <v>2020</v>
      </c>
      <c r="G19">
        <v>75</v>
      </c>
      <c r="H19" s="3">
        <v>592791</v>
      </c>
      <c r="I19">
        <v>66628</v>
      </c>
      <c r="J19">
        <v>592791</v>
      </c>
      <c r="K19">
        <v>500717</v>
      </c>
      <c r="L19">
        <v>462363</v>
      </c>
      <c r="M19" t="str">
        <f t="shared" si="1"/>
        <v>Medium</v>
      </c>
      <c r="N19">
        <f>VLOOKUP(C19,Lookup!$A$2:$D$5,MATCH(M19,Lookup!$A$1:$D$1,0),FALSE)</f>
        <v>8.5000000000000006E-2</v>
      </c>
      <c r="O19">
        <f t="shared" si="2"/>
        <v>39300.855000000003</v>
      </c>
      <c r="P19" s="7">
        <f t="shared" si="3"/>
        <v>0.84467712903873371</v>
      </c>
      <c r="Q19" s="7">
        <f t="shared" si="4"/>
        <v>7903.88</v>
      </c>
      <c r="R19">
        <f t="shared" si="5"/>
        <v>1.6953320735643027</v>
      </c>
    </row>
    <row r="20" spans="1:18" x14ac:dyDescent="0.25">
      <c r="A20" t="s">
        <v>18</v>
      </c>
      <c r="B20" t="s">
        <v>19</v>
      </c>
      <c r="C20" t="s">
        <v>20</v>
      </c>
      <c r="D20">
        <v>2351</v>
      </c>
      <c r="E20" s="1">
        <v>44469</v>
      </c>
      <c r="F20" s="2">
        <f t="shared" si="0"/>
        <v>2021</v>
      </c>
      <c r="G20">
        <v>76</v>
      </c>
      <c r="H20" s="3">
        <v>597215</v>
      </c>
      <c r="I20">
        <v>110561</v>
      </c>
      <c r="J20">
        <v>597215</v>
      </c>
      <c r="K20">
        <v>501173</v>
      </c>
      <c r="L20">
        <v>477642</v>
      </c>
      <c r="M20" t="str">
        <f t="shared" si="1"/>
        <v>Medium</v>
      </c>
      <c r="N20">
        <f>VLOOKUP(C20,Lookup!$A$2:$D$5,MATCH(M20,Lookup!$A$1:$D$1,0),FALSE)</f>
        <v>8.5000000000000006E-2</v>
      </c>
      <c r="O20">
        <f t="shared" si="2"/>
        <v>40599.57</v>
      </c>
      <c r="P20" s="7">
        <f t="shared" si="3"/>
        <v>0.83918354361494607</v>
      </c>
      <c r="Q20" s="7">
        <f t="shared" si="4"/>
        <v>7858.0921052631575</v>
      </c>
      <c r="R20">
        <f t="shared" si="5"/>
        <v>2.7232061817403483</v>
      </c>
    </row>
    <row r="21" spans="1:18" x14ac:dyDescent="0.25">
      <c r="A21" t="s">
        <v>21</v>
      </c>
      <c r="B21" t="s">
        <v>22</v>
      </c>
      <c r="C21" t="s">
        <v>20</v>
      </c>
      <c r="D21">
        <v>1220</v>
      </c>
      <c r="E21" s="1">
        <v>43738</v>
      </c>
      <c r="F21" s="2">
        <f t="shared" si="0"/>
        <v>2019</v>
      </c>
      <c r="G21">
        <v>100</v>
      </c>
      <c r="H21" s="3">
        <v>618218</v>
      </c>
      <c r="I21">
        <v>11664</v>
      </c>
      <c r="J21">
        <v>618218</v>
      </c>
      <c r="K21">
        <v>561414</v>
      </c>
      <c r="L21">
        <v>499525</v>
      </c>
      <c r="M21" t="str">
        <f t="shared" si="1"/>
        <v>Medium</v>
      </c>
      <c r="N21">
        <f>VLOOKUP(C21,Lookup!$A$2:$D$5,MATCH(M21,Lookup!$A$1:$D$1,0),FALSE)</f>
        <v>8.5000000000000006E-2</v>
      </c>
      <c r="O21">
        <f t="shared" si="2"/>
        <v>42459.625</v>
      </c>
      <c r="P21" s="7">
        <f t="shared" si="3"/>
        <v>0.9081165543546128</v>
      </c>
      <c r="Q21" s="7">
        <f t="shared" si="4"/>
        <v>6182.18</v>
      </c>
      <c r="R21">
        <f t="shared" si="5"/>
        <v>0.27470803145341016</v>
      </c>
    </row>
    <row r="22" spans="1:18" x14ac:dyDescent="0.25">
      <c r="A22" t="s">
        <v>21</v>
      </c>
      <c r="B22" t="s">
        <v>22</v>
      </c>
      <c r="C22" t="s">
        <v>20</v>
      </c>
      <c r="D22">
        <v>1220</v>
      </c>
      <c r="E22" s="1">
        <v>44104</v>
      </c>
      <c r="F22" s="2">
        <f t="shared" si="0"/>
        <v>2020</v>
      </c>
      <c r="G22">
        <v>107</v>
      </c>
      <c r="H22" s="3">
        <v>706909</v>
      </c>
      <c r="I22">
        <v>31644</v>
      </c>
      <c r="J22">
        <v>706909</v>
      </c>
      <c r="K22">
        <v>645403</v>
      </c>
      <c r="L22">
        <v>603420</v>
      </c>
      <c r="M22" t="str">
        <f t="shared" si="1"/>
        <v>Medium</v>
      </c>
      <c r="N22">
        <f>VLOOKUP(C22,Lookup!$A$2:$D$5,MATCH(M22,Lookup!$A$1:$D$1,0),FALSE)</f>
        <v>8.5000000000000006E-2</v>
      </c>
      <c r="O22">
        <f t="shared" si="2"/>
        <v>51290.700000000004</v>
      </c>
      <c r="P22" s="7">
        <f t="shared" si="3"/>
        <v>0.91299304436638951</v>
      </c>
      <c r="Q22" s="7">
        <f t="shared" si="4"/>
        <v>6606.6261682242994</v>
      </c>
      <c r="R22">
        <f t="shared" si="5"/>
        <v>0.61695395071621162</v>
      </c>
    </row>
    <row r="23" spans="1:18" x14ac:dyDescent="0.25">
      <c r="A23" t="s">
        <v>21</v>
      </c>
      <c r="B23" t="s">
        <v>22</v>
      </c>
      <c r="C23" t="s">
        <v>20</v>
      </c>
      <c r="D23">
        <v>1220</v>
      </c>
      <c r="E23" s="1">
        <v>44469</v>
      </c>
      <c r="F23" s="2">
        <f t="shared" si="0"/>
        <v>2021</v>
      </c>
      <c r="G23">
        <v>111</v>
      </c>
      <c r="H23" s="3">
        <v>861094</v>
      </c>
      <c r="I23">
        <v>93479</v>
      </c>
      <c r="J23">
        <v>861094</v>
      </c>
      <c r="K23">
        <v>796190</v>
      </c>
      <c r="L23">
        <v>764693</v>
      </c>
      <c r="M23" t="str">
        <f t="shared" si="1"/>
        <v>Medium</v>
      </c>
      <c r="N23">
        <f>VLOOKUP(C23,Lookup!$A$2:$D$5,MATCH(M23,Lookup!$A$1:$D$1,0),FALSE)</f>
        <v>8.5000000000000006E-2</v>
      </c>
      <c r="O23">
        <f t="shared" si="2"/>
        <v>64998.905000000006</v>
      </c>
      <c r="P23" s="7">
        <f t="shared" si="3"/>
        <v>0.92462611515119142</v>
      </c>
      <c r="Q23" s="7">
        <f t="shared" si="4"/>
        <v>7757.6036036036039</v>
      </c>
      <c r="R23">
        <f t="shared" si="5"/>
        <v>1.438162689048377</v>
      </c>
    </row>
    <row r="24" spans="1:18" x14ac:dyDescent="0.25">
      <c r="A24" t="s">
        <v>23</v>
      </c>
      <c r="B24" t="s">
        <v>24</v>
      </c>
      <c r="C24" t="s">
        <v>17</v>
      </c>
      <c r="D24">
        <v>13501</v>
      </c>
      <c r="E24" s="1">
        <v>43738</v>
      </c>
      <c r="F24" s="2">
        <f t="shared" si="0"/>
        <v>2019</v>
      </c>
      <c r="G24">
        <v>194</v>
      </c>
      <c r="H24" s="3">
        <v>901728</v>
      </c>
      <c r="I24">
        <v>64245</v>
      </c>
      <c r="J24">
        <v>901727</v>
      </c>
      <c r="K24">
        <v>831852</v>
      </c>
      <c r="L24">
        <v>744460</v>
      </c>
      <c r="M24" t="str">
        <f t="shared" si="1"/>
        <v>Medium</v>
      </c>
      <c r="N24">
        <f>VLOOKUP(C24,Lookup!$A$2:$D$5,MATCH(M24,Lookup!$A$1:$D$1,0),FALSE)</f>
        <v>8.5000000000000006E-2</v>
      </c>
      <c r="O24">
        <f t="shared" si="2"/>
        <v>63279.100000000006</v>
      </c>
      <c r="P24" s="7">
        <f t="shared" si="3"/>
        <v>0.92250878313637819</v>
      </c>
      <c r="Q24" s="7">
        <f t="shared" si="4"/>
        <v>4648.0824742268042</v>
      </c>
      <c r="R24">
        <f t="shared" si="5"/>
        <v>1.01526412354158</v>
      </c>
    </row>
    <row r="25" spans="1:18" x14ac:dyDescent="0.25">
      <c r="A25" t="s">
        <v>23</v>
      </c>
      <c r="B25" t="s">
        <v>24</v>
      </c>
      <c r="C25" t="s">
        <v>17</v>
      </c>
      <c r="D25">
        <v>13501</v>
      </c>
      <c r="E25" s="1">
        <v>44104</v>
      </c>
      <c r="F25" s="2">
        <f t="shared" si="0"/>
        <v>2020</v>
      </c>
      <c r="G25">
        <v>181</v>
      </c>
      <c r="H25" s="3">
        <v>1012361</v>
      </c>
      <c r="I25">
        <v>128811</v>
      </c>
      <c r="J25">
        <v>1012361</v>
      </c>
      <c r="K25">
        <v>940481</v>
      </c>
      <c r="L25">
        <v>822948</v>
      </c>
      <c r="M25" t="str">
        <f t="shared" si="1"/>
        <v>Large</v>
      </c>
      <c r="N25">
        <f>VLOOKUP(C25,Lookup!$A$2:$D$5,MATCH(M25,Lookup!$A$1:$D$1,0),FALSE)</f>
        <v>0.08</v>
      </c>
      <c r="O25">
        <f t="shared" si="2"/>
        <v>65835.839999999997</v>
      </c>
      <c r="P25" s="7">
        <f t="shared" si="3"/>
        <v>0.92899765992565897</v>
      </c>
      <c r="Q25" s="7">
        <f t="shared" si="4"/>
        <v>5593.1546961325967</v>
      </c>
      <c r="R25">
        <f t="shared" si="5"/>
        <v>1.9565482873766022</v>
      </c>
    </row>
    <row r="26" spans="1:18" x14ac:dyDescent="0.25">
      <c r="A26" t="s">
        <v>23</v>
      </c>
      <c r="B26" t="s">
        <v>24</v>
      </c>
      <c r="C26" t="s">
        <v>17</v>
      </c>
      <c r="D26">
        <v>13501</v>
      </c>
      <c r="E26" s="1">
        <v>44469</v>
      </c>
      <c r="F26" s="2">
        <f t="shared" si="0"/>
        <v>2021</v>
      </c>
      <c r="G26">
        <v>184</v>
      </c>
      <c r="H26" s="3">
        <v>1062202</v>
      </c>
      <c r="I26">
        <v>227590</v>
      </c>
      <c r="J26">
        <v>1062202</v>
      </c>
      <c r="K26">
        <v>987274</v>
      </c>
      <c r="L26">
        <v>878733</v>
      </c>
      <c r="M26" t="str">
        <f t="shared" si="1"/>
        <v>Large</v>
      </c>
      <c r="N26">
        <f>VLOOKUP(C26,Lookup!$A$2:$D$5,MATCH(M26,Lookup!$A$1:$D$1,0),FALSE)</f>
        <v>0.08</v>
      </c>
      <c r="O26">
        <f t="shared" si="2"/>
        <v>70298.64</v>
      </c>
      <c r="P26" s="7">
        <f t="shared" si="3"/>
        <v>0.92945974494493511</v>
      </c>
      <c r="Q26" s="7">
        <f t="shared" si="4"/>
        <v>5772.836956521739</v>
      </c>
      <c r="R26">
        <f t="shared" si="5"/>
        <v>3.237473726376499</v>
      </c>
    </row>
    <row r="27" spans="1:18" x14ac:dyDescent="0.25">
      <c r="A27" t="s">
        <v>25</v>
      </c>
      <c r="B27" t="s">
        <v>26</v>
      </c>
      <c r="C27" t="s">
        <v>20</v>
      </c>
      <c r="D27">
        <v>2116</v>
      </c>
      <c r="E27" s="1">
        <v>43738</v>
      </c>
      <c r="F27" s="2">
        <f t="shared" si="0"/>
        <v>2019</v>
      </c>
      <c r="G27">
        <v>56</v>
      </c>
      <c r="H27" s="3">
        <v>216403</v>
      </c>
      <c r="I27">
        <v>23546</v>
      </c>
      <c r="J27">
        <v>216402</v>
      </c>
      <c r="K27">
        <v>181579</v>
      </c>
      <c r="L27">
        <v>162913</v>
      </c>
      <c r="M27" t="str">
        <f t="shared" si="1"/>
        <v>Medium</v>
      </c>
      <c r="N27">
        <f>VLOOKUP(C27,Lookup!$A$2:$D$5,MATCH(M27,Lookup!$A$1:$D$1,0),FALSE)</f>
        <v>8.5000000000000006E-2</v>
      </c>
      <c r="O27">
        <f t="shared" si="2"/>
        <v>13847.605000000001</v>
      </c>
      <c r="P27" s="7">
        <f t="shared" si="3"/>
        <v>0.83907801647851465</v>
      </c>
      <c r="Q27" s="7">
        <f t="shared" si="4"/>
        <v>3864.3392857142858</v>
      </c>
      <c r="R27">
        <f t="shared" si="5"/>
        <v>1.7003662366163679</v>
      </c>
    </row>
    <row r="28" spans="1:18" x14ac:dyDescent="0.25">
      <c r="A28" t="s">
        <v>27</v>
      </c>
      <c r="B28" t="s">
        <v>28</v>
      </c>
      <c r="C28" t="s">
        <v>8</v>
      </c>
      <c r="D28">
        <v>60625</v>
      </c>
      <c r="E28" s="1">
        <v>43738</v>
      </c>
      <c r="F28" s="2">
        <f t="shared" si="0"/>
        <v>2019</v>
      </c>
      <c r="G28">
        <v>67</v>
      </c>
      <c r="H28" s="3">
        <v>610338</v>
      </c>
      <c r="I28">
        <v>109205</v>
      </c>
      <c r="J28">
        <v>610338</v>
      </c>
      <c r="K28">
        <v>511370</v>
      </c>
      <c r="L28">
        <v>508078</v>
      </c>
      <c r="M28" t="str">
        <f t="shared" si="1"/>
        <v>Medium</v>
      </c>
      <c r="N28">
        <f>VLOOKUP(C28,Lookup!$A$2:$D$5,MATCH(M28,Lookup!$A$1:$D$1,0),FALSE)</f>
        <v>0.08</v>
      </c>
      <c r="O28">
        <f t="shared" si="2"/>
        <v>40646.239999999998</v>
      </c>
      <c r="P28" s="7">
        <f t="shared" si="3"/>
        <v>0.83784722563563141</v>
      </c>
      <c r="Q28" s="7">
        <f t="shared" si="4"/>
        <v>9109.5223880597023</v>
      </c>
      <c r="R28">
        <f t="shared" si="5"/>
        <v>2.68671837788686</v>
      </c>
    </row>
    <row r="29" spans="1:18" x14ac:dyDescent="0.25">
      <c r="A29" t="s">
        <v>27</v>
      </c>
      <c r="B29" t="s">
        <v>28</v>
      </c>
      <c r="C29" t="s">
        <v>8</v>
      </c>
      <c r="D29">
        <v>60625</v>
      </c>
      <c r="E29" s="1">
        <v>44104</v>
      </c>
      <c r="F29" s="2">
        <f t="shared" si="0"/>
        <v>2020</v>
      </c>
      <c r="G29">
        <v>70</v>
      </c>
      <c r="H29" s="3">
        <v>686145</v>
      </c>
      <c r="I29">
        <v>213657</v>
      </c>
      <c r="J29">
        <v>686145</v>
      </c>
      <c r="K29">
        <v>583447</v>
      </c>
      <c r="L29">
        <v>580080</v>
      </c>
      <c r="M29" t="str">
        <f t="shared" si="1"/>
        <v>Medium</v>
      </c>
      <c r="N29">
        <f>VLOOKUP(C29,Lookup!$A$2:$D$5,MATCH(M29,Lookup!$A$1:$D$1,0),FALSE)</f>
        <v>0.08</v>
      </c>
      <c r="O29">
        <f t="shared" si="2"/>
        <v>46406.400000000001</v>
      </c>
      <c r="P29" s="7">
        <f t="shared" si="3"/>
        <v>0.85032609725349595</v>
      </c>
      <c r="Q29" s="7">
        <f t="shared" si="4"/>
        <v>9802.0714285714294</v>
      </c>
      <c r="R29">
        <f t="shared" si="5"/>
        <v>4.6040416839056677</v>
      </c>
    </row>
    <row r="30" spans="1:18" x14ac:dyDescent="0.25">
      <c r="A30" t="s">
        <v>27</v>
      </c>
      <c r="B30" t="s">
        <v>28</v>
      </c>
      <c r="C30" t="s">
        <v>8</v>
      </c>
      <c r="D30">
        <v>60625</v>
      </c>
      <c r="E30" s="1">
        <v>44469</v>
      </c>
      <c r="F30" s="2">
        <f t="shared" si="0"/>
        <v>2021</v>
      </c>
      <c r="G30">
        <v>63</v>
      </c>
      <c r="H30" s="3">
        <v>702350</v>
      </c>
      <c r="I30">
        <v>181265</v>
      </c>
      <c r="J30">
        <v>702350</v>
      </c>
      <c r="K30">
        <v>596859</v>
      </c>
      <c r="L30">
        <v>594116</v>
      </c>
      <c r="M30" t="str">
        <f t="shared" si="1"/>
        <v>Medium</v>
      </c>
      <c r="N30">
        <f>VLOOKUP(C30,Lookup!$A$2:$D$5,MATCH(M30,Lookup!$A$1:$D$1,0),FALSE)</f>
        <v>0.08</v>
      </c>
      <c r="O30">
        <f t="shared" si="2"/>
        <v>47529.279999999999</v>
      </c>
      <c r="P30" s="7">
        <f t="shared" si="3"/>
        <v>0.8498028048693671</v>
      </c>
      <c r="Q30" s="7">
        <f t="shared" si="4"/>
        <v>11148.412698412698</v>
      </c>
      <c r="R30">
        <f t="shared" si="5"/>
        <v>3.813754384665621</v>
      </c>
    </row>
    <row r="31" spans="1:18" x14ac:dyDescent="0.25">
      <c r="A31" t="s">
        <v>29</v>
      </c>
      <c r="B31" t="s">
        <v>30</v>
      </c>
      <c r="C31" t="s">
        <v>17</v>
      </c>
      <c r="D31">
        <v>14004</v>
      </c>
      <c r="E31" s="1">
        <v>43738</v>
      </c>
      <c r="F31" s="2">
        <f t="shared" si="0"/>
        <v>2019</v>
      </c>
      <c r="G31">
        <v>61</v>
      </c>
      <c r="H31" s="3">
        <v>346446</v>
      </c>
      <c r="I31">
        <v>13345</v>
      </c>
      <c r="J31">
        <v>346446</v>
      </c>
      <c r="K31">
        <v>302318</v>
      </c>
      <c r="L31">
        <v>297176</v>
      </c>
      <c r="M31" t="str">
        <f t="shared" si="1"/>
        <v>Medium</v>
      </c>
      <c r="N31">
        <f>VLOOKUP(C31,Lookup!$A$2:$D$5,MATCH(M31,Lookup!$A$1:$D$1,0),FALSE)</f>
        <v>8.5000000000000006E-2</v>
      </c>
      <c r="O31">
        <f t="shared" si="2"/>
        <v>25259.960000000003</v>
      </c>
      <c r="P31" s="7">
        <f t="shared" si="3"/>
        <v>0.87262661424868526</v>
      </c>
      <c r="Q31" s="7">
        <f t="shared" si="4"/>
        <v>5679.4426229508199</v>
      </c>
      <c r="R31">
        <f t="shared" si="5"/>
        <v>0.52830645812582433</v>
      </c>
    </row>
    <row r="32" spans="1:18" x14ac:dyDescent="0.25">
      <c r="A32" t="s">
        <v>29</v>
      </c>
      <c r="B32" t="s">
        <v>30</v>
      </c>
      <c r="C32" t="s">
        <v>17</v>
      </c>
      <c r="D32">
        <v>14004</v>
      </c>
      <c r="E32" s="1">
        <v>44104</v>
      </c>
      <c r="F32" s="2">
        <f t="shared" si="0"/>
        <v>2020</v>
      </c>
      <c r="G32">
        <v>61</v>
      </c>
      <c r="H32" s="3">
        <v>402829</v>
      </c>
      <c r="I32">
        <v>56557</v>
      </c>
      <c r="J32">
        <v>402829</v>
      </c>
      <c r="K32">
        <v>355448</v>
      </c>
      <c r="L32">
        <v>354228</v>
      </c>
      <c r="M32" t="str">
        <f t="shared" si="1"/>
        <v>Medium</v>
      </c>
      <c r="N32">
        <f>VLOOKUP(C32,Lookup!$A$2:$D$5,MATCH(M32,Lookup!$A$1:$D$1,0),FALSE)</f>
        <v>8.5000000000000006E-2</v>
      </c>
      <c r="O32">
        <f t="shared" si="2"/>
        <v>30109.38</v>
      </c>
      <c r="P32" s="7">
        <f t="shared" si="3"/>
        <v>0.88237937189229176</v>
      </c>
      <c r="Q32" s="7">
        <f t="shared" si="4"/>
        <v>6603.7540983606559</v>
      </c>
      <c r="R32">
        <f t="shared" si="5"/>
        <v>1.8783847425619524</v>
      </c>
    </row>
    <row r="33" spans="1:18" x14ac:dyDescent="0.25">
      <c r="A33" t="s">
        <v>29</v>
      </c>
      <c r="B33" t="s">
        <v>30</v>
      </c>
      <c r="C33" t="s">
        <v>17</v>
      </c>
      <c r="D33">
        <v>14004</v>
      </c>
      <c r="E33" s="1">
        <v>44469</v>
      </c>
      <c r="F33" s="2">
        <f t="shared" si="0"/>
        <v>2021</v>
      </c>
      <c r="G33">
        <v>65</v>
      </c>
      <c r="H33" s="3">
        <v>470474</v>
      </c>
      <c r="I33">
        <v>80283</v>
      </c>
      <c r="J33">
        <v>470474</v>
      </c>
      <c r="K33">
        <v>419774</v>
      </c>
      <c r="L33">
        <v>418531</v>
      </c>
      <c r="M33" t="str">
        <f t="shared" si="1"/>
        <v>Medium</v>
      </c>
      <c r="N33">
        <f>VLOOKUP(C33,Lookup!$A$2:$D$5,MATCH(M33,Lookup!$A$1:$D$1,0),FALSE)</f>
        <v>8.5000000000000006E-2</v>
      </c>
      <c r="O33">
        <f t="shared" si="2"/>
        <v>35575.135000000002</v>
      </c>
      <c r="P33" s="7">
        <f t="shared" si="3"/>
        <v>0.89223634037162525</v>
      </c>
      <c r="Q33" s="7">
        <f t="shared" si="4"/>
        <v>7238.0615384615385</v>
      </c>
      <c r="R33">
        <f t="shared" si="5"/>
        <v>2.2567166646029593</v>
      </c>
    </row>
    <row r="34" spans="1:18" x14ac:dyDescent="0.25">
      <c r="A34" t="s">
        <v>31</v>
      </c>
      <c r="B34" t="s">
        <v>32</v>
      </c>
      <c r="C34" t="s">
        <v>8</v>
      </c>
      <c r="D34">
        <v>60102</v>
      </c>
      <c r="E34" s="1">
        <v>43738</v>
      </c>
      <c r="F34" s="2">
        <f t="shared" si="0"/>
        <v>2019</v>
      </c>
      <c r="G34">
        <v>25</v>
      </c>
      <c r="H34" s="3">
        <v>133860</v>
      </c>
      <c r="I34">
        <v>11010</v>
      </c>
      <c r="J34">
        <v>133860</v>
      </c>
      <c r="K34">
        <v>117945</v>
      </c>
      <c r="L34">
        <v>117254</v>
      </c>
      <c r="M34" t="str">
        <f t="shared" si="1"/>
        <v>Medium</v>
      </c>
      <c r="N34">
        <f>VLOOKUP(C34,Lookup!$A$2:$D$5,MATCH(M34,Lookup!$A$1:$D$1,0),FALSE)</f>
        <v>0.08</v>
      </c>
      <c r="O34">
        <f t="shared" si="2"/>
        <v>9380.32</v>
      </c>
      <c r="P34" s="7">
        <f t="shared" si="3"/>
        <v>0.88110712684894665</v>
      </c>
      <c r="Q34" s="7">
        <f t="shared" si="4"/>
        <v>5354.4</v>
      </c>
      <c r="R34">
        <f t="shared" si="5"/>
        <v>1.1737339451106146</v>
      </c>
    </row>
    <row r="35" spans="1:18" x14ac:dyDescent="0.25">
      <c r="A35" t="s">
        <v>31</v>
      </c>
      <c r="B35" t="s">
        <v>32</v>
      </c>
      <c r="C35" t="s">
        <v>8</v>
      </c>
      <c r="D35">
        <v>60102</v>
      </c>
      <c r="E35" s="1">
        <v>44104</v>
      </c>
      <c r="F35" s="2">
        <f t="shared" si="0"/>
        <v>2020</v>
      </c>
      <c r="G35">
        <v>24</v>
      </c>
      <c r="H35" s="3">
        <v>150641</v>
      </c>
      <c r="I35">
        <v>12080</v>
      </c>
      <c r="J35">
        <v>150641</v>
      </c>
      <c r="K35">
        <v>133604</v>
      </c>
      <c r="L35">
        <v>129200</v>
      </c>
      <c r="M35" t="str">
        <f t="shared" si="1"/>
        <v>Medium</v>
      </c>
      <c r="N35">
        <f>VLOOKUP(C35,Lookup!$A$2:$D$5,MATCH(M35,Lookup!$A$1:$D$1,0),FALSE)</f>
        <v>0.08</v>
      </c>
      <c r="O35">
        <f t="shared" si="2"/>
        <v>10336</v>
      </c>
      <c r="P35" s="7">
        <f t="shared" si="3"/>
        <v>0.88690329989843397</v>
      </c>
      <c r="Q35" s="7">
        <f t="shared" si="4"/>
        <v>6276.708333333333</v>
      </c>
      <c r="R35">
        <f t="shared" si="5"/>
        <v>1.1687306501547987</v>
      </c>
    </row>
    <row r="36" spans="1:18" x14ac:dyDescent="0.25">
      <c r="A36" t="s">
        <v>31</v>
      </c>
      <c r="B36" t="s">
        <v>32</v>
      </c>
      <c r="C36" t="s">
        <v>8</v>
      </c>
      <c r="D36">
        <v>60102</v>
      </c>
      <c r="E36" s="1">
        <v>44469</v>
      </c>
      <c r="F36" s="2">
        <f t="shared" si="0"/>
        <v>2021</v>
      </c>
      <c r="G36">
        <v>24</v>
      </c>
      <c r="H36" s="3">
        <v>157383</v>
      </c>
      <c r="I36">
        <v>12446</v>
      </c>
      <c r="J36">
        <v>157383</v>
      </c>
      <c r="K36">
        <v>140344</v>
      </c>
      <c r="L36">
        <v>139880</v>
      </c>
      <c r="M36" t="str">
        <f t="shared" si="1"/>
        <v>Medium</v>
      </c>
      <c r="N36">
        <f>VLOOKUP(C36,Lookup!$A$2:$D$5,MATCH(M36,Lookup!$A$1:$D$1,0),FALSE)</f>
        <v>0.08</v>
      </c>
      <c r="O36">
        <f t="shared" si="2"/>
        <v>11190.4</v>
      </c>
      <c r="P36" s="7">
        <f t="shared" si="3"/>
        <v>0.89173544792004222</v>
      </c>
      <c r="Q36" s="7">
        <f t="shared" si="4"/>
        <v>6557.625</v>
      </c>
      <c r="R36">
        <f t="shared" si="5"/>
        <v>1.1122033171289678</v>
      </c>
    </row>
    <row r="37" spans="1:18" x14ac:dyDescent="0.25">
      <c r="A37" t="s">
        <v>33</v>
      </c>
      <c r="B37" t="s">
        <v>34</v>
      </c>
      <c r="C37" t="s">
        <v>8</v>
      </c>
      <c r="D37">
        <v>62675</v>
      </c>
      <c r="E37" s="1">
        <v>43738</v>
      </c>
      <c r="F37" s="2">
        <f t="shared" si="0"/>
        <v>2019</v>
      </c>
      <c r="G37">
        <v>60</v>
      </c>
      <c r="H37" s="3">
        <v>272421</v>
      </c>
      <c r="I37">
        <v>9915</v>
      </c>
      <c r="J37">
        <v>272421</v>
      </c>
      <c r="K37">
        <v>235436</v>
      </c>
      <c r="L37">
        <v>233520</v>
      </c>
      <c r="M37" t="str">
        <f t="shared" si="1"/>
        <v>Medium</v>
      </c>
      <c r="N37">
        <f>VLOOKUP(C37,Lookup!$A$2:$D$5,MATCH(M37,Lookup!$A$1:$D$1,0),FALSE)</f>
        <v>0.08</v>
      </c>
      <c r="O37">
        <f t="shared" si="2"/>
        <v>18681.600000000002</v>
      </c>
      <c r="P37" s="7">
        <f t="shared" si="3"/>
        <v>0.86423587021558546</v>
      </c>
      <c r="Q37" s="7">
        <f t="shared" si="4"/>
        <v>4540.3500000000004</v>
      </c>
      <c r="R37">
        <f t="shared" si="5"/>
        <v>0.53073612538540593</v>
      </c>
    </row>
    <row r="38" spans="1:18" x14ac:dyDescent="0.25">
      <c r="A38" t="s">
        <v>33</v>
      </c>
      <c r="B38" t="s">
        <v>34</v>
      </c>
      <c r="C38" t="s">
        <v>8</v>
      </c>
      <c r="D38">
        <v>62675</v>
      </c>
      <c r="E38" s="1">
        <v>44104</v>
      </c>
      <c r="F38" s="2">
        <f t="shared" si="0"/>
        <v>2020</v>
      </c>
      <c r="G38">
        <v>56</v>
      </c>
      <c r="H38" s="3">
        <v>299250</v>
      </c>
      <c r="I38">
        <v>26015</v>
      </c>
      <c r="J38">
        <v>299250</v>
      </c>
      <c r="K38">
        <v>260088</v>
      </c>
      <c r="L38">
        <v>256200</v>
      </c>
      <c r="M38" t="str">
        <f t="shared" si="1"/>
        <v>Medium</v>
      </c>
      <c r="N38">
        <f>VLOOKUP(C38,Lookup!$A$2:$D$5,MATCH(M38,Lookup!$A$1:$D$1,0),FALSE)</f>
        <v>0.08</v>
      </c>
      <c r="O38">
        <f t="shared" si="2"/>
        <v>20496</v>
      </c>
      <c r="P38" s="7">
        <f t="shared" si="3"/>
        <v>0.86913283208020053</v>
      </c>
      <c r="Q38" s="7">
        <f t="shared" si="4"/>
        <v>5343.75</v>
      </c>
      <c r="R38">
        <f t="shared" si="5"/>
        <v>1.2692720530835284</v>
      </c>
    </row>
    <row r="39" spans="1:18" x14ac:dyDescent="0.25">
      <c r="A39" t="s">
        <v>33</v>
      </c>
      <c r="B39" t="s">
        <v>34</v>
      </c>
      <c r="C39" t="s">
        <v>8</v>
      </c>
      <c r="D39">
        <v>62675</v>
      </c>
      <c r="E39" s="1">
        <v>44469</v>
      </c>
      <c r="F39" s="2">
        <f t="shared" si="0"/>
        <v>2021</v>
      </c>
      <c r="G39">
        <v>57</v>
      </c>
      <c r="H39" s="3">
        <v>333263</v>
      </c>
      <c r="I39">
        <v>29981</v>
      </c>
      <c r="J39">
        <v>333263</v>
      </c>
      <c r="K39">
        <v>294877</v>
      </c>
      <c r="L39">
        <v>291842</v>
      </c>
      <c r="M39" t="str">
        <f t="shared" si="1"/>
        <v>Medium</v>
      </c>
      <c r="N39">
        <f>VLOOKUP(C39,Lookup!$A$2:$D$5,MATCH(M39,Lookup!$A$1:$D$1,0),FALSE)</f>
        <v>0.08</v>
      </c>
      <c r="O39">
        <f t="shared" si="2"/>
        <v>23347.360000000001</v>
      </c>
      <c r="P39" s="7">
        <f t="shared" si="3"/>
        <v>0.88481769653396869</v>
      </c>
      <c r="Q39" s="7">
        <f t="shared" si="4"/>
        <v>5846.7192982456145</v>
      </c>
      <c r="R39">
        <f t="shared" si="5"/>
        <v>1.2841280555917243</v>
      </c>
    </row>
    <row r="40" spans="1:18" x14ac:dyDescent="0.25">
      <c r="A40" t="s">
        <v>35</v>
      </c>
      <c r="B40" t="s">
        <v>36</v>
      </c>
      <c r="C40" t="s">
        <v>8</v>
      </c>
      <c r="D40">
        <v>60543</v>
      </c>
      <c r="E40" s="1">
        <v>43738</v>
      </c>
      <c r="F40" s="2">
        <f t="shared" si="0"/>
        <v>2019</v>
      </c>
      <c r="G40">
        <v>254</v>
      </c>
      <c r="H40" s="3">
        <v>103594</v>
      </c>
      <c r="I40">
        <v>21704</v>
      </c>
      <c r="J40">
        <v>103594</v>
      </c>
      <c r="K40">
        <v>91239</v>
      </c>
      <c r="L40">
        <v>90621</v>
      </c>
      <c r="M40" t="str">
        <f t="shared" si="1"/>
        <v>Medium</v>
      </c>
      <c r="N40">
        <f>VLOOKUP(C40,Lookup!$A$2:$D$5,MATCH(M40,Lookup!$A$1:$D$1,0),FALSE)</f>
        <v>0.08</v>
      </c>
      <c r="O40">
        <f t="shared" si="2"/>
        <v>7249.68</v>
      </c>
      <c r="P40" s="7">
        <f t="shared" si="3"/>
        <v>0.88073633608124025</v>
      </c>
      <c r="Q40" s="7">
        <f t="shared" si="4"/>
        <v>407.85039370078738</v>
      </c>
      <c r="R40">
        <f t="shared" si="5"/>
        <v>2.9937873119917016</v>
      </c>
    </row>
    <row r="41" spans="1:18" x14ac:dyDescent="0.25">
      <c r="A41" t="s">
        <v>35</v>
      </c>
      <c r="B41" t="s">
        <v>36</v>
      </c>
      <c r="C41" t="s">
        <v>8</v>
      </c>
      <c r="D41">
        <v>60543</v>
      </c>
      <c r="E41" s="1">
        <v>44104</v>
      </c>
      <c r="F41" s="2">
        <f t="shared" si="0"/>
        <v>2020</v>
      </c>
      <c r="G41">
        <v>330</v>
      </c>
      <c r="H41" s="3">
        <v>142020</v>
      </c>
      <c r="I41">
        <v>13620</v>
      </c>
      <c r="J41">
        <v>142020</v>
      </c>
      <c r="K41">
        <v>125248</v>
      </c>
      <c r="L41">
        <v>107269</v>
      </c>
      <c r="M41" t="str">
        <f t="shared" si="1"/>
        <v>Medium</v>
      </c>
      <c r="N41">
        <f>VLOOKUP(C41,Lookup!$A$2:$D$5,MATCH(M41,Lookup!$A$1:$D$1,0),FALSE)</f>
        <v>0.08</v>
      </c>
      <c r="O41">
        <f t="shared" si="2"/>
        <v>8581.52</v>
      </c>
      <c r="P41" s="7">
        <f t="shared" si="3"/>
        <v>0.88190395718912828</v>
      </c>
      <c r="Q41" s="7">
        <f t="shared" si="4"/>
        <v>430.36363636363637</v>
      </c>
      <c r="R41">
        <f t="shared" si="5"/>
        <v>1.587131417278058</v>
      </c>
    </row>
    <row r="42" spans="1:18" x14ac:dyDescent="0.25">
      <c r="A42" t="s">
        <v>35</v>
      </c>
      <c r="B42" t="s">
        <v>36</v>
      </c>
      <c r="C42" t="s">
        <v>8</v>
      </c>
      <c r="D42">
        <v>60543</v>
      </c>
      <c r="E42" s="1">
        <v>44469</v>
      </c>
      <c r="F42" s="2">
        <f t="shared" si="0"/>
        <v>2021</v>
      </c>
      <c r="G42">
        <v>382</v>
      </c>
      <c r="H42" s="3">
        <v>161890</v>
      </c>
      <c r="I42">
        <v>70738</v>
      </c>
      <c r="J42">
        <v>161890</v>
      </c>
      <c r="K42">
        <v>139305</v>
      </c>
      <c r="L42">
        <v>132451</v>
      </c>
      <c r="M42" t="str">
        <f t="shared" si="1"/>
        <v>Medium</v>
      </c>
      <c r="N42">
        <f>VLOOKUP(C42,Lookup!$A$2:$D$5,MATCH(M42,Lookup!$A$1:$D$1,0),FALSE)</f>
        <v>0.08</v>
      </c>
      <c r="O42">
        <f t="shared" si="2"/>
        <v>10596.08</v>
      </c>
      <c r="P42" s="7">
        <f t="shared" si="3"/>
        <v>0.86049169188955466</v>
      </c>
      <c r="Q42" s="7">
        <f t="shared" si="4"/>
        <v>423.79581151832463</v>
      </c>
      <c r="R42">
        <f t="shared" si="5"/>
        <v>6.6758650368815635</v>
      </c>
    </row>
    <row r="43" spans="1:18" x14ac:dyDescent="0.25">
      <c r="A43" t="s">
        <v>37</v>
      </c>
      <c r="B43" t="s">
        <v>38</v>
      </c>
      <c r="C43" t="s">
        <v>17</v>
      </c>
      <c r="D43">
        <v>11102</v>
      </c>
      <c r="E43" s="1">
        <v>43738</v>
      </c>
      <c r="F43" s="2">
        <f t="shared" si="0"/>
        <v>2019</v>
      </c>
      <c r="G43">
        <v>164</v>
      </c>
      <c r="H43" s="3">
        <v>1190423</v>
      </c>
      <c r="I43">
        <v>88732</v>
      </c>
      <c r="J43">
        <v>1190423</v>
      </c>
      <c r="K43">
        <v>1068612</v>
      </c>
      <c r="L43">
        <v>999286</v>
      </c>
      <c r="M43" t="str">
        <f t="shared" si="1"/>
        <v>Large</v>
      </c>
      <c r="N43">
        <f>VLOOKUP(C43,Lookup!$A$2:$D$5,MATCH(M43,Lookup!$A$1:$D$1,0),FALSE)</f>
        <v>0.08</v>
      </c>
      <c r="O43">
        <f t="shared" si="2"/>
        <v>79942.880000000005</v>
      </c>
      <c r="P43" s="7">
        <f t="shared" si="3"/>
        <v>0.89767418808272359</v>
      </c>
      <c r="Q43" s="7">
        <f t="shared" si="4"/>
        <v>7258.6768292682927</v>
      </c>
      <c r="R43">
        <f t="shared" si="5"/>
        <v>1.1099424989442461</v>
      </c>
    </row>
    <row r="44" spans="1:18" x14ac:dyDescent="0.25">
      <c r="A44" t="s">
        <v>37</v>
      </c>
      <c r="B44" t="s">
        <v>38</v>
      </c>
      <c r="C44" t="s">
        <v>17</v>
      </c>
      <c r="D44">
        <v>11102</v>
      </c>
      <c r="E44" s="1">
        <v>44104</v>
      </c>
      <c r="F44" s="2">
        <f t="shared" si="0"/>
        <v>2020</v>
      </c>
      <c r="G44">
        <v>161</v>
      </c>
      <c r="H44" s="3">
        <v>1228001</v>
      </c>
      <c r="I44">
        <v>101572</v>
      </c>
      <c r="J44">
        <v>1228001</v>
      </c>
      <c r="K44">
        <v>1102414</v>
      </c>
      <c r="L44">
        <v>1058853</v>
      </c>
      <c r="M44" t="str">
        <f t="shared" si="1"/>
        <v>Large</v>
      </c>
      <c r="N44">
        <f>VLOOKUP(C44,Lookup!$A$2:$D$5,MATCH(M44,Lookup!$A$1:$D$1,0),FALSE)</f>
        <v>0.08</v>
      </c>
      <c r="O44">
        <f t="shared" si="2"/>
        <v>84708.24</v>
      </c>
      <c r="P44" s="7">
        <f t="shared" si="3"/>
        <v>0.89773053930737845</v>
      </c>
      <c r="Q44" s="7">
        <f t="shared" si="4"/>
        <v>7627.3354037267081</v>
      </c>
      <c r="R44">
        <f t="shared" si="5"/>
        <v>1.1990805144812358</v>
      </c>
    </row>
    <row r="45" spans="1:18" x14ac:dyDescent="0.25">
      <c r="A45" t="s">
        <v>37</v>
      </c>
      <c r="B45" t="s">
        <v>38</v>
      </c>
      <c r="C45" t="s">
        <v>17</v>
      </c>
      <c r="D45">
        <v>11102</v>
      </c>
      <c r="E45" s="1">
        <v>44469</v>
      </c>
      <c r="F45" s="2">
        <f t="shared" si="0"/>
        <v>2021</v>
      </c>
      <c r="G45">
        <v>151</v>
      </c>
      <c r="H45" s="3">
        <v>1326013</v>
      </c>
      <c r="I45">
        <v>186086</v>
      </c>
      <c r="J45">
        <v>1326013</v>
      </c>
      <c r="K45">
        <v>1195446</v>
      </c>
      <c r="L45">
        <v>1171231</v>
      </c>
      <c r="M45" t="str">
        <f t="shared" si="1"/>
        <v>Large</v>
      </c>
      <c r="N45">
        <f>VLOOKUP(C45,Lookup!$A$2:$D$5,MATCH(M45,Lookup!$A$1:$D$1,0),FALSE)</f>
        <v>0.08</v>
      </c>
      <c r="O45">
        <f t="shared" si="2"/>
        <v>93698.48</v>
      </c>
      <c r="P45" s="7">
        <f t="shared" si="3"/>
        <v>0.90153414785526231</v>
      </c>
      <c r="Q45" s="7">
        <f t="shared" si="4"/>
        <v>8781.5430463576158</v>
      </c>
      <c r="R45">
        <f t="shared" si="5"/>
        <v>1.9860087378151705</v>
      </c>
    </row>
    <row r="46" spans="1:18" x14ac:dyDescent="0.25">
      <c r="A46" t="s">
        <v>39</v>
      </c>
      <c r="B46" t="s">
        <v>16</v>
      </c>
      <c r="C46" t="s">
        <v>17</v>
      </c>
      <c r="D46">
        <v>10019</v>
      </c>
      <c r="E46" s="1">
        <v>43738</v>
      </c>
      <c r="F46" s="2">
        <f t="shared" si="0"/>
        <v>2019</v>
      </c>
      <c r="G46">
        <v>20</v>
      </c>
      <c r="H46" s="3">
        <v>257994</v>
      </c>
      <c r="I46">
        <v>106755</v>
      </c>
      <c r="J46">
        <v>257994</v>
      </c>
      <c r="K46">
        <v>206456</v>
      </c>
      <c r="L46">
        <v>204291</v>
      </c>
      <c r="M46" t="str">
        <f t="shared" si="1"/>
        <v>Medium</v>
      </c>
      <c r="N46">
        <f>VLOOKUP(C46,Lookup!$A$2:$D$5,MATCH(M46,Lookup!$A$1:$D$1,0),FALSE)</f>
        <v>8.5000000000000006E-2</v>
      </c>
      <c r="O46">
        <f t="shared" si="2"/>
        <v>17364.735000000001</v>
      </c>
      <c r="P46" s="7">
        <f t="shared" si="3"/>
        <v>0.80023566439529603</v>
      </c>
      <c r="Q46" s="7">
        <f t="shared" si="4"/>
        <v>12899.7</v>
      </c>
      <c r="R46">
        <f t="shared" si="5"/>
        <v>6.1478047318314966</v>
      </c>
    </row>
    <row r="47" spans="1:18" x14ac:dyDescent="0.25">
      <c r="A47" t="s">
        <v>39</v>
      </c>
      <c r="B47" t="s">
        <v>16</v>
      </c>
      <c r="C47" t="s">
        <v>17</v>
      </c>
      <c r="D47">
        <v>10019</v>
      </c>
      <c r="E47" s="1">
        <v>44104</v>
      </c>
      <c r="F47" s="2">
        <f t="shared" si="0"/>
        <v>2020</v>
      </c>
      <c r="G47">
        <v>19</v>
      </c>
      <c r="H47" s="3">
        <v>249459</v>
      </c>
      <c r="I47">
        <v>67548</v>
      </c>
      <c r="J47">
        <v>249459</v>
      </c>
      <c r="K47">
        <v>196733</v>
      </c>
      <c r="L47">
        <v>194366</v>
      </c>
      <c r="M47" t="str">
        <f t="shared" si="1"/>
        <v>Medium</v>
      </c>
      <c r="N47">
        <f>VLOOKUP(C47,Lookup!$A$2:$D$5,MATCH(M47,Lookup!$A$1:$D$1,0),FALSE)</f>
        <v>8.5000000000000006E-2</v>
      </c>
      <c r="O47">
        <f t="shared" si="2"/>
        <v>16521.11</v>
      </c>
      <c r="P47" s="7">
        <f t="shared" si="3"/>
        <v>0.78863861396061075</v>
      </c>
      <c r="Q47" s="7">
        <f t="shared" si="4"/>
        <v>13129.421052631578</v>
      </c>
      <c r="R47">
        <f t="shared" si="5"/>
        <v>4.0885872680467594</v>
      </c>
    </row>
    <row r="48" spans="1:18" x14ac:dyDescent="0.25">
      <c r="A48" t="s">
        <v>39</v>
      </c>
      <c r="B48" t="s">
        <v>16</v>
      </c>
      <c r="C48" t="s">
        <v>17</v>
      </c>
      <c r="D48">
        <v>10019</v>
      </c>
      <c r="E48" s="1">
        <v>44469</v>
      </c>
      <c r="F48" s="2">
        <f t="shared" si="0"/>
        <v>2021</v>
      </c>
      <c r="G48">
        <v>20</v>
      </c>
      <c r="H48" s="3">
        <v>306421</v>
      </c>
      <c r="I48">
        <v>163858</v>
      </c>
      <c r="J48">
        <v>306421</v>
      </c>
      <c r="K48">
        <v>251205</v>
      </c>
      <c r="L48">
        <v>248589</v>
      </c>
      <c r="M48" t="str">
        <f t="shared" si="1"/>
        <v>Medium</v>
      </c>
      <c r="N48">
        <f>VLOOKUP(C48,Lookup!$A$2:$D$5,MATCH(M48,Lookup!$A$1:$D$1,0),FALSE)</f>
        <v>8.5000000000000006E-2</v>
      </c>
      <c r="O48">
        <f t="shared" si="2"/>
        <v>21130.065000000002</v>
      </c>
      <c r="P48" s="7">
        <f t="shared" si="3"/>
        <v>0.81980347299956591</v>
      </c>
      <c r="Q48" s="7">
        <f t="shared" si="4"/>
        <v>15321.05</v>
      </c>
      <c r="R48">
        <f t="shared" si="5"/>
        <v>7.7547324156362025</v>
      </c>
    </row>
    <row r="49" spans="1:18" x14ac:dyDescent="0.25">
      <c r="A49" t="s">
        <v>40</v>
      </c>
      <c r="B49" t="s">
        <v>41</v>
      </c>
      <c r="C49" t="s">
        <v>5</v>
      </c>
      <c r="D49">
        <v>95403</v>
      </c>
      <c r="E49" s="1">
        <v>43738</v>
      </c>
      <c r="F49" s="2">
        <f t="shared" si="0"/>
        <v>2019</v>
      </c>
      <c r="G49">
        <v>55</v>
      </c>
      <c r="H49" s="3">
        <v>419614</v>
      </c>
      <c r="I49">
        <v>21628</v>
      </c>
      <c r="J49">
        <v>419614</v>
      </c>
      <c r="K49">
        <v>359744</v>
      </c>
      <c r="L49">
        <v>297155</v>
      </c>
      <c r="M49" t="str">
        <f t="shared" si="1"/>
        <v>Medium</v>
      </c>
      <c r="N49">
        <f>VLOOKUP(C49,Lookup!$A$2:$D$5,MATCH(M49,Lookup!$A$1:$D$1,0),FALSE)</f>
        <v>0.09</v>
      </c>
      <c r="O49">
        <f t="shared" si="2"/>
        <v>26743.95</v>
      </c>
      <c r="P49" s="7">
        <f t="shared" si="3"/>
        <v>0.85732125238910051</v>
      </c>
      <c r="Q49" s="7">
        <f t="shared" si="4"/>
        <v>7629.3454545454542</v>
      </c>
      <c r="R49">
        <f t="shared" si="5"/>
        <v>0.80870626814662749</v>
      </c>
    </row>
    <row r="50" spans="1:18" x14ac:dyDescent="0.25">
      <c r="A50" t="s">
        <v>42</v>
      </c>
      <c r="B50" t="s">
        <v>16</v>
      </c>
      <c r="C50" t="s">
        <v>17</v>
      </c>
      <c r="D50">
        <v>10001</v>
      </c>
      <c r="E50" s="1">
        <v>43738</v>
      </c>
      <c r="F50" s="2">
        <f t="shared" si="0"/>
        <v>2019</v>
      </c>
      <c r="G50">
        <v>380</v>
      </c>
      <c r="H50" s="3">
        <v>5030941</v>
      </c>
      <c r="I50">
        <v>75345</v>
      </c>
      <c r="J50">
        <v>5030941</v>
      </c>
      <c r="K50">
        <v>4544629</v>
      </c>
      <c r="L50">
        <v>4326485</v>
      </c>
      <c r="M50" t="str">
        <f t="shared" si="1"/>
        <v>Large</v>
      </c>
      <c r="N50">
        <f>VLOOKUP(C50,Lookup!$A$2:$D$5,MATCH(M50,Lookup!$A$1:$D$1,0),FALSE)</f>
        <v>0.08</v>
      </c>
      <c r="O50">
        <f t="shared" si="2"/>
        <v>346118.8</v>
      </c>
      <c r="P50" s="7">
        <f t="shared" si="3"/>
        <v>0.90333577754141825</v>
      </c>
      <c r="Q50" s="7">
        <f t="shared" si="4"/>
        <v>13239.318421052632</v>
      </c>
      <c r="R50">
        <f t="shared" si="5"/>
        <v>0.2176853727679629</v>
      </c>
    </row>
    <row r="51" spans="1:18" x14ac:dyDescent="0.25">
      <c r="A51" t="s">
        <v>42</v>
      </c>
      <c r="B51" t="s">
        <v>16</v>
      </c>
      <c r="C51" t="s">
        <v>17</v>
      </c>
      <c r="D51">
        <v>10001</v>
      </c>
      <c r="E51" s="1">
        <v>44104</v>
      </c>
      <c r="F51" s="2">
        <f t="shared" si="0"/>
        <v>2020</v>
      </c>
      <c r="G51">
        <v>350</v>
      </c>
      <c r="H51" s="3">
        <v>6626229</v>
      </c>
      <c r="I51">
        <v>745496</v>
      </c>
      <c r="J51">
        <v>6626229</v>
      </c>
      <c r="K51">
        <v>6103732</v>
      </c>
      <c r="L51">
        <v>6023434</v>
      </c>
      <c r="M51" t="str">
        <f t="shared" si="1"/>
        <v>Large</v>
      </c>
      <c r="N51">
        <f>VLOOKUP(C51,Lookup!$A$2:$D$5,MATCH(M51,Lookup!$A$1:$D$1,0),FALSE)</f>
        <v>0.08</v>
      </c>
      <c r="O51">
        <f t="shared" si="2"/>
        <v>481874.72000000003</v>
      </c>
      <c r="P51" s="7">
        <f t="shared" si="3"/>
        <v>0.92114715624829746</v>
      </c>
      <c r="Q51" s="7">
        <f t="shared" si="4"/>
        <v>18932.082857142857</v>
      </c>
      <c r="R51">
        <f t="shared" si="5"/>
        <v>1.5470743101028415</v>
      </c>
    </row>
    <row r="52" spans="1:18" x14ac:dyDescent="0.25">
      <c r="A52" t="s">
        <v>42</v>
      </c>
      <c r="B52" t="s">
        <v>16</v>
      </c>
      <c r="C52" t="s">
        <v>17</v>
      </c>
      <c r="D52">
        <v>10001</v>
      </c>
      <c r="E52" s="1">
        <v>44469</v>
      </c>
      <c r="F52" s="2">
        <f t="shared" si="0"/>
        <v>2021</v>
      </c>
      <c r="G52">
        <v>355</v>
      </c>
      <c r="H52" s="3">
        <v>6866385</v>
      </c>
      <c r="I52">
        <v>691352</v>
      </c>
      <c r="J52">
        <v>6866385</v>
      </c>
      <c r="K52">
        <v>6311674</v>
      </c>
      <c r="L52">
        <v>6227280</v>
      </c>
      <c r="M52" t="str">
        <f t="shared" si="1"/>
        <v>Large</v>
      </c>
      <c r="N52">
        <f>VLOOKUP(C52,Lookup!$A$2:$D$5,MATCH(M52,Lookup!$A$1:$D$1,0),FALSE)</f>
        <v>0.08</v>
      </c>
      <c r="O52">
        <f t="shared" si="2"/>
        <v>498182.40000000002</v>
      </c>
      <c r="P52" s="7">
        <f t="shared" si="3"/>
        <v>0.91921353084628954</v>
      </c>
      <c r="Q52" s="7">
        <f t="shared" si="4"/>
        <v>19341.929577464787</v>
      </c>
      <c r="R52">
        <f t="shared" si="5"/>
        <v>1.3877487442350431</v>
      </c>
    </row>
    <row r="53" spans="1:18" x14ac:dyDescent="0.25">
      <c r="A53" t="s">
        <v>43</v>
      </c>
      <c r="B53" t="s">
        <v>28</v>
      </c>
      <c r="C53" t="s">
        <v>8</v>
      </c>
      <c r="D53">
        <v>60602</v>
      </c>
      <c r="E53" s="1">
        <v>43738</v>
      </c>
      <c r="F53" s="2">
        <f t="shared" si="0"/>
        <v>2019</v>
      </c>
      <c r="G53">
        <v>178</v>
      </c>
      <c r="H53" s="3">
        <v>891140</v>
      </c>
      <c r="I53">
        <v>210711</v>
      </c>
      <c r="J53">
        <v>891140</v>
      </c>
      <c r="K53">
        <v>805716</v>
      </c>
      <c r="L53">
        <v>786006</v>
      </c>
      <c r="M53" t="str">
        <f t="shared" si="1"/>
        <v>Medium</v>
      </c>
      <c r="N53">
        <f>VLOOKUP(C53,Lookup!$A$2:$D$5,MATCH(M53,Lookup!$A$1:$D$1,0),FALSE)</f>
        <v>0.08</v>
      </c>
      <c r="O53">
        <f t="shared" si="2"/>
        <v>62880.480000000003</v>
      </c>
      <c r="P53" s="7">
        <f t="shared" si="3"/>
        <v>0.90414076351639472</v>
      </c>
      <c r="Q53" s="7">
        <f t="shared" si="4"/>
        <v>5006.4044943820227</v>
      </c>
      <c r="R53">
        <f t="shared" si="5"/>
        <v>3.3509763284249736</v>
      </c>
    </row>
    <row r="54" spans="1:18" x14ac:dyDescent="0.25">
      <c r="A54" t="s">
        <v>43</v>
      </c>
      <c r="B54" t="s">
        <v>28</v>
      </c>
      <c r="C54" t="s">
        <v>8</v>
      </c>
      <c r="D54">
        <v>60602</v>
      </c>
      <c r="E54" s="1">
        <v>44104</v>
      </c>
      <c r="F54" s="2">
        <f t="shared" si="0"/>
        <v>2020</v>
      </c>
      <c r="G54">
        <v>176</v>
      </c>
      <c r="H54" s="3">
        <v>915824</v>
      </c>
      <c r="I54">
        <v>222389</v>
      </c>
      <c r="J54">
        <v>915824</v>
      </c>
      <c r="K54">
        <v>825647</v>
      </c>
      <c r="L54">
        <v>801840</v>
      </c>
      <c r="M54" t="str">
        <f t="shared" si="1"/>
        <v>Medium</v>
      </c>
      <c r="N54">
        <f>VLOOKUP(C54,Lookup!$A$2:$D$5,MATCH(M54,Lookup!$A$1:$D$1,0),FALSE)</f>
        <v>0.08</v>
      </c>
      <c r="O54">
        <f t="shared" si="2"/>
        <v>64147.200000000004</v>
      </c>
      <c r="P54" s="7">
        <f t="shared" si="3"/>
        <v>0.901534574328692</v>
      </c>
      <c r="Q54" s="7">
        <f t="shared" si="4"/>
        <v>5203.545454545455</v>
      </c>
      <c r="R54">
        <f t="shared" si="5"/>
        <v>3.4668543599720638</v>
      </c>
    </row>
    <row r="55" spans="1:18" x14ac:dyDescent="0.25">
      <c r="A55" t="s">
        <v>43</v>
      </c>
      <c r="B55" t="s">
        <v>28</v>
      </c>
      <c r="C55" t="s">
        <v>8</v>
      </c>
      <c r="D55">
        <v>60602</v>
      </c>
      <c r="E55" s="1">
        <v>44469</v>
      </c>
      <c r="F55" s="2">
        <f t="shared" si="0"/>
        <v>2021</v>
      </c>
      <c r="G55">
        <v>155</v>
      </c>
      <c r="H55" s="3">
        <v>1013379</v>
      </c>
      <c r="I55">
        <v>306919</v>
      </c>
      <c r="J55">
        <v>1013379</v>
      </c>
      <c r="K55">
        <v>923709</v>
      </c>
      <c r="L55">
        <v>894178</v>
      </c>
      <c r="M55" t="str">
        <f t="shared" si="1"/>
        <v>Large</v>
      </c>
      <c r="N55">
        <f>VLOOKUP(C55,Lookup!$A$2:$D$5,MATCH(M55,Lookup!$A$1:$D$1,0),FALSE)</f>
        <v>7.4999999999999997E-2</v>
      </c>
      <c r="O55">
        <f t="shared" si="2"/>
        <v>67063.349999999991</v>
      </c>
      <c r="P55" s="7">
        <f t="shared" si="3"/>
        <v>0.91151385611898417</v>
      </c>
      <c r="Q55" s="7">
        <f t="shared" si="4"/>
        <v>6537.9290322580646</v>
      </c>
      <c r="R55">
        <f t="shared" si="5"/>
        <v>4.5765533633497286</v>
      </c>
    </row>
    <row r="56" spans="1:18" x14ac:dyDescent="0.25">
      <c r="A56" t="s">
        <v>44</v>
      </c>
      <c r="B56" t="s">
        <v>45</v>
      </c>
      <c r="C56" t="s">
        <v>17</v>
      </c>
      <c r="D56">
        <v>11355</v>
      </c>
      <c r="E56" s="1">
        <v>43738</v>
      </c>
      <c r="F56" s="2">
        <f t="shared" si="0"/>
        <v>2019</v>
      </c>
      <c r="G56">
        <v>81</v>
      </c>
      <c r="H56" s="3">
        <v>680866</v>
      </c>
      <c r="I56">
        <v>76601</v>
      </c>
      <c r="J56">
        <v>680866</v>
      </c>
      <c r="K56">
        <v>597754</v>
      </c>
      <c r="L56">
        <v>583335</v>
      </c>
      <c r="M56" t="str">
        <f t="shared" si="1"/>
        <v>Medium</v>
      </c>
      <c r="N56">
        <f>VLOOKUP(C56,Lookup!$A$2:$D$5,MATCH(M56,Lookup!$A$1:$D$1,0),FALSE)</f>
        <v>8.5000000000000006E-2</v>
      </c>
      <c r="O56">
        <f t="shared" si="2"/>
        <v>49583.475000000006</v>
      </c>
      <c r="P56" s="7">
        <f t="shared" si="3"/>
        <v>0.87793192786833241</v>
      </c>
      <c r="Q56" s="7">
        <f t="shared" si="4"/>
        <v>8405.7530864197524</v>
      </c>
      <c r="R56">
        <f t="shared" si="5"/>
        <v>1.5448897036764766</v>
      </c>
    </row>
    <row r="57" spans="1:18" x14ac:dyDescent="0.25">
      <c r="A57" t="s">
        <v>44</v>
      </c>
      <c r="B57" t="s">
        <v>45</v>
      </c>
      <c r="C57" t="s">
        <v>17</v>
      </c>
      <c r="D57">
        <v>11355</v>
      </c>
      <c r="E57" s="1">
        <v>44104</v>
      </c>
      <c r="F57" s="2">
        <f t="shared" si="0"/>
        <v>2020</v>
      </c>
      <c r="G57">
        <v>80</v>
      </c>
      <c r="H57" s="3">
        <v>719123</v>
      </c>
      <c r="I57">
        <v>59020</v>
      </c>
      <c r="J57">
        <v>719124</v>
      </c>
      <c r="K57">
        <v>625983</v>
      </c>
      <c r="L57">
        <v>611111</v>
      </c>
      <c r="M57" t="str">
        <f t="shared" si="1"/>
        <v>Medium</v>
      </c>
      <c r="N57">
        <f>VLOOKUP(C57,Lookup!$A$2:$D$5,MATCH(M57,Lookup!$A$1:$D$1,0),FALSE)</f>
        <v>8.5000000000000006E-2</v>
      </c>
      <c r="O57">
        <f t="shared" si="2"/>
        <v>51944.435000000005</v>
      </c>
      <c r="P57" s="7">
        <f t="shared" si="3"/>
        <v>0.87048112770694308</v>
      </c>
      <c r="Q57" s="7">
        <f t="shared" si="4"/>
        <v>8989.0375000000004</v>
      </c>
      <c r="R57">
        <f t="shared" si="5"/>
        <v>1.136214110327699</v>
      </c>
    </row>
    <row r="58" spans="1:18" x14ac:dyDescent="0.25">
      <c r="A58" t="s">
        <v>44</v>
      </c>
      <c r="B58" t="s">
        <v>45</v>
      </c>
      <c r="C58" t="s">
        <v>17</v>
      </c>
      <c r="D58">
        <v>11355</v>
      </c>
      <c r="E58" s="1">
        <v>44469</v>
      </c>
      <c r="F58" s="2">
        <f t="shared" si="0"/>
        <v>2021</v>
      </c>
      <c r="G58">
        <v>84</v>
      </c>
      <c r="H58" s="3">
        <v>863915</v>
      </c>
      <c r="I58">
        <v>174728</v>
      </c>
      <c r="J58">
        <v>863915</v>
      </c>
      <c r="K58">
        <v>759330</v>
      </c>
      <c r="L58">
        <v>738282</v>
      </c>
      <c r="M58" t="str">
        <f t="shared" si="1"/>
        <v>Medium</v>
      </c>
      <c r="N58">
        <f>VLOOKUP(C58,Lookup!$A$2:$D$5,MATCH(M58,Lookup!$A$1:$D$1,0),FALSE)</f>
        <v>8.5000000000000006E-2</v>
      </c>
      <c r="O58">
        <f t="shared" si="2"/>
        <v>62753.97</v>
      </c>
      <c r="P58" s="7">
        <f t="shared" si="3"/>
        <v>0.878940636520954</v>
      </c>
      <c r="Q58" s="7">
        <f t="shared" si="4"/>
        <v>10284.702380952382</v>
      </c>
      <c r="R58">
        <f t="shared" si="5"/>
        <v>2.7843338039011716</v>
      </c>
    </row>
    <row r="59" spans="1:18" x14ac:dyDescent="0.25">
      <c r="A59" t="s">
        <v>46</v>
      </c>
      <c r="B59" t="s">
        <v>47</v>
      </c>
      <c r="C59" t="s">
        <v>5</v>
      </c>
      <c r="D59">
        <v>90017</v>
      </c>
      <c r="E59" s="1">
        <v>43738</v>
      </c>
      <c r="F59" s="2">
        <f t="shared" si="0"/>
        <v>2019</v>
      </c>
      <c r="G59">
        <v>195</v>
      </c>
      <c r="H59" s="3">
        <v>2331644</v>
      </c>
      <c r="I59">
        <v>114288</v>
      </c>
      <c r="J59">
        <v>2331644</v>
      </c>
      <c r="K59">
        <v>2130576</v>
      </c>
      <c r="L59">
        <v>2099318</v>
      </c>
      <c r="M59" t="str">
        <f t="shared" si="1"/>
        <v>Large</v>
      </c>
      <c r="N59">
        <f>VLOOKUP(C59,Lookup!$A$2:$D$5,MATCH(M59,Lookup!$A$1:$D$1,0),FALSE)</f>
        <v>0.08</v>
      </c>
      <c r="O59">
        <f t="shared" si="2"/>
        <v>167945.44</v>
      </c>
      <c r="P59" s="7">
        <f t="shared" si="3"/>
        <v>0.91376556626997951</v>
      </c>
      <c r="Q59" s="7">
        <f t="shared" si="4"/>
        <v>11957.148717948718</v>
      </c>
      <c r="R59">
        <f t="shared" si="5"/>
        <v>0.68050671694331211</v>
      </c>
    </row>
    <row r="60" spans="1:18" x14ac:dyDescent="0.25">
      <c r="A60" t="s">
        <v>46</v>
      </c>
      <c r="B60" t="s">
        <v>47</v>
      </c>
      <c r="C60" t="s">
        <v>5</v>
      </c>
      <c r="D60">
        <v>90071</v>
      </c>
      <c r="E60" s="1">
        <v>44104</v>
      </c>
      <c r="F60" s="2">
        <f t="shared" si="0"/>
        <v>2020</v>
      </c>
      <c r="G60">
        <v>193</v>
      </c>
      <c r="H60" s="3">
        <v>3321380</v>
      </c>
      <c r="I60">
        <v>134446</v>
      </c>
      <c r="J60">
        <v>3321380</v>
      </c>
      <c r="K60">
        <v>3085391</v>
      </c>
      <c r="L60">
        <v>3048568</v>
      </c>
      <c r="M60" t="str">
        <f t="shared" si="1"/>
        <v>Large</v>
      </c>
      <c r="N60">
        <f>VLOOKUP(C60,Lookup!$A$2:$D$5,MATCH(M60,Lookup!$A$1:$D$1,0),FALSE)</f>
        <v>0.08</v>
      </c>
      <c r="O60">
        <f t="shared" si="2"/>
        <v>243885.44</v>
      </c>
      <c r="P60" s="7">
        <f t="shared" si="3"/>
        <v>0.92894850935454543</v>
      </c>
      <c r="Q60" s="7">
        <f t="shared" si="4"/>
        <v>17209.222797927461</v>
      </c>
      <c r="R60">
        <f t="shared" si="5"/>
        <v>0.55126702110630299</v>
      </c>
    </row>
    <row r="61" spans="1:18" x14ac:dyDescent="0.25">
      <c r="A61" t="s">
        <v>46</v>
      </c>
      <c r="B61" t="s">
        <v>47</v>
      </c>
      <c r="C61" t="s">
        <v>5</v>
      </c>
      <c r="D61">
        <v>90071</v>
      </c>
      <c r="E61" s="1">
        <v>44469</v>
      </c>
      <c r="F61" s="2">
        <f t="shared" si="0"/>
        <v>2021</v>
      </c>
      <c r="G61">
        <v>202</v>
      </c>
      <c r="H61" s="3">
        <v>3902852</v>
      </c>
      <c r="I61">
        <v>378410</v>
      </c>
      <c r="J61">
        <v>3902852</v>
      </c>
      <c r="K61">
        <v>3629328</v>
      </c>
      <c r="L61">
        <v>3590892</v>
      </c>
      <c r="M61" t="str">
        <f t="shared" si="1"/>
        <v>Large</v>
      </c>
      <c r="N61">
        <f>VLOOKUP(C61,Lookup!$A$2:$D$5,MATCH(M61,Lookup!$A$1:$D$1,0),FALSE)</f>
        <v>0.08</v>
      </c>
      <c r="O61">
        <f t="shared" si="2"/>
        <v>287271.36</v>
      </c>
      <c r="P61" s="7">
        <f t="shared" si="3"/>
        <v>0.92991689154495227</v>
      </c>
      <c r="Q61" s="7">
        <f t="shared" si="4"/>
        <v>19321.049504950493</v>
      </c>
      <c r="R61">
        <f t="shared" si="5"/>
        <v>1.3172562694728776</v>
      </c>
    </row>
    <row r="62" spans="1:18" x14ac:dyDescent="0.25">
      <c r="A62" t="s">
        <v>1386</v>
      </c>
      <c r="B62" t="s">
        <v>517</v>
      </c>
      <c r="C62" t="s">
        <v>8</v>
      </c>
      <c r="D62">
        <v>61350</v>
      </c>
      <c r="E62" s="1">
        <v>44469</v>
      </c>
      <c r="F62" s="2">
        <f t="shared" si="0"/>
        <v>2021</v>
      </c>
      <c r="G62">
        <v>135</v>
      </c>
      <c r="H62" s="3">
        <v>993267</v>
      </c>
      <c r="I62">
        <v>83710</v>
      </c>
      <c r="J62">
        <v>993267</v>
      </c>
      <c r="K62">
        <v>905190</v>
      </c>
      <c r="L62">
        <v>870734</v>
      </c>
      <c r="M62" t="str">
        <f t="shared" si="1"/>
        <v>Medium</v>
      </c>
      <c r="N62">
        <f>VLOOKUP(C62,Lookup!$A$2:$D$5,MATCH(M62,Lookup!$A$1:$D$1,0),FALSE)</f>
        <v>0.08</v>
      </c>
      <c r="O62">
        <f t="shared" si="2"/>
        <v>69658.720000000001</v>
      </c>
      <c r="P62" s="7">
        <f t="shared" si="3"/>
        <v>0.91132595767301239</v>
      </c>
      <c r="Q62" s="7">
        <f t="shared" si="4"/>
        <v>7357.5333333333338</v>
      </c>
      <c r="R62">
        <f t="shared" si="5"/>
        <v>1.2017160234928232</v>
      </c>
    </row>
    <row r="63" spans="1:18" x14ac:dyDescent="0.25">
      <c r="A63" t="s">
        <v>48</v>
      </c>
      <c r="B63" t="s">
        <v>49</v>
      </c>
      <c r="C63" t="s">
        <v>17</v>
      </c>
      <c r="D63">
        <v>11542</v>
      </c>
      <c r="E63" s="1">
        <v>43738</v>
      </c>
      <c r="F63" s="2">
        <f t="shared" si="0"/>
        <v>2019</v>
      </c>
      <c r="G63">
        <v>37</v>
      </c>
      <c r="H63" s="3">
        <v>225139</v>
      </c>
      <c r="I63">
        <v>29663</v>
      </c>
      <c r="J63">
        <v>225139</v>
      </c>
      <c r="K63">
        <v>197388</v>
      </c>
      <c r="L63">
        <v>191471</v>
      </c>
      <c r="M63" t="str">
        <f t="shared" si="1"/>
        <v>Medium</v>
      </c>
      <c r="N63">
        <f>VLOOKUP(C63,Lookup!$A$2:$D$5,MATCH(M63,Lookup!$A$1:$D$1,0),FALSE)</f>
        <v>8.5000000000000006E-2</v>
      </c>
      <c r="O63">
        <f t="shared" si="2"/>
        <v>16275.035000000002</v>
      </c>
      <c r="P63" s="7">
        <f t="shared" si="3"/>
        <v>0.87673837051776904</v>
      </c>
      <c r="Q63" s="7">
        <f t="shared" si="4"/>
        <v>6084.8378378378375</v>
      </c>
      <c r="R63">
        <f t="shared" si="5"/>
        <v>1.8226074475415872</v>
      </c>
    </row>
    <row r="64" spans="1:18" x14ac:dyDescent="0.25">
      <c r="A64" t="s">
        <v>48</v>
      </c>
      <c r="B64" t="s">
        <v>49</v>
      </c>
      <c r="C64" t="s">
        <v>17</v>
      </c>
      <c r="D64">
        <v>11542</v>
      </c>
      <c r="E64" s="1">
        <v>44104</v>
      </c>
      <c r="F64" s="2">
        <f t="shared" si="0"/>
        <v>2020</v>
      </c>
      <c r="G64">
        <v>38</v>
      </c>
      <c r="H64" s="3">
        <v>238636</v>
      </c>
      <c r="I64">
        <v>9519</v>
      </c>
      <c r="J64">
        <v>238636</v>
      </c>
      <c r="K64">
        <v>209758</v>
      </c>
      <c r="L64">
        <v>198309</v>
      </c>
      <c r="M64" t="str">
        <f t="shared" si="1"/>
        <v>Medium</v>
      </c>
      <c r="N64">
        <f>VLOOKUP(C64,Lookup!$A$2:$D$5,MATCH(M64,Lookup!$A$1:$D$1,0),FALSE)</f>
        <v>8.5000000000000006E-2</v>
      </c>
      <c r="O64">
        <f t="shared" si="2"/>
        <v>16856.264999999999</v>
      </c>
      <c r="P64" s="7">
        <f t="shared" si="3"/>
        <v>0.87898724417103868</v>
      </c>
      <c r="Q64" s="7">
        <f t="shared" si="4"/>
        <v>6279.894736842105</v>
      </c>
      <c r="R64">
        <f t="shared" si="5"/>
        <v>0.56471584897366056</v>
      </c>
    </row>
    <row r="65" spans="1:18" x14ac:dyDescent="0.25">
      <c r="A65" t="s">
        <v>48</v>
      </c>
      <c r="B65" t="s">
        <v>49</v>
      </c>
      <c r="C65" t="s">
        <v>17</v>
      </c>
      <c r="D65">
        <v>11542</v>
      </c>
      <c r="E65" s="1">
        <v>44469</v>
      </c>
      <c r="F65" s="2">
        <f t="shared" si="0"/>
        <v>2021</v>
      </c>
      <c r="G65">
        <v>35</v>
      </c>
      <c r="H65" s="3">
        <v>255238</v>
      </c>
      <c r="I65">
        <v>48243</v>
      </c>
      <c r="J65">
        <v>255238</v>
      </c>
      <c r="K65">
        <v>223967</v>
      </c>
      <c r="L65">
        <v>218209</v>
      </c>
      <c r="M65" t="str">
        <f t="shared" si="1"/>
        <v>Medium</v>
      </c>
      <c r="N65">
        <f>VLOOKUP(C65,Lookup!$A$2:$D$5,MATCH(M65,Lookup!$A$1:$D$1,0),FALSE)</f>
        <v>8.5000000000000006E-2</v>
      </c>
      <c r="O65">
        <f t="shared" si="2"/>
        <v>18547.765000000003</v>
      </c>
      <c r="P65" s="7">
        <f t="shared" si="3"/>
        <v>0.87748297667275243</v>
      </c>
      <c r="Q65" s="7">
        <f t="shared" si="4"/>
        <v>7292.5142857142855</v>
      </c>
      <c r="R65">
        <f t="shared" si="5"/>
        <v>2.6010141922759962</v>
      </c>
    </row>
    <row r="66" spans="1:18" x14ac:dyDescent="0.25">
      <c r="A66" t="s">
        <v>50</v>
      </c>
      <c r="B66" t="s">
        <v>51</v>
      </c>
      <c r="C66" t="s">
        <v>8</v>
      </c>
      <c r="D66">
        <v>60098</v>
      </c>
      <c r="E66" s="1">
        <v>43738</v>
      </c>
      <c r="F66" s="2">
        <f t="shared" ref="F66:F129" si="6">YEAR(E66)</f>
        <v>2019</v>
      </c>
      <c r="G66">
        <v>61</v>
      </c>
      <c r="H66" s="3">
        <v>580848</v>
      </c>
      <c r="I66">
        <v>87102</v>
      </c>
      <c r="J66">
        <v>580848</v>
      </c>
      <c r="K66">
        <v>505184</v>
      </c>
      <c r="L66">
        <v>502323</v>
      </c>
      <c r="M66" t="str">
        <f t="shared" ref="M66:M129" si="7">IF(H66&gt;1000000,"Large",IF(H66&lt;100000,"Small","Medium"))</f>
        <v>Medium</v>
      </c>
      <c r="N66">
        <f>VLOOKUP(C66,Lookup!$A$2:$D$5,MATCH(M66,Lookup!$A$1:$D$1,0),FALSE)</f>
        <v>0.08</v>
      </c>
      <c r="O66">
        <f t="shared" ref="O66:O129" si="8">L66*N66</f>
        <v>40185.840000000004</v>
      </c>
      <c r="P66" s="7">
        <f t="shared" ref="P66:P129" si="9">K66/H66</f>
        <v>0.86973528358537866</v>
      </c>
      <c r="Q66" s="7">
        <f t="shared" ref="Q66:Q129" si="10">H66/G66</f>
        <v>9522.0983606557384</v>
      </c>
      <c r="R66">
        <f t="shared" ref="R66:R129" si="11">I66/O66</f>
        <v>2.1674798884383155</v>
      </c>
    </row>
    <row r="67" spans="1:18" x14ac:dyDescent="0.25">
      <c r="A67" t="s">
        <v>50</v>
      </c>
      <c r="B67" t="s">
        <v>51</v>
      </c>
      <c r="C67" t="s">
        <v>8</v>
      </c>
      <c r="D67">
        <v>60098</v>
      </c>
      <c r="E67" s="1">
        <v>44104</v>
      </c>
      <c r="F67" s="2">
        <f t="shared" si="6"/>
        <v>2020</v>
      </c>
      <c r="G67">
        <v>61</v>
      </c>
      <c r="H67" s="3">
        <v>786025</v>
      </c>
      <c r="I67">
        <v>59620</v>
      </c>
      <c r="J67">
        <v>786025</v>
      </c>
      <c r="K67">
        <v>708234</v>
      </c>
      <c r="L67">
        <v>685489</v>
      </c>
      <c r="M67" t="str">
        <f t="shared" si="7"/>
        <v>Medium</v>
      </c>
      <c r="N67">
        <f>VLOOKUP(C67,Lookup!$A$2:$D$5,MATCH(M67,Lookup!$A$1:$D$1,0),FALSE)</f>
        <v>0.08</v>
      </c>
      <c r="O67">
        <f t="shared" si="8"/>
        <v>54839.12</v>
      </c>
      <c r="P67" s="7">
        <f t="shared" si="9"/>
        <v>0.90103240991062628</v>
      </c>
      <c r="Q67" s="7">
        <f t="shared" si="10"/>
        <v>12885.655737704918</v>
      </c>
      <c r="R67">
        <f t="shared" si="11"/>
        <v>1.0871801006288941</v>
      </c>
    </row>
    <row r="68" spans="1:18" x14ac:dyDescent="0.25">
      <c r="A68" t="s">
        <v>50</v>
      </c>
      <c r="B68" t="s">
        <v>51</v>
      </c>
      <c r="C68" t="s">
        <v>8</v>
      </c>
      <c r="D68">
        <v>60098</v>
      </c>
      <c r="E68" s="1">
        <v>44469</v>
      </c>
      <c r="F68" s="2">
        <f t="shared" si="6"/>
        <v>2021</v>
      </c>
      <c r="G68">
        <v>69</v>
      </c>
      <c r="H68" s="3">
        <v>861402</v>
      </c>
      <c r="I68">
        <v>151776</v>
      </c>
      <c r="J68">
        <v>861402</v>
      </c>
      <c r="K68">
        <v>773200</v>
      </c>
      <c r="L68">
        <v>766337</v>
      </c>
      <c r="M68" t="str">
        <f t="shared" si="7"/>
        <v>Medium</v>
      </c>
      <c r="N68">
        <f>VLOOKUP(C68,Lookup!$A$2:$D$5,MATCH(M68,Lookup!$A$1:$D$1,0),FALSE)</f>
        <v>0.08</v>
      </c>
      <c r="O68">
        <f t="shared" si="8"/>
        <v>61306.96</v>
      </c>
      <c r="P68" s="7">
        <f t="shared" si="9"/>
        <v>0.89760646016610135</v>
      </c>
      <c r="Q68" s="7">
        <f t="shared" si="10"/>
        <v>12484.08695652174</v>
      </c>
      <c r="R68">
        <f t="shared" si="11"/>
        <v>2.4756732351432857</v>
      </c>
    </row>
    <row r="69" spans="1:18" x14ac:dyDescent="0.25">
      <c r="A69" t="s">
        <v>52</v>
      </c>
      <c r="B69" t="s">
        <v>53</v>
      </c>
      <c r="C69" t="s">
        <v>5</v>
      </c>
      <c r="D69">
        <v>91748</v>
      </c>
      <c r="E69" s="1">
        <v>43738</v>
      </c>
      <c r="F69" s="2">
        <f t="shared" si="6"/>
        <v>2019</v>
      </c>
      <c r="G69">
        <v>41</v>
      </c>
      <c r="H69" s="3">
        <v>268311</v>
      </c>
      <c r="I69">
        <v>23480</v>
      </c>
      <c r="J69">
        <v>268311</v>
      </c>
      <c r="K69">
        <v>233409</v>
      </c>
      <c r="L69">
        <v>232130</v>
      </c>
      <c r="M69" t="str">
        <f t="shared" si="7"/>
        <v>Medium</v>
      </c>
      <c r="N69">
        <f>VLOOKUP(C69,Lookup!$A$2:$D$5,MATCH(M69,Lookup!$A$1:$D$1,0),FALSE)</f>
        <v>0.09</v>
      </c>
      <c r="O69">
        <f t="shared" si="8"/>
        <v>20891.7</v>
      </c>
      <c r="P69" s="7">
        <f t="shared" si="9"/>
        <v>0.86991960821583914</v>
      </c>
      <c r="Q69" s="7">
        <f t="shared" si="10"/>
        <v>6544.1707317073169</v>
      </c>
      <c r="R69">
        <f t="shared" si="11"/>
        <v>1.1238913061167832</v>
      </c>
    </row>
    <row r="70" spans="1:18" x14ac:dyDescent="0.25">
      <c r="A70" t="s">
        <v>52</v>
      </c>
      <c r="B70" t="s">
        <v>53</v>
      </c>
      <c r="C70" t="s">
        <v>5</v>
      </c>
      <c r="D70">
        <v>91748</v>
      </c>
      <c r="E70" s="1">
        <v>44104</v>
      </c>
      <c r="F70" s="2">
        <f t="shared" si="6"/>
        <v>2020</v>
      </c>
      <c r="G70">
        <v>40</v>
      </c>
      <c r="H70" s="3">
        <v>299231</v>
      </c>
      <c r="I70">
        <v>61099</v>
      </c>
      <c r="J70">
        <v>299231</v>
      </c>
      <c r="K70">
        <v>262561</v>
      </c>
      <c r="L70">
        <v>241394</v>
      </c>
      <c r="M70" t="str">
        <f t="shared" si="7"/>
        <v>Medium</v>
      </c>
      <c r="N70">
        <f>VLOOKUP(C70,Lookup!$A$2:$D$5,MATCH(M70,Lookup!$A$1:$D$1,0),FALSE)</f>
        <v>0.09</v>
      </c>
      <c r="O70">
        <f t="shared" si="8"/>
        <v>21725.46</v>
      </c>
      <c r="P70" s="7">
        <f t="shared" si="9"/>
        <v>0.87745253666899481</v>
      </c>
      <c r="Q70" s="7">
        <f t="shared" si="10"/>
        <v>7480.7749999999996</v>
      </c>
      <c r="R70">
        <f t="shared" si="11"/>
        <v>2.8123225008814545</v>
      </c>
    </row>
    <row r="71" spans="1:18" x14ac:dyDescent="0.25">
      <c r="A71" t="s">
        <v>52</v>
      </c>
      <c r="B71" t="s">
        <v>53</v>
      </c>
      <c r="C71" t="s">
        <v>5</v>
      </c>
      <c r="D71">
        <v>91748</v>
      </c>
      <c r="E71" s="1">
        <v>44469</v>
      </c>
      <c r="F71" s="2">
        <f t="shared" si="6"/>
        <v>2021</v>
      </c>
      <c r="G71">
        <v>42</v>
      </c>
      <c r="H71" s="3">
        <v>329488</v>
      </c>
      <c r="I71">
        <v>93278</v>
      </c>
      <c r="J71">
        <v>329488</v>
      </c>
      <c r="K71">
        <v>289006</v>
      </c>
      <c r="L71">
        <v>276892</v>
      </c>
      <c r="M71" t="str">
        <f t="shared" si="7"/>
        <v>Medium</v>
      </c>
      <c r="N71">
        <f>VLOOKUP(C71,Lookup!$A$2:$D$5,MATCH(M71,Lookup!$A$1:$D$1,0),FALSE)</f>
        <v>0.09</v>
      </c>
      <c r="O71">
        <f t="shared" si="8"/>
        <v>24920.28</v>
      </c>
      <c r="P71" s="7">
        <f t="shared" si="9"/>
        <v>0.87713664837566163</v>
      </c>
      <c r="Q71" s="7">
        <f t="shared" si="10"/>
        <v>7844.9523809523807</v>
      </c>
      <c r="R71">
        <f t="shared" si="11"/>
        <v>3.7430558565152561</v>
      </c>
    </row>
    <row r="72" spans="1:18" x14ac:dyDescent="0.25">
      <c r="A72" t="s">
        <v>54</v>
      </c>
      <c r="B72" t="s">
        <v>55</v>
      </c>
      <c r="C72" t="s">
        <v>8</v>
      </c>
      <c r="D72">
        <v>60177</v>
      </c>
      <c r="E72" s="1">
        <v>43738</v>
      </c>
      <c r="F72" s="2">
        <f t="shared" si="6"/>
        <v>2019</v>
      </c>
      <c r="G72">
        <v>27</v>
      </c>
      <c r="H72" s="3">
        <v>274254</v>
      </c>
      <c r="I72">
        <v>42661</v>
      </c>
      <c r="J72">
        <v>274254</v>
      </c>
      <c r="K72">
        <v>252421</v>
      </c>
      <c r="L72">
        <v>245882</v>
      </c>
      <c r="M72" t="str">
        <f t="shared" si="7"/>
        <v>Medium</v>
      </c>
      <c r="N72">
        <f>VLOOKUP(C72,Lookup!$A$2:$D$5,MATCH(M72,Lookup!$A$1:$D$1,0),FALSE)</f>
        <v>0.08</v>
      </c>
      <c r="O72">
        <f t="shared" si="8"/>
        <v>19670.560000000001</v>
      </c>
      <c r="P72" s="7">
        <f t="shared" si="9"/>
        <v>0.92039131607925495</v>
      </c>
      <c r="Q72" s="7">
        <f t="shared" si="10"/>
        <v>10157.555555555555</v>
      </c>
      <c r="R72">
        <f t="shared" si="11"/>
        <v>2.1687740460871474</v>
      </c>
    </row>
    <row r="73" spans="1:18" x14ac:dyDescent="0.25">
      <c r="A73" t="s">
        <v>54</v>
      </c>
      <c r="B73" t="s">
        <v>55</v>
      </c>
      <c r="C73" t="s">
        <v>8</v>
      </c>
      <c r="D73">
        <v>60177</v>
      </c>
      <c r="E73" s="1">
        <v>44104</v>
      </c>
      <c r="F73" s="2">
        <f t="shared" si="6"/>
        <v>2020</v>
      </c>
      <c r="G73">
        <v>21</v>
      </c>
      <c r="H73" s="3">
        <v>256806</v>
      </c>
      <c r="I73">
        <v>17142</v>
      </c>
      <c r="J73">
        <v>256806</v>
      </c>
      <c r="K73">
        <v>233458</v>
      </c>
      <c r="L73">
        <v>223869</v>
      </c>
      <c r="M73" t="str">
        <f t="shared" si="7"/>
        <v>Medium</v>
      </c>
      <c r="N73">
        <f>VLOOKUP(C73,Lookup!$A$2:$D$5,MATCH(M73,Lookup!$A$1:$D$1,0),FALSE)</f>
        <v>0.08</v>
      </c>
      <c r="O73">
        <f t="shared" si="8"/>
        <v>17909.52</v>
      </c>
      <c r="P73" s="7">
        <f t="shared" si="9"/>
        <v>0.90908312111087752</v>
      </c>
      <c r="Q73" s="7">
        <f t="shared" si="10"/>
        <v>12228.857142857143</v>
      </c>
      <c r="R73">
        <f t="shared" si="11"/>
        <v>0.95714458008924863</v>
      </c>
    </row>
    <row r="74" spans="1:18" x14ac:dyDescent="0.25">
      <c r="A74" t="s">
        <v>54</v>
      </c>
      <c r="B74" t="s">
        <v>55</v>
      </c>
      <c r="C74" t="s">
        <v>8</v>
      </c>
      <c r="D74">
        <v>60177</v>
      </c>
      <c r="E74" s="1">
        <v>44469</v>
      </c>
      <c r="F74" s="2">
        <f t="shared" si="6"/>
        <v>2021</v>
      </c>
      <c r="G74">
        <v>28</v>
      </c>
      <c r="H74" s="3">
        <v>357777</v>
      </c>
      <c r="I74">
        <v>66697</v>
      </c>
      <c r="J74">
        <v>357777</v>
      </c>
      <c r="K74">
        <v>325971</v>
      </c>
      <c r="L74">
        <v>315748</v>
      </c>
      <c r="M74" t="str">
        <f t="shared" si="7"/>
        <v>Medium</v>
      </c>
      <c r="N74">
        <f>VLOOKUP(C74,Lookup!$A$2:$D$5,MATCH(M74,Lookup!$A$1:$D$1,0),FALSE)</f>
        <v>0.08</v>
      </c>
      <c r="O74">
        <f t="shared" si="8"/>
        <v>25259.84</v>
      </c>
      <c r="P74" s="7">
        <f t="shared" si="9"/>
        <v>0.91110104897743571</v>
      </c>
      <c r="Q74" s="7">
        <f t="shared" si="10"/>
        <v>12777.75</v>
      </c>
      <c r="R74">
        <f t="shared" si="11"/>
        <v>2.6404363606420311</v>
      </c>
    </row>
    <row r="75" spans="1:18" x14ac:dyDescent="0.25">
      <c r="A75" t="s">
        <v>56</v>
      </c>
      <c r="B75" t="s">
        <v>28</v>
      </c>
      <c r="C75" t="s">
        <v>8</v>
      </c>
      <c r="D75">
        <v>60647</v>
      </c>
      <c r="E75" s="1">
        <v>43738</v>
      </c>
      <c r="F75" s="2">
        <f t="shared" si="6"/>
        <v>2019</v>
      </c>
      <c r="G75">
        <v>8</v>
      </c>
      <c r="H75" s="3">
        <v>97208</v>
      </c>
      <c r="I75">
        <v>12679</v>
      </c>
      <c r="J75">
        <v>97208</v>
      </c>
      <c r="K75">
        <v>87265</v>
      </c>
      <c r="L75">
        <v>86169</v>
      </c>
      <c r="M75" t="str">
        <f t="shared" si="7"/>
        <v>Small</v>
      </c>
      <c r="N75">
        <f>VLOOKUP(C75,Lookup!$A$2:$D$5,MATCH(M75,Lookup!$A$1:$D$1,0),FALSE)</f>
        <v>0.09</v>
      </c>
      <c r="O75">
        <f t="shared" si="8"/>
        <v>7755.21</v>
      </c>
      <c r="P75" s="7">
        <f t="shared" si="9"/>
        <v>0.8977141799028886</v>
      </c>
      <c r="Q75" s="7">
        <f t="shared" si="10"/>
        <v>12151</v>
      </c>
      <c r="R75">
        <f t="shared" si="11"/>
        <v>1.6349009246687065</v>
      </c>
    </row>
    <row r="76" spans="1:18" x14ac:dyDescent="0.25">
      <c r="A76" t="s">
        <v>56</v>
      </c>
      <c r="B76" t="s">
        <v>28</v>
      </c>
      <c r="C76" t="s">
        <v>8</v>
      </c>
      <c r="D76">
        <v>60647</v>
      </c>
      <c r="E76" s="1">
        <v>44104</v>
      </c>
      <c r="F76" s="2">
        <f t="shared" si="6"/>
        <v>2020</v>
      </c>
      <c r="G76">
        <v>6</v>
      </c>
      <c r="H76" s="3">
        <v>87543</v>
      </c>
      <c r="I76">
        <v>17775</v>
      </c>
      <c r="J76">
        <v>87543</v>
      </c>
      <c r="K76">
        <v>77994</v>
      </c>
      <c r="L76">
        <v>73220</v>
      </c>
      <c r="M76" t="str">
        <f t="shared" si="7"/>
        <v>Small</v>
      </c>
      <c r="N76">
        <f>VLOOKUP(C76,Lookup!$A$2:$D$5,MATCH(M76,Lookup!$A$1:$D$1,0),FALSE)</f>
        <v>0.09</v>
      </c>
      <c r="O76">
        <f t="shared" si="8"/>
        <v>6589.8</v>
      </c>
      <c r="P76" s="7">
        <f t="shared" si="9"/>
        <v>0.89092217538809504</v>
      </c>
      <c r="Q76" s="7">
        <f t="shared" si="10"/>
        <v>14590.5</v>
      </c>
      <c r="R76">
        <f t="shared" si="11"/>
        <v>2.6973504506965309</v>
      </c>
    </row>
    <row r="77" spans="1:18" x14ac:dyDescent="0.25">
      <c r="A77" t="s">
        <v>57</v>
      </c>
      <c r="B77" t="s">
        <v>28</v>
      </c>
      <c r="C77" t="s">
        <v>8</v>
      </c>
      <c r="D77">
        <v>60640</v>
      </c>
      <c r="E77" s="1">
        <v>43738</v>
      </c>
      <c r="F77" s="2">
        <f t="shared" si="6"/>
        <v>2019</v>
      </c>
      <c r="G77">
        <v>19</v>
      </c>
      <c r="H77" s="3">
        <v>81415</v>
      </c>
      <c r="I77">
        <v>13730</v>
      </c>
      <c r="J77">
        <v>81415</v>
      </c>
      <c r="K77">
        <v>72667</v>
      </c>
      <c r="L77">
        <v>67119</v>
      </c>
      <c r="M77" t="str">
        <f t="shared" si="7"/>
        <v>Small</v>
      </c>
      <c r="N77">
        <f>VLOOKUP(C77,Lookup!$A$2:$D$5,MATCH(M77,Lookup!$A$1:$D$1,0),FALSE)</f>
        <v>0.09</v>
      </c>
      <c r="O77">
        <f t="shared" si="8"/>
        <v>6040.71</v>
      </c>
      <c r="P77" s="7">
        <f t="shared" si="9"/>
        <v>0.89255051280476572</v>
      </c>
      <c r="Q77" s="7">
        <f t="shared" si="10"/>
        <v>4285</v>
      </c>
      <c r="R77">
        <f t="shared" si="11"/>
        <v>2.2729116279377757</v>
      </c>
    </row>
    <row r="78" spans="1:18" x14ac:dyDescent="0.25">
      <c r="A78" t="s">
        <v>57</v>
      </c>
      <c r="B78" t="s">
        <v>28</v>
      </c>
      <c r="C78" t="s">
        <v>8</v>
      </c>
      <c r="D78">
        <v>60640</v>
      </c>
      <c r="E78" s="1">
        <v>44104</v>
      </c>
      <c r="F78" s="2">
        <f t="shared" si="6"/>
        <v>2020</v>
      </c>
      <c r="G78">
        <v>15</v>
      </c>
      <c r="H78" s="3">
        <v>85914</v>
      </c>
      <c r="I78">
        <v>23505</v>
      </c>
      <c r="J78">
        <v>85914</v>
      </c>
      <c r="K78">
        <v>76709</v>
      </c>
      <c r="L78">
        <v>67323</v>
      </c>
      <c r="M78" t="str">
        <f t="shared" si="7"/>
        <v>Small</v>
      </c>
      <c r="N78">
        <f>VLOOKUP(C78,Lookup!$A$2:$D$5,MATCH(M78,Lookup!$A$1:$D$1,0),FALSE)</f>
        <v>0.09</v>
      </c>
      <c r="O78">
        <f t="shared" si="8"/>
        <v>6059.07</v>
      </c>
      <c r="P78" s="7">
        <f t="shared" si="9"/>
        <v>0.89285797425332314</v>
      </c>
      <c r="Q78" s="7">
        <f t="shared" si="10"/>
        <v>5727.6</v>
      </c>
      <c r="R78">
        <f t="shared" si="11"/>
        <v>3.8793082106659935</v>
      </c>
    </row>
    <row r="79" spans="1:18" x14ac:dyDescent="0.25">
      <c r="A79" t="s">
        <v>57</v>
      </c>
      <c r="B79" t="s">
        <v>28</v>
      </c>
      <c r="C79" t="s">
        <v>8</v>
      </c>
      <c r="D79">
        <v>60640</v>
      </c>
      <c r="E79" s="1">
        <v>44469</v>
      </c>
      <c r="F79" s="2">
        <f t="shared" si="6"/>
        <v>2021</v>
      </c>
      <c r="G79">
        <v>16</v>
      </c>
      <c r="H79" s="3">
        <v>88081</v>
      </c>
      <c r="I79">
        <v>24836</v>
      </c>
      <c r="J79">
        <v>88081</v>
      </c>
      <c r="K79">
        <v>78236</v>
      </c>
      <c r="L79">
        <v>67924</v>
      </c>
      <c r="M79" t="str">
        <f t="shared" si="7"/>
        <v>Small</v>
      </c>
      <c r="N79">
        <f>VLOOKUP(C79,Lookup!$A$2:$D$5,MATCH(M79,Lookup!$A$1:$D$1,0),FALSE)</f>
        <v>0.09</v>
      </c>
      <c r="O79">
        <f t="shared" si="8"/>
        <v>6113.16</v>
      </c>
      <c r="P79" s="7">
        <f t="shared" si="9"/>
        <v>0.88822788115484608</v>
      </c>
      <c r="Q79" s="7">
        <f t="shared" si="10"/>
        <v>5505.0625</v>
      </c>
      <c r="R79">
        <f t="shared" si="11"/>
        <v>4.0627106112059881</v>
      </c>
    </row>
    <row r="80" spans="1:18" x14ac:dyDescent="0.25">
      <c r="A80" t="s">
        <v>58</v>
      </c>
      <c r="B80" t="s">
        <v>59</v>
      </c>
      <c r="C80" t="s">
        <v>5</v>
      </c>
      <c r="D80">
        <v>91007</v>
      </c>
      <c r="E80" s="1">
        <v>43738</v>
      </c>
      <c r="F80" s="2">
        <f t="shared" si="6"/>
        <v>2019</v>
      </c>
      <c r="G80">
        <v>44</v>
      </c>
      <c r="H80" s="3">
        <v>565881</v>
      </c>
      <c r="I80">
        <v>14874</v>
      </c>
      <c r="J80">
        <v>565881</v>
      </c>
      <c r="K80">
        <v>486410</v>
      </c>
      <c r="L80">
        <v>477394</v>
      </c>
      <c r="M80" t="str">
        <f t="shared" si="7"/>
        <v>Medium</v>
      </c>
      <c r="N80">
        <f>VLOOKUP(C80,Lookup!$A$2:$D$5,MATCH(M80,Lookup!$A$1:$D$1,0),FALSE)</f>
        <v>0.09</v>
      </c>
      <c r="O80">
        <f t="shared" si="8"/>
        <v>42965.46</v>
      </c>
      <c r="P80" s="7">
        <f t="shared" si="9"/>
        <v>0.85956234614698146</v>
      </c>
      <c r="Q80" s="7">
        <f t="shared" si="10"/>
        <v>12860.931818181818</v>
      </c>
      <c r="R80">
        <f t="shared" si="11"/>
        <v>0.3461850518998284</v>
      </c>
    </row>
    <row r="81" spans="1:18" x14ac:dyDescent="0.25">
      <c r="A81" t="s">
        <v>58</v>
      </c>
      <c r="B81" t="s">
        <v>59</v>
      </c>
      <c r="C81" t="s">
        <v>5</v>
      </c>
      <c r="D81">
        <v>91007</v>
      </c>
      <c r="E81" s="1">
        <v>44104</v>
      </c>
      <c r="F81" s="2">
        <f t="shared" si="6"/>
        <v>2020</v>
      </c>
      <c r="G81">
        <v>45</v>
      </c>
      <c r="H81" s="3">
        <v>576256</v>
      </c>
      <c r="I81">
        <v>19860</v>
      </c>
      <c r="J81">
        <v>576256</v>
      </c>
      <c r="K81">
        <v>490014</v>
      </c>
      <c r="L81">
        <v>472199</v>
      </c>
      <c r="M81" t="str">
        <f t="shared" si="7"/>
        <v>Medium</v>
      </c>
      <c r="N81">
        <f>VLOOKUP(C81,Lookup!$A$2:$D$5,MATCH(M81,Lookup!$A$1:$D$1,0),FALSE)</f>
        <v>0.09</v>
      </c>
      <c r="O81">
        <f t="shared" si="8"/>
        <v>42497.909999999996</v>
      </c>
      <c r="P81" s="7">
        <f t="shared" si="9"/>
        <v>0.85034082074633499</v>
      </c>
      <c r="Q81" s="7">
        <f t="shared" si="10"/>
        <v>12805.68888888889</v>
      </c>
      <c r="R81">
        <f t="shared" si="11"/>
        <v>0.46731709865261611</v>
      </c>
    </row>
    <row r="82" spans="1:18" x14ac:dyDescent="0.25">
      <c r="A82" t="s">
        <v>58</v>
      </c>
      <c r="B82" t="s">
        <v>59</v>
      </c>
      <c r="C82" t="s">
        <v>5</v>
      </c>
      <c r="D82">
        <v>91007</v>
      </c>
      <c r="E82" s="1">
        <v>44469</v>
      </c>
      <c r="F82" s="2">
        <f t="shared" si="6"/>
        <v>2021</v>
      </c>
      <c r="G82">
        <v>44</v>
      </c>
      <c r="H82" s="3">
        <v>584019</v>
      </c>
      <c r="I82">
        <v>15147</v>
      </c>
      <c r="J82">
        <v>584019</v>
      </c>
      <c r="K82">
        <v>486338</v>
      </c>
      <c r="L82">
        <v>481990</v>
      </c>
      <c r="M82" t="str">
        <f t="shared" si="7"/>
        <v>Medium</v>
      </c>
      <c r="N82">
        <f>VLOOKUP(C82,Lookup!$A$2:$D$5,MATCH(M82,Lookup!$A$1:$D$1,0),FALSE)</f>
        <v>0.09</v>
      </c>
      <c r="O82">
        <f t="shared" si="8"/>
        <v>43379.1</v>
      </c>
      <c r="P82" s="7">
        <f t="shared" si="9"/>
        <v>0.83274345526429794</v>
      </c>
      <c r="Q82" s="7">
        <f t="shared" si="10"/>
        <v>13273.15909090909</v>
      </c>
      <c r="R82">
        <f t="shared" si="11"/>
        <v>0.34917736882507938</v>
      </c>
    </row>
    <row r="83" spans="1:18" x14ac:dyDescent="0.25">
      <c r="A83" t="s">
        <v>60</v>
      </c>
      <c r="B83" t="s">
        <v>61</v>
      </c>
      <c r="C83" t="s">
        <v>5</v>
      </c>
      <c r="D83">
        <v>95815</v>
      </c>
      <c r="E83" s="1">
        <v>43738</v>
      </c>
      <c r="F83" s="2">
        <f t="shared" si="6"/>
        <v>2019</v>
      </c>
      <c r="G83">
        <v>104</v>
      </c>
      <c r="H83" s="3">
        <v>721743</v>
      </c>
      <c r="I83">
        <v>29489</v>
      </c>
      <c r="J83">
        <v>721742</v>
      </c>
      <c r="K83">
        <v>638248</v>
      </c>
      <c r="L83">
        <v>612957</v>
      </c>
      <c r="M83" t="str">
        <f t="shared" si="7"/>
        <v>Medium</v>
      </c>
      <c r="N83">
        <f>VLOOKUP(C83,Lookup!$A$2:$D$5,MATCH(M83,Lookup!$A$1:$D$1,0),FALSE)</f>
        <v>0.09</v>
      </c>
      <c r="O83">
        <f t="shared" si="8"/>
        <v>55166.13</v>
      </c>
      <c r="P83" s="7">
        <f t="shared" si="9"/>
        <v>0.88431477686655779</v>
      </c>
      <c r="Q83" s="7">
        <f t="shared" si="10"/>
        <v>6939.8365384615381</v>
      </c>
      <c r="R83">
        <f t="shared" si="11"/>
        <v>0.53454900679094219</v>
      </c>
    </row>
    <row r="84" spans="1:18" x14ac:dyDescent="0.25">
      <c r="A84" t="s">
        <v>60</v>
      </c>
      <c r="B84" t="s">
        <v>61</v>
      </c>
      <c r="C84" t="s">
        <v>5</v>
      </c>
      <c r="D84">
        <v>95815</v>
      </c>
      <c r="E84" s="1">
        <v>44104</v>
      </c>
      <c r="F84" s="2">
        <f t="shared" si="6"/>
        <v>2020</v>
      </c>
      <c r="G84">
        <v>101</v>
      </c>
      <c r="H84" s="3">
        <v>858463</v>
      </c>
      <c r="I84">
        <v>73351</v>
      </c>
      <c r="J84">
        <v>858463</v>
      </c>
      <c r="K84">
        <v>766122</v>
      </c>
      <c r="L84">
        <v>728925</v>
      </c>
      <c r="M84" t="str">
        <f t="shared" si="7"/>
        <v>Medium</v>
      </c>
      <c r="N84">
        <f>VLOOKUP(C84,Lookup!$A$2:$D$5,MATCH(M84,Lookup!$A$1:$D$1,0),FALSE)</f>
        <v>0.09</v>
      </c>
      <c r="O84">
        <f t="shared" si="8"/>
        <v>65603.25</v>
      </c>
      <c r="P84" s="7">
        <f t="shared" si="9"/>
        <v>0.89243450212763975</v>
      </c>
      <c r="Q84" s="7">
        <f t="shared" si="10"/>
        <v>8499.6336633663359</v>
      </c>
      <c r="R84">
        <f t="shared" si="11"/>
        <v>1.1181000941264343</v>
      </c>
    </row>
    <row r="85" spans="1:18" x14ac:dyDescent="0.25">
      <c r="A85" t="s">
        <v>62</v>
      </c>
      <c r="B85" t="s">
        <v>63</v>
      </c>
      <c r="C85" t="s">
        <v>5</v>
      </c>
      <c r="D85">
        <v>93101</v>
      </c>
      <c r="E85" s="1">
        <v>43738</v>
      </c>
      <c r="F85" s="2">
        <f t="shared" si="6"/>
        <v>2019</v>
      </c>
      <c r="G85">
        <v>112</v>
      </c>
      <c r="H85" s="3">
        <v>697342</v>
      </c>
      <c r="I85">
        <v>79101</v>
      </c>
      <c r="J85">
        <v>697343</v>
      </c>
      <c r="K85">
        <v>622801</v>
      </c>
      <c r="L85">
        <v>603276</v>
      </c>
      <c r="M85" t="str">
        <f t="shared" si="7"/>
        <v>Medium</v>
      </c>
      <c r="N85">
        <f>VLOOKUP(C85,Lookup!$A$2:$D$5,MATCH(M85,Lookup!$A$1:$D$1,0),FALSE)</f>
        <v>0.09</v>
      </c>
      <c r="O85">
        <f t="shared" si="8"/>
        <v>54294.84</v>
      </c>
      <c r="P85" s="7">
        <f t="shared" si="9"/>
        <v>0.89310696903384568</v>
      </c>
      <c r="Q85" s="7">
        <f t="shared" si="10"/>
        <v>6226.2678571428569</v>
      </c>
      <c r="R85">
        <f t="shared" si="11"/>
        <v>1.4568787752206287</v>
      </c>
    </row>
    <row r="86" spans="1:18" x14ac:dyDescent="0.25">
      <c r="A86" t="s">
        <v>62</v>
      </c>
      <c r="B86" t="s">
        <v>63</v>
      </c>
      <c r="C86" t="s">
        <v>5</v>
      </c>
      <c r="D86">
        <v>93101</v>
      </c>
      <c r="E86" s="1">
        <v>44104</v>
      </c>
      <c r="F86" s="2">
        <f t="shared" si="6"/>
        <v>2020</v>
      </c>
      <c r="G86">
        <v>117</v>
      </c>
      <c r="H86" s="3">
        <v>930169</v>
      </c>
      <c r="I86">
        <v>106335</v>
      </c>
      <c r="J86">
        <v>930169</v>
      </c>
      <c r="K86">
        <v>848068</v>
      </c>
      <c r="L86">
        <v>828805</v>
      </c>
      <c r="M86" t="str">
        <f t="shared" si="7"/>
        <v>Medium</v>
      </c>
      <c r="N86">
        <f>VLOOKUP(C86,Lookup!$A$2:$D$5,MATCH(M86,Lookup!$A$1:$D$1,0),FALSE)</f>
        <v>0.09</v>
      </c>
      <c r="O86">
        <f t="shared" si="8"/>
        <v>74592.45</v>
      </c>
      <c r="P86" s="7">
        <f t="shared" si="9"/>
        <v>0.91173539432081696</v>
      </c>
      <c r="Q86" s="7">
        <f t="shared" si="10"/>
        <v>7950.1623931623935</v>
      </c>
      <c r="R86">
        <f t="shared" si="11"/>
        <v>1.4255464192421619</v>
      </c>
    </row>
    <row r="87" spans="1:18" x14ac:dyDescent="0.25">
      <c r="A87" t="s">
        <v>62</v>
      </c>
      <c r="B87" t="s">
        <v>63</v>
      </c>
      <c r="C87" t="s">
        <v>5</v>
      </c>
      <c r="D87">
        <v>93101</v>
      </c>
      <c r="E87" s="1">
        <v>44469</v>
      </c>
      <c r="F87" s="2">
        <f t="shared" si="6"/>
        <v>2021</v>
      </c>
      <c r="G87">
        <v>116</v>
      </c>
      <c r="H87" s="3">
        <v>1218275</v>
      </c>
      <c r="I87">
        <v>262964</v>
      </c>
      <c r="J87">
        <v>1218275</v>
      </c>
      <c r="K87">
        <v>1124456</v>
      </c>
      <c r="L87">
        <v>1115678</v>
      </c>
      <c r="M87" t="str">
        <f t="shared" si="7"/>
        <v>Large</v>
      </c>
      <c r="N87">
        <f>VLOOKUP(C87,Lookup!$A$2:$D$5,MATCH(M87,Lookup!$A$1:$D$1,0),FALSE)</f>
        <v>0.08</v>
      </c>
      <c r="O87">
        <f t="shared" si="8"/>
        <v>89254.24</v>
      </c>
      <c r="P87" s="7">
        <f t="shared" si="9"/>
        <v>0.92299029365291085</v>
      </c>
      <c r="Q87" s="7">
        <f t="shared" si="10"/>
        <v>10502.370689655172</v>
      </c>
      <c r="R87">
        <f t="shared" si="11"/>
        <v>2.9462353833274473</v>
      </c>
    </row>
    <row r="88" spans="1:18" x14ac:dyDescent="0.25">
      <c r="A88" t="s">
        <v>64</v>
      </c>
      <c r="B88" t="s">
        <v>65</v>
      </c>
      <c r="C88" t="s">
        <v>8</v>
      </c>
      <c r="D88">
        <v>61720</v>
      </c>
      <c r="E88" s="1">
        <v>43738</v>
      </c>
      <c r="F88" s="2">
        <f t="shared" si="6"/>
        <v>2019</v>
      </c>
      <c r="G88">
        <v>3</v>
      </c>
      <c r="H88" s="3">
        <v>16259</v>
      </c>
      <c r="I88">
        <v>3780</v>
      </c>
      <c r="J88">
        <v>16259</v>
      </c>
      <c r="K88">
        <v>14333</v>
      </c>
      <c r="L88">
        <v>14251</v>
      </c>
      <c r="M88" t="str">
        <f t="shared" si="7"/>
        <v>Small</v>
      </c>
      <c r="N88">
        <f>VLOOKUP(C88,Lookup!$A$2:$D$5,MATCH(M88,Lookup!$A$1:$D$1,0),FALSE)</f>
        <v>0.09</v>
      </c>
      <c r="O88">
        <f t="shared" si="8"/>
        <v>1282.5899999999999</v>
      </c>
      <c r="P88" s="7">
        <f t="shared" si="9"/>
        <v>0.88154253029091578</v>
      </c>
      <c r="Q88" s="7">
        <f t="shared" si="10"/>
        <v>5419.666666666667</v>
      </c>
      <c r="R88">
        <f t="shared" si="11"/>
        <v>2.947161602694548</v>
      </c>
    </row>
    <row r="89" spans="1:18" x14ac:dyDescent="0.25">
      <c r="A89" t="s">
        <v>64</v>
      </c>
      <c r="B89" t="s">
        <v>65</v>
      </c>
      <c r="C89" t="s">
        <v>8</v>
      </c>
      <c r="D89">
        <v>61720</v>
      </c>
      <c r="E89" s="1">
        <v>44104</v>
      </c>
      <c r="F89" s="2">
        <f t="shared" si="6"/>
        <v>2020</v>
      </c>
      <c r="G89">
        <v>4</v>
      </c>
      <c r="H89" s="3">
        <v>25690</v>
      </c>
      <c r="I89">
        <v>4048</v>
      </c>
      <c r="J89">
        <v>25690</v>
      </c>
      <c r="K89">
        <v>20964</v>
      </c>
      <c r="L89">
        <v>14530</v>
      </c>
      <c r="M89" t="str">
        <f t="shared" si="7"/>
        <v>Small</v>
      </c>
      <c r="N89">
        <f>VLOOKUP(C89,Lookup!$A$2:$D$5,MATCH(M89,Lookup!$A$1:$D$1,0),FALSE)</f>
        <v>0.09</v>
      </c>
      <c r="O89">
        <f t="shared" si="8"/>
        <v>1307.7</v>
      </c>
      <c r="P89" s="7">
        <f t="shared" si="9"/>
        <v>0.81603736862592446</v>
      </c>
      <c r="Q89" s="7">
        <f t="shared" si="10"/>
        <v>6422.5</v>
      </c>
      <c r="R89">
        <f t="shared" si="11"/>
        <v>3.0955112028752771</v>
      </c>
    </row>
    <row r="90" spans="1:18" x14ac:dyDescent="0.25">
      <c r="A90" t="s">
        <v>64</v>
      </c>
      <c r="B90" t="s">
        <v>65</v>
      </c>
      <c r="C90" t="s">
        <v>8</v>
      </c>
      <c r="D90">
        <v>61720</v>
      </c>
      <c r="E90" s="1">
        <v>44469</v>
      </c>
      <c r="F90" s="2">
        <f t="shared" si="6"/>
        <v>2021</v>
      </c>
      <c r="G90">
        <v>6</v>
      </c>
      <c r="H90" s="3">
        <v>31463</v>
      </c>
      <c r="I90">
        <v>2966</v>
      </c>
      <c r="J90">
        <v>31463</v>
      </c>
      <c r="K90">
        <v>26525</v>
      </c>
      <c r="L90">
        <v>21527</v>
      </c>
      <c r="M90" t="str">
        <f t="shared" si="7"/>
        <v>Small</v>
      </c>
      <c r="N90">
        <f>VLOOKUP(C90,Lookup!$A$2:$D$5,MATCH(M90,Lookup!$A$1:$D$1,0),FALSE)</f>
        <v>0.09</v>
      </c>
      <c r="O90">
        <f t="shared" si="8"/>
        <v>1937.4299999999998</v>
      </c>
      <c r="P90" s="7">
        <f t="shared" si="9"/>
        <v>0.84305374566951663</v>
      </c>
      <c r="Q90" s="7">
        <f t="shared" si="10"/>
        <v>5243.833333333333</v>
      </c>
      <c r="R90">
        <f t="shared" si="11"/>
        <v>1.5308940193968299</v>
      </c>
    </row>
    <row r="91" spans="1:18" x14ac:dyDescent="0.25">
      <c r="A91" t="s">
        <v>66</v>
      </c>
      <c r="B91" t="s">
        <v>67</v>
      </c>
      <c r="C91" t="s">
        <v>8</v>
      </c>
      <c r="D91">
        <v>61467</v>
      </c>
      <c r="E91" s="1">
        <v>43738</v>
      </c>
      <c r="F91" s="2">
        <f t="shared" si="6"/>
        <v>2019</v>
      </c>
      <c r="G91">
        <v>8</v>
      </c>
      <c r="H91" s="3">
        <v>89610</v>
      </c>
      <c r="I91">
        <v>21575</v>
      </c>
      <c r="J91">
        <v>89610</v>
      </c>
      <c r="K91">
        <v>75820</v>
      </c>
      <c r="L91">
        <v>75608</v>
      </c>
      <c r="M91" t="str">
        <f t="shared" si="7"/>
        <v>Small</v>
      </c>
      <c r="N91">
        <f>VLOOKUP(C91,Lookup!$A$2:$D$5,MATCH(M91,Lookup!$A$1:$D$1,0),FALSE)</f>
        <v>0.09</v>
      </c>
      <c r="O91">
        <f t="shared" si="8"/>
        <v>6804.7199999999993</v>
      </c>
      <c r="P91" s="7">
        <f t="shared" si="9"/>
        <v>0.84611092511996433</v>
      </c>
      <c r="Q91" s="7">
        <f t="shared" si="10"/>
        <v>11201.25</v>
      </c>
      <c r="R91">
        <f t="shared" si="11"/>
        <v>3.170593352849199</v>
      </c>
    </row>
    <row r="92" spans="1:18" x14ac:dyDescent="0.25">
      <c r="A92" t="s">
        <v>66</v>
      </c>
      <c r="B92" t="s">
        <v>67</v>
      </c>
      <c r="C92" t="s">
        <v>8</v>
      </c>
      <c r="D92">
        <v>61467</v>
      </c>
      <c r="E92" s="1">
        <v>44104</v>
      </c>
      <c r="F92" s="2">
        <f t="shared" si="6"/>
        <v>2020</v>
      </c>
      <c r="G92">
        <v>8</v>
      </c>
      <c r="H92" s="3">
        <v>97381</v>
      </c>
      <c r="I92">
        <v>23189</v>
      </c>
      <c r="J92">
        <v>97380</v>
      </c>
      <c r="K92">
        <v>82241</v>
      </c>
      <c r="L92">
        <v>82031</v>
      </c>
      <c r="M92" t="str">
        <f t="shared" si="7"/>
        <v>Small</v>
      </c>
      <c r="N92">
        <f>VLOOKUP(C92,Lookup!$A$2:$D$5,MATCH(M92,Lookup!$A$1:$D$1,0),FALSE)</f>
        <v>0.09</v>
      </c>
      <c r="O92">
        <f t="shared" si="8"/>
        <v>7382.79</v>
      </c>
      <c r="P92" s="7">
        <f t="shared" si="9"/>
        <v>0.8445281933847465</v>
      </c>
      <c r="Q92" s="7">
        <f t="shared" si="10"/>
        <v>12172.625</v>
      </c>
      <c r="R92">
        <f t="shared" si="11"/>
        <v>3.1409534877735923</v>
      </c>
    </row>
    <row r="93" spans="1:18" x14ac:dyDescent="0.25">
      <c r="A93" t="s">
        <v>66</v>
      </c>
      <c r="B93" t="s">
        <v>67</v>
      </c>
      <c r="C93" t="s">
        <v>8</v>
      </c>
      <c r="D93">
        <v>61467</v>
      </c>
      <c r="E93" s="1">
        <v>44469</v>
      </c>
      <c r="F93" s="2">
        <f t="shared" si="6"/>
        <v>2021</v>
      </c>
      <c r="G93">
        <v>8</v>
      </c>
      <c r="H93" s="3">
        <v>105211</v>
      </c>
      <c r="I93">
        <v>18225</v>
      </c>
      <c r="J93">
        <v>105211</v>
      </c>
      <c r="K93">
        <v>89799</v>
      </c>
      <c r="L93">
        <v>89625</v>
      </c>
      <c r="M93" t="str">
        <f t="shared" si="7"/>
        <v>Medium</v>
      </c>
      <c r="N93">
        <f>VLOOKUP(C93,Lookup!$A$2:$D$5,MATCH(M93,Lookup!$A$1:$D$1,0),FALSE)</f>
        <v>0.08</v>
      </c>
      <c r="O93">
        <f t="shared" si="8"/>
        <v>7170</v>
      </c>
      <c r="P93" s="7">
        <f t="shared" si="9"/>
        <v>0.85351341589757723</v>
      </c>
      <c r="Q93" s="7">
        <f t="shared" si="10"/>
        <v>13151.375</v>
      </c>
      <c r="R93">
        <f t="shared" si="11"/>
        <v>2.5418410041841004</v>
      </c>
    </row>
    <row r="94" spans="1:18" x14ac:dyDescent="0.25">
      <c r="A94" t="s">
        <v>68</v>
      </c>
      <c r="B94" t="s">
        <v>69</v>
      </c>
      <c r="C94" t="s">
        <v>8</v>
      </c>
      <c r="D94">
        <v>62906</v>
      </c>
      <c r="E94" s="1">
        <v>43738</v>
      </c>
      <c r="F94" s="2">
        <f t="shared" si="6"/>
        <v>2019</v>
      </c>
      <c r="G94">
        <v>19</v>
      </c>
      <c r="H94" s="3">
        <v>83705</v>
      </c>
      <c r="I94">
        <v>8478</v>
      </c>
      <c r="J94">
        <v>83705</v>
      </c>
      <c r="K94">
        <v>70482</v>
      </c>
      <c r="L94">
        <v>70353</v>
      </c>
      <c r="M94" t="str">
        <f t="shared" si="7"/>
        <v>Small</v>
      </c>
      <c r="N94">
        <f>VLOOKUP(C94,Lookup!$A$2:$D$5,MATCH(M94,Lookup!$A$1:$D$1,0),FALSE)</f>
        <v>0.09</v>
      </c>
      <c r="O94">
        <f t="shared" si="8"/>
        <v>6331.7699999999995</v>
      </c>
      <c r="P94" s="7">
        <f t="shared" si="9"/>
        <v>0.84202855265515797</v>
      </c>
      <c r="Q94" s="7">
        <f t="shared" si="10"/>
        <v>4405.5263157894733</v>
      </c>
      <c r="R94">
        <f t="shared" si="11"/>
        <v>1.3389620911688203</v>
      </c>
    </row>
    <row r="95" spans="1:18" x14ac:dyDescent="0.25">
      <c r="A95" t="s">
        <v>68</v>
      </c>
      <c r="B95" t="s">
        <v>69</v>
      </c>
      <c r="C95" t="s">
        <v>8</v>
      </c>
      <c r="D95">
        <v>62906</v>
      </c>
      <c r="E95" s="1">
        <v>44104</v>
      </c>
      <c r="F95" s="2">
        <f t="shared" si="6"/>
        <v>2020</v>
      </c>
      <c r="G95">
        <v>18</v>
      </c>
      <c r="H95" s="3">
        <v>95599</v>
      </c>
      <c r="I95">
        <v>7053</v>
      </c>
      <c r="J95">
        <v>95599</v>
      </c>
      <c r="K95">
        <v>82040</v>
      </c>
      <c r="L95">
        <v>81958</v>
      </c>
      <c r="M95" t="str">
        <f t="shared" si="7"/>
        <v>Small</v>
      </c>
      <c r="N95">
        <f>VLOOKUP(C95,Lookup!$A$2:$D$5,MATCH(M95,Lookup!$A$1:$D$1,0),FALSE)</f>
        <v>0.09</v>
      </c>
      <c r="O95">
        <f t="shared" si="8"/>
        <v>7376.2199999999993</v>
      </c>
      <c r="P95" s="7">
        <f t="shared" si="9"/>
        <v>0.85816797246833121</v>
      </c>
      <c r="Q95" s="7">
        <f t="shared" si="10"/>
        <v>5311.0555555555557</v>
      </c>
      <c r="R95">
        <f t="shared" si="11"/>
        <v>0.9561808080561589</v>
      </c>
    </row>
    <row r="96" spans="1:18" x14ac:dyDescent="0.25">
      <c r="A96" t="s">
        <v>68</v>
      </c>
      <c r="B96" t="s">
        <v>69</v>
      </c>
      <c r="C96" t="s">
        <v>8</v>
      </c>
      <c r="D96">
        <v>62906</v>
      </c>
      <c r="E96" s="1">
        <v>44469</v>
      </c>
      <c r="F96" s="2">
        <f t="shared" si="6"/>
        <v>2021</v>
      </c>
      <c r="G96">
        <v>18</v>
      </c>
      <c r="H96" s="3">
        <v>106462</v>
      </c>
      <c r="I96">
        <v>5442</v>
      </c>
      <c r="J96">
        <v>106462</v>
      </c>
      <c r="K96">
        <v>92606</v>
      </c>
      <c r="L96">
        <v>92535</v>
      </c>
      <c r="M96" t="str">
        <f t="shared" si="7"/>
        <v>Medium</v>
      </c>
      <c r="N96">
        <f>VLOOKUP(C96,Lookup!$A$2:$D$5,MATCH(M96,Lookup!$A$1:$D$1,0),FALSE)</f>
        <v>0.08</v>
      </c>
      <c r="O96">
        <f t="shared" si="8"/>
        <v>7402.8</v>
      </c>
      <c r="P96" s="7">
        <f t="shared" si="9"/>
        <v>0.8698502752155699</v>
      </c>
      <c r="Q96" s="7">
        <f t="shared" si="10"/>
        <v>5914.5555555555557</v>
      </c>
      <c r="R96">
        <f t="shared" si="11"/>
        <v>0.73512724914897065</v>
      </c>
    </row>
    <row r="97" spans="1:18" x14ac:dyDescent="0.25">
      <c r="A97" t="s">
        <v>70</v>
      </c>
      <c r="B97" t="s">
        <v>71</v>
      </c>
      <c r="C97" t="s">
        <v>17</v>
      </c>
      <c r="D97">
        <v>11030</v>
      </c>
      <c r="E97" s="1">
        <v>43738</v>
      </c>
      <c r="F97" s="2">
        <f t="shared" si="6"/>
        <v>2019</v>
      </c>
      <c r="G97">
        <v>1117</v>
      </c>
      <c r="H97" s="3">
        <v>15107686</v>
      </c>
      <c r="I97">
        <v>613795</v>
      </c>
      <c r="J97">
        <v>15107686</v>
      </c>
      <c r="K97">
        <v>13786597</v>
      </c>
      <c r="L97">
        <v>13175882</v>
      </c>
      <c r="M97" t="str">
        <f t="shared" si="7"/>
        <v>Large</v>
      </c>
      <c r="N97">
        <f>VLOOKUP(C97,Lookup!$A$2:$D$5,MATCH(M97,Lookup!$A$1:$D$1,0),FALSE)</f>
        <v>0.08</v>
      </c>
      <c r="O97">
        <f t="shared" si="8"/>
        <v>1054070.56</v>
      </c>
      <c r="P97" s="7">
        <f t="shared" si="9"/>
        <v>0.91255517224808613</v>
      </c>
      <c r="Q97" s="7">
        <f t="shared" si="10"/>
        <v>13525.233661593555</v>
      </c>
      <c r="R97">
        <f t="shared" si="11"/>
        <v>0.58230921466965169</v>
      </c>
    </row>
    <row r="98" spans="1:18" x14ac:dyDescent="0.25">
      <c r="A98" t="s">
        <v>70</v>
      </c>
      <c r="B98" t="s">
        <v>16</v>
      </c>
      <c r="C98" t="s">
        <v>17</v>
      </c>
      <c r="D98">
        <v>10168</v>
      </c>
      <c r="E98" s="1">
        <v>44104</v>
      </c>
      <c r="F98" s="2">
        <f t="shared" si="6"/>
        <v>2020</v>
      </c>
      <c r="G98">
        <v>1232</v>
      </c>
      <c r="H98" s="3">
        <v>16332133</v>
      </c>
      <c r="I98">
        <v>1075074</v>
      </c>
      <c r="J98">
        <v>16332133</v>
      </c>
      <c r="K98">
        <v>14925690</v>
      </c>
      <c r="L98">
        <v>14675353</v>
      </c>
      <c r="M98" t="str">
        <f t="shared" si="7"/>
        <v>Large</v>
      </c>
      <c r="N98">
        <f>VLOOKUP(C98,Lookup!$A$2:$D$5,MATCH(M98,Lookup!$A$1:$D$1,0),FALSE)</f>
        <v>0.08</v>
      </c>
      <c r="O98">
        <f t="shared" si="8"/>
        <v>1174028.24</v>
      </c>
      <c r="P98" s="7">
        <f t="shared" si="9"/>
        <v>0.91388491631803392</v>
      </c>
      <c r="Q98" s="7">
        <f t="shared" si="10"/>
        <v>13256.601461038961</v>
      </c>
      <c r="R98">
        <f t="shared" si="11"/>
        <v>0.91571391843180872</v>
      </c>
    </row>
    <row r="99" spans="1:18" x14ac:dyDescent="0.25">
      <c r="A99" t="s">
        <v>70</v>
      </c>
      <c r="B99" t="s">
        <v>16</v>
      </c>
      <c r="C99" t="s">
        <v>17</v>
      </c>
      <c r="D99">
        <v>10168</v>
      </c>
      <c r="E99" s="1">
        <v>44469</v>
      </c>
      <c r="F99" s="2">
        <f t="shared" si="6"/>
        <v>2021</v>
      </c>
      <c r="G99">
        <v>1302</v>
      </c>
      <c r="H99" s="3">
        <v>16123164</v>
      </c>
      <c r="I99">
        <v>704205</v>
      </c>
      <c r="J99">
        <v>16123164</v>
      </c>
      <c r="K99">
        <v>14719878</v>
      </c>
      <c r="L99">
        <v>14140051</v>
      </c>
      <c r="M99" t="str">
        <f t="shared" si="7"/>
        <v>Large</v>
      </c>
      <c r="N99">
        <f>VLOOKUP(C99,Lookup!$A$2:$D$5,MATCH(M99,Lookup!$A$1:$D$1,0),FALSE)</f>
        <v>0.08</v>
      </c>
      <c r="O99">
        <f t="shared" si="8"/>
        <v>1131204.08</v>
      </c>
      <c r="P99" s="7">
        <f t="shared" si="9"/>
        <v>0.91296460173697913</v>
      </c>
      <c r="Q99" s="7">
        <f t="shared" si="10"/>
        <v>12383.382488479263</v>
      </c>
      <c r="R99">
        <f t="shared" si="11"/>
        <v>0.6225269272366839</v>
      </c>
    </row>
    <row r="100" spans="1:18" x14ac:dyDescent="0.25">
      <c r="A100" t="s">
        <v>72</v>
      </c>
      <c r="B100" t="s">
        <v>73</v>
      </c>
      <c r="C100" t="s">
        <v>8</v>
      </c>
      <c r="D100">
        <v>61001</v>
      </c>
      <c r="E100" s="1">
        <v>43738</v>
      </c>
      <c r="F100" s="2">
        <f t="shared" si="6"/>
        <v>2019</v>
      </c>
      <c r="G100">
        <v>56</v>
      </c>
      <c r="H100" s="3">
        <v>360488</v>
      </c>
      <c r="I100">
        <v>43144</v>
      </c>
      <c r="J100">
        <v>360488</v>
      </c>
      <c r="K100">
        <v>322590</v>
      </c>
      <c r="L100">
        <v>298211</v>
      </c>
      <c r="M100" t="str">
        <f t="shared" si="7"/>
        <v>Medium</v>
      </c>
      <c r="N100">
        <f>VLOOKUP(C100,Lookup!$A$2:$D$5,MATCH(M100,Lookup!$A$1:$D$1,0),FALSE)</f>
        <v>0.08</v>
      </c>
      <c r="O100">
        <f t="shared" si="8"/>
        <v>23856.880000000001</v>
      </c>
      <c r="P100" s="7">
        <f t="shared" si="9"/>
        <v>0.89487028694436432</v>
      </c>
      <c r="Q100" s="7">
        <f t="shared" si="10"/>
        <v>6437.2857142857147</v>
      </c>
      <c r="R100">
        <f t="shared" si="11"/>
        <v>1.8084510631733905</v>
      </c>
    </row>
    <row r="101" spans="1:18" x14ac:dyDescent="0.25">
      <c r="A101" t="s">
        <v>72</v>
      </c>
      <c r="B101" t="s">
        <v>73</v>
      </c>
      <c r="C101" t="s">
        <v>8</v>
      </c>
      <c r="D101">
        <v>61001</v>
      </c>
      <c r="E101" s="1">
        <v>44104</v>
      </c>
      <c r="F101" s="2">
        <f t="shared" si="6"/>
        <v>2020</v>
      </c>
      <c r="G101">
        <v>58</v>
      </c>
      <c r="H101" s="3">
        <v>448152</v>
      </c>
      <c r="I101">
        <v>62314</v>
      </c>
      <c r="J101">
        <v>448151</v>
      </c>
      <c r="K101">
        <v>403529</v>
      </c>
      <c r="L101">
        <v>359245</v>
      </c>
      <c r="M101" t="str">
        <f t="shared" si="7"/>
        <v>Medium</v>
      </c>
      <c r="N101">
        <f>VLOOKUP(C101,Lookup!$A$2:$D$5,MATCH(M101,Lookup!$A$1:$D$1,0),FALSE)</f>
        <v>0.08</v>
      </c>
      <c r="O101">
        <f t="shared" si="8"/>
        <v>28739.600000000002</v>
      </c>
      <c r="P101" s="7">
        <f t="shared" si="9"/>
        <v>0.90042887234688229</v>
      </c>
      <c r="Q101" s="7">
        <f t="shared" si="10"/>
        <v>7726.7586206896549</v>
      </c>
      <c r="R101">
        <f t="shared" si="11"/>
        <v>2.1682278111038427</v>
      </c>
    </row>
    <row r="102" spans="1:18" x14ac:dyDescent="0.25">
      <c r="A102" t="s">
        <v>72</v>
      </c>
      <c r="B102" t="s">
        <v>73</v>
      </c>
      <c r="C102" t="s">
        <v>8</v>
      </c>
      <c r="D102">
        <v>61001</v>
      </c>
      <c r="E102" s="1">
        <v>44469</v>
      </c>
      <c r="F102" s="2">
        <f t="shared" si="6"/>
        <v>2021</v>
      </c>
      <c r="G102">
        <v>61</v>
      </c>
      <c r="H102" s="3">
        <v>526209</v>
      </c>
      <c r="I102">
        <v>72472</v>
      </c>
      <c r="J102">
        <v>526209</v>
      </c>
      <c r="K102">
        <v>477747</v>
      </c>
      <c r="L102">
        <v>427013</v>
      </c>
      <c r="M102" t="str">
        <f t="shared" si="7"/>
        <v>Medium</v>
      </c>
      <c r="N102">
        <f>VLOOKUP(C102,Lookup!$A$2:$D$5,MATCH(M102,Lookup!$A$1:$D$1,0),FALSE)</f>
        <v>0.08</v>
      </c>
      <c r="O102">
        <f t="shared" si="8"/>
        <v>34161.040000000001</v>
      </c>
      <c r="P102" s="7">
        <f t="shared" si="9"/>
        <v>0.9079035136229141</v>
      </c>
      <c r="Q102" s="7">
        <f t="shared" si="10"/>
        <v>8626.377049180328</v>
      </c>
      <c r="R102">
        <f t="shared" si="11"/>
        <v>2.1214810790303806</v>
      </c>
    </row>
    <row r="103" spans="1:18" x14ac:dyDescent="0.25">
      <c r="A103" t="s">
        <v>74</v>
      </c>
      <c r="B103" t="s">
        <v>75</v>
      </c>
      <c r="C103" t="s">
        <v>8</v>
      </c>
      <c r="D103">
        <v>61910</v>
      </c>
      <c r="E103" s="1">
        <v>43738</v>
      </c>
      <c r="F103" s="2">
        <f t="shared" si="6"/>
        <v>2019</v>
      </c>
      <c r="G103">
        <v>16</v>
      </c>
      <c r="H103" s="3">
        <v>111005</v>
      </c>
      <c r="I103">
        <v>5785</v>
      </c>
      <c r="J103">
        <v>111005</v>
      </c>
      <c r="K103">
        <v>97796</v>
      </c>
      <c r="L103">
        <v>95645</v>
      </c>
      <c r="M103" t="str">
        <f t="shared" si="7"/>
        <v>Medium</v>
      </c>
      <c r="N103">
        <f>VLOOKUP(C103,Lookup!$A$2:$D$5,MATCH(M103,Lookup!$A$1:$D$1,0),FALSE)</f>
        <v>0.08</v>
      </c>
      <c r="O103">
        <f t="shared" si="8"/>
        <v>7651.6</v>
      </c>
      <c r="P103" s="7">
        <f t="shared" si="9"/>
        <v>0.88100536011891362</v>
      </c>
      <c r="Q103" s="7">
        <f t="shared" si="10"/>
        <v>6937.8125</v>
      </c>
      <c r="R103">
        <f t="shared" si="11"/>
        <v>0.75605102200846874</v>
      </c>
    </row>
    <row r="104" spans="1:18" x14ac:dyDescent="0.25">
      <c r="A104" t="s">
        <v>74</v>
      </c>
      <c r="B104" t="s">
        <v>75</v>
      </c>
      <c r="C104" t="s">
        <v>8</v>
      </c>
      <c r="D104">
        <v>61910</v>
      </c>
      <c r="E104" s="1">
        <v>44104</v>
      </c>
      <c r="F104" s="2">
        <f t="shared" si="6"/>
        <v>2020</v>
      </c>
      <c r="G104">
        <v>16</v>
      </c>
      <c r="H104" s="3">
        <v>119365</v>
      </c>
      <c r="I104">
        <v>2207</v>
      </c>
      <c r="J104">
        <v>119365</v>
      </c>
      <c r="K104">
        <v>104041</v>
      </c>
      <c r="L104">
        <v>98795</v>
      </c>
      <c r="M104" t="str">
        <f t="shared" si="7"/>
        <v>Medium</v>
      </c>
      <c r="N104">
        <f>VLOOKUP(C104,Lookup!$A$2:$D$5,MATCH(M104,Lookup!$A$1:$D$1,0),FALSE)</f>
        <v>0.08</v>
      </c>
      <c r="O104">
        <f t="shared" si="8"/>
        <v>7903.6</v>
      </c>
      <c r="P104" s="7">
        <f t="shared" si="9"/>
        <v>0.87162065932224686</v>
      </c>
      <c r="Q104" s="7">
        <f t="shared" si="10"/>
        <v>7460.3125</v>
      </c>
      <c r="R104">
        <f t="shared" si="11"/>
        <v>0.27923984007287816</v>
      </c>
    </row>
    <row r="105" spans="1:18" x14ac:dyDescent="0.25">
      <c r="A105" t="s">
        <v>74</v>
      </c>
      <c r="B105" t="s">
        <v>75</v>
      </c>
      <c r="C105" t="s">
        <v>8</v>
      </c>
      <c r="D105">
        <v>61910</v>
      </c>
      <c r="E105" s="1">
        <v>44469</v>
      </c>
      <c r="F105" s="2">
        <f t="shared" si="6"/>
        <v>2021</v>
      </c>
      <c r="G105">
        <v>16</v>
      </c>
      <c r="H105" s="3">
        <v>130151</v>
      </c>
      <c r="I105">
        <v>9417</v>
      </c>
      <c r="J105">
        <v>130151</v>
      </c>
      <c r="K105">
        <v>116059</v>
      </c>
      <c r="L105">
        <v>113705</v>
      </c>
      <c r="M105" t="str">
        <f t="shared" si="7"/>
        <v>Medium</v>
      </c>
      <c r="N105">
        <f>VLOOKUP(C105,Lookup!$A$2:$D$5,MATCH(M105,Lookup!$A$1:$D$1,0),FALSE)</f>
        <v>0.08</v>
      </c>
      <c r="O105">
        <f t="shared" si="8"/>
        <v>9096.4</v>
      </c>
      <c r="P105" s="7">
        <f t="shared" si="9"/>
        <v>0.89172576468870768</v>
      </c>
      <c r="Q105" s="7">
        <f t="shared" si="10"/>
        <v>8134.4375</v>
      </c>
      <c r="R105">
        <f t="shared" si="11"/>
        <v>1.0352447121938351</v>
      </c>
    </row>
    <row r="106" spans="1:18" x14ac:dyDescent="0.25">
      <c r="A106" t="s">
        <v>76</v>
      </c>
      <c r="B106" t="s">
        <v>77</v>
      </c>
      <c r="C106" t="s">
        <v>5</v>
      </c>
      <c r="D106">
        <v>91776</v>
      </c>
      <c r="E106" s="1">
        <v>43738</v>
      </c>
      <c r="F106" s="2">
        <f t="shared" si="6"/>
        <v>2019</v>
      </c>
      <c r="G106">
        <v>13</v>
      </c>
      <c r="H106" s="3">
        <v>55888</v>
      </c>
      <c r="I106">
        <v>12598</v>
      </c>
      <c r="J106">
        <v>55888</v>
      </c>
      <c r="K106">
        <v>46101</v>
      </c>
      <c r="L106">
        <v>45825</v>
      </c>
      <c r="M106" t="str">
        <f t="shared" si="7"/>
        <v>Small</v>
      </c>
      <c r="N106">
        <f>VLOOKUP(C106,Lookup!$A$2:$D$5,MATCH(M106,Lookup!$A$1:$D$1,0),FALSE)</f>
        <v>0.1</v>
      </c>
      <c r="O106">
        <f t="shared" si="8"/>
        <v>4582.5</v>
      </c>
      <c r="P106" s="7">
        <f t="shared" si="9"/>
        <v>0.82488190667048378</v>
      </c>
      <c r="Q106" s="7">
        <f t="shared" si="10"/>
        <v>4299.0769230769229</v>
      </c>
      <c r="R106">
        <f t="shared" si="11"/>
        <v>2.7491543917075831</v>
      </c>
    </row>
    <row r="107" spans="1:18" x14ac:dyDescent="0.25">
      <c r="A107" t="s">
        <v>76</v>
      </c>
      <c r="B107" t="s">
        <v>77</v>
      </c>
      <c r="C107" t="s">
        <v>5</v>
      </c>
      <c r="D107">
        <v>91776</v>
      </c>
      <c r="E107" s="1">
        <v>44104</v>
      </c>
      <c r="F107" s="2">
        <f t="shared" si="6"/>
        <v>2020</v>
      </c>
      <c r="G107">
        <v>13</v>
      </c>
      <c r="H107" s="3">
        <v>58573</v>
      </c>
      <c r="I107">
        <v>28053</v>
      </c>
      <c r="J107">
        <v>58573</v>
      </c>
      <c r="K107">
        <v>48599</v>
      </c>
      <c r="L107">
        <v>48442</v>
      </c>
      <c r="M107" t="str">
        <f t="shared" si="7"/>
        <v>Small</v>
      </c>
      <c r="N107">
        <f>VLOOKUP(C107,Lookup!$A$2:$D$5,MATCH(M107,Lookup!$A$1:$D$1,0),FALSE)</f>
        <v>0.1</v>
      </c>
      <c r="O107">
        <f t="shared" si="8"/>
        <v>4844.2</v>
      </c>
      <c r="P107" s="7">
        <f t="shared" si="9"/>
        <v>0.82971676369658376</v>
      </c>
      <c r="Q107" s="7">
        <f t="shared" si="10"/>
        <v>4505.6153846153848</v>
      </c>
      <c r="R107">
        <f t="shared" si="11"/>
        <v>5.7910490896329634</v>
      </c>
    </row>
    <row r="108" spans="1:18" x14ac:dyDescent="0.25">
      <c r="A108" t="s">
        <v>76</v>
      </c>
      <c r="B108" t="s">
        <v>77</v>
      </c>
      <c r="C108" t="s">
        <v>5</v>
      </c>
      <c r="D108">
        <v>91776</v>
      </c>
      <c r="E108" s="1">
        <v>44469</v>
      </c>
      <c r="F108" s="2">
        <f t="shared" si="6"/>
        <v>2021</v>
      </c>
      <c r="G108">
        <v>11</v>
      </c>
      <c r="H108" s="3">
        <v>57398</v>
      </c>
      <c r="I108">
        <v>21423</v>
      </c>
      <c r="J108">
        <v>57398</v>
      </c>
      <c r="K108">
        <v>47305</v>
      </c>
      <c r="L108">
        <v>47249</v>
      </c>
      <c r="M108" t="str">
        <f t="shared" si="7"/>
        <v>Small</v>
      </c>
      <c r="N108">
        <f>VLOOKUP(C108,Lookup!$A$2:$D$5,MATCH(M108,Lookup!$A$1:$D$1,0),FALSE)</f>
        <v>0.1</v>
      </c>
      <c r="O108">
        <f t="shared" si="8"/>
        <v>4724.9000000000005</v>
      </c>
      <c r="P108" s="7">
        <f t="shared" si="9"/>
        <v>0.82415763615456983</v>
      </c>
      <c r="Q108" s="7">
        <f t="shared" si="10"/>
        <v>5218</v>
      </c>
      <c r="R108">
        <f t="shared" si="11"/>
        <v>4.5340642129992164</v>
      </c>
    </row>
    <row r="109" spans="1:18" x14ac:dyDescent="0.25">
      <c r="A109" t="s">
        <v>78</v>
      </c>
      <c r="B109" t="s">
        <v>79</v>
      </c>
      <c r="C109" t="s">
        <v>20</v>
      </c>
      <c r="D109">
        <v>1331</v>
      </c>
      <c r="E109" s="1">
        <v>43738</v>
      </c>
      <c r="F109" s="2">
        <f t="shared" si="6"/>
        <v>2019</v>
      </c>
      <c r="G109">
        <v>92</v>
      </c>
      <c r="H109" s="3">
        <v>448485</v>
      </c>
      <c r="I109">
        <v>12863</v>
      </c>
      <c r="J109">
        <v>448485</v>
      </c>
      <c r="K109">
        <v>388411</v>
      </c>
      <c r="L109">
        <v>375923</v>
      </c>
      <c r="M109" t="str">
        <f t="shared" si="7"/>
        <v>Medium</v>
      </c>
      <c r="N109">
        <f>VLOOKUP(C109,Lookup!$A$2:$D$5,MATCH(M109,Lookup!$A$1:$D$1,0),FALSE)</f>
        <v>8.5000000000000006E-2</v>
      </c>
      <c r="O109">
        <f t="shared" si="8"/>
        <v>31953.455000000002</v>
      </c>
      <c r="P109" s="7">
        <f t="shared" si="9"/>
        <v>0.86605126146916844</v>
      </c>
      <c r="Q109" s="7">
        <f t="shared" si="10"/>
        <v>4874.836956521739</v>
      </c>
      <c r="R109">
        <f t="shared" si="11"/>
        <v>0.4025542777768476</v>
      </c>
    </row>
    <row r="110" spans="1:18" x14ac:dyDescent="0.25">
      <c r="A110" t="s">
        <v>78</v>
      </c>
      <c r="B110" t="s">
        <v>79</v>
      </c>
      <c r="C110" t="s">
        <v>20</v>
      </c>
      <c r="D110">
        <v>1331</v>
      </c>
      <c r="E110" s="1">
        <v>44104</v>
      </c>
      <c r="F110" s="2">
        <f t="shared" si="6"/>
        <v>2020</v>
      </c>
      <c r="G110">
        <v>79</v>
      </c>
      <c r="H110" s="3">
        <v>506772</v>
      </c>
      <c r="I110">
        <v>48918</v>
      </c>
      <c r="J110">
        <v>506772</v>
      </c>
      <c r="K110">
        <v>444112</v>
      </c>
      <c r="L110">
        <v>432981</v>
      </c>
      <c r="M110" t="str">
        <f t="shared" si="7"/>
        <v>Medium</v>
      </c>
      <c r="N110">
        <f>VLOOKUP(C110,Lookup!$A$2:$D$5,MATCH(M110,Lookup!$A$1:$D$1,0),FALSE)</f>
        <v>8.5000000000000006E-2</v>
      </c>
      <c r="O110">
        <f t="shared" si="8"/>
        <v>36803.385000000002</v>
      </c>
      <c r="P110" s="7">
        <f t="shared" si="9"/>
        <v>0.87635465258538359</v>
      </c>
      <c r="Q110" s="7">
        <f t="shared" si="10"/>
        <v>6414.835443037975</v>
      </c>
      <c r="R110">
        <f t="shared" si="11"/>
        <v>1.3291712161802507</v>
      </c>
    </row>
    <row r="111" spans="1:18" x14ac:dyDescent="0.25">
      <c r="A111" t="s">
        <v>78</v>
      </c>
      <c r="B111" t="s">
        <v>79</v>
      </c>
      <c r="C111" t="s">
        <v>20</v>
      </c>
      <c r="D111">
        <v>1331</v>
      </c>
      <c r="E111" s="1">
        <v>44469</v>
      </c>
      <c r="F111" s="2">
        <f t="shared" si="6"/>
        <v>2021</v>
      </c>
      <c r="G111">
        <v>81</v>
      </c>
      <c r="H111" s="3">
        <v>539880</v>
      </c>
      <c r="I111">
        <v>41331</v>
      </c>
      <c r="J111">
        <v>539880</v>
      </c>
      <c r="K111">
        <v>473012</v>
      </c>
      <c r="L111">
        <v>468865</v>
      </c>
      <c r="M111" t="str">
        <f t="shared" si="7"/>
        <v>Medium</v>
      </c>
      <c r="N111">
        <f>VLOOKUP(C111,Lookup!$A$2:$D$5,MATCH(M111,Lookup!$A$1:$D$1,0),FALSE)</f>
        <v>8.5000000000000006E-2</v>
      </c>
      <c r="O111">
        <f t="shared" si="8"/>
        <v>39853.525000000001</v>
      </c>
      <c r="P111" s="7">
        <f t="shared" si="9"/>
        <v>0.8761428465584945</v>
      </c>
      <c r="Q111" s="7">
        <f t="shared" si="10"/>
        <v>6665.1851851851852</v>
      </c>
      <c r="R111">
        <f t="shared" si="11"/>
        <v>1.0370726303382198</v>
      </c>
    </row>
    <row r="112" spans="1:18" x14ac:dyDescent="0.25">
      <c r="A112" t="s">
        <v>80</v>
      </c>
      <c r="B112" t="s">
        <v>81</v>
      </c>
      <c r="C112" t="s">
        <v>5</v>
      </c>
      <c r="D112">
        <v>95112</v>
      </c>
      <c r="E112" s="1">
        <v>43738</v>
      </c>
      <c r="F112" s="2">
        <f t="shared" si="6"/>
        <v>2019</v>
      </c>
      <c r="G112">
        <v>107</v>
      </c>
      <c r="H112" s="3">
        <v>1112372</v>
      </c>
      <c r="I112">
        <v>114829</v>
      </c>
      <c r="J112">
        <v>1112372</v>
      </c>
      <c r="K112">
        <v>996017</v>
      </c>
      <c r="L112">
        <v>894490</v>
      </c>
      <c r="M112" t="str">
        <f t="shared" si="7"/>
        <v>Large</v>
      </c>
      <c r="N112">
        <f>VLOOKUP(C112,Lookup!$A$2:$D$5,MATCH(M112,Lookup!$A$1:$D$1,0),FALSE)</f>
        <v>0.08</v>
      </c>
      <c r="O112">
        <f t="shared" si="8"/>
        <v>71559.199999999997</v>
      </c>
      <c r="P112" s="7">
        <f t="shared" si="9"/>
        <v>0.89539920098672032</v>
      </c>
      <c r="Q112" s="7">
        <f t="shared" si="10"/>
        <v>10396</v>
      </c>
      <c r="R112">
        <f t="shared" si="11"/>
        <v>1.6046713769857686</v>
      </c>
    </row>
    <row r="113" spans="1:18" x14ac:dyDescent="0.25">
      <c r="A113" t="s">
        <v>80</v>
      </c>
      <c r="B113" t="s">
        <v>81</v>
      </c>
      <c r="C113" t="s">
        <v>5</v>
      </c>
      <c r="D113">
        <v>95112</v>
      </c>
      <c r="E113" s="1">
        <v>44104</v>
      </c>
      <c r="F113" s="2">
        <f t="shared" si="6"/>
        <v>2020</v>
      </c>
      <c r="G113">
        <v>126</v>
      </c>
      <c r="H113" s="3">
        <v>1441008</v>
      </c>
      <c r="I113">
        <v>348652</v>
      </c>
      <c r="J113">
        <v>1441008</v>
      </c>
      <c r="K113">
        <v>1308479</v>
      </c>
      <c r="L113">
        <v>1280356</v>
      </c>
      <c r="M113" t="str">
        <f t="shared" si="7"/>
        <v>Large</v>
      </c>
      <c r="N113">
        <f>VLOOKUP(C113,Lookup!$A$2:$D$5,MATCH(M113,Lookup!$A$1:$D$1,0),FALSE)</f>
        <v>0.08</v>
      </c>
      <c r="O113">
        <f t="shared" si="8"/>
        <v>102428.48</v>
      </c>
      <c r="P113" s="7">
        <f t="shared" si="9"/>
        <v>0.90803035097653861</v>
      </c>
      <c r="Q113" s="7">
        <f t="shared" si="10"/>
        <v>11436.571428571429</v>
      </c>
      <c r="R113">
        <f t="shared" si="11"/>
        <v>3.4038579894966712</v>
      </c>
    </row>
    <row r="114" spans="1:18" x14ac:dyDescent="0.25">
      <c r="A114" t="s">
        <v>80</v>
      </c>
      <c r="B114" t="s">
        <v>81</v>
      </c>
      <c r="C114" t="s">
        <v>5</v>
      </c>
      <c r="D114">
        <v>95112</v>
      </c>
      <c r="E114" s="1">
        <v>44469</v>
      </c>
      <c r="F114" s="2">
        <f t="shared" si="6"/>
        <v>2021</v>
      </c>
      <c r="G114">
        <v>126</v>
      </c>
      <c r="H114" s="3">
        <v>1824852</v>
      </c>
      <c r="I114">
        <v>413244</v>
      </c>
      <c r="J114">
        <v>1824852</v>
      </c>
      <c r="K114">
        <v>1675585</v>
      </c>
      <c r="L114">
        <v>1651948</v>
      </c>
      <c r="M114" t="str">
        <f t="shared" si="7"/>
        <v>Large</v>
      </c>
      <c r="N114">
        <f>VLOOKUP(C114,Lookup!$A$2:$D$5,MATCH(M114,Lookup!$A$1:$D$1,0),FALSE)</f>
        <v>0.08</v>
      </c>
      <c r="O114">
        <f t="shared" si="8"/>
        <v>132155.84</v>
      </c>
      <c r="P114" s="7">
        <f t="shared" si="9"/>
        <v>0.91820322963177292</v>
      </c>
      <c r="Q114" s="7">
        <f t="shared" si="10"/>
        <v>14482.952380952382</v>
      </c>
      <c r="R114">
        <f t="shared" si="11"/>
        <v>3.1269446738032918</v>
      </c>
    </row>
    <row r="115" spans="1:18" x14ac:dyDescent="0.25">
      <c r="A115" t="s">
        <v>82</v>
      </c>
      <c r="B115" t="s">
        <v>83</v>
      </c>
      <c r="C115" t="s">
        <v>20</v>
      </c>
      <c r="D115">
        <v>1749</v>
      </c>
      <c r="E115" s="1">
        <v>43738</v>
      </c>
      <c r="F115" s="2">
        <f t="shared" si="6"/>
        <v>2019</v>
      </c>
      <c r="G115">
        <v>243</v>
      </c>
      <c r="H115" s="3">
        <v>1659926</v>
      </c>
      <c r="I115">
        <v>66277</v>
      </c>
      <c r="J115">
        <v>1659926</v>
      </c>
      <c r="K115">
        <v>1486798</v>
      </c>
      <c r="L115">
        <v>1414733</v>
      </c>
      <c r="M115" t="str">
        <f t="shared" si="7"/>
        <v>Large</v>
      </c>
      <c r="N115">
        <f>VLOOKUP(C115,Lookup!$A$2:$D$5,MATCH(M115,Lookup!$A$1:$D$1,0),FALSE)</f>
        <v>0.08</v>
      </c>
      <c r="O115">
        <f t="shared" si="8"/>
        <v>113178.64</v>
      </c>
      <c r="P115" s="7">
        <f t="shared" si="9"/>
        <v>0.89570137463959232</v>
      </c>
      <c r="Q115" s="7">
        <f t="shared" si="10"/>
        <v>6830.9711934156376</v>
      </c>
      <c r="R115">
        <f t="shared" si="11"/>
        <v>0.5855963634127429</v>
      </c>
    </row>
    <row r="116" spans="1:18" x14ac:dyDescent="0.25">
      <c r="A116" t="s">
        <v>82</v>
      </c>
      <c r="B116" t="s">
        <v>83</v>
      </c>
      <c r="C116" t="s">
        <v>20</v>
      </c>
      <c r="D116">
        <v>1749</v>
      </c>
      <c r="E116" s="1">
        <v>44104</v>
      </c>
      <c r="F116" s="2">
        <f t="shared" si="6"/>
        <v>2020</v>
      </c>
      <c r="G116">
        <v>247</v>
      </c>
      <c r="H116" s="3">
        <v>2005233</v>
      </c>
      <c r="I116">
        <v>95298</v>
      </c>
      <c r="J116">
        <v>2005233</v>
      </c>
      <c r="K116">
        <v>1817055</v>
      </c>
      <c r="L116">
        <v>1764877</v>
      </c>
      <c r="M116" t="str">
        <f t="shared" si="7"/>
        <v>Large</v>
      </c>
      <c r="N116">
        <f>VLOOKUP(C116,Lookup!$A$2:$D$5,MATCH(M116,Lookup!$A$1:$D$1,0),FALSE)</f>
        <v>0.08</v>
      </c>
      <c r="O116">
        <f t="shared" si="8"/>
        <v>141190.16</v>
      </c>
      <c r="P116" s="7">
        <f t="shared" si="9"/>
        <v>0.90615654140940227</v>
      </c>
      <c r="Q116" s="7">
        <f t="shared" si="10"/>
        <v>8118.3522267206481</v>
      </c>
      <c r="R116">
        <f t="shared" si="11"/>
        <v>0.67496205117977059</v>
      </c>
    </row>
    <row r="117" spans="1:18" x14ac:dyDescent="0.25">
      <c r="A117" t="s">
        <v>82</v>
      </c>
      <c r="B117" t="s">
        <v>83</v>
      </c>
      <c r="C117" t="s">
        <v>20</v>
      </c>
      <c r="D117">
        <v>1749</v>
      </c>
      <c r="E117" s="1">
        <v>44469</v>
      </c>
      <c r="F117" s="2">
        <f t="shared" si="6"/>
        <v>2021</v>
      </c>
      <c r="G117">
        <v>256</v>
      </c>
      <c r="H117" s="3">
        <v>2316345</v>
      </c>
      <c r="I117">
        <v>230364</v>
      </c>
      <c r="J117">
        <v>2316345</v>
      </c>
      <c r="K117">
        <v>2115461</v>
      </c>
      <c r="L117">
        <v>2062787</v>
      </c>
      <c r="M117" t="str">
        <f t="shared" si="7"/>
        <v>Large</v>
      </c>
      <c r="N117">
        <f>VLOOKUP(C117,Lookup!$A$2:$D$5,MATCH(M117,Lookup!$A$1:$D$1,0),FALSE)</f>
        <v>0.08</v>
      </c>
      <c r="O117">
        <f t="shared" si="8"/>
        <v>165022.96</v>
      </c>
      <c r="P117" s="7">
        <f t="shared" si="9"/>
        <v>0.91327544040287612</v>
      </c>
      <c r="Q117" s="7">
        <f t="shared" si="10"/>
        <v>9048.22265625</v>
      </c>
      <c r="R117">
        <f t="shared" si="11"/>
        <v>1.3959512058200871</v>
      </c>
    </row>
    <row r="118" spans="1:18" x14ac:dyDescent="0.25">
      <c r="A118" t="s">
        <v>84</v>
      </c>
      <c r="B118" t="s">
        <v>85</v>
      </c>
      <c r="C118" t="s">
        <v>5</v>
      </c>
      <c r="D118">
        <v>92122</v>
      </c>
      <c r="E118" s="1">
        <v>43738</v>
      </c>
      <c r="F118" s="2">
        <f t="shared" si="6"/>
        <v>2019</v>
      </c>
      <c r="G118">
        <v>1021</v>
      </c>
      <c r="H118" s="3">
        <v>10877719</v>
      </c>
      <c r="I118">
        <v>564963</v>
      </c>
      <c r="J118">
        <v>10877719</v>
      </c>
      <c r="K118">
        <v>9842923</v>
      </c>
      <c r="L118">
        <v>9254495</v>
      </c>
      <c r="M118" t="str">
        <f t="shared" si="7"/>
        <v>Large</v>
      </c>
      <c r="N118">
        <f>VLOOKUP(C118,Lookup!$A$2:$D$5,MATCH(M118,Lookup!$A$1:$D$1,0),FALSE)</f>
        <v>0.08</v>
      </c>
      <c r="O118">
        <f t="shared" si="8"/>
        <v>740359.6</v>
      </c>
      <c r="P118" s="7">
        <f t="shared" si="9"/>
        <v>0.90487012948210921</v>
      </c>
      <c r="Q118" s="7">
        <f t="shared" si="10"/>
        <v>10653.985308521058</v>
      </c>
      <c r="R118">
        <f t="shared" si="11"/>
        <v>0.76309269171359428</v>
      </c>
    </row>
    <row r="119" spans="1:18" x14ac:dyDescent="0.25">
      <c r="A119" t="s">
        <v>84</v>
      </c>
      <c r="B119" t="s">
        <v>85</v>
      </c>
      <c r="C119" t="s">
        <v>5</v>
      </c>
      <c r="D119">
        <v>92122</v>
      </c>
      <c r="E119" s="1">
        <v>44104</v>
      </c>
      <c r="F119" s="2">
        <f t="shared" si="6"/>
        <v>2020</v>
      </c>
      <c r="G119">
        <v>962</v>
      </c>
      <c r="H119" s="3">
        <v>12426062</v>
      </c>
      <c r="I119">
        <v>891769</v>
      </c>
      <c r="J119">
        <v>12426063</v>
      </c>
      <c r="K119">
        <v>11276535</v>
      </c>
      <c r="L119">
        <v>10755592</v>
      </c>
      <c r="M119" t="str">
        <f t="shared" si="7"/>
        <v>Large</v>
      </c>
      <c r="N119">
        <f>VLOOKUP(C119,Lookup!$A$2:$D$5,MATCH(M119,Lookup!$A$1:$D$1,0),FALSE)</f>
        <v>0.08</v>
      </c>
      <c r="O119">
        <f t="shared" si="8"/>
        <v>860447.36</v>
      </c>
      <c r="P119" s="7">
        <f t="shared" si="9"/>
        <v>0.90749064345566599</v>
      </c>
      <c r="Q119" s="7">
        <f t="shared" si="10"/>
        <v>12916.904365904365</v>
      </c>
      <c r="R119">
        <f t="shared" si="11"/>
        <v>1.0364015760359822</v>
      </c>
    </row>
    <row r="120" spans="1:18" x14ac:dyDescent="0.25">
      <c r="A120" t="s">
        <v>84</v>
      </c>
      <c r="B120" t="s">
        <v>85</v>
      </c>
      <c r="C120" t="s">
        <v>5</v>
      </c>
      <c r="D120">
        <v>92122</v>
      </c>
      <c r="E120" s="1">
        <v>44469</v>
      </c>
      <c r="F120" s="2">
        <f t="shared" si="6"/>
        <v>2021</v>
      </c>
      <c r="G120">
        <v>1003</v>
      </c>
      <c r="H120" s="3">
        <v>13471668</v>
      </c>
      <c r="I120">
        <v>966300</v>
      </c>
      <c r="J120">
        <v>13471668</v>
      </c>
      <c r="K120">
        <v>12124972</v>
      </c>
      <c r="L120">
        <v>11825657</v>
      </c>
      <c r="M120" t="str">
        <f t="shared" si="7"/>
        <v>Large</v>
      </c>
      <c r="N120">
        <f>VLOOKUP(C120,Lookup!$A$2:$D$5,MATCH(M120,Lookup!$A$1:$D$1,0),FALSE)</f>
        <v>0.08</v>
      </c>
      <c r="O120">
        <f t="shared" si="8"/>
        <v>946052.56</v>
      </c>
      <c r="P120" s="7">
        <f t="shared" si="9"/>
        <v>0.90003494741705337</v>
      </c>
      <c r="Q120" s="7">
        <f t="shared" si="10"/>
        <v>13431.373878364906</v>
      </c>
      <c r="R120">
        <f t="shared" si="11"/>
        <v>1.0214020244287483</v>
      </c>
    </row>
    <row r="121" spans="1:18" x14ac:dyDescent="0.25">
      <c r="A121" t="s">
        <v>86</v>
      </c>
      <c r="B121" t="s">
        <v>87</v>
      </c>
      <c r="C121" t="s">
        <v>5</v>
      </c>
      <c r="D121">
        <v>95202</v>
      </c>
      <c r="E121" s="1">
        <v>43738</v>
      </c>
      <c r="F121" s="2">
        <f t="shared" si="6"/>
        <v>2019</v>
      </c>
      <c r="G121">
        <v>107</v>
      </c>
      <c r="H121" s="3">
        <v>644987</v>
      </c>
      <c r="I121">
        <v>34631</v>
      </c>
      <c r="J121">
        <v>644987</v>
      </c>
      <c r="K121">
        <v>575824</v>
      </c>
      <c r="L121">
        <v>569704</v>
      </c>
      <c r="M121" t="str">
        <f t="shared" si="7"/>
        <v>Medium</v>
      </c>
      <c r="N121">
        <f>VLOOKUP(C121,Lookup!$A$2:$D$5,MATCH(M121,Lookup!$A$1:$D$1,0),FALSE)</f>
        <v>0.09</v>
      </c>
      <c r="O121">
        <f t="shared" si="8"/>
        <v>51273.36</v>
      </c>
      <c r="P121" s="7">
        <f t="shared" si="9"/>
        <v>0.89276838137822934</v>
      </c>
      <c r="Q121" s="7">
        <f t="shared" si="10"/>
        <v>6027.9158878504677</v>
      </c>
      <c r="R121">
        <f t="shared" si="11"/>
        <v>0.67541897000703677</v>
      </c>
    </row>
    <row r="122" spans="1:18" x14ac:dyDescent="0.25">
      <c r="A122" t="s">
        <v>86</v>
      </c>
      <c r="B122" t="s">
        <v>87</v>
      </c>
      <c r="C122" t="s">
        <v>5</v>
      </c>
      <c r="D122">
        <v>95202</v>
      </c>
      <c r="E122" s="1">
        <v>44104</v>
      </c>
      <c r="F122" s="2">
        <f t="shared" si="6"/>
        <v>2020</v>
      </c>
      <c r="G122">
        <v>113</v>
      </c>
      <c r="H122" s="3">
        <v>755920</v>
      </c>
      <c r="I122">
        <v>30812</v>
      </c>
      <c r="J122">
        <v>755920</v>
      </c>
      <c r="K122">
        <v>679419</v>
      </c>
      <c r="L122">
        <v>662739</v>
      </c>
      <c r="M122" t="str">
        <f t="shared" si="7"/>
        <v>Medium</v>
      </c>
      <c r="N122">
        <f>VLOOKUP(C122,Lookup!$A$2:$D$5,MATCH(M122,Lookup!$A$1:$D$1,0),FALSE)</f>
        <v>0.09</v>
      </c>
      <c r="O122">
        <f t="shared" si="8"/>
        <v>59646.509999999995</v>
      </c>
      <c r="P122" s="7">
        <f t="shared" si="9"/>
        <v>0.89879749179807389</v>
      </c>
      <c r="Q122" s="7">
        <f t="shared" si="10"/>
        <v>6689.5575221238942</v>
      </c>
      <c r="R122">
        <f t="shared" si="11"/>
        <v>0.51657674522784325</v>
      </c>
    </row>
    <row r="123" spans="1:18" x14ac:dyDescent="0.25">
      <c r="A123" t="s">
        <v>86</v>
      </c>
      <c r="B123" t="s">
        <v>87</v>
      </c>
      <c r="C123" t="s">
        <v>5</v>
      </c>
      <c r="D123">
        <v>95202</v>
      </c>
      <c r="E123" s="1">
        <v>44469</v>
      </c>
      <c r="F123" s="2">
        <f t="shared" si="6"/>
        <v>2021</v>
      </c>
      <c r="G123">
        <v>112</v>
      </c>
      <c r="H123" s="3">
        <v>809920</v>
      </c>
      <c r="I123">
        <v>49953</v>
      </c>
      <c r="J123">
        <v>809920</v>
      </c>
      <c r="K123">
        <v>732073</v>
      </c>
      <c r="L123">
        <v>724727</v>
      </c>
      <c r="M123" t="str">
        <f t="shared" si="7"/>
        <v>Medium</v>
      </c>
      <c r="N123">
        <f>VLOOKUP(C123,Lookup!$A$2:$D$5,MATCH(M123,Lookup!$A$1:$D$1,0),FALSE)</f>
        <v>0.09</v>
      </c>
      <c r="O123">
        <f t="shared" si="8"/>
        <v>65225.43</v>
      </c>
      <c r="P123" s="7">
        <f t="shared" si="9"/>
        <v>0.90388309956538915</v>
      </c>
      <c r="Q123" s="7">
        <f t="shared" si="10"/>
        <v>7231.4285714285716</v>
      </c>
      <c r="R123">
        <f t="shared" si="11"/>
        <v>0.76585160113164452</v>
      </c>
    </row>
    <row r="124" spans="1:18" x14ac:dyDescent="0.25">
      <c r="A124" t="s">
        <v>88</v>
      </c>
      <c r="B124" t="s">
        <v>89</v>
      </c>
      <c r="C124" t="s">
        <v>5</v>
      </c>
      <c r="D124">
        <v>91910</v>
      </c>
      <c r="E124" s="1">
        <v>43738</v>
      </c>
      <c r="F124" s="2">
        <f t="shared" si="6"/>
        <v>2019</v>
      </c>
      <c r="G124">
        <v>86</v>
      </c>
      <c r="H124" s="3">
        <v>324998</v>
      </c>
      <c r="I124">
        <v>21816</v>
      </c>
      <c r="J124">
        <v>324998</v>
      </c>
      <c r="K124">
        <v>284443</v>
      </c>
      <c r="L124">
        <v>283471</v>
      </c>
      <c r="M124" t="str">
        <f t="shared" si="7"/>
        <v>Medium</v>
      </c>
      <c r="N124">
        <f>VLOOKUP(C124,Lookup!$A$2:$D$5,MATCH(M124,Lookup!$A$1:$D$1,0),FALSE)</f>
        <v>0.09</v>
      </c>
      <c r="O124">
        <f t="shared" si="8"/>
        <v>25512.39</v>
      </c>
      <c r="P124" s="7">
        <f t="shared" si="9"/>
        <v>0.87521461670533363</v>
      </c>
      <c r="Q124" s="7">
        <f t="shared" si="10"/>
        <v>3779.046511627907</v>
      </c>
      <c r="R124">
        <f t="shared" si="11"/>
        <v>0.8551139269978234</v>
      </c>
    </row>
    <row r="125" spans="1:18" x14ac:dyDescent="0.25">
      <c r="A125" t="s">
        <v>88</v>
      </c>
      <c r="B125" t="s">
        <v>89</v>
      </c>
      <c r="C125" t="s">
        <v>5</v>
      </c>
      <c r="D125">
        <v>91910</v>
      </c>
      <c r="E125" s="1">
        <v>44104</v>
      </c>
      <c r="F125" s="2">
        <f t="shared" si="6"/>
        <v>2020</v>
      </c>
      <c r="G125">
        <v>88</v>
      </c>
      <c r="H125" s="3">
        <v>331663</v>
      </c>
      <c r="I125">
        <v>28562</v>
      </c>
      <c r="J125">
        <v>331663</v>
      </c>
      <c r="K125">
        <v>288243</v>
      </c>
      <c r="L125">
        <v>287040</v>
      </c>
      <c r="M125" t="str">
        <f t="shared" si="7"/>
        <v>Medium</v>
      </c>
      <c r="N125">
        <f>VLOOKUP(C125,Lookup!$A$2:$D$5,MATCH(M125,Lookup!$A$1:$D$1,0),FALSE)</f>
        <v>0.09</v>
      </c>
      <c r="O125">
        <f t="shared" si="8"/>
        <v>25833.599999999999</v>
      </c>
      <c r="P125" s="7">
        <f t="shared" si="9"/>
        <v>0.86908397982289254</v>
      </c>
      <c r="Q125" s="7">
        <f t="shared" si="10"/>
        <v>3768.8977272727275</v>
      </c>
      <c r="R125">
        <f t="shared" si="11"/>
        <v>1.105614393657872</v>
      </c>
    </row>
    <row r="126" spans="1:18" x14ac:dyDescent="0.25">
      <c r="A126" t="s">
        <v>88</v>
      </c>
      <c r="B126" t="s">
        <v>89</v>
      </c>
      <c r="C126" t="s">
        <v>5</v>
      </c>
      <c r="D126">
        <v>91910</v>
      </c>
      <c r="E126" s="1">
        <v>44469</v>
      </c>
      <c r="F126" s="2">
        <f t="shared" si="6"/>
        <v>2021</v>
      </c>
      <c r="G126">
        <v>89</v>
      </c>
      <c r="H126" s="3">
        <v>320343</v>
      </c>
      <c r="I126">
        <v>35178</v>
      </c>
      <c r="J126">
        <v>320343</v>
      </c>
      <c r="K126">
        <v>272078</v>
      </c>
      <c r="L126">
        <v>271334</v>
      </c>
      <c r="M126" t="str">
        <f t="shared" si="7"/>
        <v>Medium</v>
      </c>
      <c r="N126">
        <f>VLOOKUP(C126,Lookup!$A$2:$D$5,MATCH(M126,Lookup!$A$1:$D$1,0),FALSE)</f>
        <v>0.09</v>
      </c>
      <c r="O126">
        <f t="shared" si="8"/>
        <v>24420.059999999998</v>
      </c>
      <c r="P126" s="7">
        <f t="shared" si="9"/>
        <v>0.84933337079318105</v>
      </c>
      <c r="Q126" s="7">
        <f t="shared" si="10"/>
        <v>3599.3595505617977</v>
      </c>
      <c r="R126">
        <f t="shared" si="11"/>
        <v>1.4405370011375895</v>
      </c>
    </row>
    <row r="127" spans="1:18" x14ac:dyDescent="0.25">
      <c r="A127" t="s">
        <v>90</v>
      </c>
      <c r="B127" t="s">
        <v>91</v>
      </c>
      <c r="C127" t="s">
        <v>17</v>
      </c>
      <c r="D127">
        <v>12020</v>
      </c>
      <c r="E127" s="1">
        <v>43738</v>
      </c>
      <c r="F127" s="2">
        <f t="shared" si="6"/>
        <v>2019</v>
      </c>
      <c r="G127">
        <v>120</v>
      </c>
      <c r="H127" s="3">
        <v>577165</v>
      </c>
      <c r="I127">
        <v>24644</v>
      </c>
      <c r="J127">
        <v>577165</v>
      </c>
      <c r="K127">
        <v>526318</v>
      </c>
      <c r="L127">
        <v>504959</v>
      </c>
      <c r="M127" t="str">
        <f t="shared" si="7"/>
        <v>Medium</v>
      </c>
      <c r="N127">
        <f>VLOOKUP(C127,Lookup!$A$2:$D$5,MATCH(M127,Lookup!$A$1:$D$1,0),FALSE)</f>
        <v>8.5000000000000006E-2</v>
      </c>
      <c r="O127">
        <f t="shared" si="8"/>
        <v>42921.515000000007</v>
      </c>
      <c r="P127" s="7">
        <f t="shared" si="9"/>
        <v>0.91190214236830025</v>
      </c>
      <c r="Q127" s="7">
        <f t="shared" si="10"/>
        <v>4809.708333333333</v>
      </c>
      <c r="R127">
        <f t="shared" si="11"/>
        <v>0.57416426237517471</v>
      </c>
    </row>
    <row r="128" spans="1:18" x14ac:dyDescent="0.25">
      <c r="A128" t="s">
        <v>90</v>
      </c>
      <c r="B128" t="s">
        <v>91</v>
      </c>
      <c r="C128" t="s">
        <v>17</v>
      </c>
      <c r="D128">
        <v>12020</v>
      </c>
      <c r="E128" s="1">
        <v>44104</v>
      </c>
      <c r="F128" s="2">
        <f t="shared" si="6"/>
        <v>2020</v>
      </c>
      <c r="G128">
        <v>116</v>
      </c>
      <c r="H128" s="3">
        <v>667311</v>
      </c>
      <c r="I128">
        <v>72120</v>
      </c>
      <c r="J128">
        <v>667311</v>
      </c>
      <c r="K128">
        <v>611932</v>
      </c>
      <c r="L128">
        <v>587910</v>
      </c>
      <c r="M128" t="str">
        <f t="shared" si="7"/>
        <v>Medium</v>
      </c>
      <c r="N128">
        <f>VLOOKUP(C128,Lookup!$A$2:$D$5,MATCH(M128,Lookup!$A$1:$D$1,0),FALSE)</f>
        <v>8.5000000000000006E-2</v>
      </c>
      <c r="O128">
        <f t="shared" si="8"/>
        <v>49972.350000000006</v>
      </c>
      <c r="P128" s="7">
        <f t="shared" si="9"/>
        <v>0.9170117081840401</v>
      </c>
      <c r="Q128" s="7">
        <f t="shared" si="10"/>
        <v>5752.6810344827591</v>
      </c>
      <c r="R128">
        <f t="shared" si="11"/>
        <v>1.4431980885429641</v>
      </c>
    </row>
    <row r="129" spans="1:18" x14ac:dyDescent="0.25">
      <c r="A129" t="s">
        <v>90</v>
      </c>
      <c r="B129" t="s">
        <v>91</v>
      </c>
      <c r="C129" t="s">
        <v>17</v>
      </c>
      <c r="D129">
        <v>12020</v>
      </c>
      <c r="E129" s="1">
        <v>44469</v>
      </c>
      <c r="F129" s="2">
        <f t="shared" si="6"/>
        <v>2021</v>
      </c>
      <c r="G129">
        <v>119</v>
      </c>
      <c r="H129" s="3">
        <v>760631</v>
      </c>
      <c r="I129">
        <v>132745</v>
      </c>
      <c r="J129">
        <v>760631</v>
      </c>
      <c r="K129">
        <v>701109</v>
      </c>
      <c r="L129">
        <v>681116</v>
      </c>
      <c r="M129" t="str">
        <f t="shared" si="7"/>
        <v>Medium</v>
      </c>
      <c r="N129">
        <f>VLOOKUP(C129,Lookup!$A$2:$D$5,MATCH(M129,Lookup!$A$1:$D$1,0),FALSE)</f>
        <v>8.5000000000000006E-2</v>
      </c>
      <c r="O129">
        <f t="shared" si="8"/>
        <v>57894.86</v>
      </c>
      <c r="P129" s="7">
        <f t="shared" si="9"/>
        <v>0.92174654990396132</v>
      </c>
      <c r="Q129" s="7">
        <f t="shared" si="10"/>
        <v>6391.8571428571431</v>
      </c>
      <c r="R129">
        <f t="shared" si="11"/>
        <v>2.2928633042726072</v>
      </c>
    </row>
    <row r="130" spans="1:18" x14ac:dyDescent="0.25">
      <c r="A130" t="s">
        <v>92</v>
      </c>
      <c r="B130" t="s">
        <v>93</v>
      </c>
      <c r="C130" t="s">
        <v>5</v>
      </c>
      <c r="D130">
        <v>92707</v>
      </c>
      <c r="E130" s="1">
        <v>43738</v>
      </c>
      <c r="F130" s="2">
        <f t="shared" ref="F130:F193" si="12">YEAR(E130)</f>
        <v>2019</v>
      </c>
      <c r="G130">
        <v>693</v>
      </c>
      <c r="H130" s="3">
        <v>8598754</v>
      </c>
      <c r="I130">
        <v>526874</v>
      </c>
      <c r="J130">
        <v>8598754</v>
      </c>
      <c r="K130">
        <v>7618753</v>
      </c>
      <c r="L130">
        <v>5856734</v>
      </c>
      <c r="M130" t="str">
        <f t="shared" ref="M130:M193" si="13">IF(H130&gt;1000000,"Large",IF(H130&lt;100000,"Small","Medium"))</f>
        <v>Large</v>
      </c>
      <c r="N130">
        <f>VLOOKUP(C130,Lookup!$A$2:$D$5,MATCH(M130,Lookup!$A$1:$D$1,0),FALSE)</f>
        <v>0.08</v>
      </c>
      <c r="O130">
        <f t="shared" ref="O130:O193" si="14">L130*N130</f>
        <v>468538.72000000003</v>
      </c>
      <c r="P130" s="7">
        <f t="shared" ref="P130:P193" si="15">K130/H130</f>
        <v>0.88602988293420182</v>
      </c>
      <c r="Q130" s="7">
        <f t="shared" ref="Q130:Q193" si="16">H130/G130</f>
        <v>12408.014430014429</v>
      </c>
      <c r="R130">
        <f t="shared" ref="R130:R193" si="17">I130/O130</f>
        <v>1.1245047154267207</v>
      </c>
    </row>
    <row r="131" spans="1:18" x14ac:dyDescent="0.25">
      <c r="A131" t="s">
        <v>92</v>
      </c>
      <c r="B131" t="s">
        <v>93</v>
      </c>
      <c r="C131" t="s">
        <v>5</v>
      </c>
      <c r="D131">
        <v>92707</v>
      </c>
      <c r="E131" s="1">
        <v>44104</v>
      </c>
      <c r="F131" s="2">
        <f t="shared" si="12"/>
        <v>2020</v>
      </c>
      <c r="G131">
        <v>613</v>
      </c>
      <c r="H131" s="3">
        <v>7725308</v>
      </c>
      <c r="I131">
        <v>292490</v>
      </c>
      <c r="J131">
        <v>7725308</v>
      </c>
      <c r="K131">
        <v>6741988</v>
      </c>
      <c r="L131">
        <v>6085896</v>
      </c>
      <c r="M131" t="str">
        <f t="shared" si="13"/>
        <v>Large</v>
      </c>
      <c r="N131">
        <f>VLOOKUP(C131,Lookup!$A$2:$D$5,MATCH(M131,Lookup!$A$1:$D$1,0),FALSE)</f>
        <v>0.08</v>
      </c>
      <c r="O131">
        <f t="shared" si="14"/>
        <v>486871.68</v>
      </c>
      <c r="P131" s="7">
        <f t="shared" si="15"/>
        <v>0.87271446005777376</v>
      </c>
      <c r="Q131" s="7">
        <f t="shared" si="16"/>
        <v>12602.460032626428</v>
      </c>
      <c r="R131">
        <f t="shared" si="17"/>
        <v>0.6007537756149629</v>
      </c>
    </row>
    <row r="132" spans="1:18" x14ac:dyDescent="0.25">
      <c r="A132" t="s">
        <v>92</v>
      </c>
      <c r="B132" t="s">
        <v>93</v>
      </c>
      <c r="C132" t="s">
        <v>5</v>
      </c>
      <c r="D132">
        <v>92707</v>
      </c>
      <c r="E132" s="1">
        <v>44469</v>
      </c>
      <c r="F132" s="2">
        <f t="shared" si="12"/>
        <v>2021</v>
      </c>
      <c r="G132">
        <v>598</v>
      </c>
      <c r="H132" s="3">
        <v>8272546</v>
      </c>
      <c r="I132">
        <v>185840</v>
      </c>
      <c r="J132">
        <v>8272546</v>
      </c>
      <c r="K132">
        <v>7243280</v>
      </c>
      <c r="L132">
        <v>6598009</v>
      </c>
      <c r="M132" t="str">
        <f t="shared" si="13"/>
        <v>Large</v>
      </c>
      <c r="N132">
        <f>VLOOKUP(C132,Lookup!$A$2:$D$5,MATCH(M132,Lookup!$A$1:$D$1,0),FALSE)</f>
        <v>0.08</v>
      </c>
      <c r="O132">
        <f t="shared" si="14"/>
        <v>527840.72</v>
      </c>
      <c r="P132" s="7">
        <f t="shared" si="15"/>
        <v>0.87558050447830693</v>
      </c>
      <c r="Q132" s="7">
        <f t="shared" si="16"/>
        <v>13833.688963210703</v>
      </c>
      <c r="R132">
        <f t="shared" si="17"/>
        <v>0.352075906534835</v>
      </c>
    </row>
    <row r="133" spans="1:18" x14ac:dyDescent="0.25">
      <c r="A133" t="s">
        <v>94</v>
      </c>
      <c r="B133" t="s">
        <v>95</v>
      </c>
      <c r="C133" t="s">
        <v>8</v>
      </c>
      <c r="D133">
        <v>62056</v>
      </c>
      <c r="E133" s="1">
        <v>43738</v>
      </c>
      <c r="F133" s="2">
        <f t="shared" si="12"/>
        <v>2019</v>
      </c>
      <c r="G133">
        <v>87</v>
      </c>
      <c r="H133" s="3">
        <v>341286</v>
      </c>
      <c r="I133">
        <v>9678</v>
      </c>
      <c r="J133">
        <v>341286</v>
      </c>
      <c r="K133">
        <v>305089</v>
      </c>
      <c r="L133">
        <v>288033</v>
      </c>
      <c r="M133" t="str">
        <f t="shared" si="13"/>
        <v>Medium</v>
      </c>
      <c r="N133">
        <f>VLOOKUP(C133,Lookup!$A$2:$D$5,MATCH(M133,Lookup!$A$1:$D$1,0),FALSE)</f>
        <v>0.08</v>
      </c>
      <c r="O133">
        <f t="shared" si="14"/>
        <v>23042.639999999999</v>
      </c>
      <c r="P133" s="7">
        <f t="shared" si="15"/>
        <v>0.89393939393939392</v>
      </c>
      <c r="Q133" s="7">
        <f t="shared" si="16"/>
        <v>3922.8275862068967</v>
      </c>
      <c r="R133">
        <f t="shared" si="17"/>
        <v>0.42000395787982631</v>
      </c>
    </row>
    <row r="134" spans="1:18" x14ac:dyDescent="0.25">
      <c r="A134" t="s">
        <v>94</v>
      </c>
      <c r="B134" t="s">
        <v>95</v>
      </c>
      <c r="C134" t="s">
        <v>8</v>
      </c>
      <c r="D134">
        <v>62056</v>
      </c>
      <c r="E134" s="1">
        <v>44104</v>
      </c>
      <c r="F134" s="2">
        <f t="shared" si="12"/>
        <v>2020</v>
      </c>
      <c r="G134">
        <v>85</v>
      </c>
      <c r="H134" s="3">
        <v>397134</v>
      </c>
      <c r="I134">
        <v>18490</v>
      </c>
      <c r="J134">
        <v>397134</v>
      </c>
      <c r="K134">
        <v>357293</v>
      </c>
      <c r="L134">
        <v>333808</v>
      </c>
      <c r="M134" t="str">
        <f t="shared" si="13"/>
        <v>Medium</v>
      </c>
      <c r="N134">
        <f>VLOOKUP(C134,Lookup!$A$2:$D$5,MATCH(M134,Lookup!$A$1:$D$1,0),FALSE)</f>
        <v>0.08</v>
      </c>
      <c r="O134">
        <f t="shared" si="14"/>
        <v>26704.639999999999</v>
      </c>
      <c r="P134" s="7">
        <f t="shared" si="15"/>
        <v>0.89967869787024024</v>
      </c>
      <c r="Q134" s="7">
        <f t="shared" si="16"/>
        <v>4672.1647058823528</v>
      </c>
      <c r="R134">
        <f t="shared" si="17"/>
        <v>0.69238903800987395</v>
      </c>
    </row>
    <row r="135" spans="1:18" x14ac:dyDescent="0.25">
      <c r="A135" t="s">
        <v>94</v>
      </c>
      <c r="B135" t="s">
        <v>95</v>
      </c>
      <c r="C135" t="s">
        <v>8</v>
      </c>
      <c r="D135">
        <v>62056</v>
      </c>
      <c r="E135" s="1">
        <v>44469</v>
      </c>
      <c r="F135" s="2">
        <f t="shared" si="12"/>
        <v>2021</v>
      </c>
      <c r="G135">
        <v>82</v>
      </c>
      <c r="H135" s="3">
        <v>414054</v>
      </c>
      <c r="I135">
        <v>16727</v>
      </c>
      <c r="J135">
        <v>414054</v>
      </c>
      <c r="K135">
        <v>371748</v>
      </c>
      <c r="L135">
        <v>346666</v>
      </c>
      <c r="M135" t="str">
        <f t="shared" si="13"/>
        <v>Medium</v>
      </c>
      <c r="N135">
        <f>VLOOKUP(C135,Lookup!$A$2:$D$5,MATCH(M135,Lookup!$A$1:$D$1,0),FALSE)</f>
        <v>0.08</v>
      </c>
      <c r="O135">
        <f t="shared" si="14"/>
        <v>27733.279999999999</v>
      </c>
      <c r="P135" s="7">
        <f t="shared" si="15"/>
        <v>0.89782492138706549</v>
      </c>
      <c r="Q135" s="7">
        <f t="shared" si="16"/>
        <v>5049.4390243902435</v>
      </c>
      <c r="R135">
        <f t="shared" si="17"/>
        <v>0.60313817911188294</v>
      </c>
    </row>
    <row r="136" spans="1:18" x14ac:dyDescent="0.25">
      <c r="A136" t="s">
        <v>96</v>
      </c>
      <c r="B136" t="s">
        <v>16</v>
      </c>
      <c r="C136" t="s">
        <v>17</v>
      </c>
      <c r="D136">
        <v>10036</v>
      </c>
      <c r="E136" s="1">
        <v>43738</v>
      </c>
      <c r="F136" s="2">
        <f t="shared" si="12"/>
        <v>2019</v>
      </c>
      <c r="G136">
        <v>800</v>
      </c>
      <c r="H136" s="3">
        <v>6931671</v>
      </c>
      <c r="I136">
        <v>2377672</v>
      </c>
      <c r="J136">
        <v>6931671</v>
      </c>
      <c r="K136">
        <v>6931671</v>
      </c>
      <c r="L136">
        <v>2858951</v>
      </c>
      <c r="M136" t="str">
        <f t="shared" si="13"/>
        <v>Large</v>
      </c>
      <c r="N136">
        <f>VLOOKUP(C136,Lookup!$A$2:$D$5,MATCH(M136,Lookup!$A$1:$D$1,0),FALSE)</f>
        <v>0.08</v>
      </c>
      <c r="O136">
        <f t="shared" si="14"/>
        <v>228716.08000000002</v>
      </c>
      <c r="P136" s="7">
        <f t="shared" si="15"/>
        <v>1</v>
      </c>
      <c r="Q136" s="7">
        <f t="shared" si="16"/>
        <v>8664.5887500000008</v>
      </c>
      <c r="R136">
        <f t="shared" si="17"/>
        <v>10.395736058435418</v>
      </c>
    </row>
    <row r="137" spans="1:18" x14ac:dyDescent="0.25">
      <c r="A137" t="s">
        <v>96</v>
      </c>
      <c r="B137" t="s">
        <v>16</v>
      </c>
      <c r="C137" t="s">
        <v>17</v>
      </c>
      <c r="D137">
        <v>10036</v>
      </c>
      <c r="E137" s="1">
        <v>44104</v>
      </c>
      <c r="F137" s="2">
        <f t="shared" si="12"/>
        <v>2020</v>
      </c>
      <c r="G137">
        <v>456</v>
      </c>
      <c r="H137" s="3">
        <v>7712438</v>
      </c>
      <c r="I137">
        <v>2807420</v>
      </c>
      <c r="J137">
        <v>7712438</v>
      </c>
      <c r="K137">
        <v>7712438</v>
      </c>
      <c r="L137">
        <v>3383785</v>
      </c>
      <c r="M137" t="str">
        <f t="shared" si="13"/>
        <v>Large</v>
      </c>
      <c r="N137">
        <f>VLOOKUP(C137,Lookup!$A$2:$D$5,MATCH(M137,Lookup!$A$1:$D$1,0),FALSE)</f>
        <v>0.08</v>
      </c>
      <c r="O137">
        <f t="shared" si="14"/>
        <v>270702.8</v>
      </c>
      <c r="P137" s="7">
        <f t="shared" si="15"/>
        <v>1</v>
      </c>
      <c r="Q137" s="7">
        <f t="shared" si="16"/>
        <v>16913.241228070176</v>
      </c>
      <c r="R137">
        <f t="shared" si="17"/>
        <v>10.370856895458784</v>
      </c>
    </row>
    <row r="138" spans="1:18" x14ac:dyDescent="0.25">
      <c r="A138" t="s">
        <v>96</v>
      </c>
      <c r="B138" t="s">
        <v>16</v>
      </c>
      <c r="C138" t="s">
        <v>17</v>
      </c>
      <c r="D138">
        <v>10036</v>
      </c>
      <c r="E138" s="1">
        <v>44469</v>
      </c>
      <c r="F138" s="2">
        <f t="shared" si="12"/>
        <v>2021</v>
      </c>
      <c r="G138">
        <v>880</v>
      </c>
      <c r="H138" s="3">
        <v>9122658</v>
      </c>
      <c r="I138">
        <v>3374365</v>
      </c>
      <c r="J138">
        <v>9122658</v>
      </c>
      <c r="K138">
        <v>9122658</v>
      </c>
      <c r="L138">
        <v>4130765</v>
      </c>
      <c r="M138" t="str">
        <f t="shared" si="13"/>
        <v>Large</v>
      </c>
      <c r="N138">
        <f>VLOOKUP(C138,Lookup!$A$2:$D$5,MATCH(M138,Lookup!$A$1:$D$1,0),FALSE)</f>
        <v>0.08</v>
      </c>
      <c r="O138">
        <f t="shared" si="14"/>
        <v>330461.2</v>
      </c>
      <c r="P138" s="7">
        <f t="shared" si="15"/>
        <v>1</v>
      </c>
      <c r="Q138" s="7">
        <f t="shared" si="16"/>
        <v>10366.656818181818</v>
      </c>
      <c r="R138">
        <f t="shared" si="17"/>
        <v>10.2110777301541</v>
      </c>
    </row>
    <row r="139" spans="1:18" x14ac:dyDescent="0.25">
      <c r="A139" t="s">
        <v>97</v>
      </c>
      <c r="B139" t="s">
        <v>16</v>
      </c>
      <c r="C139" t="s">
        <v>17</v>
      </c>
      <c r="D139">
        <v>10017</v>
      </c>
      <c r="E139" s="1">
        <v>43738</v>
      </c>
      <c r="F139" s="2">
        <f t="shared" si="12"/>
        <v>2019</v>
      </c>
      <c r="G139">
        <v>457</v>
      </c>
      <c r="H139" s="3">
        <v>6808523</v>
      </c>
      <c r="I139">
        <v>154029</v>
      </c>
      <c r="J139">
        <v>6808523</v>
      </c>
      <c r="K139">
        <v>5962622</v>
      </c>
      <c r="L139">
        <v>5494271</v>
      </c>
      <c r="M139" t="str">
        <f t="shared" si="13"/>
        <v>Large</v>
      </c>
      <c r="N139">
        <f>VLOOKUP(C139,Lookup!$A$2:$D$5,MATCH(M139,Lookup!$A$1:$D$1,0),FALSE)</f>
        <v>0.08</v>
      </c>
      <c r="O139">
        <f t="shared" si="14"/>
        <v>439541.68</v>
      </c>
      <c r="P139" s="7">
        <f t="shared" si="15"/>
        <v>0.87575851620094403</v>
      </c>
      <c r="Q139" s="7">
        <f t="shared" si="16"/>
        <v>14898.299781181619</v>
      </c>
      <c r="R139">
        <f t="shared" si="17"/>
        <v>0.35043093069126002</v>
      </c>
    </row>
    <row r="140" spans="1:18" x14ac:dyDescent="0.25">
      <c r="A140" t="s">
        <v>97</v>
      </c>
      <c r="B140" t="s">
        <v>16</v>
      </c>
      <c r="C140" t="s">
        <v>17</v>
      </c>
      <c r="D140">
        <v>10017</v>
      </c>
      <c r="E140" s="1">
        <v>44104</v>
      </c>
      <c r="F140" s="2">
        <f t="shared" si="12"/>
        <v>2020</v>
      </c>
      <c r="G140">
        <v>466</v>
      </c>
      <c r="H140" s="3">
        <v>7351872</v>
      </c>
      <c r="I140">
        <v>235586</v>
      </c>
      <c r="J140">
        <v>7351872</v>
      </c>
      <c r="K140">
        <v>6499940</v>
      </c>
      <c r="L140">
        <v>6183056</v>
      </c>
      <c r="M140" t="str">
        <f t="shared" si="13"/>
        <v>Large</v>
      </c>
      <c r="N140">
        <f>VLOOKUP(C140,Lookup!$A$2:$D$5,MATCH(M140,Lookup!$A$1:$D$1,0),FALSE)</f>
        <v>0.08</v>
      </c>
      <c r="O140">
        <f t="shared" si="14"/>
        <v>494644.47999999998</v>
      </c>
      <c r="P140" s="7">
        <f t="shared" si="15"/>
        <v>0.88412039817885835</v>
      </c>
      <c r="Q140" s="7">
        <f t="shared" si="16"/>
        <v>15776.549356223177</v>
      </c>
      <c r="R140">
        <f t="shared" si="17"/>
        <v>0.47627338325902274</v>
      </c>
    </row>
    <row r="141" spans="1:18" x14ac:dyDescent="0.25">
      <c r="A141" t="s">
        <v>97</v>
      </c>
      <c r="B141" t="s">
        <v>16</v>
      </c>
      <c r="C141" t="s">
        <v>17</v>
      </c>
      <c r="D141">
        <v>10017</v>
      </c>
      <c r="E141" s="1">
        <v>44469</v>
      </c>
      <c r="F141" s="2">
        <f t="shared" si="12"/>
        <v>2021</v>
      </c>
      <c r="G141">
        <v>478</v>
      </c>
      <c r="H141" s="3">
        <v>7970895</v>
      </c>
      <c r="I141">
        <v>407722</v>
      </c>
      <c r="J141">
        <v>7970895</v>
      </c>
      <c r="K141">
        <v>7074373</v>
      </c>
      <c r="L141">
        <v>6770733</v>
      </c>
      <c r="M141" t="str">
        <f t="shared" si="13"/>
        <v>Large</v>
      </c>
      <c r="N141">
        <f>VLOOKUP(C141,Lookup!$A$2:$D$5,MATCH(M141,Lookup!$A$1:$D$1,0),FALSE)</f>
        <v>0.08</v>
      </c>
      <c r="O141">
        <f t="shared" si="14"/>
        <v>541658.64</v>
      </c>
      <c r="P141" s="7">
        <f t="shared" si="15"/>
        <v>0.88752555390580357</v>
      </c>
      <c r="Q141" s="7">
        <f t="shared" si="16"/>
        <v>16675.512552301254</v>
      </c>
      <c r="R141">
        <f t="shared" si="17"/>
        <v>0.7527286927427207</v>
      </c>
    </row>
    <row r="142" spans="1:18" x14ac:dyDescent="0.25">
      <c r="A142" t="s">
        <v>98</v>
      </c>
      <c r="B142" t="s">
        <v>99</v>
      </c>
      <c r="C142" t="s">
        <v>17</v>
      </c>
      <c r="D142">
        <v>14001</v>
      </c>
      <c r="E142" s="1">
        <v>43738</v>
      </c>
      <c r="F142" s="2">
        <f t="shared" si="12"/>
        <v>2019</v>
      </c>
      <c r="G142">
        <v>76</v>
      </c>
      <c r="H142" s="3">
        <v>388877</v>
      </c>
      <c r="I142">
        <v>25885</v>
      </c>
      <c r="J142">
        <v>388877</v>
      </c>
      <c r="K142">
        <v>350458</v>
      </c>
      <c r="L142">
        <v>339733</v>
      </c>
      <c r="M142" t="str">
        <f t="shared" si="13"/>
        <v>Medium</v>
      </c>
      <c r="N142">
        <f>VLOOKUP(C142,Lookup!$A$2:$D$5,MATCH(M142,Lookup!$A$1:$D$1,0),FALSE)</f>
        <v>8.5000000000000006E-2</v>
      </c>
      <c r="O142">
        <f t="shared" si="14"/>
        <v>28877.305</v>
      </c>
      <c r="P142" s="7">
        <f t="shared" si="15"/>
        <v>0.90120526541811419</v>
      </c>
      <c r="Q142" s="7">
        <f t="shared" si="16"/>
        <v>5116.8026315789475</v>
      </c>
      <c r="R142">
        <f t="shared" si="17"/>
        <v>0.89637866137439071</v>
      </c>
    </row>
    <row r="143" spans="1:18" x14ac:dyDescent="0.25">
      <c r="A143" t="s">
        <v>100</v>
      </c>
      <c r="B143" t="s">
        <v>101</v>
      </c>
      <c r="C143" t="s">
        <v>5</v>
      </c>
      <c r="D143">
        <v>94104</v>
      </c>
      <c r="E143" s="1">
        <v>43738</v>
      </c>
      <c r="F143" s="2">
        <f t="shared" si="12"/>
        <v>2019</v>
      </c>
      <c r="G143">
        <v>1300</v>
      </c>
      <c r="H143" s="3">
        <v>13363000</v>
      </c>
      <c r="I143">
        <v>3019000</v>
      </c>
      <c r="J143">
        <v>13363000</v>
      </c>
      <c r="K143">
        <v>11382000</v>
      </c>
      <c r="L143">
        <v>10828000</v>
      </c>
      <c r="M143" t="str">
        <f t="shared" si="13"/>
        <v>Large</v>
      </c>
      <c r="N143">
        <f>VLOOKUP(C143,Lookup!$A$2:$D$5,MATCH(M143,Lookup!$A$1:$D$1,0),FALSE)</f>
        <v>0.08</v>
      </c>
      <c r="O143">
        <f t="shared" si="14"/>
        <v>866240</v>
      </c>
      <c r="P143" s="7">
        <f t="shared" si="15"/>
        <v>0.85175484546883184</v>
      </c>
      <c r="Q143" s="7">
        <f t="shared" si="16"/>
        <v>10279.23076923077</v>
      </c>
      <c r="R143">
        <f t="shared" si="17"/>
        <v>3.4851773180642778</v>
      </c>
    </row>
    <row r="144" spans="1:18" x14ac:dyDescent="0.25">
      <c r="A144" t="s">
        <v>100</v>
      </c>
      <c r="B144" t="s">
        <v>101</v>
      </c>
      <c r="C144" t="s">
        <v>5</v>
      </c>
      <c r="D144">
        <v>94104</v>
      </c>
      <c r="E144" s="1">
        <v>44104</v>
      </c>
      <c r="F144" s="2">
        <f t="shared" si="12"/>
        <v>2020</v>
      </c>
      <c r="G144">
        <v>1305</v>
      </c>
      <c r="H144" s="3">
        <v>22254000</v>
      </c>
      <c r="I144">
        <v>14284000</v>
      </c>
      <c r="J144">
        <v>22254000</v>
      </c>
      <c r="K144">
        <v>20170000</v>
      </c>
      <c r="L144">
        <v>19621000</v>
      </c>
      <c r="M144" t="str">
        <f t="shared" si="13"/>
        <v>Large</v>
      </c>
      <c r="N144">
        <f>VLOOKUP(C144,Lookup!$A$2:$D$5,MATCH(M144,Lookup!$A$1:$D$1,0),FALSE)</f>
        <v>0.08</v>
      </c>
      <c r="O144">
        <f t="shared" si="14"/>
        <v>1569680</v>
      </c>
      <c r="P144" s="7">
        <f t="shared" si="15"/>
        <v>0.90635391390311859</v>
      </c>
      <c r="Q144" s="7">
        <f t="shared" si="16"/>
        <v>17052.873563218393</v>
      </c>
      <c r="R144">
        <f t="shared" si="17"/>
        <v>9.0999439376178586</v>
      </c>
    </row>
    <row r="145" spans="1:18" x14ac:dyDescent="0.25">
      <c r="A145" t="s">
        <v>100</v>
      </c>
      <c r="B145" t="s">
        <v>101</v>
      </c>
      <c r="C145" t="s">
        <v>5</v>
      </c>
      <c r="D145">
        <v>94104</v>
      </c>
      <c r="E145" s="1">
        <v>44469</v>
      </c>
      <c r="F145" s="2">
        <f t="shared" si="12"/>
        <v>2021</v>
      </c>
      <c r="G145">
        <v>1360</v>
      </c>
      <c r="H145" s="3">
        <v>26632000</v>
      </c>
      <c r="I145">
        <v>12838000</v>
      </c>
      <c r="J145">
        <v>26632000</v>
      </c>
      <c r="K145">
        <v>24440000</v>
      </c>
      <c r="L145">
        <v>24164000</v>
      </c>
      <c r="M145" t="str">
        <f t="shared" si="13"/>
        <v>Large</v>
      </c>
      <c r="N145">
        <f>VLOOKUP(C145,Lookup!$A$2:$D$5,MATCH(M145,Lookup!$A$1:$D$1,0),FALSE)</f>
        <v>0.08</v>
      </c>
      <c r="O145">
        <f t="shared" si="14"/>
        <v>1933120</v>
      </c>
      <c r="P145" s="7">
        <f t="shared" si="15"/>
        <v>0.91769300090117156</v>
      </c>
      <c r="Q145" s="7">
        <f t="shared" si="16"/>
        <v>19582.352941176472</v>
      </c>
      <c r="R145">
        <f t="shared" si="17"/>
        <v>6.6410776361529544</v>
      </c>
    </row>
    <row r="146" spans="1:18" x14ac:dyDescent="0.25">
      <c r="A146" t="s">
        <v>102</v>
      </c>
      <c r="B146" t="s">
        <v>16</v>
      </c>
      <c r="C146" t="s">
        <v>17</v>
      </c>
      <c r="D146">
        <v>10016</v>
      </c>
      <c r="E146" s="1">
        <v>43738</v>
      </c>
      <c r="F146" s="2">
        <f t="shared" si="12"/>
        <v>2019</v>
      </c>
      <c r="G146">
        <v>1101</v>
      </c>
      <c r="H146" s="3">
        <v>10857592</v>
      </c>
      <c r="I146">
        <v>3329031</v>
      </c>
      <c r="J146">
        <v>10857592</v>
      </c>
      <c r="K146">
        <v>10857592</v>
      </c>
      <c r="L146">
        <v>5264805</v>
      </c>
      <c r="M146" t="str">
        <f t="shared" si="13"/>
        <v>Large</v>
      </c>
      <c r="N146">
        <f>VLOOKUP(C146,Lookup!$A$2:$D$5,MATCH(M146,Lookup!$A$1:$D$1,0),FALSE)</f>
        <v>0.08</v>
      </c>
      <c r="O146">
        <f t="shared" si="14"/>
        <v>421184.4</v>
      </c>
      <c r="P146" s="7">
        <f t="shared" si="15"/>
        <v>1</v>
      </c>
      <c r="Q146" s="7">
        <f t="shared" si="16"/>
        <v>9861.5731153496818</v>
      </c>
      <c r="R146">
        <f t="shared" si="17"/>
        <v>7.9039750759999654</v>
      </c>
    </row>
    <row r="147" spans="1:18" x14ac:dyDescent="0.25">
      <c r="A147" t="s">
        <v>102</v>
      </c>
      <c r="B147" t="s">
        <v>16</v>
      </c>
      <c r="C147" t="s">
        <v>17</v>
      </c>
      <c r="D147">
        <v>10016</v>
      </c>
      <c r="E147" s="1">
        <v>44104</v>
      </c>
      <c r="F147" s="2">
        <f t="shared" si="12"/>
        <v>2020</v>
      </c>
      <c r="G147">
        <v>1132</v>
      </c>
      <c r="H147" s="3">
        <v>12433259</v>
      </c>
      <c r="I147">
        <v>6209027</v>
      </c>
      <c r="J147">
        <v>12433259</v>
      </c>
      <c r="K147">
        <v>12433259</v>
      </c>
      <c r="L147">
        <v>5603890</v>
      </c>
      <c r="M147" t="str">
        <f t="shared" si="13"/>
        <v>Large</v>
      </c>
      <c r="N147">
        <f>VLOOKUP(C147,Lookup!$A$2:$D$5,MATCH(M147,Lookup!$A$1:$D$1,0),FALSE)</f>
        <v>0.08</v>
      </c>
      <c r="O147">
        <f t="shared" si="14"/>
        <v>448311.2</v>
      </c>
      <c r="P147" s="7">
        <f t="shared" si="15"/>
        <v>1</v>
      </c>
      <c r="Q147" s="7">
        <f t="shared" si="16"/>
        <v>10983.444346289753</v>
      </c>
      <c r="R147">
        <f t="shared" si="17"/>
        <v>13.849814593077308</v>
      </c>
    </row>
    <row r="148" spans="1:18" x14ac:dyDescent="0.25">
      <c r="A148" t="s">
        <v>102</v>
      </c>
      <c r="B148" t="s">
        <v>16</v>
      </c>
      <c r="C148" t="s">
        <v>17</v>
      </c>
      <c r="D148">
        <v>10016</v>
      </c>
      <c r="E148" s="1">
        <v>44469</v>
      </c>
      <c r="F148" s="2">
        <f t="shared" si="12"/>
        <v>2021</v>
      </c>
      <c r="G148">
        <v>1350</v>
      </c>
      <c r="H148" s="3">
        <v>10520020</v>
      </c>
      <c r="I148">
        <v>5434730</v>
      </c>
      <c r="J148">
        <v>10520020</v>
      </c>
      <c r="K148">
        <v>10520020</v>
      </c>
      <c r="L148">
        <v>3838945</v>
      </c>
      <c r="M148" t="str">
        <f t="shared" si="13"/>
        <v>Large</v>
      </c>
      <c r="N148">
        <f>VLOOKUP(C148,Lookup!$A$2:$D$5,MATCH(M148,Lookup!$A$1:$D$1,0),FALSE)</f>
        <v>0.08</v>
      </c>
      <c r="O148">
        <f t="shared" si="14"/>
        <v>307115.60000000003</v>
      </c>
      <c r="P148" s="7">
        <f t="shared" si="15"/>
        <v>1</v>
      </c>
      <c r="Q148" s="7">
        <f t="shared" si="16"/>
        <v>7792.6074074074077</v>
      </c>
      <c r="R148">
        <f t="shared" si="17"/>
        <v>17.696040188124599</v>
      </c>
    </row>
    <row r="149" spans="1:18" x14ac:dyDescent="0.25">
      <c r="A149" t="s">
        <v>103</v>
      </c>
      <c r="B149" t="s">
        <v>104</v>
      </c>
      <c r="C149" t="s">
        <v>8</v>
      </c>
      <c r="D149">
        <v>62220</v>
      </c>
      <c r="E149" s="1">
        <v>43738</v>
      </c>
      <c r="F149" s="2">
        <f t="shared" si="12"/>
        <v>2019</v>
      </c>
      <c r="G149">
        <v>39</v>
      </c>
      <c r="H149" s="3">
        <v>225988</v>
      </c>
      <c r="I149">
        <v>33808</v>
      </c>
      <c r="J149">
        <v>225988</v>
      </c>
      <c r="K149">
        <v>207950</v>
      </c>
      <c r="L149">
        <v>192919</v>
      </c>
      <c r="M149" t="str">
        <f t="shared" si="13"/>
        <v>Medium</v>
      </c>
      <c r="N149">
        <f>VLOOKUP(C149,Lookup!$A$2:$D$5,MATCH(M149,Lookup!$A$1:$D$1,0),FALSE)</f>
        <v>0.08</v>
      </c>
      <c r="O149">
        <f t="shared" si="14"/>
        <v>15433.52</v>
      </c>
      <c r="P149" s="7">
        <f t="shared" si="15"/>
        <v>0.92018160256296799</v>
      </c>
      <c r="Q149" s="7">
        <f t="shared" si="16"/>
        <v>5794.5641025641025</v>
      </c>
      <c r="R149">
        <f t="shared" si="17"/>
        <v>2.1905566584939793</v>
      </c>
    </row>
    <row r="150" spans="1:18" x14ac:dyDescent="0.25">
      <c r="A150" t="s">
        <v>103</v>
      </c>
      <c r="B150" t="s">
        <v>104</v>
      </c>
      <c r="C150" t="s">
        <v>8</v>
      </c>
      <c r="D150">
        <v>62220</v>
      </c>
      <c r="E150" s="1">
        <v>44104</v>
      </c>
      <c r="F150" s="2">
        <f t="shared" si="12"/>
        <v>2020</v>
      </c>
      <c r="G150">
        <v>42</v>
      </c>
      <c r="H150" s="3">
        <v>299301</v>
      </c>
      <c r="I150">
        <v>24646</v>
      </c>
      <c r="J150">
        <v>299301</v>
      </c>
      <c r="K150">
        <v>277834</v>
      </c>
      <c r="L150">
        <v>223571</v>
      </c>
      <c r="M150" t="str">
        <f t="shared" si="13"/>
        <v>Medium</v>
      </c>
      <c r="N150">
        <f>VLOOKUP(C150,Lookup!$A$2:$D$5,MATCH(M150,Lookup!$A$1:$D$1,0),FALSE)</f>
        <v>0.08</v>
      </c>
      <c r="O150">
        <f t="shared" si="14"/>
        <v>17885.68</v>
      </c>
      <c r="P150" s="7">
        <f t="shared" si="15"/>
        <v>0.92827621691875406</v>
      </c>
      <c r="Q150" s="7">
        <f t="shared" si="16"/>
        <v>7126.2142857142853</v>
      </c>
      <c r="R150">
        <f t="shared" si="17"/>
        <v>1.3779738874898801</v>
      </c>
    </row>
    <row r="151" spans="1:18" x14ac:dyDescent="0.25">
      <c r="A151" t="s">
        <v>103</v>
      </c>
      <c r="B151" t="s">
        <v>104</v>
      </c>
      <c r="C151" t="s">
        <v>8</v>
      </c>
      <c r="D151">
        <v>62220</v>
      </c>
      <c r="E151" s="1">
        <v>44469</v>
      </c>
      <c r="F151" s="2">
        <f t="shared" si="12"/>
        <v>2021</v>
      </c>
      <c r="G151">
        <v>56</v>
      </c>
      <c r="H151" s="3">
        <v>337418</v>
      </c>
      <c r="I151">
        <v>31905</v>
      </c>
      <c r="J151">
        <v>337418</v>
      </c>
      <c r="K151">
        <v>309850</v>
      </c>
      <c r="L151">
        <v>285269</v>
      </c>
      <c r="M151" t="str">
        <f t="shared" si="13"/>
        <v>Medium</v>
      </c>
      <c r="N151">
        <f>VLOOKUP(C151,Lookup!$A$2:$D$5,MATCH(M151,Lookup!$A$1:$D$1,0),FALSE)</f>
        <v>0.08</v>
      </c>
      <c r="O151">
        <f t="shared" si="14"/>
        <v>22821.52</v>
      </c>
      <c r="P151" s="7">
        <f t="shared" si="15"/>
        <v>0.9182971862793331</v>
      </c>
      <c r="Q151" s="7">
        <f t="shared" si="16"/>
        <v>6025.3214285714284</v>
      </c>
      <c r="R151">
        <f t="shared" si="17"/>
        <v>1.3980225681724967</v>
      </c>
    </row>
    <row r="152" spans="1:18" x14ac:dyDescent="0.25">
      <c r="A152" t="s">
        <v>105</v>
      </c>
      <c r="B152" t="s">
        <v>106</v>
      </c>
      <c r="C152" t="s">
        <v>8</v>
      </c>
      <c r="D152">
        <v>62621</v>
      </c>
      <c r="E152" s="1">
        <v>43738</v>
      </c>
      <c r="F152" s="2">
        <f t="shared" si="12"/>
        <v>2019</v>
      </c>
      <c r="G152">
        <v>14</v>
      </c>
      <c r="H152" s="3">
        <v>54384</v>
      </c>
      <c r="I152">
        <v>4774</v>
      </c>
      <c r="J152">
        <v>54384</v>
      </c>
      <c r="K152">
        <v>46215</v>
      </c>
      <c r="L152">
        <v>46183</v>
      </c>
      <c r="M152" t="str">
        <f t="shared" si="13"/>
        <v>Small</v>
      </c>
      <c r="N152">
        <f>VLOOKUP(C152,Lookup!$A$2:$D$5,MATCH(M152,Lookup!$A$1:$D$1,0),FALSE)</f>
        <v>0.09</v>
      </c>
      <c r="O152">
        <f t="shared" si="14"/>
        <v>4156.47</v>
      </c>
      <c r="P152" s="7">
        <f t="shared" si="15"/>
        <v>0.84979037952338921</v>
      </c>
      <c r="Q152" s="7">
        <f t="shared" si="16"/>
        <v>3884.5714285714284</v>
      </c>
      <c r="R152">
        <f t="shared" si="17"/>
        <v>1.148570782418735</v>
      </c>
    </row>
    <row r="153" spans="1:18" x14ac:dyDescent="0.25">
      <c r="A153" t="s">
        <v>105</v>
      </c>
      <c r="B153" t="s">
        <v>106</v>
      </c>
      <c r="C153" t="s">
        <v>8</v>
      </c>
      <c r="D153">
        <v>62621</v>
      </c>
      <c r="E153" s="1">
        <v>44104</v>
      </c>
      <c r="F153" s="2">
        <f t="shared" si="12"/>
        <v>2020</v>
      </c>
      <c r="G153">
        <v>15</v>
      </c>
      <c r="H153" s="3">
        <v>59532</v>
      </c>
      <c r="I153">
        <v>8579</v>
      </c>
      <c r="J153">
        <v>59532</v>
      </c>
      <c r="K153">
        <v>51031</v>
      </c>
      <c r="L153">
        <v>46984</v>
      </c>
      <c r="M153" t="str">
        <f t="shared" si="13"/>
        <v>Small</v>
      </c>
      <c r="N153">
        <f>VLOOKUP(C153,Lookup!$A$2:$D$5,MATCH(M153,Lookup!$A$1:$D$1,0),FALSE)</f>
        <v>0.09</v>
      </c>
      <c r="O153">
        <f t="shared" si="14"/>
        <v>4228.5599999999995</v>
      </c>
      <c r="P153" s="7">
        <f t="shared" si="15"/>
        <v>0.85720284888799303</v>
      </c>
      <c r="Q153" s="7">
        <f t="shared" si="16"/>
        <v>3968.8</v>
      </c>
      <c r="R153">
        <f t="shared" si="17"/>
        <v>2.0288230508731107</v>
      </c>
    </row>
    <row r="154" spans="1:18" x14ac:dyDescent="0.25">
      <c r="A154" t="s">
        <v>105</v>
      </c>
      <c r="B154" t="s">
        <v>106</v>
      </c>
      <c r="C154" t="s">
        <v>8</v>
      </c>
      <c r="D154">
        <v>62621</v>
      </c>
      <c r="E154" s="1">
        <v>44469</v>
      </c>
      <c r="F154" s="2">
        <f t="shared" si="12"/>
        <v>2021</v>
      </c>
      <c r="G154">
        <v>13</v>
      </c>
      <c r="H154" s="3">
        <v>61246</v>
      </c>
      <c r="I154">
        <v>6620</v>
      </c>
      <c r="J154">
        <v>61246</v>
      </c>
      <c r="K154">
        <v>52829</v>
      </c>
      <c r="L154">
        <v>52776</v>
      </c>
      <c r="M154" t="str">
        <f t="shared" si="13"/>
        <v>Small</v>
      </c>
      <c r="N154">
        <f>VLOOKUP(C154,Lookup!$A$2:$D$5,MATCH(M154,Lookup!$A$1:$D$1,0),FALSE)</f>
        <v>0.09</v>
      </c>
      <c r="O154">
        <f t="shared" si="14"/>
        <v>4749.84</v>
      </c>
      <c r="P154" s="7">
        <f t="shared" si="15"/>
        <v>0.86257061685661107</v>
      </c>
      <c r="Q154" s="7">
        <f t="shared" si="16"/>
        <v>4711.2307692307695</v>
      </c>
      <c r="R154">
        <f t="shared" si="17"/>
        <v>1.3937311572600339</v>
      </c>
    </row>
    <row r="155" spans="1:18" x14ac:dyDescent="0.25">
      <c r="A155" t="s">
        <v>107</v>
      </c>
      <c r="B155" t="s">
        <v>108</v>
      </c>
      <c r="C155" t="s">
        <v>8</v>
      </c>
      <c r="D155">
        <v>62047</v>
      </c>
      <c r="E155" s="1">
        <v>43738</v>
      </c>
      <c r="F155" s="2">
        <f t="shared" si="12"/>
        <v>2019</v>
      </c>
      <c r="G155">
        <v>14</v>
      </c>
      <c r="H155" s="3">
        <v>66805</v>
      </c>
      <c r="I155">
        <v>15626</v>
      </c>
      <c r="J155">
        <v>66805</v>
      </c>
      <c r="K155">
        <v>60087</v>
      </c>
      <c r="L155">
        <v>59726</v>
      </c>
      <c r="M155" t="str">
        <f t="shared" si="13"/>
        <v>Small</v>
      </c>
      <c r="N155">
        <f>VLOOKUP(C155,Lookup!$A$2:$D$5,MATCH(M155,Lookup!$A$1:$D$1,0),FALSE)</f>
        <v>0.09</v>
      </c>
      <c r="O155">
        <f t="shared" si="14"/>
        <v>5375.34</v>
      </c>
      <c r="P155" s="7">
        <f t="shared" si="15"/>
        <v>0.89943866477060097</v>
      </c>
      <c r="Q155" s="7">
        <f t="shared" si="16"/>
        <v>4771.7857142857147</v>
      </c>
      <c r="R155">
        <f t="shared" si="17"/>
        <v>2.9069789073807422</v>
      </c>
    </row>
    <row r="156" spans="1:18" x14ac:dyDescent="0.25">
      <c r="A156" t="s">
        <v>107</v>
      </c>
      <c r="B156" t="s">
        <v>108</v>
      </c>
      <c r="C156" t="s">
        <v>8</v>
      </c>
      <c r="D156">
        <v>62047</v>
      </c>
      <c r="E156" s="1">
        <v>44104</v>
      </c>
      <c r="F156" s="2">
        <f t="shared" si="12"/>
        <v>2020</v>
      </c>
      <c r="G156">
        <v>14</v>
      </c>
      <c r="H156" s="3">
        <v>72427</v>
      </c>
      <c r="I156">
        <v>23056</v>
      </c>
      <c r="J156">
        <v>72427</v>
      </c>
      <c r="K156">
        <v>65446</v>
      </c>
      <c r="L156">
        <v>63859</v>
      </c>
      <c r="M156" t="str">
        <f t="shared" si="13"/>
        <v>Small</v>
      </c>
      <c r="N156">
        <f>VLOOKUP(C156,Lookup!$A$2:$D$5,MATCH(M156,Lookup!$A$1:$D$1,0),FALSE)</f>
        <v>0.09</v>
      </c>
      <c r="O156">
        <f t="shared" si="14"/>
        <v>5747.3099999999995</v>
      </c>
      <c r="P156" s="7">
        <f t="shared" si="15"/>
        <v>0.90361329338506358</v>
      </c>
      <c r="Q156" s="7">
        <f t="shared" si="16"/>
        <v>5173.3571428571431</v>
      </c>
      <c r="R156">
        <f t="shared" si="17"/>
        <v>4.0116158689891446</v>
      </c>
    </row>
    <row r="157" spans="1:18" x14ac:dyDescent="0.25">
      <c r="A157" t="s">
        <v>107</v>
      </c>
      <c r="B157" t="s">
        <v>108</v>
      </c>
      <c r="C157" t="s">
        <v>8</v>
      </c>
      <c r="D157">
        <v>62047</v>
      </c>
      <c r="E157" s="1">
        <v>44469</v>
      </c>
      <c r="F157" s="2">
        <f t="shared" si="12"/>
        <v>2021</v>
      </c>
      <c r="G157">
        <v>14</v>
      </c>
      <c r="H157" s="3">
        <v>80059</v>
      </c>
      <c r="I157">
        <v>28494</v>
      </c>
      <c r="J157">
        <v>80059</v>
      </c>
      <c r="K157">
        <v>73043</v>
      </c>
      <c r="L157">
        <v>72690</v>
      </c>
      <c r="M157" t="str">
        <f t="shared" si="13"/>
        <v>Small</v>
      </c>
      <c r="N157">
        <f>VLOOKUP(C157,Lookup!$A$2:$D$5,MATCH(M157,Lookup!$A$1:$D$1,0),FALSE)</f>
        <v>0.09</v>
      </c>
      <c r="O157">
        <f t="shared" si="14"/>
        <v>6542.0999999999995</v>
      </c>
      <c r="P157" s="7">
        <f t="shared" si="15"/>
        <v>0.91236463108457511</v>
      </c>
      <c r="Q157" s="7">
        <f t="shared" si="16"/>
        <v>5718.5</v>
      </c>
      <c r="R157">
        <f t="shared" si="17"/>
        <v>4.3554821846196177</v>
      </c>
    </row>
    <row r="158" spans="1:18" x14ac:dyDescent="0.25">
      <c r="A158" t="s">
        <v>109</v>
      </c>
      <c r="B158" t="s">
        <v>110</v>
      </c>
      <c r="C158" t="s">
        <v>17</v>
      </c>
      <c r="D158">
        <v>14719</v>
      </c>
      <c r="E158" s="1">
        <v>43738</v>
      </c>
      <c r="F158" s="2">
        <f t="shared" si="12"/>
        <v>2019</v>
      </c>
      <c r="G158">
        <v>9</v>
      </c>
      <c r="H158" s="3">
        <v>23927</v>
      </c>
      <c r="I158">
        <v>5274</v>
      </c>
      <c r="J158">
        <v>23927</v>
      </c>
      <c r="K158">
        <v>21878</v>
      </c>
      <c r="L158">
        <v>21852</v>
      </c>
      <c r="M158" t="str">
        <f t="shared" si="13"/>
        <v>Small</v>
      </c>
      <c r="N158">
        <f>VLOOKUP(C158,Lookup!$A$2:$D$5,MATCH(M158,Lookup!$A$1:$D$1,0),FALSE)</f>
        <v>0.09</v>
      </c>
      <c r="O158">
        <f t="shared" si="14"/>
        <v>1966.6799999999998</v>
      </c>
      <c r="P158" s="7">
        <f t="shared" si="15"/>
        <v>0.91436452543152091</v>
      </c>
      <c r="Q158" s="7">
        <f t="shared" si="16"/>
        <v>2658.5555555555557</v>
      </c>
      <c r="R158">
        <f t="shared" si="17"/>
        <v>2.6816767343950212</v>
      </c>
    </row>
    <row r="159" spans="1:18" x14ac:dyDescent="0.25">
      <c r="A159" t="s">
        <v>109</v>
      </c>
      <c r="B159" t="s">
        <v>110</v>
      </c>
      <c r="C159" t="s">
        <v>17</v>
      </c>
      <c r="D159">
        <v>14719</v>
      </c>
      <c r="E159" s="1">
        <v>44104</v>
      </c>
      <c r="F159" s="2">
        <f t="shared" si="12"/>
        <v>2020</v>
      </c>
      <c r="G159">
        <v>9</v>
      </c>
      <c r="H159" s="3">
        <v>25255</v>
      </c>
      <c r="I159">
        <v>5205</v>
      </c>
      <c r="J159">
        <v>25255</v>
      </c>
      <c r="K159">
        <v>23088</v>
      </c>
      <c r="L159">
        <v>23065</v>
      </c>
      <c r="M159" t="str">
        <f t="shared" si="13"/>
        <v>Small</v>
      </c>
      <c r="N159">
        <f>VLOOKUP(C159,Lookup!$A$2:$D$5,MATCH(M159,Lookup!$A$1:$D$1,0),FALSE)</f>
        <v>0.09</v>
      </c>
      <c r="O159">
        <f t="shared" si="14"/>
        <v>2075.85</v>
      </c>
      <c r="P159" s="7">
        <f t="shared" si="15"/>
        <v>0.91419520886953076</v>
      </c>
      <c r="Q159" s="7">
        <f t="shared" si="16"/>
        <v>2806.1111111111113</v>
      </c>
      <c r="R159">
        <f t="shared" si="17"/>
        <v>2.5074066045234482</v>
      </c>
    </row>
    <row r="160" spans="1:18" x14ac:dyDescent="0.25">
      <c r="A160" t="s">
        <v>109</v>
      </c>
      <c r="B160" t="s">
        <v>110</v>
      </c>
      <c r="C160" t="s">
        <v>17</v>
      </c>
      <c r="D160">
        <v>14719</v>
      </c>
      <c r="E160" s="1">
        <v>44469</v>
      </c>
      <c r="F160" s="2">
        <f t="shared" si="12"/>
        <v>2021</v>
      </c>
      <c r="G160">
        <v>8</v>
      </c>
      <c r="H160" s="3">
        <v>28220</v>
      </c>
      <c r="I160">
        <v>8514</v>
      </c>
      <c r="J160">
        <v>28220</v>
      </c>
      <c r="K160">
        <v>25957</v>
      </c>
      <c r="L160">
        <v>25932</v>
      </c>
      <c r="M160" t="str">
        <f t="shared" si="13"/>
        <v>Small</v>
      </c>
      <c r="N160">
        <f>VLOOKUP(C160,Lookup!$A$2:$D$5,MATCH(M160,Lookup!$A$1:$D$1,0),FALSE)</f>
        <v>0.09</v>
      </c>
      <c r="O160">
        <f t="shared" si="14"/>
        <v>2333.88</v>
      </c>
      <c r="P160" s="7">
        <f t="shared" si="15"/>
        <v>0.91980864635010628</v>
      </c>
      <c r="Q160" s="7">
        <f t="shared" si="16"/>
        <v>3527.5</v>
      </c>
      <c r="R160">
        <f t="shared" si="17"/>
        <v>3.648002467993213</v>
      </c>
    </row>
    <row r="161" spans="1:18" x14ac:dyDescent="0.25">
      <c r="A161" t="s">
        <v>111</v>
      </c>
      <c r="B161" t="s">
        <v>112</v>
      </c>
      <c r="C161" t="s">
        <v>8</v>
      </c>
      <c r="D161">
        <v>62518</v>
      </c>
      <c r="E161" s="1">
        <v>43738</v>
      </c>
      <c r="F161" s="2">
        <f t="shared" si="12"/>
        <v>2019</v>
      </c>
      <c r="G161">
        <v>5</v>
      </c>
      <c r="H161" s="3">
        <v>18068</v>
      </c>
      <c r="I161">
        <v>1280</v>
      </c>
      <c r="J161">
        <v>18068</v>
      </c>
      <c r="K161">
        <v>16258</v>
      </c>
      <c r="L161">
        <v>16195</v>
      </c>
      <c r="M161" t="str">
        <f t="shared" si="13"/>
        <v>Small</v>
      </c>
      <c r="N161">
        <f>VLOOKUP(C161,Lookup!$A$2:$D$5,MATCH(M161,Lookup!$A$1:$D$1,0),FALSE)</f>
        <v>0.09</v>
      </c>
      <c r="O161">
        <f t="shared" si="14"/>
        <v>1457.55</v>
      </c>
      <c r="P161" s="7">
        <f t="shared" si="15"/>
        <v>0.89982289129953508</v>
      </c>
      <c r="Q161" s="7">
        <f t="shared" si="16"/>
        <v>3613.6</v>
      </c>
      <c r="R161">
        <f t="shared" si="17"/>
        <v>0.8781859970498439</v>
      </c>
    </row>
    <row r="162" spans="1:18" x14ac:dyDescent="0.25">
      <c r="A162" t="s">
        <v>111</v>
      </c>
      <c r="B162" t="s">
        <v>112</v>
      </c>
      <c r="C162" t="s">
        <v>8</v>
      </c>
      <c r="D162">
        <v>62518</v>
      </c>
      <c r="E162" s="1">
        <v>44104</v>
      </c>
      <c r="F162" s="2">
        <f t="shared" si="12"/>
        <v>2020</v>
      </c>
      <c r="G162">
        <v>5</v>
      </c>
      <c r="H162" s="3">
        <v>18449</v>
      </c>
      <c r="I162">
        <v>1100</v>
      </c>
      <c r="J162">
        <v>18449</v>
      </c>
      <c r="K162">
        <v>16612</v>
      </c>
      <c r="L162">
        <v>16539</v>
      </c>
      <c r="M162" t="str">
        <f t="shared" si="13"/>
        <v>Small</v>
      </c>
      <c r="N162">
        <f>VLOOKUP(C162,Lookup!$A$2:$D$5,MATCH(M162,Lookup!$A$1:$D$1,0),FALSE)</f>
        <v>0.09</v>
      </c>
      <c r="O162">
        <f t="shared" si="14"/>
        <v>1488.51</v>
      </c>
      <c r="P162" s="7">
        <f t="shared" si="15"/>
        <v>0.9004282074909209</v>
      </c>
      <c r="Q162" s="7">
        <f t="shared" si="16"/>
        <v>3689.8</v>
      </c>
      <c r="R162">
        <f t="shared" si="17"/>
        <v>0.73899402758463162</v>
      </c>
    </row>
    <row r="163" spans="1:18" x14ac:dyDescent="0.25">
      <c r="A163" t="s">
        <v>111</v>
      </c>
      <c r="B163" t="s">
        <v>112</v>
      </c>
      <c r="C163" t="s">
        <v>8</v>
      </c>
      <c r="D163">
        <v>62518</v>
      </c>
      <c r="E163" s="1">
        <v>44469</v>
      </c>
      <c r="F163" s="2">
        <f t="shared" si="12"/>
        <v>2021</v>
      </c>
      <c r="G163">
        <v>6</v>
      </c>
      <c r="H163" s="3">
        <v>20605</v>
      </c>
      <c r="I163">
        <v>599</v>
      </c>
      <c r="J163">
        <v>20605</v>
      </c>
      <c r="K163">
        <v>18778</v>
      </c>
      <c r="L163">
        <v>18511</v>
      </c>
      <c r="M163" t="str">
        <f t="shared" si="13"/>
        <v>Small</v>
      </c>
      <c r="N163">
        <f>VLOOKUP(C163,Lookup!$A$2:$D$5,MATCH(M163,Lookup!$A$1:$D$1,0),FALSE)</f>
        <v>0.09</v>
      </c>
      <c r="O163">
        <f t="shared" si="14"/>
        <v>1665.99</v>
      </c>
      <c r="P163" s="7">
        <f t="shared" si="15"/>
        <v>0.91133220092210632</v>
      </c>
      <c r="Q163" s="7">
        <f t="shared" si="16"/>
        <v>3434.1666666666665</v>
      </c>
      <c r="R163">
        <f t="shared" si="17"/>
        <v>0.35954597566612045</v>
      </c>
    </row>
    <row r="164" spans="1:18" x14ac:dyDescent="0.25">
      <c r="A164" t="s">
        <v>113</v>
      </c>
      <c r="B164" t="s">
        <v>16</v>
      </c>
      <c r="C164" t="s">
        <v>17</v>
      </c>
      <c r="D164">
        <v>10018</v>
      </c>
      <c r="E164" s="1">
        <v>43738</v>
      </c>
      <c r="F164" s="2">
        <f t="shared" si="12"/>
        <v>2019</v>
      </c>
      <c r="G164">
        <v>310000</v>
      </c>
      <c r="H164" s="3">
        <v>43589352</v>
      </c>
      <c r="I164">
        <v>22122799</v>
      </c>
      <c r="J164">
        <v>43589352</v>
      </c>
      <c r="K164">
        <v>43589352</v>
      </c>
      <c r="L164">
        <v>19114117</v>
      </c>
      <c r="M164" t="str">
        <f t="shared" si="13"/>
        <v>Large</v>
      </c>
      <c r="N164">
        <f>VLOOKUP(C164,Lookup!$A$2:$D$5,MATCH(M164,Lookup!$A$1:$D$1,0),FALSE)</f>
        <v>0.08</v>
      </c>
      <c r="O164">
        <f t="shared" si="14"/>
        <v>1529129.36</v>
      </c>
      <c r="P164" s="7">
        <f t="shared" si="15"/>
        <v>1</v>
      </c>
      <c r="Q164" s="7">
        <f t="shared" si="16"/>
        <v>140.61081290322582</v>
      </c>
      <c r="R164">
        <f t="shared" si="17"/>
        <v>14.467578465696322</v>
      </c>
    </row>
    <row r="165" spans="1:18" x14ac:dyDescent="0.25">
      <c r="A165" t="s">
        <v>113</v>
      </c>
      <c r="B165" t="s">
        <v>16</v>
      </c>
      <c r="C165" t="s">
        <v>17</v>
      </c>
      <c r="D165">
        <v>10018</v>
      </c>
      <c r="E165" s="1">
        <v>44104</v>
      </c>
      <c r="F165" s="2">
        <f t="shared" si="12"/>
        <v>2020</v>
      </c>
      <c r="G165">
        <v>311000</v>
      </c>
      <c r="H165" s="3">
        <v>51877638</v>
      </c>
      <c r="I165">
        <v>27893161</v>
      </c>
      <c r="J165">
        <v>51877638</v>
      </c>
      <c r="K165">
        <v>51877638</v>
      </c>
      <c r="L165">
        <v>23144796</v>
      </c>
      <c r="M165" t="str">
        <f t="shared" si="13"/>
        <v>Large</v>
      </c>
      <c r="N165">
        <f>VLOOKUP(C165,Lookup!$A$2:$D$5,MATCH(M165,Lookup!$A$1:$D$1,0),FALSE)</f>
        <v>0.08</v>
      </c>
      <c r="O165">
        <f t="shared" si="14"/>
        <v>1851583.68</v>
      </c>
      <c r="P165" s="7">
        <f t="shared" si="15"/>
        <v>1</v>
      </c>
      <c r="Q165" s="7">
        <f t="shared" si="16"/>
        <v>166.80912540192926</v>
      </c>
      <c r="R165">
        <f t="shared" si="17"/>
        <v>15.064488470756018</v>
      </c>
    </row>
    <row r="166" spans="1:18" x14ac:dyDescent="0.25">
      <c r="A166" t="s">
        <v>113</v>
      </c>
      <c r="B166" t="s">
        <v>16</v>
      </c>
      <c r="C166" t="s">
        <v>17</v>
      </c>
      <c r="D166">
        <v>10018</v>
      </c>
      <c r="E166" s="1">
        <v>44469</v>
      </c>
      <c r="F166" s="2">
        <f t="shared" si="12"/>
        <v>2021</v>
      </c>
      <c r="G166">
        <v>315000</v>
      </c>
      <c r="H166" s="3">
        <v>42829037</v>
      </c>
      <c r="I166">
        <v>21828831</v>
      </c>
      <c r="J166">
        <v>42829037</v>
      </c>
      <c r="K166">
        <v>42829037</v>
      </c>
      <c r="L166">
        <v>21763226</v>
      </c>
      <c r="M166" t="str">
        <f t="shared" si="13"/>
        <v>Large</v>
      </c>
      <c r="N166">
        <f>VLOOKUP(C166,Lookup!$A$2:$D$5,MATCH(M166,Lookup!$A$1:$D$1,0),FALSE)</f>
        <v>0.08</v>
      </c>
      <c r="O166">
        <f t="shared" si="14"/>
        <v>1741058.08</v>
      </c>
      <c r="P166" s="7">
        <f t="shared" si="15"/>
        <v>1</v>
      </c>
      <c r="Q166" s="7">
        <f t="shared" si="16"/>
        <v>135.96519682539682</v>
      </c>
      <c r="R166">
        <f t="shared" si="17"/>
        <v>12.537681109409055</v>
      </c>
    </row>
    <row r="167" spans="1:18" x14ac:dyDescent="0.25">
      <c r="A167" t="s">
        <v>114</v>
      </c>
      <c r="B167" t="s">
        <v>115</v>
      </c>
      <c r="C167" t="s">
        <v>20</v>
      </c>
      <c r="D167">
        <v>2356</v>
      </c>
      <c r="E167" s="1">
        <v>43738</v>
      </c>
      <c r="F167" s="2">
        <f t="shared" si="12"/>
        <v>2019</v>
      </c>
      <c r="G167">
        <v>17</v>
      </c>
      <c r="H167" s="3">
        <v>154172</v>
      </c>
      <c r="I167">
        <v>28390</v>
      </c>
      <c r="J167">
        <v>154172</v>
      </c>
      <c r="K167">
        <v>136396</v>
      </c>
      <c r="L167">
        <v>127728</v>
      </c>
      <c r="M167" t="str">
        <f t="shared" si="13"/>
        <v>Medium</v>
      </c>
      <c r="N167">
        <f>VLOOKUP(C167,Lookup!$A$2:$D$5,MATCH(M167,Lookup!$A$1:$D$1,0),FALSE)</f>
        <v>8.5000000000000006E-2</v>
      </c>
      <c r="O167">
        <f t="shared" si="14"/>
        <v>10856.880000000001</v>
      </c>
      <c r="P167" s="7">
        <f t="shared" si="15"/>
        <v>0.88470020496588231</v>
      </c>
      <c r="Q167" s="7">
        <f t="shared" si="16"/>
        <v>9068.9411764705874</v>
      </c>
      <c r="R167">
        <f t="shared" si="17"/>
        <v>2.6149317299260928</v>
      </c>
    </row>
    <row r="168" spans="1:18" x14ac:dyDescent="0.25">
      <c r="A168" t="s">
        <v>114</v>
      </c>
      <c r="B168" t="s">
        <v>115</v>
      </c>
      <c r="C168" t="s">
        <v>20</v>
      </c>
      <c r="D168">
        <v>2356</v>
      </c>
      <c r="E168" s="1">
        <v>44104</v>
      </c>
      <c r="F168" s="2">
        <f t="shared" si="12"/>
        <v>2020</v>
      </c>
      <c r="G168">
        <v>18</v>
      </c>
      <c r="H168" s="3">
        <v>175577</v>
      </c>
      <c r="I168">
        <v>39405</v>
      </c>
      <c r="J168">
        <v>175577</v>
      </c>
      <c r="K168">
        <v>156093</v>
      </c>
      <c r="L168">
        <v>152999</v>
      </c>
      <c r="M168" t="str">
        <f t="shared" si="13"/>
        <v>Medium</v>
      </c>
      <c r="N168">
        <f>VLOOKUP(C168,Lookup!$A$2:$D$5,MATCH(M168,Lookup!$A$1:$D$1,0),FALSE)</f>
        <v>8.5000000000000006E-2</v>
      </c>
      <c r="O168">
        <f t="shared" si="14"/>
        <v>13004.915000000001</v>
      </c>
      <c r="P168" s="7">
        <f t="shared" si="15"/>
        <v>0.88902874522289366</v>
      </c>
      <c r="Q168" s="7">
        <f t="shared" si="16"/>
        <v>9754.2777777777774</v>
      </c>
      <c r="R168">
        <f t="shared" si="17"/>
        <v>3.0300082699502457</v>
      </c>
    </row>
    <row r="169" spans="1:18" x14ac:dyDescent="0.25">
      <c r="A169" t="s">
        <v>114</v>
      </c>
      <c r="B169" t="s">
        <v>115</v>
      </c>
      <c r="C169" t="s">
        <v>20</v>
      </c>
      <c r="D169">
        <v>2356</v>
      </c>
      <c r="E169" s="1">
        <v>44469</v>
      </c>
      <c r="F169" s="2">
        <f t="shared" si="12"/>
        <v>2021</v>
      </c>
      <c r="G169">
        <v>17</v>
      </c>
      <c r="H169" s="3">
        <v>184488</v>
      </c>
      <c r="I169">
        <v>35146</v>
      </c>
      <c r="J169">
        <v>184488</v>
      </c>
      <c r="K169">
        <v>164507</v>
      </c>
      <c r="L169">
        <v>161458</v>
      </c>
      <c r="M169" t="str">
        <f t="shared" si="13"/>
        <v>Medium</v>
      </c>
      <c r="N169">
        <f>VLOOKUP(C169,Lookup!$A$2:$D$5,MATCH(M169,Lookup!$A$1:$D$1,0),FALSE)</f>
        <v>8.5000000000000006E-2</v>
      </c>
      <c r="O169">
        <f t="shared" si="14"/>
        <v>13723.93</v>
      </c>
      <c r="P169" s="7">
        <f t="shared" si="15"/>
        <v>0.89169485278175276</v>
      </c>
      <c r="Q169" s="7">
        <f t="shared" si="16"/>
        <v>10852.235294117647</v>
      </c>
      <c r="R169">
        <f t="shared" si="17"/>
        <v>2.5609282472294743</v>
      </c>
    </row>
    <row r="170" spans="1:18" x14ac:dyDescent="0.25">
      <c r="A170" t="s">
        <v>116</v>
      </c>
      <c r="B170" t="s">
        <v>117</v>
      </c>
      <c r="C170" t="s">
        <v>8</v>
      </c>
      <c r="D170">
        <v>61531</v>
      </c>
      <c r="E170" s="1">
        <v>43738</v>
      </c>
      <c r="F170" s="2">
        <f t="shared" si="12"/>
        <v>2019</v>
      </c>
      <c r="G170">
        <v>39</v>
      </c>
      <c r="H170" s="3">
        <v>180428</v>
      </c>
      <c r="I170">
        <v>16498</v>
      </c>
      <c r="J170">
        <v>180428</v>
      </c>
      <c r="K170">
        <v>159261</v>
      </c>
      <c r="L170">
        <v>157623</v>
      </c>
      <c r="M170" t="str">
        <f t="shared" si="13"/>
        <v>Medium</v>
      </c>
      <c r="N170">
        <f>VLOOKUP(C170,Lookup!$A$2:$D$5,MATCH(M170,Lookup!$A$1:$D$1,0),FALSE)</f>
        <v>0.08</v>
      </c>
      <c r="O170">
        <f t="shared" si="14"/>
        <v>12609.84</v>
      </c>
      <c r="P170" s="7">
        <f t="shared" si="15"/>
        <v>0.8826845057308178</v>
      </c>
      <c r="Q170" s="7">
        <f t="shared" si="16"/>
        <v>4626.3589743589746</v>
      </c>
      <c r="R170">
        <f t="shared" si="17"/>
        <v>1.3083433255299035</v>
      </c>
    </row>
    <row r="171" spans="1:18" x14ac:dyDescent="0.25">
      <c r="A171" t="s">
        <v>116</v>
      </c>
      <c r="B171" t="s">
        <v>117</v>
      </c>
      <c r="C171" t="s">
        <v>8</v>
      </c>
      <c r="D171">
        <v>61531</v>
      </c>
      <c r="E171" s="1">
        <v>44104</v>
      </c>
      <c r="F171" s="2">
        <f t="shared" si="12"/>
        <v>2020</v>
      </c>
      <c r="G171">
        <v>37</v>
      </c>
      <c r="H171" s="3">
        <v>198218</v>
      </c>
      <c r="I171">
        <v>12163</v>
      </c>
      <c r="J171">
        <v>198218</v>
      </c>
      <c r="K171">
        <v>176022</v>
      </c>
      <c r="L171">
        <v>165135</v>
      </c>
      <c r="M171" t="str">
        <f t="shared" si="13"/>
        <v>Medium</v>
      </c>
      <c r="N171">
        <f>VLOOKUP(C171,Lookup!$A$2:$D$5,MATCH(M171,Lookup!$A$1:$D$1,0),FALSE)</f>
        <v>0.08</v>
      </c>
      <c r="O171">
        <f t="shared" si="14"/>
        <v>13210.800000000001</v>
      </c>
      <c r="P171" s="7">
        <f t="shared" si="15"/>
        <v>0.88802227850144788</v>
      </c>
      <c r="Q171" s="7">
        <f t="shared" si="16"/>
        <v>5357.2432432432433</v>
      </c>
      <c r="R171">
        <f t="shared" si="17"/>
        <v>0.92068610530777839</v>
      </c>
    </row>
    <row r="172" spans="1:18" x14ac:dyDescent="0.25">
      <c r="A172" t="s">
        <v>116</v>
      </c>
      <c r="B172" t="s">
        <v>117</v>
      </c>
      <c r="C172" t="s">
        <v>8</v>
      </c>
      <c r="D172">
        <v>61531</v>
      </c>
      <c r="E172" s="1">
        <v>44469</v>
      </c>
      <c r="F172" s="2">
        <f t="shared" si="12"/>
        <v>2021</v>
      </c>
      <c r="G172">
        <v>39</v>
      </c>
      <c r="H172" s="3">
        <v>217482</v>
      </c>
      <c r="I172">
        <v>23105</v>
      </c>
      <c r="J172">
        <v>217482</v>
      </c>
      <c r="K172">
        <v>194507</v>
      </c>
      <c r="L172">
        <v>185080</v>
      </c>
      <c r="M172" t="str">
        <f t="shared" si="13"/>
        <v>Medium</v>
      </c>
      <c r="N172">
        <f>VLOOKUP(C172,Lookup!$A$2:$D$5,MATCH(M172,Lookup!$A$1:$D$1,0),FALSE)</f>
        <v>0.08</v>
      </c>
      <c r="O172">
        <f t="shared" si="14"/>
        <v>14806.4</v>
      </c>
      <c r="P172" s="7">
        <f t="shared" si="15"/>
        <v>0.89435907339457976</v>
      </c>
      <c r="Q172" s="7">
        <f t="shared" si="16"/>
        <v>5576.4615384615381</v>
      </c>
      <c r="R172">
        <f t="shared" si="17"/>
        <v>1.560473849146315</v>
      </c>
    </row>
    <row r="173" spans="1:18" x14ac:dyDescent="0.25">
      <c r="A173" t="s">
        <v>118</v>
      </c>
      <c r="B173" t="s">
        <v>119</v>
      </c>
      <c r="C173" t="s">
        <v>5</v>
      </c>
      <c r="D173">
        <v>95991</v>
      </c>
      <c r="E173" s="1">
        <v>43738</v>
      </c>
      <c r="F173" s="2">
        <f t="shared" si="12"/>
        <v>2019</v>
      </c>
      <c r="G173">
        <v>25</v>
      </c>
      <c r="H173" s="3">
        <v>135667</v>
      </c>
      <c r="I173">
        <v>15472</v>
      </c>
      <c r="J173">
        <v>135667</v>
      </c>
      <c r="K173">
        <v>120828</v>
      </c>
      <c r="L173">
        <v>105819</v>
      </c>
      <c r="M173" t="str">
        <f t="shared" si="13"/>
        <v>Medium</v>
      </c>
      <c r="N173">
        <f>VLOOKUP(C173,Lookup!$A$2:$D$5,MATCH(M173,Lookup!$A$1:$D$1,0),FALSE)</f>
        <v>0.09</v>
      </c>
      <c r="O173">
        <f t="shared" si="14"/>
        <v>9523.7099999999991</v>
      </c>
      <c r="P173" s="7">
        <f t="shared" si="15"/>
        <v>0.89062189036390571</v>
      </c>
      <c r="Q173" s="7">
        <f t="shared" si="16"/>
        <v>5426.68</v>
      </c>
      <c r="R173">
        <f t="shared" si="17"/>
        <v>1.624576976829408</v>
      </c>
    </row>
    <row r="174" spans="1:18" x14ac:dyDescent="0.25">
      <c r="A174" t="s">
        <v>118</v>
      </c>
      <c r="B174" t="s">
        <v>119</v>
      </c>
      <c r="C174" t="s">
        <v>5</v>
      </c>
      <c r="D174">
        <v>95991</v>
      </c>
      <c r="E174" s="1">
        <v>44104</v>
      </c>
      <c r="F174" s="2">
        <f t="shared" si="12"/>
        <v>2020</v>
      </c>
      <c r="G174">
        <v>25</v>
      </c>
      <c r="H174" s="3">
        <v>184409</v>
      </c>
      <c r="I174">
        <v>21319</v>
      </c>
      <c r="J174">
        <v>184409</v>
      </c>
      <c r="K174">
        <v>167673</v>
      </c>
      <c r="L174">
        <v>150532</v>
      </c>
      <c r="M174" t="str">
        <f t="shared" si="13"/>
        <v>Medium</v>
      </c>
      <c r="N174">
        <f>VLOOKUP(C174,Lookup!$A$2:$D$5,MATCH(M174,Lookup!$A$1:$D$1,0),FALSE)</f>
        <v>0.09</v>
      </c>
      <c r="O174">
        <f t="shared" si="14"/>
        <v>13547.88</v>
      </c>
      <c r="P174" s="7">
        <f t="shared" si="15"/>
        <v>0.9092452103747648</v>
      </c>
      <c r="Q174" s="7">
        <f t="shared" si="16"/>
        <v>7376.36</v>
      </c>
      <c r="R174">
        <f t="shared" si="17"/>
        <v>1.5736041358500372</v>
      </c>
    </row>
    <row r="175" spans="1:18" x14ac:dyDescent="0.25">
      <c r="A175" t="s">
        <v>120</v>
      </c>
      <c r="B175" t="s">
        <v>121</v>
      </c>
      <c r="C175" t="s">
        <v>8</v>
      </c>
      <c r="D175">
        <v>60936</v>
      </c>
      <c r="E175" s="1">
        <v>43738</v>
      </c>
      <c r="F175" s="2">
        <f t="shared" si="12"/>
        <v>2019</v>
      </c>
      <c r="G175">
        <v>13</v>
      </c>
      <c r="H175" s="3">
        <v>86279</v>
      </c>
      <c r="I175">
        <v>14249</v>
      </c>
      <c r="J175">
        <v>86279</v>
      </c>
      <c r="K175">
        <v>75846</v>
      </c>
      <c r="L175">
        <v>68285</v>
      </c>
      <c r="M175" t="str">
        <f t="shared" si="13"/>
        <v>Small</v>
      </c>
      <c r="N175">
        <f>VLOOKUP(C175,Lookup!$A$2:$D$5,MATCH(M175,Lookup!$A$1:$D$1,0),FALSE)</f>
        <v>0.09</v>
      </c>
      <c r="O175">
        <f t="shared" si="14"/>
        <v>6145.65</v>
      </c>
      <c r="P175" s="7">
        <f t="shared" si="15"/>
        <v>0.87907833887736297</v>
      </c>
      <c r="Q175" s="7">
        <f t="shared" si="16"/>
        <v>6636.8461538461543</v>
      </c>
      <c r="R175">
        <f t="shared" si="17"/>
        <v>2.3185505194731233</v>
      </c>
    </row>
    <row r="176" spans="1:18" x14ac:dyDescent="0.25">
      <c r="A176" t="s">
        <v>120</v>
      </c>
      <c r="B176" t="s">
        <v>121</v>
      </c>
      <c r="C176" t="s">
        <v>8</v>
      </c>
      <c r="D176">
        <v>60936</v>
      </c>
      <c r="E176" s="1">
        <v>44104</v>
      </c>
      <c r="F176" s="2">
        <f t="shared" si="12"/>
        <v>2020</v>
      </c>
      <c r="G176">
        <v>15</v>
      </c>
      <c r="H176" s="3">
        <v>105373</v>
      </c>
      <c r="I176">
        <v>17448</v>
      </c>
      <c r="J176">
        <v>105373</v>
      </c>
      <c r="K176">
        <v>94068</v>
      </c>
      <c r="L176">
        <v>76510</v>
      </c>
      <c r="M176" t="str">
        <f t="shared" si="13"/>
        <v>Medium</v>
      </c>
      <c r="N176">
        <f>VLOOKUP(C176,Lookup!$A$2:$D$5,MATCH(M176,Lookup!$A$1:$D$1,0),FALSE)</f>
        <v>0.08</v>
      </c>
      <c r="O176">
        <f t="shared" si="14"/>
        <v>6120.8</v>
      </c>
      <c r="P176" s="7">
        <f t="shared" si="15"/>
        <v>0.89271445246884873</v>
      </c>
      <c r="Q176" s="7">
        <f t="shared" si="16"/>
        <v>7024.8666666666668</v>
      </c>
      <c r="R176">
        <f t="shared" si="17"/>
        <v>2.8506077636910208</v>
      </c>
    </row>
    <row r="177" spans="1:18" x14ac:dyDescent="0.25">
      <c r="A177" t="s">
        <v>120</v>
      </c>
      <c r="B177" t="s">
        <v>121</v>
      </c>
      <c r="C177" t="s">
        <v>8</v>
      </c>
      <c r="D177">
        <v>60936</v>
      </c>
      <c r="E177" s="1">
        <v>44469</v>
      </c>
      <c r="F177" s="2">
        <f t="shared" si="12"/>
        <v>2021</v>
      </c>
      <c r="G177">
        <v>17</v>
      </c>
      <c r="H177" s="3">
        <v>124764</v>
      </c>
      <c r="I177">
        <v>30599</v>
      </c>
      <c r="J177">
        <v>124764</v>
      </c>
      <c r="K177">
        <v>112047</v>
      </c>
      <c r="L177">
        <v>96811</v>
      </c>
      <c r="M177" t="str">
        <f t="shared" si="13"/>
        <v>Medium</v>
      </c>
      <c r="N177">
        <f>VLOOKUP(C177,Lookup!$A$2:$D$5,MATCH(M177,Lookup!$A$1:$D$1,0),FALSE)</f>
        <v>0.08</v>
      </c>
      <c r="O177">
        <f t="shared" si="14"/>
        <v>7744.88</v>
      </c>
      <c r="P177" s="7">
        <f t="shared" si="15"/>
        <v>0.8980715591035876</v>
      </c>
      <c r="Q177" s="7">
        <f t="shared" si="16"/>
        <v>7339.0588235294117</v>
      </c>
      <c r="R177">
        <f t="shared" si="17"/>
        <v>3.9508681864664137</v>
      </c>
    </row>
    <row r="178" spans="1:18" x14ac:dyDescent="0.25">
      <c r="A178" t="s">
        <v>122</v>
      </c>
      <c r="B178" t="s">
        <v>123</v>
      </c>
      <c r="C178" t="s">
        <v>8</v>
      </c>
      <c r="D178">
        <v>62049</v>
      </c>
      <c r="E178" s="1">
        <v>43738</v>
      </c>
      <c r="F178" s="2">
        <f t="shared" si="12"/>
        <v>2019</v>
      </c>
      <c r="G178">
        <v>96</v>
      </c>
      <c r="H178" s="3">
        <v>360656</v>
      </c>
      <c r="I178">
        <v>16308</v>
      </c>
      <c r="J178">
        <v>360656</v>
      </c>
      <c r="K178">
        <v>319580</v>
      </c>
      <c r="L178">
        <v>318601</v>
      </c>
      <c r="M178" t="str">
        <f t="shared" si="13"/>
        <v>Medium</v>
      </c>
      <c r="N178">
        <f>VLOOKUP(C178,Lookup!$A$2:$D$5,MATCH(M178,Lookup!$A$1:$D$1,0),FALSE)</f>
        <v>0.08</v>
      </c>
      <c r="O178">
        <f t="shared" si="14"/>
        <v>25488.080000000002</v>
      </c>
      <c r="P178" s="7">
        <f t="shared" si="15"/>
        <v>0.88610753737633641</v>
      </c>
      <c r="Q178" s="7">
        <f t="shared" si="16"/>
        <v>3756.8333333333335</v>
      </c>
      <c r="R178">
        <f t="shared" si="17"/>
        <v>0.63982850022441862</v>
      </c>
    </row>
    <row r="179" spans="1:18" x14ac:dyDescent="0.25">
      <c r="A179" t="s">
        <v>122</v>
      </c>
      <c r="B179" t="s">
        <v>123</v>
      </c>
      <c r="C179" t="s">
        <v>8</v>
      </c>
      <c r="D179">
        <v>62049</v>
      </c>
      <c r="E179" s="1">
        <v>44104</v>
      </c>
      <c r="F179" s="2">
        <f t="shared" si="12"/>
        <v>2020</v>
      </c>
      <c r="G179">
        <v>97</v>
      </c>
      <c r="H179" s="3">
        <v>442376</v>
      </c>
      <c r="I179">
        <v>19041</v>
      </c>
      <c r="J179">
        <v>442376</v>
      </c>
      <c r="K179">
        <v>396240</v>
      </c>
      <c r="L179">
        <v>391071</v>
      </c>
      <c r="M179" t="str">
        <f t="shared" si="13"/>
        <v>Medium</v>
      </c>
      <c r="N179">
        <f>VLOOKUP(C179,Lookup!$A$2:$D$5,MATCH(M179,Lookup!$A$1:$D$1,0),FALSE)</f>
        <v>0.08</v>
      </c>
      <c r="O179">
        <f t="shared" si="14"/>
        <v>31285.68</v>
      </c>
      <c r="P179" s="7">
        <f t="shared" si="15"/>
        <v>0.89570862795450024</v>
      </c>
      <c r="Q179" s="7">
        <f t="shared" si="16"/>
        <v>4560.5773195876291</v>
      </c>
      <c r="R179">
        <f t="shared" si="17"/>
        <v>0.60861710533381408</v>
      </c>
    </row>
    <row r="180" spans="1:18" x14ac:dyDescent="0.25">
      <c r="A180" t="s">
        <v>122</v>
      </c>
      <c r="B180" t="s">
        <v>123</v>
      </c>
      <c r="C180" t="s">
        <v>8</v>
      </c>
      <c r="D180">
        <v>62049</v>
      </c>
      <c r="E180" s="1">
        <v>44469</v>
      </c>
      <c r="F180" s="2">
        <f t="shared" si="12"/>
        <v>2021</v>
      </c>
      <c r="G180">
        <v>101</v>
      </c>
      <c r="H180" s="3">
        <v>514699</v>
      </c>
      <c r="I180">
        <v>10905</v>
      </c>
      <c r="J180">
        <v>514699</v>
      </c>
      <c r="K180">
        <v>466268</v>
      </c>
      <c r="L180">
        <v>465563</v>
      </c>
      <c r="M180" t="str">
        <f t="shared" si="13"/>
        <v>Medium</v>
      </c>
      <c r="N180">
        <f>VLOOKUP(C180,Lookup!$A$2:$D$5,MATCH(M180,Lookup!$A$1:$D$1,0),FALSE)</f>
        <v>0.08</v>
      </c>
      <c r="O180">
        <f t="shared" si="14"/>
        <v>37245.040000000001</v>
      </c>
      <c r="P180" s="7">
        <f t="shared" si="15"/>
        <v>0.90590422751938515</v>
      </c>
      <c r="Q180" s="7">
        <f t="shared" si="16"/>
        <v>5096.029702970297</v>
      </c>
      <c r="R180">
        <f t="shared" si="17"/>
        <v>0.2927906642065628</v>
      </c>
    </row>
    <row r="181" spans="1:18" x14ac:dyDescent="0.25">
      <c r="A181" t="s">
        <v>124</v>
      </c>
      <c r="B181" t="s">
        <v>125</v>
      </c>
      <c r="C181" t="s">
        <v>17</v>
      </c>
      <c r="D181">
        <v>14080</v>
      </c>
      <c r="E181" s="1">
        <v>43738</v>
      </c>
      <c r="F181" s="2">
        <f t="shared" si="12"/>
        <v>2019</v>
      </c>
      <c r="G181">
        <v>30</v>
      </c>
      <c r="H181" s="3">
        <v>143962</v>
      </c>
      <c r="I181">
        <v>4812</v>
      </c>
      <c r="J181">
        <v>143962</v>
      </c>
      <c r="K181">
        <v>132517</v>
      </c>
      <c r="L181">
        <v>132102</v>
      </c>
      <c r="M181" t="str">
        <f t="shared" si="13"/>
        <v>Medium</v>
      </c>
      <c r="N181">
        <f>VLOOKUP(C181,Lookup!$A$2:$D$5,MATCH(M181,Lookup!$A$1:$D$1,0),FALSE)</f>
        <v>8.5000000000000006E-2</v>
      </c>
      <c r="O181">
        <f t="shared" si="14"/>
        <v>11228.67</v>
      </c>
      <c r="P181" s="7">
        <f t="shared" si="15"/>
        <v>0.9204998541281727</v>
      </c>
      <c r="Q181" s="7">
        <f t="shared" si="16"/>
        <v>4798.7333333333336</v>
      </c>
      <c r="R181">
        <f t="shared" si="17"/>
        <v>0.42854585627683422</v>
      </c>
    </row>
    <row r="182" spans="1:18" x14ac:dyDescent="0.25">
      <c r="A182" t="s">
        <v>124</v>
      </c>
      <c r="B182" t="s">
        <v>125</v>
      </c>
      <c r="C182" t="s">
        <v>17</v>
      </c>
      <c r="D182">
        <v>14080</v>
      </c>
      <c r="E182" s="1">
        <v>44104</v>
      </c>
      <c r="F182" s="2">
        <f t="shared" si="12"/>
        <v>2020</v>
      </c>
      <c r="G182">
        <v>30</v>
      </c>
      <c r="H182" s="3">
        <v>165946</v>
      </c>
      <c r="I182">
        <v>5498</v>
      </c>
      <c r="J182">
        <v>165946</v>
      </c>
      <c r="K182">
        <v>152971</v>
      </c>
      <c r="L182">
        <v>152300</v>
      </c>
      <c r="M182" t="str">
        <f t="shared" si="13"/>
        <v>Medium</v>
      </c>
      <c r="N182">
        <f>VLOOKUP(C182,Lookup!$A$2:$D$5,MATCH(M182,Lookup!$A$1:$D$1,0),FALSE)</f>
        <v>8.5000000000000006E-2</v>
      </c>
      <c r="O182">
        <f t="shared" si="14"/>
        <v>12945.500000000002</v>
      </c>
      <c r="P182" s="7">
        <f t="shared" si="15"/>
        <v>0.92181191471924606</v>
      </c>
      <c r="Q182" s="7">
        <f t="shared" si="16"/>
        <v>5531.5333333333338</v>
      </c>
      <c r="R182">
        <f t="shared" si="17"/>
        <v>0.42470356494534772</v>
      </c>
    </row>
    <row r="183" spans="1:18" x14ac:dyDescent="0.25">
      <c r="A183" t="s">
        <v>124</v>
      </c>
      <c r="B183" t="s">
        <v>125</v>
      </c>
      <c r="C183" t="s">
        <v>17</v>
      </c>
      <c r="D183">
        <v>14080</v>
      </c>
      <c r="E183" s="1">
        <v>44469</v>
      </c>
      <c r="F183" s="2">
        <f t="shared" si="12"/>
        <v>2021</v>
      </c>
      <c r="G183">
        <v>34</v>
      </c>
      <c r="H183" s="3">
        <v>192060</v>
      </c>
      <c r="I183">
        <v>6540</v>
      </c>
      <c r="J183">
        <v>192060</v>
      </c>
      <c r="K183">
        <v>177616</v>
      </c>
      <c r="L183">
        <v>176978</v>
      </c>
      <c r="M183" t="str">
        <f t="shared" si="13"/>
        <v>Medium</v>
      </c>
      <c r="N183">
        <f>VLOOKUP(C183,Lookup!$A$2:$D$5,MATCH(M183,Lookup!$A$1:$D$1,0),FALSE)</f>
        <v>8.5000000000000006E-2</v>
      </c>
      <c r="O183">
        <f t="shared" si="14"/>
        <v>15043.130000000001</v>
      </c>
      <c r="P183" s="7">
        <f t="shared" si="15"/>
        <v>0.92479433510361342</v>
      </c>
      <c r="Q183" s="7">
        <f t="shared" si="16"/>
        <v>5648.8235294117649</v>
      </c>
      <c r="R183">
        <f t="shared" si="17"/>
        <v>0.43474994898003272</v>
      </c>
    </row>
    <row r="184" spans="1:18" x14ac:dyDescent="0.25">
      <c r="A184" t="s">
        <v>126</v>
      </c>
      <c r="B184" t="s">
        <v>47</v>
      </c>
      <c r="C184" t="s">
        <v>5</v>
      </c>
      <c r="D184">
        <v>90010</v>
      </c>
      <c r="E184" s="1">
        <v>43738</v>
      </c>
      <c r="F184" s="2">
        <f t="shared" si="12"/>
        <v>2019</v>
      </c>
      <c r="G184">
        <v>1452</v>
      </c>
      <c r="H184" s="3">
        <v>15380225</v>
      </c>
      <c r="I184">
        <v>606780</v>
      </c>
      <c r="J184">
        <v>15380225</v>
      </c>
      <c r="K184">
        <v>13073982</v>
      </c>
      <c r="L184">
        <v>12255855</v>
      </c>
      <c r="M184" t="str">
        <f t="shared" si="13"/>
        <v>Large</v>
      </c>
      <c r="N184">
        <f>VLOOKUP(C184,Lookup!$A$2:$D$5,MATCH(M184,Lookup!$A$1:$D$1,0),FALSE)</f>
        <v>0.08</v>
      </c>
      <c r="O184">
        <f t="shared" si="14"/>
        <v>980468.4</v>
      </c>
      <c r="P184" s="7">
        <f t="shared" si="15"/>
        <v>0.85005141342210533</v>
      </c>
      <c r="Q184" s="7">
        <f t="shared" si="16"/>
        <v>10592.441460055097</v>
      </c>
      <c r="R184">
        <f t="shared" si="17"/>
        <v>0.61886747191444413</v>
      </c>
    </row>
    <row r="185" spans="1:18" x14ac:dyDescent="0.25">
      <c r="A185" t="s">
        <v>126</v>
      </c>
      <c r="B185" t="s">
        <v>47</v>
      </c>
      <c r="C185" t="s">
        <v>5</v>
      </c>
      <c r="D185">
        <v>90010</v>
      </c>
      <c r="E185" s="1">
        <v>44104</v>
      </c>
      <c r="F185" s="2">
        <f t="shared" si="12"/>
        <v>2020</v>
      </c>
      <c r="G185">
        <v>1436</v>
      </c>
      <c r="H185" s="3">
        <v>16731681</v>
      </c>
      <c r="I185">
        <v>724673</v>
      </c>
      <c r="J185">
        <v>16731681</v>
      </c>
      <c r="K185">
        <v>14410207</v>
      </c>
      <c r="L185">
        <v>14029082</v>
      </c>
      <c r="M185" t="str">
        <f t="shared" si="13"/>
        <v>Large</v>
      </c>
      <c r="N185">
        <f>VLOOKUP(C185,Lookup!$A$2:$D$5,MATCH(M185,Lookup!$A$1:$D$1,0),FALSE)</f>
        <v>0.08</v>
      </c>
      <c r="O185">
        <f t="shared" si="14"/>
        <v>1122326.56</v>
      </c>
      <c r="P185" s="7">
        <f t="shared" si="15"/>
        <v>0.86125279342822758</v>
      </c>
      <c r="Q185" s="7">
        <f t="shared" si="16"/>
        <v>11651.58844011142</v>
      </c>
      <c r="R185">
        <f t="shared" si="17"/>
        <v>0.64568818544221207</v>
      </c>
    </row>
    <row r="186" spans="1:18" x14ac:dyDescent="0.25">
      <c r="A186" t="s">
        <v>126</v>
      </c>
      <c r="B186" t="s">
        <v>47</v>
      </c>
      <c r="C186" t="s">
        <v>5</v>
      </c>
      <c r="D186">
        <v>90010</v>
      </c>
      <c r="E186" s="1">
        <v>44469</v>
      </c>
      <c r="F186" s="2">
        <f t="shared" si="12"/>
        <v>2021</v>
      </c>
      <c r="G186">
        <v>1461</v>
      </c>
      <c r="H186" s="3">
        <v>17793623</v>
      </c>
      <c r="I186">
        <v>698910</v>
      </c>
      <c r="J186">
        <v>17793623</v>
      </c>
      <c r="K186">
        <v>15431104</v>
      </c>
      <c r="L186">
        <v>15087270</v>
      </c>
      <c r="M186" t="str">
        <f t="shared" si="13"/>
        <v>Large</v>
      </c>
      <c r="N186">
        <f>VLOOKUP(C186,Lookup!$A$2:$D$5,MATCH(M186,Lookup!$A$1:$D$1,0),FALSE)</f>
        <v>0.08</v>
      </c>
      <c r="O186">
        <f t="shared" si="14"/>
        <v>1206981.6000000001</v>
      </c>
      <c r="P186" s="7">
        <f t="shared" si="15"/>
        <v>0.86722664631031021</v>
      </c>
      <c r="Q186" s="7">
        <f t="shared" si="16"/>
        <v>12179.071184120465</v>
      </c>
      <c r="R186">
        <f t="shared" si="17"/>
        <v>0.57905605189010334</v>
      </c>
    </row>
    <row r="187" spans="1:18" x14ac:dyDescent="0.25">
      <c r="A187" t="s">
        <v>127</v>
      </c>
      <c r="B187" t="s">
        <v>16</v>
      </c>
      <c r="C187" t="s">
        <v>17</v>
      </c>
      <c r="D187">
        <v>10017</v>
      </c>
      <c r="E187" s="1">
        <v>43738</v>
      </c>
      <c r="F187" s="2">
        <f t="shared" si="12"/>
        <v>2019</v>
      </c>
      <c r="G187">
        <v>200</v>
      </c>
      <c r="H187" s="3">
        <v>3982412</v>
      </c>
      <c r="I187">
        <v>1664815</v>
      </c>
      <c r="J187">
        <v>3982412</v>
      </c>
      <c r="K187">
        <v>3982412</v>
      </c>
      <c r="L187">
        <v>3247804</v>
      </c>
      <c r="M187" t="str">
        <f t="shared" si="13"/>
        <v>Large</v>
      </c>
      <c r="N187">
        <f>VLOOKUP(C187,Lookup!$A$2:$D$5,MATCH(M187,Lookup!$A$1:$D$1,0),FALSE)</f>
        <v>0.08</v>
      </c>
      <c r="O187">
        <f t="shared" si="14"/>
        <v>259824.32</v>
      </c>
      <c r="P187" s="7">
        <f t="shared" si="15"/>
        <v>1</v>
      </c>
      <c r="Q187" s="7">
        <f t="shared" si="16"/>
        <v>19912.060000000001</v>
      </c>
      <c r="R187">
        <f t="shared" si="17"/>
        <v>6.4074640895817607</v>
      </c>
    </row>
    <row r="188" spans="1:18" x14ac:dyDescent="0.25">
      <c r="A188" t="s">
        <v>127</v>
      </c>
      <c r="B188" t="s">
        <v>16</v>
      </c>
      <c r="C188" t="s">
        <v>17</v>
      </c>
      <c r="D188">
        <v>10017</v>
      </c>
      <c r="E188" s="1">
        <v>44104</v>
      </c>
      <c r="F188" s="2">
        <f t="shared" si="12"/>
        <v>2020</v>
      </c>
      <c r="G188">
        <v>369</v>
      </c>
      <c r="H188" s="3">
        <v>4468278</v>
      </c>
      <c r="I188">
        <v>2915416</v>
      </c>
      <c r="J188">
        <v>4468278</v>
      </c>
      <c r="K188">
        <v>4468278</v>
      </c>
      <c r="L188">
        <v>2018117</v>
      </c>
      <c r="M188" t="str">
        <f t="shared" si="13"/>
        <v>Large</v>
      </c>
      <c r="N188">
        <f>VLOOKUP(C188,Lookup!$A$2:$D$5,MATCH(M188,Lookup!$A$1:$D$1,0),FALSE)</f>
        <v>0.08</v>
      </c>
      <c r="O188">
        <f t="shared" si="14"/>
        <v>161449.36000000002</v>
      </c>
      <c r="P188" s="7">
        <f t="shared" si="15"/>
        <v>1</v>
      </c>
      <c r="Q188" s="7">
        <f t="shared" si="16"/>
        <v>12109.154471544716</v>
      </c>
      <c r="R188">
        <f t="shared" si="17"/>
        <v>18.057773657325118</v>
      </c>
    </row>
    <row r="189" spans="1:18" x14ac:dyDescent="0.25">
      <c r="A189" t="s">
        <v>127</v>
      </c>
      <c r="B189" t="s">
        <v>16</v>
      </c>
      <c r="C189" t="s">
        <v>17</v>
      </c>
      <c r="D189">
        <v>10017</v>
      </c>
      <c r="E189" s="1">
        <v>44469</v>
      </c>
      <c r="F189" s="2">
        <f t="shared" si="12"/>
        <v>2021</v>
      </c>
      <c r="G189">
        <v>780</v>
      </c>
      <c r="H189" s="3">
        <v>4451922</v>
      </c>
      <c r="I189">
        <v>2563212</v>
      </c>
      <c r="J189">
        <v>4451922</v>
      </c>
      <c r="K189">
        <v>4451922</v>
      </c>
      <c r="L189">
        <v>1726518</v>
      </c>
      <c r="M189" t="str">
        <f t="shared" si="13"/>
        <v>Large</v>
      </c>
      <c r="N189">
        <f>VLOOKUP(C189,Lookup!$A$2:$D$5,MATCH(M189,Lookup!$A$1:$D$1,0),FALSE)</f>
        <v>0.08</v>
      </c>
      <c r="O189">
        <f t="shared" si="14"/>
        <v>138121.44</v>
      </c>
      <c r="P189" s="7">
        <f t="shared" si="15"/>
        <v>1</v>
      </c>
      <c r="Q189" s="7">
        <f t="shared" si="16"/>
        <v>5707.5923076923073</v>
      </c>
      <c r="R189">
        <f t="shared" si="17"/>
        <v>18.557669251059068</v>
      </c>
    </row>
    <row r="190" spans="1:18" x14ac:dyDescent="0.25">
      <c r="A190" t="s">
        <v>128</v>
      </c>
      <c r="B190" t="s">
        <v>129</v>
      </c>
      <c r="C190" t="s">
        <v>8</v>
      </c>
      <c r="D190">
        <v>62053</v>
      </c>
      <c r="E190" s="1">
        <v>43738</v>
      </c>
      <c r="F190" s="2">
        <f t="shared" si="12"/>
        <v>2019</v>
      </c>
      <c r="G190">
        <v>25</v>
      </c>
      <c r="H190" s="3">
        <v>108963</v>
      </c>
      <c r="I190">
        <v>7282</v>
      </c>
      <c r="J190">
        <v>108963</v>
      </c>
      <c r="K190">
        <v>89483</v>
      </c>
      <c r="L190">
        <v>89084</v>
      </c>
      <c r="M190" t="str">
        <f t="shared" si="13"/>
        <v>Medium</v>
      </c>
      <c r="N190">
        <f>VLOOKUP(C190,Lookup!$A$2:$D$5,MATCH(M190,Lookup!$A$1:$D$1,0),FALSE)</f>
        <v>0.08</v>
      </c>
      <c r="O190">
        <f t="shared" si="14"/>
        <v>7126.72</v>
      </c>
      <c r="P190" s="7">
        <f t="shared" si="15"/>
        <v>0.82122371814285589</v>
      </c>
      <c r="Q190" s="7">
        <f t="shared" si="16"/>
        <v>4358.5200000000004</v>
      </c>
      <c r="R190">
        <f t="shared" si="17"/>
        <v>1.0217884244084234</v>
      </c>
    </row>
    <row r="191" spans="1:18" x14ac:dyDescent="0.25">
      <c r="A191" t="s">
        <v>128</v>
      </c>
      <c r="B191" t="s">
        <v>129</v>
      </c>
      <c r="C191" t="s">
        <v>8</v>
      </c>
      <c r="D191">
        <v>62053</v>
      </c>
      <c r="E191" s="1">
        <v>44104</v>
      </c>
      <c r="F191" s="2">
        <f t="shared" si="12"/>
        <v>2020</v>
      </c>
      <c r="G191">
        <v>25</v>
      </c>
      <c r="H191" s="3">
        <v>117331</v>
      </c>
      <c r="I191">
        <v>14047</v>
      </c>
      <c r="J191">
        <v>117331</v>
      </c>
      <c r="K191">
        <v>96705</v>
      </c>
      <c r="L191">
        <v>96213</v>
      </c>
      <c r="M191" t="str">
        <f t="shared" si="13"/>
        <v>Medium</v>
      </c>
      <c r="N191">
        <f>VLOOKUP(C191,Lookup!$A$2:$D$5,MATCH(M191,Lookup!$A$1:$D$1,0),FALSE)</f>
        <v>0.08</v>
      </c>
      <c r="O191">
        <f t="shared" si="14"/>
        <v>7697.04</v>
      </c>
      <c r="P191" s="7">
        <f t="shared" si="15"/>
        <v>0.8242067313838628</v>
      </c>
      <c r="Q191" s="7">
        <f t="shared" si="16"/>
        <v>4693.24</v>
      </c>
      <c r="R191">
        <f t="shared" si="17"/>
        <v>1.8249872678328292</v>
      </c>
    </row>
    <row r="192" spans="1:18" x14ac:dyDescent="0.25">
      <c r="A192" t="s">
        <v>128</v>
      </c>
      <c r="B192" t="s">
        <v>129</v>
      </c>
      <c r="C192" t="s">
        <v>8</v>
      </c>
      <c r="D192">
        <v>62053</v>
      </c>
      <c r="E192" s="1">
        <v>44469</v>
      </c>
      <c r="F192" s="2">
        <f t="shared" si="12"/>
        <v>2021</v>
      </c>
      <c r="G192">
        <v>24</v>
      </c>
      <c r="H192" s="3">
        <v>125977</v>
      </c>
      <c r="I192">
        <v>29793</v>
      </c>
      <c r="J192">
        <v>125977</v>
      </c>
      <c r="K192">
        <v>105190</v>
      </c>
      <c r="L192">
        <v>104883</v>
      </c>
      <c r="M192" t="str">
        <f t="shared" si="13"/>
        <v>Medium</v>
      </c>
      <c r="N192">
        <f>VLOOKUP(C192,Lookup!$A$2:$D$5,MATCH(M192,Lookup!$A$1:$D$1,0),FALSE)</f>
        <v>0.08</v>
      </c>
      <c r="O192">
        <f t="shared" si="14"/>
        <v>8390.64</v>
      </c>
      <c r="P192" s="7">
        <f t="shared" si="15"/>
        <v>0.83499368932424167</v>
      </c>
      <c r="Q192" s="7">
        <f t="shared" si="16"/>
        <v>5249.041666666667</v>
      </c>
      <c r="R192">
        <f t="shared" si="17"/>
        <v>3.5507422556563029</v>
      </c>
    </row>
    <row r="193" spans="1:18" x14ac:dyDescent="0.25">
      <c r="A193" t="s">
        <v>130</v>
      </c>
      <c r="B193" t="s">
        <v>131</v>
      </c>
      <c r="C193" t="s">
        <v>5</v>
      </c>
      <c r="D193">
        <v>94947</v>
      </c>
      <c r="E193" s="1">
        <v>43738</v>
      </c>
      <c r="F193" s="2">
        <f t="shared" si="12"/>
        <v>2019</v>
      </c>
      <c r="G193">
        <v>291</v>
      </c>
      <c r="H193" s="3">
        <v>2592052</v>
      </c>
      <c r="I193">
        <v>182486</v>
      </c>
      <c r="J193">
        <v>2592052</v>
      </c>
      <c r="K193">
        <v>2270651</v>
      </c>
      <c r="L193">
        <v>2238949</v>
      </c>
      <c r="M193" t="str">
        <f t="shared" si="13"/>
        <v>Large</v>
      </c>
      <c r="N193">
        <f>VLOOKUP(C193,Lookup!$A$2:$D$5,MATCH(M193,Lookup!$A$1:$D$1,0),FALSE)</f>
        <v>0.08</v>
      </c>
      <c r="O193">
        <f t="shared" si="14"/>
        <v>179115.92</v>
      </c>
      <c r="P193" s="7">
        <f t="shared" si="15"/>
        <v>0.87600518816752138</v>
      </c>
      <c r="Q193" s="7">
        <f t="shared" si="16"/>
        <v>8907.3951890034368</v>
      </c>
      <c r="R193">
        <f t="shared" si="17"/>
        <v>1.0188150779673855</v>
      </c>
    </row>
    <row r="194" spans="1:18" x14ac:dyDescent="0.25">
      <c r="A194" t="s">
        <v>130</v>
      </c>
      <c r="B194" t="s">
        <v>131</v>
      </c>
      <c r="C194" t="s">
        <v>5</v>
      </c>
      <c r="D194">
        <v>94947</v>
      </c>
      <c r="E194" s="1">
        <v>44104</v>
      </c>
      <c r="F194" s="2">
        <f t="shared" ref="F194:F257" si="18">YEAR(E194)</f>
        <v>2020</v>
      </c>
      <c r="G194">
        <v>291</v>
      </c>
      <c r="H194" s="3">
        <v>2975150</v>
      </c>
      <c r="I194">
        <v>213584</v>
      </c>
      <c r="J194">
        <v>2975150</v>
      </c>
      <c r="K194">
        <v>2627004</v>
      </c>
      <c r="L194">
        <v>2581524</v>
      </c>
      <c r="M194" t="str">
        <f t="shared" ref="M194:M257" si="19">IF(H194&gt;1000000,"Large",IF(H194&lt;100000,"Small","Medium"))</f>
        <v>Large</v>
      </c>
      <c r="N194">
        <f>VLOOKUP(C194,Lookup!$A$2:$D$5,MATCH(M194,Lookup!$A$1:$D$1,0),FALSE)</f>
        <v>0.08</v>
      </c>
      <c r="O194">
        <f t="shared" ref="O194:O257" si="20">L194*N194</f>
        <v>206521.92</v>
      </c>
      <c r="P194" s="7">
        <f t="shared" ref="P194:P257" si="21">K194/H194</f>
        <v>0.88298203451926793</v>
      </c>
      <c r="Q194" s="7">
        <f t="shared" ref="Q194:Q257" si="22">H194/G194</f>
        <v>10223.883161512027</v>
      </c>
      <c r="R194">
        <f t="shared" ref="R194:R257" si="23">I194/O194</f>
        <v>1.0341953047889541</v>
      </c>
    </row>
    <row r="195" spans="1:18" x14ac:dyDescent="0.25">
      <c r="A195" t="s">
        <v>130</v>
      </c>
      <c r="B195" t="s">
        <v>131</v>
      </c>
      <c r="C195" t="s">
        <v>5</v>
      </c>
      <c r="D195">
        <v>94947</v>
      </c>
      <c r="E195" s="1">
        <v>44469</v>
      </c>
      <c r="F195" s="2">
        <f t="shared" si="18"/>
        <v>2021</v>
      </c>
      <c r="G195">
        <v>348</v>
      </c>
      <c r="H195" s="3">
        <v>4259898</v>
      </c>
      <c r="I195">
        <v>584739</v>
      </c>
      <c r="J195">
        <v>4259898</v>
      </c>
      <c r="K195">
        <v>3817843</v>
      </c>
      <c r="L195">
        <v>3743994</v>
      </c>
      <c r="M195" t="str">
        <f t="shared" si="19"/>
        <v>Large</v>
      </c>
      <c r="N195">
        <f>VLOOKUP(C195,Lookup!$A$2:$D$5,MATCH(M195,Lookup!$A$1:$D$1,0),FALSE)</f>
        <v>0.08</v>
      </c>
      <c r="O195">
        <f t="shared" si="20"/>
        <v>299519.52</v>
      </c>
      <c r="P195" s="7">
        <f t="shared" si="21"/>
        <v>0.89622873599320918</v>
      </c>
      <c r="Q195" s="7">
        <f t="shared" si="22"/>
        <v>12241.086206896553</v>
      </c>
      <c r="R195">
        <f t="shared" si="23"/>
        <v>1.9522567343857922</v>
      </c>
    </row>
    <row r="196" spans="1:18" x14ac:dyDescent="0.25">
      <c r="A196" t="s">
        <v>132</v>
      </c>
      <c r="B196" t="s">
        <v>133</v>
      </c>
      <c r="C196" t="s">
        <v>17</v>
      </c>
      <c r="D196">
        <v>12545</v>
      </c>
      <c r="E196" s="1">
        <v>43738</v>
      </c>
      <c r="F196" s="2">
        <f t="shared" si="18"/>
        <v>2019</v>
      </c>
      <c r="G196">
        <v>46</v>
      </c>
      <c r="H196" s="3">
        <v>229443</v>
      </c>
      <c r="I196">
        <v>33594</v>
      </c>
      <c r="J196">
        <v>229443</v>
      </c>
      <c r="K196">
        <v>203867</v>
      </c>
      <c r="L196">
        <v>202740</v>
      </c>
      <c r="M196" t="str">
        <f t="shared" si="19"/>
        <v>Medium</v>
      </c>
      <c r="N196">
        <f>VLOOKUP(C196,Lookup!$A$2:$D$5,MATCH(M196,Lookup!$A$1:$D$1,0),FALSE)</f>
        <v>8.5000000000000006E-2</v>
      </c>
      <c r="O196">
        <f t="shared" si="20"/>
        <v>17232.900000000001</v>
      </c>
      <c r="P196" s="7">
        <f t="shared" si="21"/>
        <v>0.88853004885745046</v>
      </c>
      <c r="Q196" s="7">
        <f t="shared" si="22"/>
        <v>4987.891304347826</v>
      </c>
      <c r="R196">
        <f t="shared" si="23"/>
        <v>1.9494107201921904</v>
      </c>
    </row>
    <row r="197" spans="1:18" x14ac:dyDescent="0.25">
      <c r="A197" t="s">
        <v>132</v>
      </c>
      <c r="B197" t="s">
        <v>133</v>
      </c>
      <c r="C197" t="s">
        <v>17</v>
      </c>
      <c r="D197">
        <v>12545</v>
      </c>
      <c r="E197" s="1">
        <v>44104</v>
      </c>
      <c r="F197" s="2">
        <f t="shared" si="18"/>
        <v>2020</v>
      </c>
      <c r="G197">
        <v>42</v>
      </c>
      <c r="H197" s="3">
        <v>273429</v>
      </c>
      <c r="I197">
        <v>63449</v>
      </c>
      <c r="J197">
        <v>273429</v>
      </c>
      <c r="K197">
        <v>246983</v>
      </c>
      <c r="L197">
        <v>245359</v>
      </c>
      <c r="M197" t="str">
        <f t="shared" si="19"/>
        <v>Medium</v>
      </c>
      <c r="N197">
        <f>VLOOKUP(C197,Lookup!$A$2:$D$5,MATCH(M197,Lookup!$A$1:$D$1,0),FALSE)</f>
        <v>8.5000000000000006E-2</v>
      </c>
      <c r="O197">
        <f t="shared" si="20"/>
        <v>20855.515000000003</v>
      </c>
      <c r="P197" s="7">
        <f t="shared" si="21"/>
        <v>0.90328019339572618</v>
      </c>
      <c r="Q197" s="7">
        <f t="shared" si="22"/>
        <v>6510.2142857142853</v>
      </c>
      <c r="R197">
        <f t="shared" si="23"/>
        <v>3.0423127887275854</v>
      </c>
    </row>
    <row r="198" spans="1:18" x14ac:dyDescent="0.25">
      <c r="A198" t="s">
        <v>132</v>
      </c>
      <c r="B198" t="s">
        <v>133</v>
      </c>
      <c r="C198" t="s">
        <v>17</v>
      </c>
      <c r="D198">
        <v>12545</v>
      </c>
      <c r="E198" s="1">
        <v>44469</v>
      </c>
      <c r="F198" s="2">
        <f t="shared" si="18"/>
        <v>2021</v>
      </c>
      <c r="G198">
        <v>41</v>
      </c>
      <c r="H198" s="3">
        <v>320086</v>
      </c>
      <c r="I198">
        <v>63363</v>
      </c>
      <c r="J198">
        <v>320086</v>
      </c>
      <c r="K198">
        <v>294729</v>
      </c>
      <c r="L198">
        <v>293027</v>
      </c>
      <c r="M198" t="str">
        <f t="shared" si="19"/>
        <v>Medium</v>
      </c>
      <c r="N198">
        <f>VLOOKUP(C198,Lookup!$A$2:$D$5,MATCH(M198,Lookup!$A$1:$D$1,0),FALSE)</f>
        <v>8.5000000000000006E-2</v>
      </c>
      <c r="O198">
        <f t="shared" si="20"/>
        <v>24907.295000000002</v>
      </c>
      <c r="P198" s="7">
        <f t="shared" si="21"/>
        <v>0.92078066519622848</v>
      </c>
      <c r="Q198" s="7">
        <f t="shared" si="22"/>
        <v>7806.9756097560976</v>
      </c>
      <c r="R198">
        <f t="shared" si="23"/>
        <v>2.5439534883254082</v>
      </c>
    </row>
    <row r="199" spans="1:18" x14ac:dyDescent="0.25">
      <c r="A199" t="s">
        <v>134</v>
      </c>
      <c r="B199" t="s">
        <v>135</v>
      </c>
      <c r="C199" t="s">
        <v>8</v>
      </c>
      <c r="D199">
        <v>60538</v>
      </c>
      <c r="E199" s="1">
        <v>43738</v>
      </c>
      <c r="F199" s="2">
        <f t="shared" si="18"/>
        <v>2019</v>
      </c>
      <c r="G199">
        <v>6</v>
      </c>
      <c r="H199" s="3">
        <v>40872</v>
      </c>
      <c r="I199">
        <v>14857</v>
      </c>
      <c r="J199">
        <v>40872</v>
      </c>
      <c r="K199">
        <v>36922</v>
      </c>
      <c r="L199">
        <v>36861</v>
      </c>
      <c r="M199" t="str">
        <f t="shared" si="19"/>
        <v>Small</v>
      </c>
      <c r="N199">
        <f>VLOOKUP(C199,Lookup!$A$2:$D$5,MATCH(M199,Lookup!$A$1:$D$1,0),FALSE)</f>
        <v>0.09</v>
      </c>
      <c r="O199">
        <f t="shared" si="20"/>
        <v>3317.49</v>
      </c>
      <c r="P199" s="7">
        <f t="shared" si="21"/>
        <v>0.90335682129575257</v>
      </c>
      <c r="Q199" s="7">
        <f t="shared" si="22"/>
        <v>6812</v>
      </c>
      <c r="R199">
        <f t="shared" si="23"/>
        <v>4.4783857675531804</v>
      </c>
    </row>
    <row r="200" spans="1:18" x14ac:dyDescent="0.25">
      <c r="A200" t="s">
        <v>134</v>
      </c>
      <c r="B200" t="s">
        <v>135</v>
      </c>
      <c r="C200" t="s">
        <v>8</v>
      </c>
      <c r="D200">
        <v>60538</v>
      </c>
      <c r="E200" s="1">
        <v>44104</v>
      </c>
      <c r="F200" s="2">
        <f t="shared" si="18"/>
        <v>2020</v>
      </c>
      <c r="G200">
        <v>4</v>
      </c>
      <c r="H200" s="3">
        <v>42982</v>
      </c>
      <c r="I200">
        <v>14060</v>
      </c>
      <c r="J200">
        <v>42982</v>
      </c>
      <c r="K200">
        <v>38685</v>
      </c>
      <c r="L200">
        <v>38634</v>
      </c>
      <c r="M200" t="str">
        <f t="shared" si="19"/>
        <v>Small</v>
      </c>
      <c r="N200">
        <f>VLOOKUP(C200,Lookup!$A$2:$D$5,MATCH(M200,Lookup!$A$1:$D$1,0),FALSE)</f>
        <v>0.09</v>
      </c>
      <c r="O200">
        <f t="shared" si="20"/>
        <v>3477.06</v>
      </c>
      <c r="P200" s="7">
        <f t="shared" si="21"/>
        <v>0.90002791866362664</v>
      </c>
      <c r="Q200" s="7">
        <f t="shared" si="22"/>
        <v>10745.5</v>
      </c>
      <c r="R200">
        <f t="shared" si="23"/>
        <v>4.0436460688052547</v>
      </c>
    </row>
    <row r="201" spans="1:18" x14ac:dyDescent="0.25">
      <c r="A201" t="s">
        <v>134</v>
      </c>
      <c r="B201" t="s">
        <v>135</v>
      </c>
      <c r="C201" t="s">
        <v>8</v>
      </c>
      <c r="D201">
        <v>60538</v>
      </c>
      <c r="E201" s="1">
        <v>44469</v>
      </c>
      <c r="F201" s="2">
        <f t="shared" si="18"/>
        <v>2021</v>
      </c>
      <c r="G201">
        <v>3</v>
      </c>
      <c r="H201" s="3">
        <v>47774</v>
      </c>
      <c r="I201">
        <v>15951</v>
      </c>
      <c r="J201">
        <v>47774</v>
      </c>
      <c r="K201">
        <v>43669</v>
      </c>
      <c r="L201">
        <v>43632</v>
      </c>
      <c r="M201" t="str">
        <f t="shared" si="19"/>
        <v>Small</v>
      </c>
      <c r="N201">
        <f>VLOOKUP(C201,Lookup!$A$2:$D$5,MATCH(M201,Lookup!$A$1:$D$1,0),FALSE)</f>
        <v>0.09</v>
      </c>
      <c r="O201">
        <f t="shared" si="20"/>
        <v>3926.8799999999997</v>
      </c>
      <c r="P201" s="7">
        <f t="shared" si="21"/>
        <v>0.91407460124754047</v>
      </c>
      <c r="Q201" s="7">
        <f t="shared" si="22"/>
        <v>15924.666666666666</v>
      </c>
      <c r="R201">
        <f t="shared" si="23"/>
        <v>4.0620034225644792</v>
      </c>
    </row>
    <row r="202" spans="1:18" x14ac:dyDescent="0.25">
      <c r="A202" t="s">
        <v>136</v>
      </c>
      <c r="B202" t="s">
        <v>137</v>
      </c>
      <c r="C202" t="s">
        <v>8</v>
      </c>
      <c r="D202">
        <v>62269</v>
      </c>
      <c r="E202" s="1">
        <v>43738</v>
      </c>
      <c r="F202" s="2">
        <f t="shared" si="18"/>
        <v>2019</v>
      </c>
      <c r="G202">
        <v>32</v>
      </c>
      <c r="H202" s="3">
        <v>311657</v>
      </c>
      <c r="I202">
        <v>46285</v>
      </c>
      <c r="J202">
        <v>311657</v>
      </c>
      <c r="K202">
        <v>267293</v>
      </c>
      <c r="L202">
        <v>266402</v>
      </c>
      <c r="M202" t="str">
        <f t="shared" si="19"/>
        <v>Medium</v>
      </c>
      <c r="N202">
        <f>VLOOKUP(C202,Lookup!$A$2:$D$5,MATCH(M202,Lookup!$A$1:$D$1,0),FALSE)</f>
        <v>0.08</v>
      </c>
      <c r="O202">
        <f t="shared" si="20"/>
        <v>21312.16</v>
      </c>
      <c r="P202" s="7">
        <f t="shared" si="21"/>
        <v>0.85765119987678762</v>
      </c>
      <c r="Q202" s="7">
        <f t="shared" si="22"/>
        <v>9739.28125</v>
      </c>
      <c r="R202">
        <f t="shared" si="23"/>
        <v>2.1717648516152281</v>
      </c>
    </row>
    <row r="203" spans="1:18" x14ac:dyDescent="0.25">
      <c r="A203" t="s">
        <v>136</v>
      </c>
      <c r="B203" t="s">
        <v>137</v>
      </c>
      <c r="C203" t="s">
        <v>8</v>
      </c>
      <c r="D203">
        <v>62269</v>
      </c>
      <c r="E203" s="1">
        <v>44104</v>
      </c>
      <c r="F203" s="2">
        <f t="shared" si="18"/>
        <v>2020</v>
      </c>
      <c r="G203">
        <v>31</v>
      </c>
      <c r="H203" s="3">
        <v>341000</v>
      </c>
      <c r="I203">
        <v>58959</v>
      </c>
      <c r="J203">
        <v>341000</v>
      </c>
      <c r="K203">
        <v>294929</v>
      </c>
      <c r="L203">
        <v>290049</v>
      </c>
      <c r="M203" t="str">
        <f t="shared" si="19"/>
        <v>Medium</v>
      </c>
      <c r="N203">
        <f>VLOOKUP(C203,Lookup!$A$2:$D$5,MATCH(M203,Lookup!$A$1:$D$1,0),FALSE)</f>
        <v>0.08</v>
      </c>
      <c r="O203">
        <f t="shared" si="20"/>
        <v>23203.920000000002</v>
      </c>
      <c r="P203" s="7">
        <f t="shared" si="21"/>
        <v>0.86489442815249262</v>
      </c>
      <c r="Q203" s="7">
        <f t="shared" si="22"/>
        <v>11000</v>
      </c>
      <c r="R203">
        <f t="shared" si="23"/>
        <v>2.5409068812510989</v>
      </c>
    </row>
    <row r="204" spans="1:18" x14ac:dyDescent="0.25">
      <c r="A204" t="s">
        <v>136</v>
      </c>
      <c r="B204" t="s">
        <v>137</v>
      </c>
      <c r="C204" t="s">
        <v>8</v>
      </c>
      <c r="D204">
        <v>62269</v>
      </c>
      <c r="E204" s="1">
        <v>44469</v>
      </c>
      <c r="F204" s="2">
        <f t="shared" si="18"/>
        <v>2021</v>
      </c>
      <c r="G204">
        <v>34</v>
      </c>
      <c r="H204" s="3">
        <v>370199</v>
      </c>
      <c r="I204">
        <v>78559</v>
      </c>
      <c r="J204">
        <v>370199</v>
      </c>
      <c r="K204">
        <v>323015</v>
      </c>
      <c r="L204">
        <v>322105</v>
      </c>
      <c r="M204" t="str">
        <f t="shared" si="19"/>
        <v>Medium</v>
      </c>
      <c r="N204">
        <f>VLOOKUP(C204,Lookup!$A$2:$D$5,MATCH(M204,Lookup!$A$1:$D$1,0),FALSE)</f>
        <v>0.08</v>
      </c>
      <c r="O204">
        <f t="shared" si="20"/>
        <v>25768.400000000001</v>
      </c>
      <c r="P204" s="7">
        <f t="shared" si="21"/>
        <v>0.87254422621346894</v>
      </c>
      <c r="Q204" s="7">
        <f t="shared" si="22"/>
        <v>10888.205882352941</v>
      </c>
      <c r="R204">
        <f t="shared" si="23"/>
        <v>3.0486564940004035</v>
      </c>
    </row>
    <row r="205" spans="1:18" x14ac:dyDescent="0.25">
      <c r="A205" t="s">
        <v>138</v>
      </c>
      <c r="B205" t="s">
        <v>139</v>
      </c>
      <c r="C205" t="s">
        <v>8</v>
      </c>
      <c r="D205">
        <v>61764</v>
      </c>
      <c r="E205" s="1">
        <v>43738</v>
      </c>
      <c r="F205" s="2">
        <f t="shared" si="18"/>
        <v>2019</v>
      </c>
      <c r="G205">
        <v>95</v>
      </c>
      <c r="H205" s="3">
        <v>559629</v>
      </c>
      <c r="I205">
        <v>36282</v>
      </c>
      <c r="J205">
        <v>559629</v>
      </c>
      <c r="K205">
        <v>484137</v>
      </c>
      <c r="L205">
        <v>473913</v>
      </c>
      <c r="M205" t="str">
        <f t="shared" si="19"/>
        <v>Medium</v>
      </c>
      <c r="N205">
        <f>VLOOKUP(C205,Lookup!$A$2:$D$5,MATCH(M205,Lookup!$A$1:$D$1,0),FALSE)</f>
        <v>0.08</v>
      </c>
      <c r="O205">
        <f t="shared" si="20"/>
        <v>37913.040000000001</v>
      </c>
      <c r="P205" s="7">
        <f t="shared" si="21"/>
        <v>0.86510348820379213</v>
      </c>
      <c r="Q205" s="7">
        <f t="shared" si="22"/>
        <v>5890.8315789473681</v>
      </c>
      <c r="R205">
        <f t="shared" si="23"/>
        <v>0.95697944559444448</v>
      </c>
    </row>
    <row r="206" spans="1:18" x14ac:dyDescent="0.25">
      <c r="A206" t="s">
        <v>138</v>
      </c>
      <c r="B206" t="s">
        <v>139</v>
      </c>
      <c r="C206" t="s">
        <v>8</v>
      </c>
      <c r="D206">
        <v>61764</v>
      </c>
      <c r="E206" s="1">
        <v>44104</v>
      </c>
      <c r="F206" s="2">
        <f t="shared" si="18"/>
        <v>2020</v>
      </c>
      <c r="G206">
        <v>90</v>
      </c>
      <c r="H206" s="3">
        <v>620601</v>
      </c>
      <c r="I206">
        <v>71970</v>
      </c>
      <c r="J206">
        <v>620601</v>
      </c>
      <c r="K206">
        <v>541255</v>
      </c>
      <c r="L206">
        <v>525525</v>
      </c>
      <c r="M206" t="str">
        <f t="shared" si="19"/>
        <v>Medium</v>
      </c>
      <c r="N206">
        <f>VLOOKUP(C206,Lookup!$A$2:$D$5,MATCH(M206,Lookup!$A$1:$D$1,0),FALSE)</f>
        <v>0.08</v>
      </c>
      <c r="O206">
        <f t="shared" si="20"/>
        <v>42042</v>
      </c>
      <c r="P206" s="7">
        <f t="shared" si="21"/>
        <v>0.87214651603848525</v>
      </c>
      <c r="Q206" s="7">
        <f t="shared" si="22"/>
        <v>6895.5666666666666</v>
      </c>
      <c r="R206">
        <f t="shared" si="23"/>
        <v>1.7118595690024261</v>
      </c>
    </row>
    <row r="207" spans="1:18" x14ac:dyDescent="0.25">
      <c r="A207" t="s">
        <v>138</v>
      </c>
      <c r="B207" t="s">
        <v>139</v>
      </c>
      <c r="C207" t="s">
        <v>8</v>
      </c>
      <c r="D207">
        <v>61764</v>
      </c>
      <c r="E207" s="1">
        <v>44469</v>
      </c>
      <c r="F207" s="2">
        <f t="shared" si="18"/>
        <v>2021</v>
      </c>
      <c r="G207">
        <v>117</v>
      </c>
      <c r="H207" s="3">
        <v>907690</v>
      </c>
      <c r="I207">
        <v>140429</v>
      </c>
      <c r="J207">
        <v>907690</v>
      </c>
      <c r="K207">
        <v>803013</v>
      </c>
      <c r="L207">
        <v>776698</v>
      </c>
      <c r="M207" t="str">
        <f t="shared" si="19"/>
        <v>Medium</v>
      </c>
      <c r="N207">
        <f>VLOOKUP(C207,Lookup!$A$2:$D$5,MATCH(M207,Lookup!$A$1:$D$1,0),FALSE)</f>
        <v>0.08</v>
      </c>
      <c r="O207">
        <f t="shared" si="20"/>
        <v>62135.840000000004</v>
      </c>
      <c r="P207" s="7">
        <f t="shared" si="21"/>
        <v>0.88467758816335973</v>
      </c>
      <c r="Q207" s="7">
        <f t="shared" si="22"/>
        <v>7758.0341880341884</v>
      </c>
      <c r="R207">
        <f t="shared" si="23"/>
        <v>2.2600322132926824</v>
      </c>
    </row>
    <row r="208" spans="1:18" x14ac:dyDescent="0.25">
      <c r="A208" t="s">
        <v>140</v>
      </c>
      <c r="B208" t="s">
        <v>141</v>
      </c>
      <c r="C208" t="s">
        <v>8</v>
      </c>
      <c r="D208">
        <v>61866</v>
      </c>
      <c r="E208" s="1">
        <v>43738</v>
      </c>
      <c r="F208" s="2">
        <f t="shared" si="18"/>
        <v>2019</v>
      </c>
      <c r="G208">
        <v>37</v>
      </c>
      <c r="H208" s="3">
        <v>231029</v>
      </c>
      <c r="I208">
        <v>11062</v>
      </c>
      <c r="J208">
        <v>231029</v>
      </c>
      <c r="K208">
        <v>204284</v>
      </c>
      <c r="L208">
        <v>194107</v>
      </c>
      <c r="M208" t="str">
        <f t="shared" si="19"/>
        <v>Medium</v>
      </c>
      <c r="N208">
        <f>VLOOKUP(C208,Lookup!$A$2:$D$5,MATCH(M208,Lookup!$A$1:$D$1,0),FALSE)</f>
        <v>0.08</v>
      </c>
      <c r="O208">
        <f t="shared" si="20"/>
        <v>15528.56</v>
      </c>
      <c r="P208" s="7">
        <f t="shared" si="21"/>
        <v>0.88423531244995213</v>
      </c>
      <c r="Q208" s="7">
        <f t="shared" si="22"/>
        <v>6244.0270270270266</v>
      </c>
      <c r="R208">
        <f t="shared" si="23"/>
        <v>0.7123648297073264</v>
      </c>
    </row>
    <row r="209" spans="1:18" x14ac:dyDescent="0.25">
      <c r="A209" t="s">
        <v>140</v>
      </c>
      <c r="B209" t="s">
        <v>141</v>
      </c>
      <c r="C209" t="s">
        <v>8</v>
      </c>
      <c r="D209">
        <v>61866</v>
      </c>
      <c r="E209" s="1">
        <v>44104</v>
      </c>
      <c r="F209" s="2">
        <f t="shared" si="18"/>
        <v>2020</v>
      </c>
      <c r="G209">
        <v>35</v>
      </c>
      <c r="H209" s="3">
        <v>248602</v>
      </c>
      <c r="I209">
        <v>17564</v>
      </c>
      <c r="J209">
        <v>248602</v>
      </c>
      <c r="K209">
        <v>219320</v>
      </c>
      <c r="L209">
        <v>197023</v>
      </c>
      <c r="M209" t="str">
        <f t="shared" si="19"/>
        <v>Medium</v>
      </c>
      <c r="N209">
        <f>VLOOKUP(C209,Lookup!$A$2:$D$5,MATCH(M209,Lookup!$A$1:$D$1,0),FALSE)</f>
        <v>0.08</v>
      </c>
      <c r="O209">
        <f t="shared" si="20"/>
        <v>15761.84</v>
      </c>
      <c r="P209" s="7">
        <f t="shared" si="21"/>
        <v>0.88221333698039439</v>
      </c>
      <c r="Q209" s="7">
        <f t="shared" si="22"/>
        <v>7102.9142857142861</v>
      </c>
      <c r="R209">
        <f t="shared" si="23"/>
        <v>1.1143369048283702</v>
      </c>
    </row>
    <row r="210" spans="1:18" x14ac:dyDescent="0.25">
      <c r="A210" t="s">
        <v>140</v>
      </c>
      <c r="B210" t="s">
        <v>141</v>
      </c>
      <c r="C210" t="s">
        <v>8</v>
      </c>
      <c r="D210">
        <v>61866</v>
      </c>
      <c r="E210" s="1">
        <v>44469</v>
      </c>
      <c r="F210" s="2">
        <f t="shared" si="18"/>
        <v>2021</v>
      </c>
      <c r="G210">
        <v>34</v>
      </c>
      <c r="H210" s="3">
        <v>256986</v>
      </c>
      <c r="I210">
        <v>12419</v>
      </c>
      <c r="J210">
        <v>256986</v>
      </c>
      <c r="K210">
        <v>228060</v>
      </c>
      <c r="L210">
        <v>206161</v>
      </c>
      <c r="M210" t="str">
        <f t="shared" si="19"/>
        <v>Medium</v>
      </c>
      <c r="N210">
        <f>VLOOKUP(C210,Lookup!$A$2:$D$5,MATCH(M210,Lookup!$A$1:$D$1,0),FALSE)</f>
        <v>0.08</v>
      </c>
      <c r="O210">
        <f t="shared" si="20"/>
        <v>16492.88</v>
      </c>
      <c r="P210" s="7">
        <f t="shared" si="21"/>
        <v>0.88744133921692236</v>
      </c>
      <c r="Q210" s="7">
        <f t="shared" si="22"/>
        <v>7558.411764705882</v>
      </c>
      <c r="R210">
        <f t="shared" si="23"/>
        <v>0.75299159394841886</v>
      </c>
    </row>
    <row r="211" spans="1:18" x14ac:dyDescent="0.25">
      <c r="A211" t="s">
        <v>142</v>
      </c>
      <c r="B211" t="s">
        <v>143</v>
      </c>
      <c r="C211" t="s">
        <v>17</v>
      </c>
      <c r="D211">
        <v>12043</v>
      </c>
      <c r="E211" s="1">
        <v>43738</v>
      </c>
      <c r="F211" s="2">
        <f t="shared" si="18"/>
        <v>2019</v>
      </c>
      <c r="G211">
        <v>34</v>
      </c>
      <c r="H211" s="3">
        <v>152944</v>
      </c>
      <c r="I211">
        <v>26682</v>
      </c>
      <c r="J211">
        <v>152944</v>
      </c>
      <c r="K211">
        <v>136192</v>
      </c>
      <c r="L211">
        <v>135291</v>
      </c>
      <c r="M211" t="str">
        <f t="shared" si="19"/>
        <v>Medium</v>
      </c>
      <c r="N211">
        <f>VLOOKUP(C211,Lookup!$A$2:$D$5,MATCH(M211,Lookup!$A$1:$D$1,0),FALSE)</f>
        <v>8.5000000000000006E-2</v>
      </c>
      <c r="O211">
        <f t="shared" si="20"/>
        <v>11499.735000000001</v>
      </c>
      <c r="P211" s="7">
        <f t="shared" si="21"/>
        <v>0.89046971440527256</v>
      </c>
      <c r="Q211" s="7">
        <f t="shared" si="22"/>
        <v>4498.3529411764703</v>
      </c>
      <c r="R211">
        <f t="shared" si="23"/>
        <v>2.3202273791526498</v>
      </c>
    </row>
    <row r="212" spans="1:18" x14ac:dyDescent="0.25">
      <c r="A212" t="s">
        <v>142</v>
      </c>
      <c r="B212" t="s">
        <v>143</v>
      </c>
      <c r="C212" t="s">
        <v>17</v>
      </c>
      <c r="D212">
        <v>12043</v>
      </c>
      <c r="E212" s="1">
        <v>44104</v>
      </c>
      <c r="F212" s="2">
        <f t="shared" si="18"/>
        <v>2020</v>
      </c>
      <c r="G212">
        <v>34</v>
      </c>
      <c r="H212" s="3">
        <v>164441</v>
      </c>
      <c r="I212">
        <v>27120</v>
      </c>
      <c r="J212">
        <v>164441</v>
      </c>
      <c r="K212">
        <v>146414</v>
      </c>
      <c r="L212">
        <v>145743</v>
      </c>
      <c r="M212" t="str">
        <f t="shared" si="19"/>
        <v>Medium</v>
      </c>
      <c r="N212">
        <f>VLOOKUP(C212,Lookup!$A$2:$D$5,MATCH(M212,Lookup!$A$1:$D$1,0),FALSE)</f>
        <v>8.5000000000000006E-2</v>
      </c>
      <c r="O212">
        <f t="shared" si="20"/>
        <v>12388.155000000001</v>
      </c>
      <c r="P212" s="7">
        <f t="shared" si="21"/>
        <v>0.89037405513223589</v>
      </c>
      <c r="Q212" s="7">
        <f t="shared" si="22"/>
        <v>4836.5</v>
      </c>
      <c r="R212">
        <f t="shared" si="23"/>
        <v>2.1891879783551302</v>
      </c>
    </row>
    <row r="213" spans="1:18" x14ac:dyDescent="0.25">
      <c r="A213" t="s">
        <v>142</v>
      </c>
      <c r="B213" t="s">
        <v>143</v>
      </c>
      <c r="C213" t="s">
        <v>17</v>
      </c>
      <c r="D213">
        <v>12043</v>
      </c>
      <c r="E213" s="1">
        <v>44469</v>
      </c>
      <c r="F213" s="2">
        <f t="shared" si="18"/>
        <v>2021</v>
      </c>
      <c r="G213">
        <v>33</v>
      </c>
      <c r="H213" s="3">
        <v>182108</v>
      </c>
      <c r="I213">
        <v>39357</v>
      </c>
      <c r="J213">
        <v>182108</v>
      </c>
      <c r="K213">
        <v>164793</v>
      </c>
      <c r="L213">
        <v>163469</v>
      </c>
      <c r="M213" t="str">
        <f t="shared" si="19"/>
        <v>Medium</v>
      </c>
      <c r="N213">
        <f>VLOOKUP(C213,Lookup!$A$2:$D$5,MATCH(M213,Lookup!$A$1:$D$1,0),FALSE)</f>
        <v>8.5000000000000006E-2</v>
      </c>
      <c r="O213">
        <f t="shared" si="20"/>
        <v>13894.865000000002</v>
      </c>
      <c r="P213" s="7">
        <f t="shared" si="21"/>
        <v>0.9049190590199222</v>
      </c>
      <c r="Q213" s="7">
        <f t="shared" si="22"/>
        <v>5518.424242424242</v>
      </c>
      <c r="R213">
        <f t="shared" si="23"/>
        <v>2.8324852382516847</v>
      </c>
    </row>
    <row r="214" spans="1:18" x14ac:dyDescent="0.25">
      <c r="A214" t="s">
        <v>144</v>
      </c>
      <c r="B214" t="s">
        <v>101</v>
      </c>
      <c r="C214" t="s">
        <v>5</v>
      </c>
      <c r="D214">
        <v>94105</v>
      </c>
      <c r="E214" s="1">
        <v>43738</v>
      </c>
      <c r="F214" s="2">
        <f t="shared" si="18"/>
        <v>2019</v>
      </c>
      <c r="G214">
        <v>41</v>
      </c>
      <c r="H214" s="3">
        <v>361068</v>
      </c>
      <c r="I214">
        <v>47588</v>
      </c>
      <c r="J214">
        <v>361068</v>
      </c>
      <c r="K214">
        <v>321335</v>
      </c>
      <c r="L214">
        <v>317791</v>
      </c>
      <c r="M214" t="str">
        <f t="shared" si="19"/>
        <v>Medium</v>
      </c>
      <c r="N214">
        <f>VLOOKUP(C214,Lookup!$A$2:$D$5,MATCH(M214,Lookup!$A$1:$D$1,0),FALSE)</f>
        <v>0.09</v>
      </c>
      <c r="O214">
        <f t="shared" si="20"/>
        <v>28601.19</v>
      </c>
      <c r="P214" s="7">
        <f t="shared" si="21"/>
        <v>0.88995701640688185</v>
      </c>
      <c r="Q214" s="7">
        <f t="shared" si="22"/>
        <v>8806.5365853658532</v>
      </c>
      <c r="R214">
        <f t="shared" si="23"/>
        <v>1.6638468539246094</v>
      </c>
    </row>
    <row r="215" spans="1:18" x14ac:dyDescent="0.25">
      <c r="A215" t="s">
        <v>144</v>
      </c>
      <c r="B215" t="s">
        <v>101</v>
      </c>
      <c r="C215" t="s">
        <v>5</v>
      </c>
      <c r="D215">
        <v>94105</v>
      </c>
      <c r="E215" s="1">
        <v>44104</v>
      </c>
      <c r="F215" s="2">
        <f t="shared" si="18"/>
        <v>2020</v>
      </c>
      <c r="G215">
        <v>46</v>
      </c>
      <c r="H215" s="3">
        <v>662421</v>
      </c>
      <c r="I215">
        <v>129475</v>
      </c>
      <c r="J215">
        <v>662421</v>
      </c>
      <c r="K215">
        <v>618353</v>
      </c>
      <c r="L215">
        <v>515812</v>
      </c>
      <c r="M215" t="str">
        <f t="shared" si="19"/>
        <v>Medium</v>
      </c>
      <c r="N215">
        <f>VLOOKUP(C215,Lookup!$A$2:$D$5,MATCH(M215,Lookup!$A$1:$D$1,0),FALSE)</f>
        <v>0.09</v>
      </c>
      <c r="O215">
        <f t="shared" si="20"/>
        <v>46423.08</v>
      </c>
      <c r="P215" s="7">
        <f t="shared" si="21"/>
        <v>0.93347433127874868</v>
      </c>
      <c r="Q215" s="7">
        <f t="shared" si="22"/>
        <v>14400.45652173913</v>
      </c>
      <c r="R215">
        <f t="shared" si="23"/>
        <v>2.7890221846547019</v>
      </c>
    </row>
    <row r="216" spans="1:18" x14ac:dyDescent="0.25">
      <c r="A216" t="s">
        <v>144</v>
      </c>
      <c r="B216" t="s">
        <v>101</v>
      </c>
      <c r="C216" t="s">
        <v>5</v>
      </c>
      <c r="D216">
        <v>94105</v>
      </c>
      <c r="E216" s="1">
        <v>44469</v>
      </c>
      <c r="F216" s="2">
        <f t="shared" si="18"/>
        <v>2021</v>
      </c>
      <c r="G216">
        <v>47</v>
      </c>
      <c r="H216" s="3">
        <v>627679</v>
      </c>
      <c r="I216">
        <v>117500</v>
      </c>
      <c r="J216">
        <v>627679</v>
      </c>
      <c r="K216">
        <v>574699</v>
      </c>
      <c r="L216">
        <v>549303</v>
      </c>
      <c r="M216" t="str">
        <f t="shared" si="19"/>
        <v>Medium</v>
      </c>
      <c r="N216">
        <f>VLOOKUP(C216,Lookup!$A$2:$D$5,MATCH(M216,Lookup!$A$1:$D$1,0),FALSE)</f>
        <v>0.09</v>
      </c>
      <c r="O216">
        <f t="shared" si="20"/>
        <v>49437.27</v>
      </c>
      <c r="P216" s="7">
        <f t="shared" si="21"/>
        <v>0.91559379874107627</v>
      </c>
      <c r="Q216" s="7">
        <f t="shared" si="22"/>
        <v>13354.872340425532</v>
      </c>
      <c r="R216">
        <f t="shared" si="23"/>
        <v>2.3767493633851546</v>
      </c>
    </row>
    <row r="217" spans="1:18" x14ac:dyDescent="0.25">
      <c r="A217" t="s">
        <v>145</v>
      </c>
      <c r="B217" t="s">
        <v>146</v>
      </c>
      <c r="C217" t="s">
        <v>5</v>
      </c>
      <c r="D217">
        <v>91355</v>
      </c>
      <c r="E217" s="1">
        <v>43738</v>
      </c>
      <c r="F217" s="2">
        <f t="shared" si="18"/>
        <v>2019</v>
      </c>
      <c r="G217">
        <v>25</v>
      </c>
      <c r="H217" s="3">
        <v>316633</v>
      </c>
      <c r="I217">
        <v>55836</v>
      </c>
      <c r="J217">
        <v>316633</v>
      </c>
      <c r="K217">
        <v>280442</v>
      </c>
      <c r="L217">
        <v>244244</v>
      </c>
      <c r="M217" t="str">
        <f t="shared" si="19"/>
        <v>Medium</v>
      </c>
      <c r="N217">
        <f>VLOOKUP(C217,Lookup!$A$2:$D$5,MATCH(M217,Lookup!$A$1:$D$1,0),FALSE)</f>
        <v>0.09</v>
      </c>
      <c r="O217">
        <f t="shared" si="20"/>
        <v>21981.96</v>
      </c>
      <c r="P217" s="7">
        <f t="shared" si="21"/>
        <v>0.88570047973521393</v>
      </c>
      <c r="Q217" s="7">
        <f t="shared" si="22"/>
        <v>12665.32</v>
      </c>
      <c r="R217">
        <f t="shared" si="23"/>
        <v>2.5400828679517207</v>
      </c>
    </row>
    <row r="218" spans="1:18" x14ac:dyDescent="0.25">
      <c r="A218" t="s">
        <v>145</v>
      </c>
      <c r="B218" t="s">
        <v>146</v>
      </c>
      <c r="C218" t="s">
        <v>5</v>
      </c>
      <c r="D218">
        <v>91355</v>
      </c>
      <c r="E218" s="1">
        <v>44104</v>
      </c>
      <c r="F218" s="2">
        <f t="shared" si="18"/>
        <v>2020</v>
      </c>
      <c r="G218">
        <v>26</v>
      </c>
      <c r="H218" s="3">
        <v>391976</v>
      </c>
      <c r="I218">
        <v>74011</v>
      </c>
      <c r="J218">
        <v>391976</v>
      </c>
      <c r="K218">
        <v>352097</v>
      </c>
      <c r="L218">
        <v>293559</v>
      </c>
      <c r="M218" t="str">
        <f t="shared" si="19"/>
        <v>Medium</v>
      </c>
      <c r="N218">
        <f>VLOOKUP(C218,Lookup!$A$2:$D$5,MATCH(M218,Lookup!$A$1:$D$1,0),FALSE)</f>
        <v>0.09</v>
      </c>
      <c r="O218">
        <f t="shared" si="20"/>
        <v>26420.309999999998</v>
      </c>
      <c r="P218" s="7">
        <f t="shared" si="21"/>
        <v>0.89826162826295486</v>
      </c>
      <c r="Q218" s="7">
        <f t="shared" si="22"/>
        <v>15076</v>
      </c>
      <c r="R218">
        <f t="shared" si="23"/>
        <v>2.8012918849173234</v>
      </c>
    </row>
    <row r="219" spans="1:18" x14ac:dyDescent="0.25">
      <c r="A219" t="s">
        <v>145</v>
      </c>
      <c r="B219" t="s">
        <v>146</v>
      </c>
      <c r="C219" t="s">
        <v>5</v>
      </c>
      <c r="D219">
        <v>91355</v>
      </c>
      <c r="E219" s="1">
        <v>44469</v>
      </c>
      <c r="F219" s="2">
        <f t="shared" si="18"/>
        <v>2021</v>
      </c>
      <c r="G219">
        <v>21</v>
      </c>
      <c r="H219" s="3">
        <v>423942</v>
      </c>
      <c r="I219">
        <v>113160</v>
      </c>
      <c r="J219">
        <v>423942</v>
      </c>
      <c r="K219">
        <v>379698</v>
      </c>
      <c r="L219">
        <v>340122</v>
      </c>
      <c r="M219" t="str">
        <f t="shared" si="19"/>
        <v>Medium</v>
      </c>
      <c r="N219">
        <f>VLOOKUP(C219,Lookup!$A$2:$D$5,MATCH(M219,Lookup!$A$1:$D$1,0),FALSE)</f>
        <v>0.09</v>
      </c>
      <c r="O219">
        <f t="shared" si="20"/>
        <v>30610.98</v>
      </c>
      <c r="P219" s="7">
        <f t="shared" si="21"/>
        <v>0.89563666727995805</v>
      </c>
      <c r="Q219" s="7">
        <f t="shared" si="22"/>
        <v>20187.714285714286</v>
      </c>
      <c r="R219">
        <f t="shared" si="23"/>
        <v>3.6967127481707545</v>
      </c>
    </row>
    <row r="220" spans="1:18" x14ac:dyDescent="0.25">
      <c r="A220" t="s">
        <v>147</v>
      </c>
      <c r="B220" t="s">
        <v>85</v>
      </c>
      <c r="C220" t="s">
        <v>5</v>
      </c>
      <c r="D220">
        <v>92130</v>
      </c>
      <c r="E220" s="1">
        <v>43738</v>
      </c>
      <c r="F220" s="2">
        <f t="shared" si="18"/>
        <v>2019</v>
      </c>
      <c r="G220">
        <v>96</v>
      </c>
      <c r="H220" s="3">
        <v>839060</v>
      </c>
      <c r="I220">
        <v>55761</v>
      </c>
      <c r="J220">
        <v>839060</v>
      </c>
      <c r="K220">
        <v>731660</v>
      </c>
      <c r="L220">
        <v>692899</v>
      </c>
      <c r="M220" t="str">
        <f t="shared" si="19"/>
        <v>Medium</v>
      </c>
      <c r="N220">
        <f>VLOOKUP(C220,Lookup!$A$2:$D$5,MATCH(M220,Lookup!$A$1:$D$1,0),FALSE)</f>
        <v>0.09</v>
      </c>
      <c r="O220">
        <f t="shared" si="20"/>
        <v>62360.909999999996</v>
      </c>
      <c r="P220" s="7">
        <f t="shared" si="21"/>
        <v>0.87199961862083764</v>
      </c>
      <c r="Q220" s="7">
        <f t="shared" si="22"/>
        <v>8740.2083333333339</v>
      </c>
      <c r="R220">
        <f t="shared" si="23"/>
        <v>0.89416591258851108</v>
      </c>
    </row>
    <row r="221" spans="1:18" x14ac:dyDescent="0.25">
      <c r="A221" t="s">
        <v>147</v>
      </c>
      <c r="B221" t="s">
        <v>85</v>
      </c>
      <c r="C221" t="s">
        <v>5</v>
      </c>
      <c r="D221">
        <v>92130</v>
      </c>
      <c r="E221" s="1">
        <v>44104</v>
      </c>
      <c r="F221" s="2">
        <f t="shared" si="18"/>
        <v>2020</v>
      </c>
      <c r="G221">
        <v>118</v>
      </c>
      <c r="H221" s="3">
        <v>1575329</v>
      </c>
      <c r="I221">
        <v>108069</v>
      </c>
      <c r="J221">
        <v>1575329</v>
      </c>
      <c r="K221">
        <v>1430897</v>
      </c>
      <c r="L221">
        <v>1142113</v>
      </c>
      <c r="M221" t="str">
        <f t="shared" si="19"/>
        <v>Large</v>
      </c>
      <c r="N221">
        <f>VLOOKUP(C221,Lookup!$A$2:$D$5,MATCH(M221,Lookup!$A$1:$D$1,0),FALSE)</f>
        <v>0.08</v>
      </c>
      <c r="O221">
        <f t="shared" si="20"/>
        <v>91369.040000000008</v>
      </c>
      <c r="P221" s="7">
        <f t="shared" si="21"/>
        <v>0.90831629456450047</v>
      </c>
      <c r="Q221" s="7">
        <f t="shared" si="22"/>
        <v>13350.245762711864</v>
      </c>
      <c r="R221">
        <f t="shared" si="23"/>
        <v>1.1827748217558156</v>
      </c>
    </row>
    <row r="222" spans="1:18" x14ac:dyDescent="0.25">
      <c r="A222" t="s">
        <v>147</v>
      </c>
      <c r="B222" t="s">
        <v>85</v>
      </c>
      <c r="C222" t="s">
        <v>5</v>
      </c>
      <c r="D222">
        <v>92130</v>
      </c>
      <c r="E222" s="1">
        <v>44469</v>
      </c>
      <c r="F222" s="2">
        <f t="shared" si="18"/>
        <v>2021</v>
      </c>
      <c r="G222">
        <v>195</v>
      </c>
      <c r="H222" s="3">
        <v>1783357</v>
      </c>
      <c r="I222">
        <v>408347</v>
      </c>
      <c r="J222">
        <v>1783357</v>
      </c>
      <c r="K222">
        <v>1588727</v>
      </c>
      <c r="L222">
        <v>1569321</v>
      </c>
      <c r="M222" t="str">
        <f t="shared" si="19"/>
        <v>Large</v>
      </c>
      <c r="N222">
        <f>VLOOKUP(C222,Lookup!$A$2:$D$5,MATCH(M222,Lookup!$A$1:$D$1,0),FALSE)</f>
        <v>0.08</v>
      </c>
      <c r="O222">
        <f t="shared" si="20"/>
        <v>125545.68000000001</v>
      </c>
      <c r="P222" s="7">
        <f t="shared" si="21"/>
        <v>0.8908631306014444</v>
      </c>
      <c r="Q222" s="7">
        <f t="shared" si="22"/>
        <v>9145.4205128205122</v>
      </c>
      <c r="R222">
        <f t="shared" si="23"/>
        <v>3.2525770699557324</v>
      </c>
    </row>
    <row r="223" spans="1:18" x14ac:dyDescent="0.25">
      <c r="A223" t="s">
        <v>148</v>
      </c>
      <c r="B223" t="s">
        <v>149</v>
      </c>
      <c r="C223" t="s">
        <v>8</v>
      </c>
      <c r="D223">
        <v>62711</v>
      </c>
      <c r="E223" s="1">
        <v>43738</v>
      </c>
      <c r="F223" s="2">
        <f t="shared" si="18"/>
        <v>2019</v>
      </c>
      <c r="G223">
        <v>276</v>
      </c>
      <c r="H223" s="3">
        <v>1055036</v>
      </c>
      <c r="I223">
        <v>87794</v>
      </c>
      <c r="J223">
        <v>1055036</v>
      </c>
      <c r="K223">
        <v>957780</v>
      </c>
      <c r="L223">
        <v>892324</v>
      </c>
      <c r="M223" t="str">
        <f t="shared" si="19"/>
        <v>Large</v>
      </c>
      <c r="N223">
        <f>VLOOKUP(C223,Lookup!$A$2:$D$5,MATCH(M223,Lookup!$A$1:$D$1,0),FALSE)</f>
        <v>7.4999999999999997E-2</v>
      </c>
      <c r="O223">
        <f t="shared" si="20"/>
        <v>66924.3</v>
      </c>
      <c r="P223" s="7">
        <f t="shared" si="21"/>
        <v>0.90781736357811482</v>
      </c>
      <c r="Q223" s="7">
        <f t="shared" si="22"/>
        <v>3822.5942028985505</v>
      </c>
      <c r="R223">
        <f t="shared" si="23"/>
        <v>1.3118403928020166</v>
      </c>
    </row>
    <row r="224" spans="1:18" x14ac:dyDescent="0.25">
      <c r="A224" t="s">
        <v>148</v>
      </c>
      <c r="B224" t="s">
        <v>149</v>
      </c>
      <c r="C224" t="s">
        <v>8</v>
      </c>
      <c r="D224">
        <v>62711</v>
      </c>
      <c r="E224" s="1">
        <v>44104</v>
      </c>
      <c r="F224" s="2">
        <f t="shared" si="18"/>
        <v>2020</v>
      </c>
      <c r="G224">
        <v>296</v>
      </c>
      <c r="H224" s="3">
        <v>1246518</v>
      </c>
      <c r="I224">
        <v>134633</v>
      </c>
      <c r="J224">
        <v>1246518</v>
      </c>
      <c r="K224">
        <v>1142052</v>
      </c>
      <c r="L224">
        <v>1039188</v>
      </c>
      <c r="M224" t="str">
        <f t="shared" si="19"/>
        <v>Large</v>
      </c>
      <c r="N224">
        <f>VLOOKUP(C224,Lookup!$A$2:$D$5,MATCH(M224,Lookup!$A$1:$D$1,0),FALSE)</f>
        <v>7.4999999999999997E-2</v>
      </c>
      <c r="O224">
        <f t="shared" si="20"/>
        <v>77939.099999999991</v>
      </c>
      <c r="P224" s="7">
        <f t="shared" si="21"/>
        <v>0.91619374930807251</v>
      </c>
      <c r="Q224" s="7">
        <f t="shared" si="22"/>
        <v>4211.2094594594591</v>
      </c>
      <c r="R224">
        <f t="shared" si="23"/>
        <v>1.7274128133375932</v>
      </c>
    </row>
    <row r="225" spans="1:18" x14ac:dyDescent="0.25">
      <c r="A225" t="s">
        <v>148</v>
      </c>
      <c r="B225" t="s">
        <v>149</v>
      </c>
      <c r="C225" t="s">
        <v>8</v>
      </c>
      <c r="D225">
        <v>62711</v>
      </c>
      <c r="E225" s="1">
        <v>44469</v>
      </c>
      <c r="F225" s="2">
        <f t="shared" si="18"/>
        <v>2021</v>
      </c>
      <c r="G225">
        <v>306</v>
      </c>
      <c r="H225" s="3">
        <v>1426343</v>
      </c>
      <c r="I225">
        <v>316678</v>
      </c>
      <c r="J225">
        <v>1426343</v>
      </c>
      <c r="K225">
        <v>1315750</v>
      </c>
      <c r="L225">
        <v>1234656</v>
      </c>
      <c r="M225" t="str">
        <f t="shared" si="19"/>
        <v>Large</v>
      </c>
      <c r="N225">
        <f>VLOOKUP(C225,Lookup!$A$2:$D$5,MATCH(M225,Lookup!$A$1:$D$1,0),FALSE)</f>
        <v>7.4999999999999997E-2</v>
      </c>
      <c r="O225">
        <f t="shared" si="20"/>
        <v>92599.2</v>
      </c>
      <c r="P225" s="7">
        <f t="shared" si="21"/>
        <v>0.92246395151797289</v>
      </c>
      <c r="Q225" s="7">
        <f t="shared" si="22"/>
        <v>4661.251633986928</v>
      </c>
      <c r="R225">
        <f t="shared" si="23"/>
        <v>3.4198783574804104</v>
      </c>
    </row>
    <row r="226" spans="1:18" x14ac:dyDescent="0.25">
      <c r="A226" t="s">
        <v>150</v>
      </c>
      <c r="B226" t="s">
        <v>87</v>
      </c>
      <c r="C226" t="s">
        <v>5</v>
      </c>
      <c r="D226">
        <v>95202</v>
      </c>
      <c r="E226" s="1">
        <v>43738</v>
      </c>
      <c r="F226" s="2">
        <f t="shared" si="18"/>
        <v>2019</v>
      </c>
      <c r="G226">
        <v>387</v>
      </c>
      <c r="H226" s="3">
        <v>3312484</v>
      </c>
      <c r="I226">
        <v>235306</v>
      </c>
      <c r="J226">
        <v>3312484</v>
      </c>
      <c r="K226">
        <v>2731762</v>
      </c>
      <c r="L226">
        <v>2563701</v>
      </c>
      <c r="M226" t="str">
        <f t="shared" si="19"/>
        <v>Large</v>
      </c>
      <c r="N226">
        <f>VLOOKUP(C226,Lookup!$A$2:$D$5,MATCH(M226,Lookup!$A$1:$D$1,0),FALSE)</f>
        <v>0.08</v>
      </c>
      <c r="O226">
        <f t="shared" si="20"/>
        <v>205096.08000000002</v>
      </c>
      <c r="P226" s="7">
        <f t="shared" si="21"/>
        <v>0.82468685131762143</v>
      </c>
      <c r="Q226" s="7">
        <f t="shared" si="22"/>
        <v>8559.3901808785522</v>
      </c>
      <c r="R226">
        <f t="shared" si="23"/>
        <v>1.1472964280936035</v>
      </c>
    </row>
    <row r="227" spans="1:18" x14ac:dyDescent="0.25">
      <c r="A227" t="s">
        <v>150</v>
      </c>
      <c r="B227" t="s">
        <v>87</v>
      </c>
      <c r="C227" t="s">
        <v>5</v>
      </c>
      <c r="D227">
        <v>95202</v>
      </c>
      <c r="E227" s="1">
        <v>44104</v>
      </c>
      <c r="F227" s="2">
        <f t="shared" si="18"/>
        <v>2020</v>
      </c>
      <c r="G227">
        <v>402</v>
      </c>
      <c r="H227" s="3">
        <v>3850180</v>
      </c>
      <c r="I227">
        <v>433120</v>
      </c>
      <c r="J227">
        <v>3850180</v>
      </c>
      <c r="K227">
        <v>3249336</v>
      </c>
      <c r="L227">
        <v>3102635</v>
      </c>
      <c r="M227" t="str">
        <f t="shared" si="19"/>
        <v>Large</v>
      </c>
      <c r="N227">
        <f>VLOOKUP(C227,Lookup!$A$2:$D$5,MATCH(M227,Lookup!$A$1:$D$1,0),FALSE)</f>
        <v>0.08</v>
      </c>
      <c r="O227">
        <f t="shared" si="20"/>
        <v>248210.80000000002</v>
      </c>
      <c r="P227" s="7">
        <f t="shared" si="21"/>
        <v>0.84394391950506209</v>
      </c>
      <c r="Q227" s="7">
        <f t="shared" si="22"/>
        <v>9577.5621890547263</v>
      </c>
      <c r="R227">
        <f t="shared" si="23"/>
        <v>1.7449683897719195</v>
      </c>
    </row>
    <row r="228" spans="1:18" x14ac:dyDescent="0.25">
      <c r="A228" t="s">
        <v>150</v>
      </c>
      <c r="B228" t="s">
        <v>87</v>
      </c>
      <c r="C228" t="s">
        <v>5</v>
      </c>
      <c r="D228">
        <v>95202</v>
      </c>
      <c r="E228" s="1">
        <v>44469</v>
      </c>
      <c r="F228" s="2">
        <f t="shared" si="18"/>
        <v>2021</v>
      </c>
      <c r="G228">
        <v>397</v>
      </c>
      <c r="H228" s="3">
        <v>4584707</v>
      </c>
      <c r="I228">
        <v>651957</v>
      </c>
      <c r="J228">
        <v>4584707</v>
      </c>
      <c r="K228">
        <v>3928875</v>
      </c>
      <c r="L228">
        <v>3778028</v>
      </c>
      <c r="M228" t="str">
        <f t="shared" si="19"/>
        <v>Large</v>
      </c>
      <c r="N228">
        <f>VLOOKUP(C228,Lookup!$A$2:$D$5,MATCH(M228,Lookup!$A$1:$D$1,0),FALSE)</f>
        <v>0.08</v>
      </c>
      <c r="O228">
        <f t="shared" si="20"/>
        <v>302242.24</v>
      </c>
      <c r="P228" s="7">
        <f t="shared" si="21"/>
        <v>0.85695225452793389</v>
      </c>
      <c r="Q228" s="7">
        <f t="shared" si="22"/>
        <v>11548.380352644836</v>
      </c>
      <c r="R228">
        <f t="shared" si="23"/>
        <v>2.157067787745353</v>
      </c>
    </row>
    <row r="229" spans="1:18" x14ac:dyDescent="0.25">
      <c r="A229" t="s">
        <v>151</v>
      </c>
      <c r="B229" t="s">
        <v>152</v>
      </c>
      <c r="C229" t="s">
        <v>8</v>
      </c>
      <c r="D229">
        <v>61480</v>
      </c>
      <c r="E229" s="1">
        <v>43738</v>
      </c>
      <c r="F229" s="2">
        <f t="shared" si="18"/>
        <v>2019</v>
      </c>
      <c r="G229">
        <v>18</v>
      </c>
      <c r="H229" s="3">
        <v>74219</v>
      </c>
      <c r="I229">
        <v>2736</v>
      </c>
      <c r="J229">
        <v>74219</v>
      </c>
      <c r="K229">
        <v>61088</v>
      </c>
      <c r="L229">
        <v>60979</v>
      </c>
      <c r="M229" t="str">
        <f t="shared" si="19"/>
        <v>Small</v>
      </c>
      <c r="N229">
        <f>VLOOKUP(C229,Lookup!$A$2:$D$5,MATCH(M229,Lookup!$A$1:$D$1,0),FALSE)</f>
        <v>0.09</v>
      </c>
      <c r="O229">
        <f t="shared" si="20"/>
        <v>5488.11</v>
      </c>
      <c r="P229" s="7">
        <f t="shared" si="21"/>
        <v>0.8230776485805521</v>
      </c>
      <c r="Q229" s="7">
        <f t="shared" si="22"/>
        <v>4123.2777777777774</v>
      </c>
      <c r="R229">
        <f t="shared" si="23"/>
        <v>0.49853228160514279</v>
      </c>
    </row>
    <row r="230" spans="1:18" x14ac:dyDescent="0.25">
      <c r="A230" t="s">
        <v>151</v>
      </c>
      <c r="B230" t="s">
        <v>152</v>
      </c>
      <c r="C230" t="s">
        <v>8</v>
      </c>
      <c r="D230">
        <v>61480</v>
      </c>
      <c r="E230" s="1">
        <v>44104</v>
      </c>
      <c r="F230" s="2">
        <f t="shared" si="18"/>
        <v>2020</v>
      </c>
      <c r="G230">
        <v>18</v>
      </c>
      <c r="H230" s="3">
        <v>80324</v>
      </c>
      <c r="I230">
        <v>2453</v>
      </c>
      <c r="J230">
        <v>80324</v>
      </c>
      <c r="K230">
        <v>66692</v>
      </c>
      <c r="L230">
        <v>66403</v>
      </c>
      <c r="M230" t="str">
        <f t="shared" si="19"/>
        <v>Small</v>
      </c>
      <c r="N230">
        <f>VLOOKUP(C230,Lookup!$A$2:$D$5,MATCH(M230,Lookup!$A$1:$D$1,0),FALSE)</f>
        <v>0.09</v>
      </c>
      <c r="O230">
        <f t="shared" si="20"/>
        <v>5976.2699999999995</v>
      </c>
      <c r="P230" s="7">
        <f t="shared" si="21"/>
        <v>0.83028733628803342</v>
      </c>
      <c r="Q230" s="7">
        <f t="shared" si="22"/>
        <v>4462.4444444444443</v>
      </c>
      <c r="R230">
        <f t="shared" si="23"/>
        <v>0.41045668954046594</v>
      </c>
    </row>
    <row r="231" spans="1:18" x14ac:dyDescent="0.25">
      <c r="A231" t="s">
        <v>151</v>
      </c>
      <c r="B231" t="s">
        <v>152</v>
      </c>
      <c r="C231" t="s">
        <v>8</v>
      </c>
      <c r="D231">
        <v>61480</v>
      </c>
      <c r="E231" s="1">
        <v>44469</v>
      </c>
      <c r="F231" s="2">
        <f t="shared" si="18"/>
        <v>2021</v>
      </c>
      <c r="G231">
        <v>19</v>
      </c>
      <c r="H231" s="3">
        <v>88704</v>
      </c>
      <c r="I231">
        <v>1528</v>
      </c>
      <c r="J231">
        <v>88704</v>
      </c>
      <c r="K231">
        <v>75482</v>
      </c>
      <c r="L231">
        <v>72432</v>
      </c>
      <c r="M231" t="str">
        <f t="shared" si="19"/>
        <v>Small</v>
      </c>
      <c r="N231">
        <f>VLOOKUP(C231,Lookup!$A$2:$D$5,MATCH(M231,Lookup!$A$1:$D$1,0),FALSE)</f>
        <v>0.09</v>
      </c>
      <c r="O231">
        <f t="shared" si="20"/>
        <v>6518.88</v>
      </c>
      <c r="P231" s="7">
        <f t="shared" si="21"/>
        <v>0.85094246031746035</v>
      </c>
      <c r="Q231" s="7">
        <f t="shared" si="22"/>
        <v>4668.6315789473683</v>
      </c>
      <c r="R231">
        <f t="shared" si="23"/>
        <v>0.23439609258032054</v>
      </c>
    </row>
    <row r="232" spans="1:18" x14ac:dyDescent="0.25">
      <c r="A232" t="s">
        <v>153</v>
      </c>
      <c r="B232" t="s">
        <v>101</v>
      </c>
      <c r="C232" t="s">
        <v>5</v>
      </c>
      <c r="D232">
        <v>94104</v>
      </c>
      <c r="E232" s="1">
        <v>43738</v>
      </c>
      <c r="F232" s="2">
        <f t="shared" si="18"/>
        <v>2019</v>
      </c>
      <c r="G232">
        <v>147</v>
      </c>
      <c r="H232" s="3">
        <v>927282</v>
      </c>
      <c r="I232">
        <v>109007</v>
      </c>
      <c r="J232">
        <v>927282</v>
      </c>
      <c r="K232">
        <v>828594</v>
      </c>
      <c r="L232">
        <v>799522</v>
      </c>
      <c r="M232" t="str">
        <f t="shared" si="19"/>
        <v>Medium</v>
      </c>
      <c r="N232">
        <f>VLOOKUP(C232,Lookup!$A$2:$D$5,MATCH(M232,Lookup!$A$1:$D$1,0),FALSE)</f>
        <v>0.09</v>
      </c>
      <c r="O232">
        <f t="shared" si="20"/>
        <v>71956.98</v>
      </c>
      <c r="P232" s="7">
        <f t="shared" si="21"/>
        <v>0.8935728289775926</v>
      </c>
      <c r="Q232" s="7">
        <f t="shared" si="22"/>
        <v>6308.0408163265311</v>
      </c>
      <c r="R232">
        <f t="shared" si="23"/>
        <v>1.5148912586381476</v>
      </c>
    </row>
    <row r="233" spans="1:18" x14ac:dyDescent="0.25">
      <c r="A233" t="s">
        <v>153</v>
      </c>
      <c r="B233" t="s">
        <v>101</v>
      </c>
      <c r="C233" t="s">
        <v>5</v>
      </c>
      <c r="D233">
        <v>94104</v>
      </c>
      <c r="E233" s="1">
        <v>44104</v>
      </c>
      <c r="F233" s="2">
        <f t="shared" si="18"/>
        <v>2020</v>
      </c>
      <c r="G233">
        <v>122</v>
      </c>
      <c r="H233" s="3">
        <v>931663</v>
      </c>
      <c r="I233">
        <v>161153</v>
      </c>
      <c r="J233">
        <v>931663</v>
      </c>
      <c r="K233">
        <v>831155</v>
      </c>
      <c r="L233">
        <v>789695</v>
      </c>
      <c r="M233" t="str">
        <f t="shared" si="19"/>
        <v>Medium</v>
      </c>
      <c r="N233">
        <f>VLOOKUP(C233,Lookup!$A$2:$D$5,MATCH(M233,Lookup!$A$1:$D$1,0),FALSE)</f>
        <v>0.09</v>
      </c>
      <c r="O233">
        <f t="shared" si="20"/>
        <v>71072.55</v>
      </c>
      <c r="P233" s="7">
        <f t="shared" si="21"/>
        <v>0.89211979009577502</v>
      </c>
      <c r="Q233" s="7">
        <f t="shared" si="22"/>
        <v>7636.5819672131147</v>
      </c>
      <c r="R233">
        <f t="shared" si="23"/>
        <v>2.2674436192313348</v>
      </c>
    </row>
    <row r="234" spans="1:18" x14ac:dyDescent="0.25">
      <c r="A234" t="s">
        <v>153</v>
      </c>
      <c r="B234" t="s">
        <v>101</v>
      </c>
      <c r="C234" t="s">
        <v>5</v>
      </c>
      <c r="D234">
        <v>94104</v>
      </c>
      <c r="E234" s="1">
        <v>44469</v>
      </c>
      <c r="F234" s="2">
        <f t="shared" si="18"/>
        <v>2021</v>
      </c>
      <c r="G234">
        <v>106</v>
      </c>
      <c r="H234" s="3">
        <v>932525</v>
      </c>
      <c r="I234">
        <v>187179</v>
      </c>
      <c r="J234">
        <v>932525</v>
      </c>
      <c r="K234">
        <v>825296</v>
      </c>
      <c r="L234">
        <v>787197</v>
      </c>
      <c r="M234" t="str">
        <f t="shared" si="19"/>
        <v>Medium</v>
      </c>
      <c r="N234">
        <f>VLOOKUP(C234,Lookup!$A$2:$D$5,MATCH(M234,Lookup!$A$1:$D$1,0),FALSE)</f>
        <v>0.09</v>
      </c>
      <c r="O234">
        <f t="shared" si="20"/>
        <v>70847.73</v>
      </c>
      <c r="P234" s="7">
        <f t="shared" si="21"/>
        <v>0.88501219806439502</v>
      </c>
      <c r="Q234" s="7">
        <f t="shared" si="22"/>
        <v>8797.4056603773588</v>
      </c>
      <c r="R234">
        <f t="shared" si="23"/>
        <v>2.6419900821098996</v>
      </c>
    </row>
    <row r="235" spans="1:18" x14ac:dyDescent="0.25">
      <c r="A235" t="s">
        <v>154</v>
      </c>
      <c r="B235" t="s">
        <v>155</v>
      </c>
      <c r="C235" t="s">
        <v>5</v>
      </c>
      <c r="D235">
        <v>93257</v>
      </c>
      <c r="E235" s="1">
        <v>43738</v>
      </c>
      <c r="F235" s="2">
        <f t="shared" si="18"/>
        <v>2019</v>
      </c>
      <c r="G235">
        <v>519</v>
      </c>
      <c r="H235" s="3">
        <v>2635728</v>
      </c>
      <c r="I235">
        <v>80646</v>
      </c>
      <c r="J235">
        <v>2635727</v>
      </c>
      <c r="K235">
        <v>2306165</v>
      </c>
      <c r="L235">
        <v>2204867</v>
      </c>
      <c r="M235" t="str">
        <f t="shared" si="19"/>
        <v>Large</v>
      </c>
      <c r="N235">
        <f>VLOOKUP(C235,Lookup!$A$2:$D$5,MATCH(M235,Lookup!$A$1:$D$1,0),FALSE)</f>
        <v>0.08</v>
      </c>
      <c r="O235">
        <f t="shared" si="20"/>
        <v>176389.36000000002</v>
      </c>
      <c r="P235" s="7">
        <f t="shared" si="21"/>
        <v>0.87496319802346822</v>
      </c>
      <c r="Q235" s="7">
        <f t="shared" si="22"/>
        <v>5078.4739884393066</v>
      </c>
      <c r="R235">
        <f t="shared" si="23"/>
        <v>0.4572044481594581</v>
      </c>
    </row>
    <row r="236" spans="1:18" x14ac:dyDescent="0.25">
      <c r="A236" t="s">
        <v>154</v>
      </c>
      <c r="B236" t="s">
        <v>155</v>
      </c>
      <c r="C236" t="s">
        <v>5</v>
      </c>
      <c r="D236">
        <v>93257</v>
      </c>
      <c r="E236" s="1">
        <v>44104</v>
      </c>
      <c r="F236" s="2">
        <f t="shared" si="18"/>
        <v>2020</v>
      </c>
      <c r="G236">
        <v>491</v>
      </c>
      <c r="H236" s="3">
        <v>3199559</v>
      </c>
      <c r="I236">
        <v>88933</v>
      </c>
      <c r="J236">
        <v>3199559</v>
      </c>
      <c r="K236">
        <v>2840140</v>
      </c>
      <c r="L236">
        <v>2603565</v>
      </c>
      <c r="M236" t="str">
        <f t="shared" si="19"/>
        <v>Large</v>
      </c>
      <c r="N236">
        <f>VLOOKUP(C236,Lookup!$A$2:$D$5,MATCH(M236,Lookup!$A$1:$D$1,0),FALSE)</f>
        <v>0.08</v>
      </c>
      <c r="O236">
        <f t="shared" si="20"/>
        <v>208285.2</v>
      </c>
      <c r="P236" s="7">
        <f t="shared" si="21"/>
        <v>0.88766608148185422</v>
      </c>
      <c r="Q236" s="7">
        <f t="shared" si="22"/>
        <v>6516.4134419551938</v>
      </c>
      <c r="R236">
        <f t="shared" si="23"/>
        <v>0.42697704877734949</v>
      </c>
    </row>
    <row r="237" spans="1:18" x14ac:dyDescent="0.25">
      <c r="A237" t="s">
        <v>154</v>
      </c>
      <c r="B237" t="s">
        <v>155</v>
      </c>
      <c r="C237" t="s">
        <v>5</v>
      </c>
      <c r="D237">
        <v>93257</v>
      </c>
      <c r="E237" s="1">
        <v>44469</v>
      </c>
      <c r="F237" s="2">
        <f t="shared" si="18"/>
        <v>2021</v>
      </c>
      <c r="G237">
        <v>482</v>
      </c>
      <c r="H237" s="3">
        <v>3443274</v>
      </c>
      <c r="I237">
        <v>422350</v>
      </c>
      <c r="J237">
        <v>3443274</v>
      </c>
      <c r="K237">
        <v>3047249</v>
      </c>
      <c r="L237">
        <v>2874329</v>
      </c>
      <c r="M237" t="str">
        <f t="shared" si="19"/>
        <v>Large</v>
      </c>
      <c r="N237">
        <f>VLOOKUP(C237,Lookup!$A$2:$D$5,MATCH(M237,Lookup!$A$1:$D$1,0),FALSE)</f>
        <v>0.08</v>
      </c>
      <c r="O237">
        <f t="shared" si="20"/>
        <v>229946.32</v>
      </c>
      <c r="P237" s="7">
        <f t="shared" si="21"/>
        <v>0.88498591747273092</v>
      </c>
      <c r="Q237" s="7">
        <f t="shared" si="22"/>
        <v>7143.7219917012444</v>
      </c>
      <c r="R237">
        <f t="shared" si="23"/>
        <v>1.8367330253426104</v>
      </c>
    </row>
    <row r="238" spans="1:18" x14ac:dyDescent="0.25">
      <c r="A238" t="s">
        <v>156</v>
      </c>
      <c r="B238" t="s">
        <v>101</v>
      </c>
      <c r="C238" t="s">
        <v>5</v>
      </c>
      <c r="D238">
        <v>94104</v>
      </c>
      <c r="E238" s="1">
        <v>43738</v>
      </c>
      <c r="F238" s="2">
        <f t="shared" si="18"/>
        <v>2019</v>
      </c>
      <c r="G238">
        <v>9683</v>
      </c>
      <c r="H238" s="3">
        <v>91025838</v>
      </c>
      <c r="I238">
        <v>3564223</v>
      </c>
      <c r="J238">
        <v>91025838</v>
      </c>
      <c r="K238">
        <v>78134165</v>
      </c>
      <c r="L238">
        <v>69776526</v>
      </c>
      <c r="M238" t="str">
        <f t="shared" si="19"/>
        <v>Large</v>
      </c>
      <c r="N238">
        <f>VLOOKUP(C238,Lookup!$A$2:$D$5,MATCH(M238,Lookup!$A$1:$D$1,0),FALSE)</f>
        <v>0.08</v>
      </c>
      <c r="O238">
        <f t="shared" si="20"/>
        <v>5582122.0800000001</v>
      </c>
      <c r="P238" s="7">
        <f t="shared" si="21"/>
        <v>0.85837347633097316</v>
      </c>
      <c r="Q238" s="7">
        <f t="shared" si="22"/>
        <v>9400.5822575648035</v>
      </c>
      <c r="R238">
        <f t="shared" si="23"/>
        <v>0.63850681674808518</v>
      </c>
    </row>
    <row r="239" spans="1:18" x14ac:dyDescent="0.25">
      <c r="A239" t="s">
        <v>156</v>
      </c>
      <c r="B239" t="s">
        <v>101</v>
      </c>
      <c r="C239" t="s">
        <v>5</v>
      </c>
      <c r="D239">
        <v>94104</v>
      </c>
      <c r="E239" s="1">
        <v>44104</v>
      </c>
      <c r="F239" s="2">
        <f t="shared" si="18"/>
        <v>2020</v>
      </c>
      <c r="G239">
        <v>9413</v>
      </c>
      <c r="H239" s="3">
        <v>96304549</v>
      </c>
      <c r="I239">
        <v>5122340</v>
      </c>
      <c r="J239">
        <v>96304549</v>
      </c>
      <c r="K239">
        <v>82429586</v>
      </c>
      <c r="L239">
        <v>78652372</v>
      </c>
      <c r="M239" t="str">
        <f t="shared" si="19"/>
        <v>Large</v>
      </c>
      <c r="N239">
        <f>VLOOKUP(C239,Lookup!$A$2:$D$5,MATCH(M239,Lookup!$A$1:$D$1,0),FALSE)</f>
        <v>0.08</v>
      </c>
      <c r="O239">
        <f t="shared" si="20"/>
        <v>6292189.7599999998</v>
      </c>
      <c r="P239" s="7">
        <f t="shared" si="21"/>
        <v>0.85592619306072448</v>
      </c>
      <c r="Q239" s="7">
        <f t="shared" si="22"/>
        <v>10231.015510464251</v>
      </c>
      <c r="R239">
        <f t="shared" si="23"/>
        <v>0.81407907189372497</v>
      </c>
    </row>
    <row r="240" spans="1:18" x14ac:dyDescent="0.25">
      <c r="A240" t="s">
        <v>156</v>
      </c>
      <c r="B240" t="s">
        <v>101</v>
      </c>
      <c r="C240" t="s">
        <v>5</v>
      </c>
      <c r="D240">
        <v>94104</v>
      </c>
      <c r="E240" s="1">
        <v>44469</v>
      </c>
      <c r="F240" s="2">
        <f t="shared" si="18"/>
        <v>2021</v>
      </c>
      <c r="G240">
        <v>8900</v>
      </c>
      <c r="H240" s="3">
        <v>105411908</v>
      </c>
      <c r="I240">
        <v>17578659</v>
      </c>
      <c r="J240">
        <v>105411908</v>
      </c>
      <c r="K240">
        <v>91699524</v>
      </c>
      <c r="L240">
        <v>89340272</v>
      </c>
      <c r="M240" t="str">
        <f t="shared" si="19"/>
        <v>Large</v>
      </c>
      <c r="N240">
        <f>VLOOKUP(C240,Lookup!$A$2:$D$5,MATCH(M240,Lookup!$A$1:$D$1,0),FALSE)</f>
        <v>0.08</v>
      </c>
      <c r="O240">
        <f t="shared" si="20"/>
        <v>7147221.7599999998</v>
      </c>
      <c r="P240" s="7">
        <f t="shared" si="21"/>
        <v>0.86991617683269706</v>
      </c>
      <c r="Q240" s="7">
        <f t="shared" si="22"/>
        <v>11844.034606741572</v>
      </c>
      <c r="R240">
        <f t="shared" si="23"/>
        <v>2.4595093856441359</v>
      </c>
    </row>
    <row r="241" spans="1:18" x14ac:dyDescent="0.25">
      <c r="A241" t="s">
        <v>157</v>
      </c>
      <c r="B241" t="s">
        <v>24</v>
      </c>
      <c r="C241" t="s">
        <v>17</v>
      </c>
      <c r="D241">
        <v>13502</v>
      </c>
      <c r="E241" s="1">
        <v>43738</v>
      </c>
      <c r="F241" s="2">
        <f t="shared" si="18"/>
        <v>2019</v>
      </c>
      <c r="G241">
        <v>42</v>
      </c>
      <c r="H241" s="3">
        <v>1135120</v>
      </c>
      <c r="I241">
        <v>13234</v>
      </c>
      <c r="J241">
        <v>1135120</v>
      </c>
      <c r="K241">
        <v>899471</v>
      </c>
      <c r="L241">
        <v>885814</v>
      </c>
      <c r="M241" t="str">
        <f t="shared" si="19"/>
        <v>Large</v>
      </c>
      <c r="N241">
        <f>VLOOKUP(C241,Lookup!$A$2:$D$5,MATCH(M241,Lookup!$A$1:$D$1,0),FALSE)</f>
        <v>0.08</v>
      </c>
      <c r="O241">
        <f t="shared" si="20"/>
        <v>70865.119999999995</v>
      </c>
      <c r="P241" s="7">
        <f t="shared" si="21"/>
        <v>0.79240168440341108</v>
      </c>
      <c r="Q241" s="7">
        <f t="shared" si="22"/>
        <v>27026.666666666668</v>
      </c>
      <c r="R241">
        <f t="shared" si="23"/>
        <v>0.18674913695200121</v>
      </c>
    </row>
    <row r="242" spans="1:18" x14ac:dyDescent="0.25">
      <c r="A242" t="s">
        <v>157</v>
      </c>
      <c r="B242" t="s">
        <v>24</v>
      </c>
      <c r="C242" t="s">
        <v>17</v>
      </c>
      <c r="D242">
        <v>13502</v>
      </c>
      <c r="E242" s="1">
        <v>44104</v>
      </c>
      <c r="F242" s="2">
        <f t="shared" si="18"/>
        <v>2020</v>
      </c>
      <c r="G242">
        <v>43</v>
      </c>
      <c r="H242" s="3">
        <v>1297520</v>
      </c>
      <c r="I242">
        <v>38051</v>
      </c>
      <c r="J242">
        <v>1297520</v>
      </c>
      <c r="K242">
        <v>1049465</v>
      </c>
      <c r="L242">
        <v>1034269</v>
      </c>
      <c r="M242" t="str">
        <f t="shared" si="19"/>
        <v>Large</v>
      </c>
      <c r="N242">
        <f>VLOOKUP(C242,Lookup!$A$2:$D$5,MATCH(M242,Lookup!$A$1:$D$1,0),FALSE)</f>
        <v>0.08</v>
      </c>
      <c r="O242">
        <f t="shared" si="20"/>
        <v>82741.52</v>
      </c>
      <c r="P242" s="7">
        <f t="shared" si="21"/>
        <v>0.80882375608853818</v>
      </c>
      <c r="Q242" s="7">
        <f t="shared" si="22"/>
        <v>30174.883720930233</v>
      </c>
      <c r="R242">
        <f t="shared" si="23"/>
        <v>0.45987794277890953</v>
      </c>
    </row>
    <row r="243" spans="1:18" x14ac:dyDescent="0.25">
      <c r="A243" t="s">
        <v>157</v>
      </c>
      <c r="B243" t="s">
        <v>24</v>
      </c>
      <c r="C243" t="s">
        <v>17</v>
      </c>
      <c r="D243">
        <v>13502</v>
      </c>
      <c r="E243" s="1">
        <v>44469</v>
      </c>
      <c r="F243" s="2">
        <f t="shared" si="18"/>
        <v>2021</v>
      </c>
      <c r="G243">
        <v>42</v>
      </c>
      <c r="H243" s="3">
        <v>1497293</v>
      </c>
      <c r="I243">
        <v>80371</v>
      </c>
      <c r="J243">
        <v>1497293</v>
      </c>
      <c r="K243">
        <v>1212870</v>
      </c>
      <c r="L243">
        <v>1190452</v>
      </c>
      <c r="M243" t="str">
        <f t="shared" si="19"/>
        <v>Large</v>
      </c>
      <c r="N243">
        <f>VLOOKUP(C243,Lookup!$A$2:$D$5,MATCH(M243,Lookup!$A$1:$D$1,0),FALSE)</f>
        <v>0.08</v>
      </c>
      <c r="O243">
        <f t="shared" si="20"/>
        <v>95236.160000000003</v>
      </c>
      <c r="P243" s="7">
        <f t="shared" si="21"/>
        <v>0.8100418555352894</v>
      </c>
      <c r="Q243" s="7">
        <f t="shared" si="22"/>
        <v>35649.833333333336</v>
      </c>
      <c r="R243">
        <f t="shared" si="23"/>
        <v>0.84391264830501356</v>
      </c>
    </row>
    <row r="244" spans="1:18" x14ac:dyDescent="0.25">
      <c r="A244" t="s">
        <v>158</v>
      </c>
      <c r="B244" t="s">
        <v>159</v>
      </c>
      <c r="C244" t="s">
        <v>5</v>
      </c>
      <c r="D244">
        <v>90609</v>
      </c>
      <c r="E244" s="1">
        <v>43738</v>
      </c>
      <c r="F244" s="2">
        <f t="shared" si="18"/>
        <v>2019</v>
      </c>
      <c r="G244">
        <v>20</v>
      </c>
      <c r="H244" s="3">
        <v>71979</v>
      </c>
      <c r="I244">
        <v>39791</v>
      </c>
      <c r="J244">
        <v>71979</v>
      </c>
      <c r="K244">
        <v>61114</v>
      </c>
      <c r="L244">
        <v>60421</v>
      </c>
      <c r="M244" t="str">
        <f t="shared" si="19"/>
        <v>Small</v>
      </c>
      <c r="N244">
        <f>VLOOKUP(C244,Lookup!$A$2:$D$5,MATCH(M244,Lookup!$A$1:$D$1,0),FALSE)</f>
        <v>0.1</v>
      </c>
      <c r="O244">
        <f t="shared" si="20"/>
        <v>6042.1</v>
      </c>
      <c r="P244" s="7">
        <f t="shared" si="21"/>
        <v>0.84905319607107632</v>
      </c>
      <c r="Q244" s="7">
        <f t="shared" si="22"/>
        <v>3598.95</v>
      </c>
      <c r="R244">
        <f t="shared" si="23"/>
        <v>6.5856242035054038</v>
      </c>
    </row>
    <row r="245" spans="1:18" x14ac:dyDescent="0.25">
      <c r="A245" t="s">
        <v>158</v>
      </c>
      <c r="B245" t="s">
        <v>159</v>
      </c>
      <c r="C245" t="s">
        <v>5</v>
      </c>
      <c r="D245">
        <v>90603</v>
      </c>
      <c r="E245" s="1">
        <v>44104</v>
      </c>
      <c r="F245" s="2">
        <f t="shared" si="18"/>
        <v>2020</v>
      </c>
      <c r="G245">
        <v>24</v>
      </c>
      <c r="H245" s="3">
        <v>107488</v>
      </c>
      <c r="I245">
        <v>63002</v>
      </c>
      <c r="J245">
        <v>107488</v>
      </c>
      <c r="K245">
        <v>91512</v>
      </c>
      <c r="L245">
        <v>90696</v>
      </c>
      <c r="M245" t="str">
        <f t="shared" si="19"/>
        <v>Medium</v>
      </c>
      <c r="N245">
        <f>VLOOKUP(C245,Lookup!$A$2:$D$5,MATCH(M245,Lookup!$A$1:$D$1,0),FALSE)</f>
        <v>0.09</v>
      </c>
      <c r="O245">
        <f t="shared" si="20"/>
        <v>8162.6399999999994</v>
      </c>
      <c r="P245" s="7">
        <f t="shared" si="21"/>
        <v>0.85136945519499851</v>
      </c>
      <c r="Q245" s="7">
        <f t="shared" si="22"/>
        <v>4478.666666666667</v>
      </c>
      <c r="R245">
        <f t="shared" si="23"/>
        <v>7.7183362245548013</v>
      </c>
    </row>
    <row r="246" spans="1:18" x14ac:dyDescent="0.25">
      <c r="A246" t="s">
        <v>158</v>
      </c>
      <c r="B246" t="s">
        <v>159</v>
      </c>
      <c r="C246" t="s">
        <v>5</v>
      </c>
      <c r="D246">
        <v>90603</v>
      </c>
      <c r="E246" s="1">
        <v>44469</v>
      </c>
      <c r="F246" s="2">
        <f t="shared" si="18"/>
        <v>2021</v>
      </c>
      <c r="G246">
        <v>26</v>
      </c>
      <c r="H246" s="3">
        <v>170482</v>
      </c>
      <c r="I246">
        <v>126895</v>
      </c>
      <c r="J246">
        <v>170482</v>
      </c>
      <c r="K246">
        <v>150787</v>
      </c>
      <c r="L246">
        <v>149767</v>
      </c>
      <c r="M246" t="str">
        <f t="shared" si="19"/>
        <v>Medium</v>
      </c>
      <c r="N246">
        <f>VLOOKUP(C246,Lookup!$A$2:$D$5,MATCH(M246,Lookup!$A$1:$D$1,0),FALSE)</f>
        <v>0.09</v>
      </c>
      <c r="O246">
        <f t="shared" si="20"/>
        <v>13479.029999999999</v>
      </c>
      <c r="P246" s="7">
        <f t="shared" si="21"/>
        <v>0.88447460728991922</v>
      </c>
      <c r="Q246" s="7">
        <f t="shared" si="22"/>
        <v>6557</v>
      </c>
      <c r="R246">
        <f t="shared" si="23"/>
        <v>9.4142531027826202</v>
      </c>
    </row>
    <row r="247" spans="1:18" x14ac:dyDescent="0.25">
      <c r="A247" t="s">
        <v>160</v>
      </c>
      <c r="B247" t="s">
        <v>161</v>
      </c>
      <c r="C247" t="s">
        <v>8</v>
      </c>
      <c r="D247">
        <v>61572</v>
      </c>
      <c r="E247" s="1">
        <v>43738</v>
      </c>
      <c r="F247" s="2">
        <f t="shared" si="18"/>
        <v>2019</v>
      </c>
      <c r="G247">
        <v>15</v>
      </c>
      <c r="H247" s="3">
        <v>70725</v>
      </c>
      <c r="I247">
        <v>2220</v>
      </c>
      <c r="J247">
        <v>70725</v>
      </c>
      <c r="K247">
        <v>64243</v>
      </c>
      <c r="L247">
        <v>60417</v>
      </c>
      <c r="M247" t="str">
        <f t="shared" si="19"/>
        <v>Small</v>
      </c>
      <c r="N247">
        <f>VLOOKUP(C247,Lookup!$A$2:$D$5,MATCH(M247,Lookup!$A$1:$D$1,0),FALSE)</f>
        <v>0.09</v>
      </c>
      <c r="O247">
        <f t="shared" si="20"/>
        <v>5437.53</v>
      </c>
      <c r="P247" s="7">
        <f t="shared" si="21"/>
        <v>0.9083492400141393</v>
      </c>
      <c r="Q247" s="7">
        <f t="shared" si="22"/>
        <v>4715</v>
      </c>
      <c r="R247">
        <f t="shared" si="23"/>
        <v>0.40827360952491298</v>
      </c>
    </row>
    <row r="248" spans="1:18" x14ac:dyDescent="0.25">
      <c r="A248" t="s">
        <v>160</v>
      </c>
      <c r="B248" t="s">
        <v>161</v>
      </c>
      <c r="C248" t="s">
        <v>8</v>
      </c>
      <c r="D248">
        <v>61572</v>
      </c>
      <c r="E248" s="1">
        <v>44104</v>
      </c>
      <c r="F248" s="2">
        <f t="shared" si="18"/>
        <v>2020</v>
      </c>
      <c r="G248">
        <v>15</v>
      </c>
      <c r="H248" s="3">
        <v>71131</v>
      </c>
      <c r="I248">
        <v>2762</v>
      </c>
      <c r="J248">
        <v>71131</v>
      </c>
      <c r="K248">
        <v>64531</v>
      </c>
      <c r="L248">
        <v>62781</v>
      </c>
      <c r="M248" t="str">
        <f t="shared" si="19"/>
        <v>Small</v>
      </c>
      <c r="N248">
        <f>VLOOKUP(C248,Lookup!$A$2:$D$5,MATCH(M248,Lookup!$A$1:$D$1,0),FALSE)</f>
        <v>0.09</v>
      </c>
      <c r="O248">
        <f t="shared" si="20"/>
        <v>5650.29</v>
      </c>
      <c r="P248" s="7">
        <f t="shared" si="21"/>
        <v>0.9072134512378569</v>
      </c>
      <c r="Q248" s="7">
        <f t="shared" si="22"/>
        <v>4742.0666666666666</v>
      </c>
      <c r="R248">
        <f t="shared" si="23"/>
        <v>0.48882446741671665</v>
      </c>
    </row>
    <row r="249" spans="1:18" x14ac:dyDescent="0.25">
      <c r="A249" t="s">
        <v>160</v>
      </c>
      <c r="B249" t="s">
        <v>161</v>
      </c>
      <c r="C249" t="s">
        <v>8</v>
      </c>
      <c r="D249">
        <v>61572</v>
      </c>
      <c r="E249" s="1">
        <v>44469</v>
      </c>
      <c r="F249" s="2">
        <f t="shared" si="18"/>
        <v>2021</v>
      </c>
      <c r="G249">
        <v>15</v>
      </c>
      <c r="H249" s="3">
        <v>74844</v>
      </c>
      <c r="I249">
        <v>1739</v>
      </c>
      <c r="J249">
        <v>74844</v>
      </c>
      <c r="K249">
        <v>67691</v>
      </c>
      <c r="L249">
        <v>66640</v>
      </c>
      <c r="M249" t="str">
        <f t="shared" si="19"/>
        <v>Small</v>
      </c>
      <c r="N249">
        <f>VLOOKUP(C249,Lookup!$A$2:$D$5,MATCH(M249,Lookup!$A$1:$D$1,0),FALSE)</f>
        <v>0.09</v>
      </c>
      <c r="O249">
        <f t="shared" si="20"/>
        <v>5997.5999999999995</v>
      </c>
      <c r="P249" s="7">
        <f t="shared" si="21"/>
        <v>0.90442787665009883</v>
      </c>
      <c r="Q249" s="7">
        <f t="shared" si="22"/>
        <v>4989.6000000000004</v>
      </c>
      <c r="R249">
        <f t="shared" si="23"/>
        <v>0.28994931305855676</v>
      </c>
    </row>
    <row r="250" spans="1:18" x14ac:dyDescent="0.25">
      <c r="A250" t="s">
        <v>162</v>
      </c>
      <c r="B250" t="s">
        <v>163</v>
      </c>
      <c r="C250" t="s">
        <v>8</v>
      </c>
      <c r="D250">
        <v>61820</v>
      </c>
      <c r="E250" s="1">
        <v>43738</v>
      </c>
      <c r="F250" s="2">
        <f t="shared" si="18"/>
        <v>2019</v>
      </c>
      <c r="G250">
        <v>40</v>
      </c>
      <c r="H250" s="3">
        <v>224718</v>
      </c>
      <c r="I250">
        <v>12021</v>
      </c>
      <c r="J250">
        <v>224718</v>
      </c>
      <c r="K250">
        <v>201771</v>
      </c>
      <c r="L250">
        <v>189215</v>
      </c>
      <c r="M250" t="str">
        <f t="shared" si="19"/>
        <v>Medium</v>
      </c>
      <c r="N250">
        <f>VLOOKUP(C250,Lookup!$A$2:$D$5,MATCH(M250,Lookup!$A$1:$D$1,0),FALSE)</f>
        <v>0.08</v>
      </c>
      <c r="O250">
        <f t="shared" si="20"/>
        <v>15137.2</v>
      </c>
      <c r="P250" s="7">
        <f t="shared" si="21"/>
        <v>0.8978853496382132</v>
      </c>
      <c r="Q250" s="7">
        <f t="shared" si="22"/>
        <v>5617.95</v>
      </c>
      <c r="R250">
        <f t="shared" si="23"/>
        <v>0.79413629997621749</v>
      </c>
    </row>
    <row r="251" spans="1:18" x14ac:dyDescent="0.25">
      <c r="A251" t="s">
        <v>162</v>
      </c>
      <c r="B251" t="s">
        <v>163</v>
      </c>
      <c r="C251" t="s">
        <v>8</v>
      </c>
      <c r="D251">
        <v>61820</v>
      </c>
      <c r="E251" s="1">
        <v>44104</v>
      </c>
      <c r="F251" s="2">
        <f t="shared" si="18"/>
        <v>2020</v>
      </c>
      <c r="G251">
        <v>37</v>
      </c>
      <c r="H251" s="3">
        <v>260213</v>
      </c>
      <c r="I251">
        <v>38317</v>
      </c>
      <c r="J251">
        <v>260213</v>
      </c>
      <c r="K251">
        <v>235710</v>
      </c>
      <c r="L251">
        <v>214389</v>
      </c>
      <c r="M251" t="str">
        <f t="shared" si="19"/>
        <v>Medium</v>
      </c>
      <c r="N251">
        <f>VLOOKUP(C251,Lookup!$A$2:$D$5,MATCH(M251,Lookup!$A$1:$D$1,0),FALSE)</f>
        <v>0.08</v>
      </c>
      <c r="O251">
        <f t="shared" si="20"/>
        <v>17151.12</v>
      </c>
      <c r="P251" s="7">
        <f t="shared" si="21"/>
        <v>0.90583483530799769</v>
      </c>
      <c r="Q251" s="7">
        <f t="shared" si="22"/>
        <v>7032.7837837837842</v>
      </c>
      <c r="R251">
        <f t="shared" si="23"/>
        <v>2.2340815060474184</v>
      </c>
    </row>
    <row r="252" spans="1:18" x14ac:dyDescent="0.25">
      <c r="A252" t="s">
        <v>162</v>
      </c>
      <c r="B252" t="s">
        <v>163</v>
      </c>
      <c r="C252" t="s">
        <v>8</v>
      </c>
      <c r="D252">
        <v>61820</v>
      </c>
      <c r="E252" s="1">
        <v>44469</v>
      </c>
      <c r="F252" s="2">
        <f t="shared" si="18"/>
        <v>2021</v>
      </c>
      <c r="G252">
        <v>37</v>
      </c>
      <c r="H252" s="3">
        <v>254141</v>
      </c>
      <c r="I252">
        <v>43133</v>
      </c>
      <c r="J252">
        <v>254141</v>
      </c>
      <c r="K252">
        <v>228960</v>
      </c>
      <c r="L252">
        <v>210659</v>
      </c>
      <c r="M252" t="str">
        <f t="shared" si="19"/>
        <v>Medium</v>
      </c>
      <c r="N252">
        <f>VLOOKUP(C252,Lookup!$A$2:$D$5,MATCH(M252,Lookup!$A$1:$D$1,0),FALSE)</f>
        <v>0.08</v>
      </c>
      <c r="O252">
        <f t="shared" si="20"/>
        <v>16852.72</v>
      </c>
      <c r="P252" s="7">
        <f t="shared" si="21"/>
        <v>0.9009172073770072</v>
      </c>
      <c r="Q252" s="7">
        <f t="shared" si="22"/>
        <v>6868.6756756756758</v>
      </c>
      <c r="R252">
        <f t="shared" si="23"/>
        <v>2.5594088075990107</v>
      </c>
    </row>
    <row r="253" spans="1:18" x14ac:dyDescent="0.25">
      <c r="A253" t="s">
        <v>164</v>
      </c>
      <c r="B253" t="s">
        <v>165</v>
      </c>
      <c r="C253" t="s">
        <v>8</v>
      </c>
      <c r="D253">
        <v>60461</v>
      </c>
      <c r="E253" s="1">
        <v>43738</v>
      </c>
      <c r="F253" s="2">
        <f t="shared" si="18"/>
        <v>2019</v>
      </c>
      <c r="G253">
        <v>223</v>
      </c>
      <c r="H253" s="3">
        <v>1489425</v>
      </c>
      <c r="I253">
        <v>193789</v>
      </c>
      <c r="J253">
        <v>1489425</v>
      </c>
      <c r="K253">
        <v>1324188</v>
      </c>
      <c r="L253">
        <v>1305268</v>
      </c>
      <c r="M253" t="str">
        <f t="shared" si="19"/>
        <v>Large</v>
      </c>
      <c r="N253">
        <f>VLOOKUP(C253,Lookup!$A$2:$D$5,MATCH(M253,Lookup!$A$1:$D$1,0),FALSE)</f>
        <v>7.4999999999999997E-2</v>
      </c>
      <c r="O253">
        <f t="shared" si="20"/>
        <v>97895.099999999991</v>
      </c>
      <c r="P253" s="7">
        <f t="shared" si="21"/>
        <v>0.88905987209829296</v>
      </c>
      <c r="Q253" s="7">
        <f t="shared" si="22"/>
        <v>6679.0358744394616</v>
      </c>
      <c r="R253">
        <f t="shared" si="23"/>
        <v>1.9795577102429029</v>
      </c>
    </row>
    <row r="254" spans="1:18" x14ac:dyDescent="0.25">
      <c r="A254" t="s">
        <v>164</v>
      </c>
      <c r="B254" t="s">
        <v>165</v>
      </c>
      <c r="C254" t="s">
        <v>8</v>
      </c>
      <c r="D254">
        <v>60461</v>
      </c>
      <c r="E254" s="1">
        <v>44104</v>
      </c>
      <c r="F254" s="2">
        <f t="shared" si="18"/>
        <v>2020</v>
      </c>
      <c r="G254">
        <v>210</v>
      </c>
      <c r="H254" s="3">
        <v>1604329</v>
      </c>
      <c r="I254">
        <v>462389</v>
      </c>
      <c r="J254">
        <v>1604329</v>
      </c>
      <c r="K254">
        <v>1440854</v>
      </c>
      <c r="L254">
        <v>1420227</v>
      </c>
      <c r="M254" t="str">
        <f t="shared" si="19"/>
        <v>Large</v>
      </c>
      <c r="N254">
        <f>VLOOKUP(C254,Lookup!$A$2:$D$5,MATCH(M254,Lookup!$A$1:$D$1,0),FALSE)</f>
        <v>7.4999999999999997E-2</v>
      </c>
      <c r="O254">
        <f t="shared" si="20"/>
        <v>106517.02499999999</v>
      </c>
      <c r="P254" s="7">
        <f t="shared" si="21"/>
        <v>0.89810381785780846</v>
      </c>
      <c r="Q254" s="7">
        <f t="shared" si="22"/>
        <v>7639.6619047619051</v>
      </c>
      <c r="R254">
        <f t="shared" si="23"/>
        <v>4.3409868046915507</v>
      </c>
    </row>
    <row r="255" spans="1:18" x14ac:dyDescent="0.25">
      <c r="A255" t="s">
        <v>164</v>
      </c>
      <c r="B255" t="s">
        <v>165</v>
      </c>
      <c r="C255" t="s">
        <v>8</v>
      </c>
      <c r="D255">
        <v>60461</v>
      </c>
      <c r="E255" s="1">
        <v>44469</v>
      </c>
      <c r="F255" s="2">
        <f t="shared" si="18"/>
        <v>2021</v>
      </c>
      <c r="G255">
        <v>224</v>
      </c>
      <c r="H255" s="3">
        <v>1659315</v>
      </c>
      <c r="I255">
        <v>536056</v>
      </c>
      <c r="J255">
        <v>1659315</v>
      </c>
      <c r="K255">
        <v>1492510</v>
      </c>
      <c r="L255">
        <v>1471953</v>
      </c>
      <c r="M255" t="str">
        <f t="shared" si="19"/>
        <v>Large</v>
      </c>
      <c r="N255">
        <f>VLOOKUP(C255,Lookup!$A$2:$D$5,MATCH(M255,Lookup!$A$1:$D$1,0),FALSE)</f>
        <v>7.4999999999999997E-2</v>
      </c>
      <c r="O255">
        <f t="shared" si="20"/>
        <v>110396.47499999999</v>
      </c>
      <c r="P255" s="7">
        <f t="shared" si="21"/>
        <v>0.89947357795234784</v>
      </c>
      <c r="Q255" s="7">
        <f t="shared" si="22"/>
        <v>7407.65625</v>
      </c>
      <c r="R255">
        <f t="shared" si="23"/>
        <v>4.8557347505887307</v>
      </c>
    </row>
    <row r="256" spans="1:18" x14ac:dyDescent="0.25">
      <c r="A256" t="s">
        <v>166</v>
      </c>
      <c r="B256" t="s">
        <v>167</v>
      </c>
      <c r="C256" t="s">
        <v>20</v>
      </c>
      <c r="D256">
        <v>1930</v>
      </c>
      <c r="E256" s="1">
        <v>43738</v>
      </c>
      <c r="F256" s="2">
        <f t="shared" si="18"/>
        <v>2019</v>
      </c>
      <c r="G256">
        <v>49</v>
      </c>
      <c r="H256" s="3">
        <v>278540</v>
      </c>
      <c r="I256">
        <v>10743</v>
      </c>
      <c r="J256">
        <v>278540</v>
      </c>
      <c r="K256">
        <v>254913</v>
      </c>
      <c r="L256">
        <v>233255</v>
      </c>
      <c r="M256" t="str">
        <f t="shared" si="19"/>
        <v>Medium</v>
      </c>
      <c r="N256">
        <f>VLOOKUP(C256,Lookup!$A$2:$D$5,MATCH(M256,Lookup!$A$1:$D$1,0),FALSE)</f>
        <v>8.5000000000000006E-2</v>
      </c>
      <c r="O256">
        <f t="shared" si="20"/>
        <v>19826.675000000003</v>
      </c>
      <c r="P256" s="7">
        <f t="shared" si="21"/>
        <v>0.91517555826811225</v>
      </c>
      <c r="Q256" s="7">
        <f t="shared" si="22"/>
        <v>5684.4897959183672</v>
      </c>
      <c r="R256">
        <f t="shared" si="23"/>
        <v>0.54184577091216746</v>
      </c>
    </row>
    <row r="257" spans="1:18" x14ac:dyDescent="0.25">
      <c r="A257" t="s">
        <v>166</v>
      </c>
      <c r="B257" t="s">
        <v>167</v>
      </c>
      <c r="C257" t="s">
        <v>20</v>
      </c>
      <c r="D257">
        <v>1930</v>
      </c>
      <c r="E257" s="1">
        <v>44104</v>
      </c>
      <c r="F257" s="2">
        <f t="shared" si="18"/>
        <v>2020</v>
      </c>
      <c r="G257">
        <v>54</v>
      </c>
      <c r="H257" s="3">
        <v>329398</v>
      </c>
      <c r="I257">
        <v>41603</v>
      </c>
      <c r="J257">
        <v>329398</v>
      </c>
      <c r="K257">
        <v>304070</v>
      </c>
      <c r="L257">
        <v>289901</v>
      </c>
      <c r="M257" t="str">
        <f t="shared" si="19"/>
        <v>Medium</v>
      </c>
      <c r="N257">
        <f>VLOOKUP(C257,Lookup!$A$2:$D$5,MATCH(M257,Lookup!$A$1:$D$1,0),FALSE)</f>
        <v>8.5000000000000006E-2</v>
      </c>
      <c r="O257">
        <f t="shared" si="20"/>
        <v>24641.585000000003</v>
      </c>
      <c r="P257" s="7">
        <f t="shared" si="21"/>
        <v>0.92310821559329448</v>
      </c>
      <c r="Q257" s="7">
        <f t="shared" si="22"/>
        <v>6099.9629629629626</v>
      </c>
      <c r="R257">
        <f t="shared" si="23"/>
        <v>1.6883248378706157</v>
      </c>
    </row>
    <row r="258" spans="1:18" x14ac:dyDescent="0.25">
      <c r="A258" t="s">
        <v>166</v>
      </c>
      <c r="B258" t="s">
        <v>167</v>
      </c>
      <c r="C258" t="s">
        <v>20</v>
      </c>
      <c r="D258">
        <v>1930</v>
      </c>
      <c r="E258" s="1">
        <v>44469</v>
      </c>
      <c r="F258" s="2">
        <f t="shared" ref="F258:F321" si="24">YEAR(E258)</f>
        <v>2021</v>
      </c>
      <c r="G258">
        <v>55</v>
      </c>
      <c r="H258" s="3">
        <v>347283</v>
      </c>
      <c r="I258">
        <v>58721</v>
      </c>
      <c r="J258">
        <v>347283</v>
      </c>
      <c r="K258">
        <v>320350</v>
      </c>
      <c r="L258">
        <v>310704</v>
      </c>
      <c r="M258" t="str">
        <f t="shared" ref="M258:M321" si="25">IF(H258&gt;1000000,"Large",IF(H258&lt;100000,"Small","Medium"))</f>
        <v>Medium</v>
      </c>
      <c r="N258">
        <f>VLOOKUP(C258,Lookup!$A$2:$D$5,MATCH(M258,Lookup!$A$1:$D$1,0),FALSE)</f>
        <v>8.5000000000000006E-2</v>
      </c>
      <c r="O258">
        <f t="shared" ref="O258:O321" si="26">L258*N258</f>
        <v>26409.84</v>
      </c>
      <c r="P258" s="7">
        <f t="shared" ref="P258:P321" si="27">K258/H258</f>
        <v>0.92244653495852091</v>
      </c>
      <c r="Q258" s="7">
        <f t="shared" ref="Q258:Q321" si="28">H258/G258</f>
        <v>6314.2363636363634</v>
      </c>
      <c r="R258">
        <f t="shared" ref="R258:R321" si="29">I258/O258</f>
        <v>2.22345156199356</v>
      </c>
    </row>
    <row r="259" spans="1:18" x14ac:dyDescent="0.25">
      <c r="A259" t="s">
        <v>168</v>
      </c>
      <c r="B259" t="s">
        <v>169</v>
      </c>
      <c r="C259" t="s">
        <v>8</v>
      </c>
      <c r="D259">
        <v>61273</v>
      </c>
      <c r="E259" s="1">
        <v>43738</v>
      </c>
      <c r="F259" s="2">
        <f t="shared" si="24"/>
        <v>2019</v>
      </c>
      <c r="G259">
        <v>88</v>
      </c>
      <c r="H259" s="3">
        <v>477706</v>
      </c>
      <c r="I259">
        <v>42045</v>
      </c>
      <c r="J259">
        <v>477706</v>
      </c>
      <c r="K259">
        <v>419059</v>
      </c>
      <c r="L259">
        <v>393127</v>
      </c>
      <c r="M259" t="str">
        <f t="shared" si="25"/>
        <v>Medium</v>
      </c>
      <c r="N259">
        <f>VLOOKUP(C259,Lookup!$A$2:$D$5,MATCH(M259,Lookup!$A$1:$D$1,0),FALSE)</f>
        <v>0.08</v>
      </c>
      <c r="O259">
        <f t="shared" si="26"/>
        <v>31450.16</v>
      </c>
      <c r="P259" s="7">
        <f t="shared" si="27"/>
        <v>0.87723202136879164</v>
      </c>
      <c r="Q259" s="7">
        <f t="shared" si="28"/>
        <v>5428.477272727273</v>
      </c>
      <c r="R259">
        <f t="shared" si="29"/>
        <v>1.336877141483541</v>
      </c>
    </row>
    <row r="260" spans="1:18" x14ac:dyDescent="0.25">
      <c r="A260" t="s">
        <v>168</v>
      </c>
      <c r="B260" t="s">
        <v>169</v>
      </c>
      <c r="C260" t="s">
        <v>8</v>
      </c>
      <c r="D260">
        <v>61273</v>
      </c>
      <c r="E260" s="1">
        <v>44104</v>
      </c>
      <c r="F260" s="2">
        <f t="shared" si="24"/>
        <v>2020</v>
      </c>
      <c r="G260">
        <v>89</v>
      </c>
      <c r="H260" s="3">
        <v>572617</v>
      </c>
      <c r="I260">
        <v>72768</v>
      </c>
      <c r="J260">
        <v>572617</v>
      </c>
      <c r="K260">
        <v>508159</v>
      </c>
      <c r="L260">
        <v>468368</v>
      </c>
      <c r="M260" t="str">
        <f t="shared" si="25"/>
        <v>Medium</v>
      </c>
      <c r="N260">
        <f>VLOOKUP(C260,Lookup!$A$2:$D$5,MATCH(M260,Lookup!$A$1:$D$1,0),FALSE)</f>
        <v>0.08</v>
      </c>
      <c r="O260">
        <f t="shared" si="26"/>
        <v>37469.440000000002</v>
      </c>
      <c r="P260" s="7">
        <f t="shared" si="27"/>
        <v>0.88743261202514068</v>
      </c>
      <c r="Q260" s="7">
        <f t="shared" si="28"/>
        <v>6433.8988764044943</v>
      </c>
      <c r="R260">
        <f t="shared" si="29"/>
        <v>1.9420626515902024</v>
      </c>
    </row>
    <row r="261" spans="1:18" x14ac:dyDescent="0.25">
      <c r="A261" t="s">
        <v>168</v>
      </c>
      <c r="B261" t="s">
        <v>169</v>
      </c>
      <c r="C261" t="s">
        <v>8</v>
      </c>
      <c r="D261">
        <v>61273</v>
      </c>
      <c r="E261" s="1">
        <v>44469</v>
      </c>
      <c r="F261" s="2">
        <f t="shared" si="24"/>
        <v>2021</v>
      </c>
      <c r="G261">
        <v>89</v>
      </c>
      <c r="H261" s="3">
        <v>604608</v>
      </c>
      <c r="I261">
        <v>29002</v>
      </c>
      <c r="J261">
        <v>604608</v>
      </c>
      <c r="K261">
        <v>540321</v>
      </c>
      <c r="L261">
        <v>509011</v>
      </c>
      <c r="M261" t="str">
        <f t="shared" si="25"/>
        <v>Medium</v>
      </c>
      <c r="N261">
        <f>VLOOKUP(C261,Lookup!$A$2:$D$5,MATCH(M261,Lookup!$A$1:$D$1,0),FALSE)</f>
        <v>0.08</v>
      </c>
      <c r="O261">
        <f t="shared" si="26"/>
        <v>40720.879999999997</v>
      </c>
      <c r="P261" s="7">
        <f t="shared" si="27"/>
        <v>0.89367160209590346</v>
      </c>
      <c r="Q261" s="7">
        <f t="shared" si="28"/>
        <v>6793.348314606742</v>
      </c>
      <c r="R261">
        <f t="shared" si="29"/>
        <v>0.7122144708071142</v>
      </c>
    </row>
    <row r="262" spans="1:18" x14ac:dyDescent="0.25">
      <c r="A262" t="s">
        <v>170</v>
      </c>
      <c r="B262" t="s">
        <v>171</v>
      </c>
      <c r="C262" t="s">
        <v>8</v>
      </c>
      <c r="D262">
        <v>62959</v>
      </c>
      <c r="E262" s="1">
        <v>43738</v>
      </c>
      <c r="F262" s="2">
        <f t="shared" si="24"/>
        <v>2019</v>
      </c>
      <c r="G262">
        <v>383</v>
      </c>
      <c r="H262" s="3">
        <v>1865514</v>
      </c>
      <c r="I262">
        <v>37548</v>
      </c>
      <c r="J262">
        <v>1865514</v>
      </c>
      <c r="K262">
        <v>1691693</v>
      </c>
      <c r="L262">
        <v>1588828</v>
      </c>
      <c r="M262" t="str">
        <f t="shared" si="25"/>
        <v>Large</v>
      </c>
      <c r="N262">
        <f>VLOOKUP(C262,Lookup!$A$2:$D$5,MATCH(M262,Lookup!$A$1:$D$1,0),FALSE)</f>
        <v>7.4999999999999997E-2</v>
      </c>
      <c r="O262">
        <f t="shared" si="26"/>
        <v>119162.09999999999</v>
      </c>
      <c r="P262" s="7">
        <f t="shared" si="27"/>
        <v>0.90682407100670381</v>
      </c>
      <c r="Q262" s="7">
        <f t="shared" si="28"/>
        <v>4870.7937336814621</v>
      </c>
      <c r="R262">
        <f t="shared" si="29"/>
        <v>0.31510018705611936</v>
      </c>
    </row>
    <row r="263" spans="1:18" x14ac:dyDescent="0.25">
      <c r="A263" t="s">
        <v>170</v>
      </c>
      <c r="B263" t="s">
        <v>171</v>
      </c>
      <c r="C263" t="s">
        <v>8</v>
      </c>
      <c r="D263">
        <v>62959</v>
      </c>
      <c r="E263" s="1">
        <v>44104</v>
      </c>
      <c r="F263" s="2">
        <f t="shared" si="24"/>
        <v>2020</v>
      </c>
      <c r="G263">
        <v>393</v>
      </c>
      <c r="H263" s="3">
        <v>2234733</v>
      </c>
      <c r="I263">
        <v>48862</v>
      </c>
      <c r="J263">
        <v>2234733</v>
      </c>
      <c r="K263">
        <v>2026808</v>
      </c>
      <c r="L263">
        <v>1937631</v>
      </c>
      <c r="M263" t="str">
        <f t="shared" si="25"/>
        <v>Large</v>
      </c>
      <c r="N263">
        <f>VLOOKUP(C263,Lookup!$A$2:$D$5,MATCH(M263,Lookup!$A$1:$D$1,0),FALSE)</f>
        <v>7.4999999999999997E-2</v>
      </c>
      <c r="O263">
        <f t="shared" si="26"/>
        <v>145322.32499999998</v>
      </c>
      <c r="P263" s="7">
        <f t="shared" si="27"/>
        <v>0.90695756495294966</v>
      </c>
      <c r="Q263" s="7">
        <f t="shared" si="28"/>
        <v>5686.3435114503818</v>
      </c>
      <c r="R263">
        <f t="shared" si="29"/>
        <v>0.3362318900416712</v>
      </c>
    </row>
    <row r="264" spans="1:18" x14ac:dyDescent="0.25">
      <c r="A264" t="s">
        <v>170</v>
      </c>
      <c r="B264" t="s">
        <v>171</v>
      </c>
      <c r="C264" t="s">
        <v>8</v>
      </c>
      <c r="D264">
        <v>62959</v>
      </c>
      <c r="E264" s="1">
        <v>44469</v>
      </c>
      <c r="F264" s="2">
        <f t="shared" si="24"/>
        <v>2021</v>
      </c>
      <c r="G264">
        <v>409</v>
      </c>
      <c r="H264" s="3">
        <v>2436872</v>
      </c>
      <c r="I264">
        <v>46699</v>
      </c>
      <c r="J264">
        <v>2436872</v>
      </c>
      <c r="K264">
        <v>2208462</v>
      </c>
      <c r="L264">
        <v>2176186</v>
      </c>
      <c r="M264" t="str">
        <f t="shared" si="25"/>
        <v>Large</v>
      </c>
      <c r="N264">
        <f>VLOOKUP(C264,Lookup!$A$2:$D$5,MATCH(M264,Lookup!$A$1:$D$1,0),FALSE)</f>
        <v>7.4999999999999997E-2</v>
      </c>
      <c r="O264">
        <f t="shared" si="26"/>
        <v>163213.94999999998</v>
      </c>
      <c r="P264" s="7">
        <f t="shared" si="27"/>
        <v>0.9062691844298757</v>
      </c>
      <c r="Q264" s="7">
        <f t="shared" si="28"/>
        <v>5958.1222493887526</v>
      </c>
      <c r="R264">
        <f t="shared" si="29"/>
        <v>0.28612137626716344</v>
      </c>
    </row>
    <row r="265" spans="1:18" x14ac:dyDescent="0.25">
      <c r="A265" t="s">
        <v>172</v>
      </c>
      <c r="B265" t="s">
        <v>173</v>
      </c>
      <c r="C265" t="s">
        <v>8</v>
      </c>
      <c r="D265">
        <v>60010</v>
      </c>
      <c r="E265" s="1">
        <v>43738</v>
      </c>
      <c r="F265" s="2">
        <f t="shared" si="24"/>
        <v>2019</v>
      </c>
      <c r="G265">
        <v>1026</v>
      </c>
      <c r="H265" s="3">
        <v>2604075</v>
      </c>
      <c r="I265">
        <v>133798</v>
      </c>
      <c r="J265">
        <v>2604075</v>
      </c>
      <c r="K265">
        <v>2247903</v>
      </c>
      <c r="L265">
        <v>2003090</v>
      </c>
      <c r="M265" t="str">
        <f t="shared" si="25"/>
        <v>Large</v>
      </c>
      <c r="N265">
        <f>VLOOKUP(C265,Lookup!$A$2:$D$5,MATCH(M265,Lookup!$A$1:$D$1,0),FALSE)</f>
        <v>7.4999999999999997E-2</v>
      </c>
      <c r="O265">
        <f t="shared" si="26"/>
        <v>150231.75</v>
      </c>
      <c r="P265" s="7">
        <f t="shared" si="27"/>
        <v>0.86322513752484087</v>
      </c>
      <c r="Q265" s="7">
        <f t="shared" si="28"/>
        <v>2538.0847953216376</v>
      </c>
      <c r="R265">
        <f t="shared" si="29"/>
        <v>0.8906106731766088</v>
      </c>
    </row>
    <row r="266" spans="1:18" x14ac:dyDescent="0.25">
      <c r="A266" t="s">
        <v>172</v>
      </c>
      <c r="B266" t="s">
        <v>173</v>
      </c>
      <c r="C266" t="s">
        <v>8</v>
      </c>
      <c r="D266">
        <v>60010</v>
      </c>
      <c r="E266" s="1">
        <v>44104</v>
      </c>
      <c r="F266" s="2">
        <f t="shared" si="24"/>
        <v>2020</v>
      </c>
      <c r="G266">
        <v>1181</v>
      </c>
      <c r="H266" s="3">
        <v>3505954</v>
      </c>
      <c r="I266">
        <v>90751</v>
      </c>
      <c r="J266">
        <v>3505954</v>
      </c>
      <c r="K266">
        <v>3090199</v>
      </c>
      <c r="L266">
        <v>2563687</v>
      </c>
      <c r="M266" t="str">
        <f t="shared" si="25"/>
        <v>Large</v>
      </c>
      <c r="N266">
        <f>VLOOKUP(C266,Lookup!$A$2:$D$5,MATCH(M266,Lookup!$A$1:$D$1,0),FALSE)</f>
        <v>7.4999999999999997E-2</v>
      </c>
      <c r="O266">
        <f t="shared" si="26"/>
        <v>192276.52499999999</v>
      </c>
      <c r="P266" s="7">
        <f t="shared" si="27"/>
        <v>0.88141458786966398</v>
      </c>
      <c r="Q266" s="7">
        <f t="shared" si="28"/>
        <v>2968.6316680779</v>
      </c>
      <c r="R266">
        <f t="shared" si="29"/>
        <v>0.47198169407315843</v>
      </c>
    </row>
    <row r="267" spans="1:18" x14ac:dyDescent="0.25">
      <c r="A267" t="s">
        <v>172</v>
      </c>
      <c r="B267" t="s">
        <v>173</v>
      </c>
      <c r="C267" t="s">
        <v>8</v>
      </c>
      <c r="D267">
        <v>60010</v>
      </c>
      <c r="E267" s="1">
        <v>44469</v>
      </c>
      <c r="F267" s="2">
        <f t="shared" si="24"/>
        <v>2021</v>
      </c>
      <c r="G267">
        <v>1217</v>
      </c>
      <c r="H267" s="3">
        <v>3382070</v>
      </c>
      <c r="I267">
        <v>69547</v>
      </c>
      <c r="J267">
        <v>3382070</v>
      </c>
      <c r="K267">
        <v>2980947</v>
      </c>
      <c r="L267">
        <v>2789937</v>
      </c>
      <c r="M267" t="str">
        <f t="shared" si="25"/>
        <v>Large</v>
      </c>
      <c r="N267">
        <f>VLOOKUP(C267,Lookup!$A$2:$D$5,MATCH(M267,Lookup!$A$1:$D$1,0),FALSE)</f>
        <v>7.4999999999999997E-2</v>
      </c>
      <c r="O267">
        <f t="shared" si="26"/>
        <v>209245.27499999999</v>
      </c>
      <c r="P267" s="7">
        <f t="shared" si="27"/>
        <v>0.8813971916607285</v>
      </c>
      <c r="Q267" s="7">
        <f t="shared" si="28"/>
        <v>2779.0221857025472</v>
      </c>
      <c r="R267">
        <f t="shared" si="29"/>
        <v>0.33237070705658706</v>
      </c>
    </row>
    <row r="268" spans="1:18" x14ac:dyDescent="0.25">
      <c r="A268" t="s">
        <v>174</v>
      </c>
      <c r="B268" t="s">
        <v>175</v>
      </c>
      <c r="C268" t="s">
        <v>20</v>
      </c>
      <c r="D268">
        <v>1608</v>
      </c>
      <c r="E268" s="1">
        <v>43738</v>
      </c>
      <c r="F268" s="2">
        <f t="shared" si="24"/>
        <v>2019</v>
      </c>
      <c r="G268">
        <v>68</v>
      </c>
      <c r="H268" s="3">
        <v>424955</v>
      </c>
      <c r="I268">
        <v>11659</v>
      </c>
      <c r="J268">
        <v>424955</v>
      </c>
      <c r="K268">
        <v>385596</v>
      </c>
      <c r="L268">
        <v>356755</v>
      </c>
      <c r="M268" t="str">
        <f t="shared" si="25"/>
        <v>Medium</v>
      </c>
      <c r="N268">
        <f>VLOOKUP(C268,Lookup!$A$2:$D$5,MATCH(M268,Lookup!$A$1:$D$1,0),FALSE)</f>
        <v>8.5000000000000006E-2</v>
      </c>
      <c r="O268">
        <f t="shared" si="26"/>
        <v>30324.175000000003</v>
      </c>
      <c r="P268" s="7">
        <f t="shared" si="27"/>
        <v>0.90738078149451118</v>
      </c>
      <c r="Q268" s="7">
        <f t="shared" si="28"/>
        <v>6249.338235294118</v>
      </c>
      <c r="R268">
        <f t="shared" si="29"/>
        <v>0.38447872036090014</v>
      </c>
    </row>
    <row r="269" spans="1:18" x14ac:dyDescent="0.25">
      <c r="A269" t="s">
        <v>174</v>
      </c>
      <c r="B269" t="s">
        <v>175</v>
      </c>
      <c r="C269" t="s">
        <v>20</v>
      </c>
      <c r="D269">
        <v>1608</v>
      </c>
      <c r="E269" s="1">
        <v>44104</v>
      </c>
      <c r="F269" s="2">
        <f t="shared" si="24"/>
        <v>2020</v>
      </c>
      <c r="G269">
        <v>72</v>
      </c>
      <c r="H269" s="3">
        <v>465209</v>
      </c>
      <c r="I269">
        <v>13330</v>
      </c>
      <c r="J269">
        <v>465209</v>
      </c>
      <c r="K269">
        <v>423806</v>
      </c>
      <c r="L269">
        <v>400128</v>
      </c>
      <c r="M269" t="str">
        <f t="shared" si="25"/>
        <v>Medium</v>
      </c>
      <c r="N269">
        <f>VLOOKUP(C269,Lookup!$A$2:$D$5,MATCH(M269,Lookup!$A$1:$D$1,0),FALSE)</f>
        <v>8.5000000000000006E-2</v>
      </c>
      <c r="O269">
        <f t="shared" si="26"/>
        <v>34010.880000000005</v>
      </c>
      <c r="P269" s="7">
        <f t="shared" si="27"/>
        <v>0.91100129189246126</v>
      </c>
      <c r="Q269" s="7">
        <f t="shared" si="28"/>
        <v>6461.2361111111113</v>
      </c>
      <c r="R269">
        <f t="shared" si="29"/>
        <v>0.39193340483986294</v>
      </c>
    </row>
    <row r="270" spans="1:18" x14ac:dyDescent="0.25">
      <c r="A270" t="s">
        <v>174</v>
      </c>
      <c r="B270" t="s">
        <v>175</v>
      </c>
      <c r="C270" t="s">
        <v>20</v>
      </c>
      <c r="D270">
        <v>1608</v>
      </c>
      <c r="E270" s="1">
        <v>44469</v>
      </c>
      <c r="F270" s="2">
        <f t="shared" si="24"/>
        <v>2021</v>
      </c>
      <c r="G270">
        <v>71</v>
      </c>
      <c r="H270" s="3">
        <v>488109</v>
      </c>
      <c r="I270">
        <v>72321</v>
      </c>
      <c r="J270">
        <v>488109</v>
      </c>
      <c r="K270">
        <v>443491</v>
      </c>
      <c r="L270">
        <v>426730</v>
      </c>
      <c r="M270" t="str">
        <f t="shared" si="25"/>
        <v>Medium</v>
      </c>
      <c r="N270">
        <f>VLOOKUP(C270,Lookup!$A$2:$D$5,MATCH(M270,Lookup!$A$1:$D$1,0),FALSE)</f>
        <v>8.5000000000000006E-2</v>
      </c>
      <c r="O270">
        <f t="shared" si="26"/>
        <v>36272.050000000003</v>
      </c>
      <c r="P270" s="7">
        <f t="shared" si="27"/>
        <v>0.9085900895086958</v>
      </c>
      <c r="Q270" s="7">
        <f t="shared" si="28"/>
        <v>6874.7746478873241</v>
      </c>
      <c r="R270">
        <f t="shared" si="29"/>
        <v>1.9938492585889134</v>
      </c>
    </row>
    <row r="271" spans="1:18" x14ac:dyDescent="0.25">
      <c r="A271" t="s">
        <v>176</v>
      </c>
      <c r="B271" t="s">
        <v>177</v>
      </c>
      <c r="C271" t="s">
        <v>20</v>
      </c>
      <c r="D271">
        <v>2777</v>
      </c>
      <c r="E271" s="1">
        <v>43738</v>
      </c>
      <c r="F271" s="2">
        <f t="shared" si="24"/>
        <v>2019</v>
      </c>
      <c r="G271">
        <v>424</v>
      </c>
      <c r="H271" s="3">
        <v>1858809</v>
      </c>
      <c r="I271">
        <v>65515</v>
      </c>
      <c r="J271">
        <v>1858809</v>
      </c>
      <c r="K271">
        <v>1693995</v>
      </c>
      <c r="L271">
        <v>1516947</v>
      </c>
      <c r="M271" t="str">
        <f t="shared" si="25"/>
        <v>Large</v>
      </c>
      <c r="N271">
        <f>VLOOKUP(C271,Lookup!$A$2:$D$5,MATCH(M271,Lookup!$A$1:$D$1,0),FALSE)</f>
        <v>0.08</v>
      </c>
      <c r="O271">
        <f t="shared" si="26"/>
        <v>121355.76000000001</v>
      </c>
      <c r="P271" s="7">
        <f t="shared" si="27"/>
        <v>0.91133354744893103</v>
      </c>
      <c r="Q271" s="7">
        <f t="shared" si="28"/>
        <v>4383.9834905660373</v>
      </c>
      <c r="R271">
        <f t="shared" si="29"/>
        <v>0.53985900628037764</v>
      </c>
    </row>
    <row r="272" spans="1:18" x14ac:dyDescent="0.25">
      <c r="A272" t="s">
        <v>176</v>
      </c>
      <c r="B272" t="s">
        <v>177</v>
      </c>
      <c r="C272" t="s">
        <v>20</v>
      </c>
      <c r="D272">
        <v>2777</v>
      </c>
      <c r="E272" s="1">
        <v>44104</v>
      </c>
      <c r="F272" s="2">
        <f t="shared" si="24"/>
        <v>2020</v>
      </c>
      <c r="G272">
        <v>479</v>
      </c>
      <c r="H272" s="3">
        <v>2168622</v>
      </c>
      <c r="I272">
        <v>28459</v>
      </c>
      <c r="J272">
        <v>2168622</v>
      </c>
      <c r="K272">
        <v>1991545</v>
      </c>
      <c r="L272">
        <v>1739564</v>
      </c>
      <c r="M272" t="str">
        <f t="shared" si="25"/>
        <v>Large</v>
      </c>
      <c r="N272">
        <f>VLOOKUP(C272,Lookup!$A$2:$D$5,MATCH(M272,Lookup!$A$1:$D$1,0),FALSE)</f>
        <v>0.08</v>
      </c>
      <c r="O272">
        <f t="shared" si="26"/>
        <v>139165.12</v>
      </c>
      <c r="P272" s="7">
        <f t="shared" si="27"/>
        <v>0.91834584358177684</v>
      </c>
      <c r="Q272" s="7">
        <f t="shared" si="28"/>
        <v>4527.3945720250522</v>
      </c>
      <c r="R272">
        <f t="shared" si="29"/>
        <v>0.2044980811283747</v>
      </c>
    </row>
    <row r="273" spans="1:18" x14ac:dyDescent="0.25">
      <c r="A273" t="s">
        <v>176</v>
      </c>
      <c r="B273" t="s">
        <v>177</v>
      </c>
      <c r="C273" t="s">
        <v>20</v>
      </c>
      <c r="D273">
        <v>2777</v>
      </c>
      <c r="E273" s="1">
        <v>44469</v>
      </c>
      <c r="F273" s="2">
        <f t="shared" si="24"/>
        <v>2021</v>
      </c>
      <c r="G273">
        <v>533</v>
      </c>
      <c r="H273" s="3">
        <v>2249593</v>
      </c>
      <c r="I273">
        <v>57911</v>
      </c>
      <c r="J273">
        <v>2249593</v>
      </c>
      <c r="K273">
        <v>2051172</v>
      </c>
      <c r="L273">
        <v>1978652</v>
      </c>
      <c r="M273" t="str">
        <f t="shared" si="25"/>
        <v>Large</v>
      </c>
      <c r="N273">
        <f>VLOOKUP(C273,Lookup!$A$2:$D$5,MATCH(M273,Lookup!$A$1:$D$1,0),FALSE)</f>
        <v>0.08</v>
      </c>
      <c r="O273">
        <f t="shared" si="26"/>
        <v>158292.16</v>
      </c>
      <c r="P273" s="7">
        <f t="shared" si="27"/>
        <v>0.91179693393427164</v>
      </c>
      <c r="Q273" s="7">
        <f t="shared" si="28"/>
        <v>4220.6247654784238</v>
      </c>
      <c r="R273">
        <f t="shared" si="29"/>
        <v>0.36584882030796723</v>
      </c>
    </row>
    <row r="274" spans="1:18" x14ac:dyDescent="0.25">
      <c r="A274" t="s">
        <v>178</v>
      </c>
      <c r="B274" t="s">
        <v>101</v>
      </c>
      <c r="C274" t="s">
        <v>5</v>
      </c>
      <c r="D274">
        <v>94108</v>
      </c>
      <c r="E274" s="1">
        <v>43738</v>
      </c>
      <c r="F274" s="2">
        <f t="shared" si="24"/>
        <v>2019</v>
      </c>
      <c r="G274">
        <v>31</v>
      </c>
      <c r="H274" s="3">
        <v>140620</v>
      </c>
      <c r="I274">
        <v>32616</v>
      </c>
      <c r="J274">
        <v>140620</v>
      </c>
      <c r="K274">
        <v>122071</v>
      </c>
      <c r="L274">
        <v>120647</v>
      </c>
      <c r="M274" t="str">
        <f t="shared" si="25"/>
        <v>Medium</v>
      </c>
      <c r="N274">
        <f>VLOOKUP(C274,Lookup!$A$2:$D$5,MATCH(M274,Lookup!$A$1:$D$1,0),FALSE)</f>
        <v>0.09</v>
      </c>
      <c r="O274">
        <f t="shared" si="26"/>
        <v>10858.23</v>
      </c>
      <c r="P274" s="7">
        <f t="shared" si="27"/>
        <v>0.86809130991324135</v>
      </c>
      <c r="Q274" s="7">
        <f t="shared" si="28"/>
        <v>4536.1290322580644</v>
      </c>
      <c r="R274">
        <f t="shared" si="29"/>
        <v>3.0038044874717151</v>
      </c>
    </row>
    <row r="275" spans="1:18" x14ac:dyDescent="0.25">
      <c r="A275" t="s">
        <v>178</v>
      </c>
      <c r="B275" t="s">
        <v>101</v>
      </c>
      <c r="C275" t="s">
        <v>5</v>
      </c>
      <c r="D275">
        <v>94108</v>
      </c>
      <c r="E275" s="1">
        <v>44104</v>
      </c>
      <c r="F275" s="2">
        <f t="shared" si="24"/>
        <v>2020</v>
      </c>
      <c r="G275">
        <v>26</v>
      </c>
      <c r="H275" s="3">
        <v>160317</v>
      </c>
      <c r="I275">
        <v>38993</v>
      </c>
      <c r="J275">
        <v>160317</v>
      </c>
      <c r="K275">
        <v>142866</v>
      </c>
      <c r="L275">
        <v>141803</v>
      </c>
      <c r="M275" t="str">
        <f t="shared" si="25"/>
        <v>Medium</v>
      </c>
      <c r="N275">
        <f>VLOOKUP(C275,Lookup!$A$2:$D$5,MATCH(M275,Lookup!$A$1:$D$1,0),FALSE)</f>
        <v>0.09</v>
      </c>
      <c r="O275">
        <f t="shared" si="26"/>
        <v>12762.27</v>
      </c>
      <c r="P275" s="7">
        <f t="shared" si="27"/>
        <v>0.89114691517431088</v>
      </c>
      <c r="Q275" s="7">
        <f t="shared" si="28"/>
        <v>6166.0384615384619</v>
      </c>
      <c r="R275">
        <f t="shared" si="29"/>
        <v>3.0553341999503223</v>
      </c>
    </row>
    <row r="276" spans="1:18" x14ac:dyDescent="0.25">
      <c r="A276" t="s">
        <v>178</v>
      </c>
      <c r="B276" t="s">
        <v>101</v>
      </c>
      <c r="C276" t="s">
        <v>5</v>
      </c>
      <c r="D276">
        <v>94108</v>
      </c>
      <c r="E276" s="1">
        <v>44469</v>
      </c>
      <c r="F276" s="2">
        <f t="shared" si="24"/>
        <v>2021</v>
      </c>
      <c r="G276">
        <v>23</v>
      </c>
      <c r="H276" s="3">
        <v>179511</v>
      </c>
      <c r="I276">
        <v>59438</v>
      </c>
      <c r="J276">
        <v>179511</v>
      </c>
      <c r="K276">
        <v>160214</v>
      </c>
      <c r="L276">
        <v>159430</v>
      </c>
      <c r="M276" t="str">
        <f t="shared" si="25"/>
        <v>Medium</v>
      </c>
      <c r="N276">
        <f>VLOOKUP(C276,Lookup!$A$2:$D$5,MATCH(M276,Lookup!$A$1:$D$1,0),FALSE)</f>
        <v>0.09</v>
      </c>
      <c r="O276">
        <f t="shared" si="26"/>
        <v>14348.699999999999</v>
      </c>
      <c r="P276" s="7">
        <f t="shared" si="27"/>
        <v>0.89250240932310554</v>
      </c>
      <c r="Q276" s="7">
        <f t="shared" si="28"/>
        <v>7804.826086956522</v>
      </c>
      <c r="R276">
        <f t="shared" si="29"/>
        <v>4.142396175263265</v>
      </c>
    </row>
    <row r="277" spans="1:18" x14ac:dyDescent="0.25">
      <c r="A277" t="s">
        <v>179</v>
      </c>
      <c r="B277" t="s">
        <v>180</v>
      </c>
      <c r="C277" t="s">
        <v>8</v>
      </c>
      <c r="D277">
        <v>62618</v>
      </c>
      <c r="E277" s="1">
        <v>43738</v>
      </c>
      <c r="F277" s="2">
        <f t="shared" si="24"/>
        <v>2019</v>
      </c>
      <c r="G277">
        <v>13</v>
      </c>
      <c r="H277" s="3">
        <v>52129</v>
      </c>
      <c r="I277">
        <v>2077</v>
      </c>
      <c r="J277">
        <v>52129</v>
      </c>
      <c r="K277">
        <v>45947</v>
      </c>
      <c r="L277">
        <v>39119</v>
      </c>
      <c r="M277" t="str">
        <f t="shared" si="25"/>
        <v>Small</v>
      </c>
      <c r="N277">
        <f>VLOOKUP(C277,Lookup!$A$2:$D$5,MATCH(M277,Lookup!$A$1:$D$1,0),FALSE)</f>
        <v>0.09</v>
      </c>
      <c r="O277">
        <f t="shared" si="26"/>
        <v>3520.71</v>
      </c>
      <c r="P277" s="7">
        <f t="shared" si="27"/>
        <v>0.88140958008018566</v>
      </c>
      <c r="Q277" s="7">
        <f t="shared" si="28"/>
        <v>4009.9230769230771</v>
      </c>
      <c r="R277">
        <f t="shared" si="29"/>
        <v>0.58993782504097181</v>
      </c>
    </row>
    <row r="278" spans="1:18" x14ac:dyDescent="0.25">
      <c r="A278" t="s">
        <v>179</v>
      </c>
      <c r="B278" t="s">
        <v>180</v>
      </c>
      <c r="C278" t="s">
        <v>8</v>
      </c>
      <c r="D278">
        <v>62618</v>
      </c>
      <c r="E278" s="1">
        <v>44104</v>
      </c>
      <c r="F278" s="2">
        <f t="shared" si="24"/>
        <v>2020</v>
      </c>
      <c r="G278">
        <v>13</v>
      </c>
      <c r="H278" s="3">
        <v>60349</v>
      </c>
      <c r="I278">
        <v>6967</v>
      </c>
      <c r="J278">
        <v>60349</v>
      </c>
      <c r="K278">
        <v>53559</v>
      </c>
      <c r="L278">
        <v>44581</v>
      </c>
      <c r="M278" t="str">
        <f t="shared" si="25"/>
        <v>Small</v>
      </c>
      <c r="N278">
        <f>VLOOKUP(C278,Lookup!$A$2:$D$5,MATCH(M278,Lookup!$A$1:$D$1,0),FALSE)</f>
        <v>0.09</v>
      </c>
      <c r="O278">
        <f t="shared" si="26"/>
        <v>4012.29</v>
      </c>
      <c r="P278" s="7">
        <f t="shared" si="27"/>
        <v>0.88748777941639467</v>
      </c>
      <c r="Q278" s="7">
        <f t="shared" si="28"/>
        <v>4642.2307692307695</v>
      </c>
      <c r="R278">
        <f t="shared" si="29"/>
        <v>1.736414865326285</v>
      </c>
    </row>
    <row r="279" spans="1:18" x14ac:dyDescent="0.25">
      <c r="A279" t="s">
        <v>179</v>
      </c>
      <c r="B279" t="s">
        <v>180</v>
      </c>
      <c r="C279" t="s">
        <v>8</v>
      </c>
      <c r="D279">
        <v>62618</v>
      </c>
      <c r="E279" s="1">
        <v>44469</v>
      </c>
      <c r="F279" s="2">
        <f t="shared" si="24"/>
        <v>2021</v>
      </c>
      <c r="G279">
        <v>12</v>
      </c>
      <c r="H279" s="3">
        <v>68300</v>
      </c>
      <c r="I279">
        <v>9674</v>
      </c>
      <c r="J279">
        <v>68300</v>
      </c>
      <c r="K279">
        <v>61244</v>
      </c>
      <c r="L279">
        <v>51320</v>
      </c>
      <c r="M279" t="str">
        <f t="shared" si="25"/>
        <v>Small</v>
      </c>
      <c r="N279">
        <f>VLOOKUP(C279,Lookup!$A$2:$D$5,MATCH(M279,Lookup!$A$1:$D$1,0),FALSE)</f>
        <v>0.09</v>
      </c>
      <c r="O279">
        <f t="shared" si="26"/>
        <v>4618.8</v>
      </c>
      <c r="P279" s="7">
        <f t="shared" si="27"/>
        <v>0.89669106881405569</v>
      </c>
      <c r="Q279" s="7">
        <f t="shared" si="28"/>
        <v>5691.666666666667</v>
      </c>
      <c r="R279">
        <f t="shared" si="29"/>
        <v>2.0944834156057848</v>
      </c>
    </row>
    <row r="280" spans="1:18" x14ac:dyDescent="0.25">
      <c r="A280" t="s">
        <v>181</v>
      </c>
      <c r="B280" t="s">
        <v>28</v>
      </c>
      <c r="C280" t="s">
        <v>8</v>
      </c>
      <c r="D280">
        <v>60634</v>
      </c>
      <c r="E280" s="1">
        <v>43738</v>
      </c>
      <c r="F280" s="2">
        <f t="shared" si="24"/>
        <v>2019</v>
      </c>
      <c r="G280">
        <v>37</v>
      </c>
      <c r="H280" s="3">
        <v>533573</v>
      </c>
      <c r="I280">
        <v>55904</v>
      </c>
      <c r="J280">
        <v>533573</v>
      </c>
      <c r="K280">
        <v>478835</v>
      </c>
      <c r="L280">
        <v>476151</v>
      </c>
      <c r="M280" t="str">
        <f t="shared" si="25"/>
        <v>Medium</v>
      </c>
      <c r="N280">
        <f>VLOOKUP(C280,Lookup!$A$2:$D$5,MATCH(M280,Lookup!$A$1:$D$1,0),FALSE)</f>
        <v>0.08</v>
      </c>
      <c r="O280">
        <f t="shared" si="26"/>
        <v>38092.080000000002</v>
      </c>
      <c r="P280" s="7">
        <f t="shared" si="27"/>
        <v>0.89741235032507272</v>
      </c>
      <c r="Q280" s="7">
        <f t="shared" si="28"/>
        <v>14420.891891891892</v>
      </c>
      <c r="R280">
        <f t="shared" si="29"/>
        <v>1.4676016641779603</v>
      </c>
    </row>
    <row r="281" spans="1:18" x14ac:dyDescent="0.25">
      <c r="A281" t="s">
        <v>181</v>
      </c>
      <c r="B281" t="s">
        <v>28</v>
      </c>
      <c r="C281" t="s">
        <v>8</v>
      </c>
      <c r="D281">
        <v>60634</v>
      </c>
      <c r="E281" s="1">
        <v>44104</v>
      </c>
      <c r="F281" s="2">
        <f t="shared" si="24"/>
        <v>2020</v>
      </c>
      <c r="G281">
        <v>36</v>
      </c>
      <c r="H281" s="3">
        <v>732232</v>
      </c>
      <c r="I281">
        <v>111833</v>
      </c>
      <c r="J281">
        <v>732232</v>
      </c>
      <c r="K281">
        <v>656978</v>
      </c>
      <c r="L281">
        <v>645679</v>
      </c>
      <c r="M281" t="str">
        <f t="shared" si="25"/>
        <v>Medium</v>
      </c>
      <c r="N281">
        <f>VLOOKUP(C281,Lookup!$A$2:$D$5,MATCH(M281,Lookup!$A$1:$D$1,0),FALSE)</f>
        <v>0.08</v>
      </c>
      <c r="O281">
        <f t="shared" si="26"/>
        <v>51654.32</v>
      </c>
      <c r="P281" s="7">
        <f t="shared" si="27"/>
        <v>0.89722656207322271</v>
      </c>
      <c r="Q281" s="7">
        <f t="shared" si="28"/>
        <v>20339.777777777777</v>
      </c>
      <c r="R281">
        <f t="shared" si="29"/>
        <v>2.1650270490444941</v>
      </c>
    </row>
    <row r="282" spans="1:18" x14ac:dyDescent="0.25">
      <c r="A282" t="s">
        <v>181</v>
      </c>
      <c r="B282" t="s">
        <v>28</v>
      </c>
      <c r="C282" t="s">
        <v>8</v>
      </c>
      <c r="D282">
        <v>60634</v>
      </c>
      <c r="E282" s="1">
        <v>44469</v>
      </c>
      <c r="F282" s="2">
        <f t="shared" si="24"/>
        <v>2021</v>
      </c>
      <c r="G282">
        <v>39</v>
      </c>
      <c r="H282" s="3">
        <v>862147</v>
      </c>
      <c r="I282">
        <v>182944</v>
      </c>
      <c r="J282">
        <v>862147</v>
      </c>
      <c r="K282">
        <v>775762</v>
      </c>
      <c r="L282">
        <v>766492</v>
      </c>
      <c r="M282" t="str">
        <f t="shared" si="25"/>
        <v>Medium</v>
      </c>
      <c r="N282">
        <f>VLOOKUP(C282,Lookup!$A$2:$D$5,MATCH(M282,Lookup!$A$1:$D$1,0),FALSE)</f>
        <v>0.08</v>
      </c>
      <c r="O282">
        <f t="shared" si="26"/>
        <v>61319.360000000001</v>
      </c>
      <c r="P282" s="7">
        <f t="shared" si="27"/>
        <v>0.89980246988042645</v>
      </c>
      <c r="Q282" s="7">
        <f t="shared" si="28"/>
        <v>22106.333333333332</v>
      </c>
      <c r="R282">
        <f t="shared" si="29"/>
        <v>2.9834623192414274</v>
      </c>
    </row>
    <row r="283" spans="1:18" x14ac:dyDescent="0.25">
      <c r="A283" t="s">
        <v>182</v>
      </c>
      <c r="B283" t="s">
        <v>183</v>
      </c>
      <c r="C283" t="s">
        <v>8</v>
      </c>
      <c r="D283">
        <v>60004</v>
      </c>
      <c r="E283" s="1">
        <v>43738</v>
      </c>
      <c r="F283" s="2">
        <f t="shared" si="24"/>
        <v>2019</v>
      </c>
      <c r="G283">
        <v>25</v>
      </c>
      <c r="H283" s="3">
        <v>99973</v>
      </c>
      <c r="I283">
        <v>10606</v>
      </c>
      <c r="J283">
        <v>99973</v>
      </c>
      <c r="K283">
        <v>90173</v>
      </c>
      <c r="L283">
        <v>81455</v>
      </c>
      <c r="M283" t="str">
        <f t="shared" si="25"/>
        <v>Small</v>
      </c>
      <c r="N283">
        <f>VLOOKUP(C283,Lookup!$A$2:$D$5,MATCH(M283,Lookup!$A$1:$D$1,0),FALSE)</f>
        <v>0.09</v>
      </c>
      <c r="O283">
        <f t="shared" si="26"/>
        <v>7330.95</v>
      </c>
      <c r="P283" s="7">
        <f t="shared" si="27"/>
        <v>0.9019735328538705</v>
      </c>
      <c r="Q283" s="7">
        <f t="shared" si="28"/>
        <v>3998.92</v>
      </c>
      <c r="R283">
        <f t="shared" si="29"/>
        <v>1.4467429187213117</v>
      </c>
    </row>
    <row r="284" spans="1:18" x14ac:dyDescent="0.25">
      <c r="A284" t="s">
        <v>184</v>
      </c>
      <c r="B284" t="s">
        <v>185</v>
      </c>
      <c r="C284" t="s">
        <v>5</v>
      </c>
      <c r="D284">
        <v>94612</v>
      </c>
      <c r="E284" s="1">
        <v>43738</v>
      </c>
      <c r="F284" s="2">
        <f t="shared" si="24"/>
        <v>2019</v>
      </c>
      <c r="G284">
        <v>234</v>
      </c>
      <c r="H284" s="3">
        <v>1056166</v>
      </c>
      <c r="I284">
        <v>224566</v>
      </c>
      <c r="J284">
        <v>1056166</v>
      </c>
      <c r="K284">
        <v>936421</v>
      </c>
      <c r="L284">
        <v>852987</v>
      </c>
      <c r="M284" t="str">
        <f t="shared" si="25"/>
        <v>Large</v>
      </c>
      <c r="N284">
        <f>VLOOKUP(C284,Lookup!$A$2:$D$5,MATCH(M284,Lookup!$A$1:$D$1,0),FALSE)</f>
        <v>0.08</v>
      </c>
      <c r="O284">
        <f t="shared" si="26"/>
        <v>68238.960000000006</v>
      </c>
      <c r="P284" s="7">
        <f t="shared" si="27"/>
        <v>0.88662293616723131</v>
      </c>
      <c r="Q284" s="7">
        <f t="shared" si="28"/>
        <v>4513.5299145299141</v>
      </c>
      <c r="R284">
        <f t="shared" si="29"/>
        <v>3.2908766487648693</v>
      </c>
    </row>
    <row r="285" spans="1:18" x14ac:dyDescent="0.25">
      <c r="A285" t="s">
        <v>184</v>
      </c>
      <c r="B285" t="s">
        <v>185</v>
      </c>
      <c r="C285" t="s">
        <v>5</v>
      </c>
      <c r="D285">
        <v>94612</v>
      </c>
      <c r="E285" s="1">
        <v>44104</v>
      </c>
      <c r="F285" s="2">
        <f t="shared" si="24"/>
        <v>2020</v>
      </c>
      <c r="G285">
        <v>194</v>
      </c>
      <c r="H285" s="3">
        <v>1201069</v>
      </c>
      <c r="I285">
        <v>79094</v>
      </c>
      <c r="J285">
        <v>1201069</v>
      </c>
      <c r="K285">
        <v>1085656</v>
      </c>
      <c r="L285">
        <v>1032091</v>
      </c>
      <c r="M285" t="str">
        <f t="shared" si="25"/>
        <v>Large</v>
      </c>
      <c r="N285">
        <f>VLOOKUP(C285,Lookup!$A$2:$D$5,MATCH(M285,Lookup!$A$1:$D$1,0),FALSE)</f>
        <v>0.08</v>
      </c>
      <c r="O285">
        <f t="shared" si="26"/>
        <v>82567.28</v>
      </c>
      <c r="P285" s="7">
        <f t="shared" si="27"/>
        <v>0.90390810186592108</v>
      </c>
      <c r="Q285" s="7">
        <f t="shared" si="28"/>
        <v>6191.0773195876291</v>
      </c>
      <c r="R285">
        <f t="shared" si="29"/>
        <v>0.95793394187140479</v>
      </c>
    </row>
    <row r="286" spans="1:18" x14ac:dyDescent="0.25">
      <c r="A286" t="s">
        <v>184</v>
      </c>
      <c r="B286" t="s">
        <v>185</v>
      </c>
      <c r="C286" t="s">
        <v>5</v>
      </c>
      <c r="D286">
        <v>94612</v>
      </c>
      <c r="E286" s="1">
        <v>44469</v>
      </c>
      <c r="F286" s="2">
        <f t="shared" si="24"/>
        <v>2021</v>
      </c>
      <c r="G286">
        <v>197</v>
      </c>
      <c r="H286" s="3">
        <v>1496354</v>
      </c>
      <c r="I286">
        <v>60825</v>
      </c>
      <c r="J286">
        <v>1496354</v>
      </c>
      <c r="K286">
        <v>1368763</v>
      </c>
      <c r="L286">
        <v>1307742</v>
      </c>
      <c r="M286" t="str">
        <f t="shared" si="25"/>
        <v>Large</v>
      </c>
      <c r="N286">
        <f>VLOOKUP(C286,Lookup!$A$2:$D$5,MATCH(M286,Lookup!$A$1:$D$1,0),FALSE)</f>
        <v>0.08</v>
      </c>
      <c r="O286">
        <f t="shared" si="26"/>
        <v>104619.36</v>
      </c>
      <c r="P286" s="7">
        <f t="shared" si="27"/>
        <v>0.91473207543134849</v>
      </c>
      <c r="Q286" s="7">
        <f t="shared" si="28"/>
        <v>7595.7055837563448</v>
      </c>
      <c r="R286">
        <f t="shared" si="29"/>
        <v>0.58139334822923783</v>
      </c>
    </row>
    <row r="287" spans="1:18" x14ac:dyDescent="0.25">
      <c r="A287" t="s">
        <v>186</v>
      </c>
      <c r="B287" t="s">
        <v>187</v>
      </c>
      <c r="C287" t="s">
        <v>20</v>
      </c>
      <c r="D287">
        <v>1201</v>
      </c>
      <c r="E287" s="1">
        <v>43738</v>
      </c>
      <c r="F287" s="2">
        <f t="shared" si="24"/>
        <v>2019</v>
      </c>
      <c r="G287">
        <v>1732</v>
      </c>
      <c r="H287" s="3">
        <v>13504792</v>
      </c>
      <c r="I287">
        <v>212766</v>
      </c>
      <c r="J287">
        <v>13504792</v>
      </c>
      <c r="K287">
        <v>11745513</v>
      </c>
      <c r="L287">
        <v>10502442</v>
      </c>
      <c r="M287" t="str">
        <f t="shared" si="25"/>
        <v>Large</v>
      </c>
      <c r="N287">
        <f>VLOOKUP(C287,Lookup!$A$2:$D$5,MATCH(M287,Lookup!$A$1:$D$1,0),FALSE)</f>
        <v>0.08</v>
      </c>
      <c r="O287">
        <f t="shared" si="26"/>
        <v>840195.36</v>
      </c>
      <c r="P287" s="7">
        <f t="shared" si="27"/>
        <v>0.86972927831839242</v>
      </c>
      <c r="Q287" s="7">
        <f t="shared" si="28"/>
        <v>7797.2240184757502</v>
      </c>
      <c r="R287">
        <f t="shared" si="29"/>
        <v>0.25323396215851512</v>
      </c>
    </row>
    <row r="288" spans="1:18" x14ac:dyDescent="0.25">
      <c r="A288" t="s">
        <v>186</v>
      </c>
      <c r="B288" t="s">
        <v>187</v>
      </c>
      <c r="C288" t="s">
        <v>20</v>
      </c>
      <c r="D288">
        <v>1201</v>
      </c>
      <c r="E288" s="1">
        <v>44104</v>
      </c>
      <c r="F288" s="2">
        <f t="shared" si="24"/>
        <v>2020</v>
      </c>
      <c r="G288">
        <v>1473</v>
      </c>
      <c r="H288" s="3">
        <v>12607803</v>
      </c>
      <c r="I288">
        <v>930949</v>
      </c>
      <c r="J288">
        <v>12607803</v>
      </c>
      <c r="K288">
        <v>11431899</v>
      </c>
      <c r="L288">
        <v>10561436</v>
      </c>
      <c r="M288" t="str">
        <f t="shared" si="25"/>
        <v>Large</v>
      </c>
      <c r="N288">
        <f>VLOOKUP(C288,Lookup!$A$2:$D$5,MATCH(M288,Lookup!$A$1:$D$1,0),FALSE)</f>
        <v>0.08</v>
      </c>
      <c r="O288">
        <f t="shared" si="26"/>
        <v>844914.88</v>
      </c>
      <c r="P288" s="7">
        <f t="shared" si="27"/>
        <v>0.90673204522627771</v>
      </c>
      <c r="Q288" s="7">
        <f t="shared" si="28"/>
        <v>8559.2688391038701</v>
      </c>
      <c r="R288">
        <f t="shared" si="29"/>
        <v>1.1018257839180203</v>
      </c>
    </row>
    <row r="289" spans="1:18" x14ac:dyDescent="0.25">
      <c r="A289" t="s">
        <v>186</v>
      </c>
      <c r="B289" t="s">
        <v>187</v>
      </c>
      <c r="C289" t="s">
        <v>20</v>
      </c>
      <c r="D289">
        <v>1201</v>
      </c>
      <c r="E289" s="1">
        <v>44469</v>
      </c>
      <c r="F289" s="2">
        <f t="shared" si="24"/>
        <v>2021</v>
      </c>
      <c r="G289">
        <v>1333</v>
      </c>
      <c r="H289" s="3">
        <v>11856047</v>
      </c>
      <c r="I289">
        <v>2121407</v>
      </c>
      <c r="J289">
        <v>11856047</v>
      </c>
      <c r="K289">
        <v>10694578</v>
      </c>
      <c r="L289">
        <v>10487472</v>
      </c>
      <c r="M289" t="str">
        <f t="shared" si="25"/>
        <v>Large</v>
      </c>
      <c r="N289">
        <f>VLOOKUP(C289,Lookup!$A$2:$D$5,MATCH(M289,Lookup!$A$1:$D$1,0),FALSE)</f>
        <v>0.08</v>
      </c>
      <c r="O289">
        <f t="shared" si="26"/>
        <v>838997.76</v>
      </c>
      <c r="P289" s="7">
        <f t="shared" si="27"/>
        <v>0.90203572910937346</v>
      </c>
      <c r="Q289" s="7">
        <f t="shared" si="28"/>
        <v>8894.2588147036768</v>
      </c>
      <c r="R289">
        <f t="shared" si="29"/>
        <v>2.5285013871789119</v>
      </c>
    </row>
    <row r="290" spans="1:18" x14ac:dyDescent="0.25">
      <c r="A290" t="s">
        <v>188</v>
      </c>
      <c r="B290" t="s">
        <v>16</v>
      </c>
      <c r="C290" t="s">
        <v>17</v>
      </c>
      <c r="D290">
        <v>10111</v>
      </c>
      <c r="E290" s="1">
        <v>43738</v>
      </c>
      <c r="F290" s="2">
        <f t="shared" si="24"/>
        <v>2019</v>
      </c>
      <c r="G290">
        <v>556</v>
      </c>
      <c r="H290" s="3">
        <v>1841070</v>
      </c>
      <c r="I290">
        <v>319630</v>
      </c>
      <c r="J290">
        <v>1841070</v>
      </c>
      <c r="K290">
        <v>1574905</v>
      </c>
      <c r="L290">
        <v>1452413</v>
      </c>
      <c r="M290" t="str">
        <f t="shared" si="25"/>
        <v>Large</v>
      </c>
      <c r="N290">
        <f>VLOOKUP(C290,Lookup!$A$2:$D$5,MATCH(M290,Lookup!$A$1:$D$1,0),FALSE)</f>
        <v>0.08</v>
      </c>
      <c r="O290">
        <f t="shared" si="26"/>
        <v>116193.04000000001</v>
      </c>
      <c r="P290" s="7">
        <f t="shared" si="27"/>
        <v>0.85542917977045962</v>
      </c>
      <c r="Q290" s="7">
        <f t="shared" si="28"/>
        <v>3311.276978417266</v>
      </c>
      <c r="R290">
        <f t="shared" si="29"/>
        <v>2.7508532352712347</v>
      </c>
    </row>
    <row r="291" spans="1:18" x14ac:dyDescent="0.25">
      <c r="A291" t="s">
        <v>188</v>
      </c>
      <c r="B291" t="s">
        <v>16</v>
      </c>
      <c r="C291" t="s">
        <v>17</v>
      </c>
      <c r="D291">
        <v>10111</v>
      </c>
      <c r="E291" s="1">
        <v>44104</v>
      </c>
      <c r="F291" s="2">
        <f t="shared" si="24"/>
        <v>2020</v>
      </c>
      <c r="G291">
        <v>590</v>
      </c>
      <c r="H291" s="3">
        <v>2318528</v>
      </c>
      <c r="I291">
        <v>797094</v>
      </c>
      <c r="J291">
        <v>2318528</v>
      </c>
      <c r="K291">
        <v>2026013</v>
      </c>
      <c r="L291">
        <v>1887763</v>
      </c>
      <c r="M291" t="str">
        <f t="shared" si="25"/>
        <v>Large</v>
      </c>
      <c r="N291">
        <f>VLOOKUP(C291,Lookup!$A$2:$D$5,MATCH(M291,Lookup!$A$1:$D$1,0),FALSE)</f>
        <v>0.08</v>
      </c>
      <c r="O291">
        <f t="shared" si="26"/>
        <v>151021.04</v>
      </c>
      <c r="P291" s="7">
        <f t="shared" si="27"/>
        <v>0.87383589932922956</v>
      </c>
      <c r="Q291" s="7">
        <f t="shared" si="28"/>
        <v>3929.7084745762713</v>
      </c>
      <c r="R291">
        <f t="shared" si="29"/>
        <v>5.278032782716898</v>
      </c>
    </row>
    <row r="292" spans="1:18" x14ac:dyDescent="0.25">
      <c r="A292" t="s">
        <v>188</v>
      </c>
      <c r="B292" t="s">
        <v>16</v>
      </c>
      <c r="C292" t="s">
        <v>17</v>
      </c>
      <c r="D292">
        <v>10020</v>
      </c>
      <c r="E292" s="1">
        <v>44469</v>
      </c>
      <c r="F292" s="2">
        <f t="shared" si="24"/>
        <v>2021</v>
      </c>
      <c r="G292">
        <v>595</v>
      </c>
      <c r="H292" s="3">
        <v>3123987</v>
      </c>
      <c r="I292">
        <v>946997</v>
      </c>
      <c r="J292">
        <v>3123987</v>
      </c>
      <c r="K292">
        <v>2814377</v>
      </c>
      <c r="L292">
        <v>2636682</v>
      </c>
      <c r="M292" t="str">
        <f t="shared" si="25"/>
        <v>Large</v>
      </c>
      <c r="N292">
        <f>VLOOKUP(C292,Lookup!$A$2:$D$5,MATCH(M292,Lookup!$A$1:$D$1,0),FALSE)</f>
        <v>0.08</v>
      </c>
      <c r="O292">
        <f t="shared" si="26"/>
        <v>210934.56</v>
      </c>
      <c r="P292" s="7">
        <f t="shared" si="27"/>
        <v>0.90089267336899925</v>
      </c>
      <c r="Q292" s="7">
        <f t="shared" si="28"/>
        <v>5250.3983193277309</v>
      </c>
      <c r="R292">
        <f t="shared" si="29"/>
        <v>4.4895298333284028</v>
      </c>
    </row>
    <row r="293" spans="1:18" x14ac:dyDescent="0.25">
      <c r="A293" t="s">
        <v>189</v>
      </c>
      <c r="B293" t="s">
        <v>190</v>
      </c>
      <c r="C293" t="s">
        <v>8</v>
      </c>
      <c r="D293">
        <v>62234</v>
      </c>
      <c r="E293" s="1">
        <v>43738</v>
      </c>
      <c r="F293" s="2">
        <f t="shared" si="24"/>
        <v>2019</v>
      </c>
      <c r="G293">
        <v>20</v>
      </c>
      <c r="H293" s="3">
        <v>115624</v>
      </c>
      <c r="I293">
        <v>7960</v>
      </c>
      <c r="J293">
        <v>115624</v>
      </c>
      <c r="K293">
        <v>104445</v>
      </c>
      <c r="L293">
        <v>100761</v>
      </c>
      <c r="M293" t="str">
        <f t="shared" si="25"/>
        <v>Medium</v>
      </c>
      <c r="N293">
        <f>VLOOKUP(C293,Lookup!$A$2:$D$5,MATCH(M293,Lookup!$A$1:$D$1,0),FALSE)</f>
        <v>0.08</v>
      </c>
      <c r="O293">
        <f t="shared" si="26"/>
        <v>8060.88</v>
      </c>
      <c r="P293" s="7">
        <f t="shared" si="27"/>
        <v>0.90331592057012389</v>
      </c>
      <c r="Q293" s="7">
        <f t="shared" si="28"/>
        <v>5781.2</v>
      </c>
      <c r="R293">
        <f t="shared" si="29"/>
        <v>0.98748523734381355</v>
      </c>
    </row>
    <row r="294" spans="1:18" x14ac:dyDescent="0.25">
      <c r="A294" t="s">
        <v>191</v>
      </c>
      <c r="B294" t="s">
        <v>192</v>
      </c>
      <c r="C294" t="s">
        <v>8</v>
      </c>
      <c r="D294">
        <v>61615</v>
      </c>
      <c r="E294" s="1">
        <v>43738</v>
      </c>
      <c r="F294" s="2">
        <f t="shared" si="24"/>
        <v>2019</v>
      </c>
      <c r="G294">
        <v>70</v>
      </c>
      <c r="H294" s="3">
        <v>290313</v>
      </c>
      <c r="I294">
        <v>18467</v>
      </c>
      <c r="J294">
        <v>290313</v>
      </c>
      <c r="K294">
        <v>261091</v>
      </c>
      <c r="L294">
        <v>259620</v>
      </c>
      <c r="M294" t="str">
        <f t="shared" si="25"/>
        <v>Medium</v>
      </c>
      <c r="N294">
        <f>VLOOKUP(C294,Lookup!$A$2:$D$5,MATCH(M294,Lookup!$A$1:$D$1,0),FALSE)</f>
        <v>0.08</v>
      </c>
      <c r="O294">
        <f t="shared" si="26"/>
        <v>20769.600000000002</v>
      </c>
      <c r="P294" s="7">
        <f t="shared" si="27"/>
        <v>0.89934312276749573</v>
      </c>
      <c r="Q294" s="7">
        <f t="shared" si="28"/>
        <v>4147.3285714285712</v>
      </c>
      <c r="R294">
        <f t="shared" si="29"/>
        <v>0.8891360449888297</v>
      </c>
    </row>
    <row r="295" spans="1:18" x14ac:dyDescent="0.25">
      <c r="A295" t="s">
        <v>191</v>
      </c>
      <c r="B295" t="s">
        <v>192</v>
      </c>
      <c r="C295" t="s">
        <v>8</v>
      </c>
      <c r="D295">
        <v>61615</v>
      </c>
      <c r="E295" s="1">
        <v>44104</v>
      </c>
      <c r="F295" s="2">
        <f t="shared" si="24"/>
        <v>2020</v>
      </c>
      <c r="G295">
        <v>68</v>
      </c>
      <c r="H295" s="3">
        <v>331098</v>
      </c>
      <c r="I295">
        <v>33753</v>
      </c>
      <c r="J295">
        <v>331098</v>
      </c>
      <c r="K295">
        <v>299206</v>
      </c>
      <c r="L295">
        <v>293374</v>
      </c>
      <c r="M295" t="str">
        <f t="shared" si="25"/>
        <v>Medium</v>
      </c>
      <c r="N295">
        <f>VLOOKUP(C295,Lookup!$A$2:$D$5,MATCH(M295,Lookup!$A$1:$D$1,0),FALSE)</f>
        <v>0.08</v>
      </c>
      <c r="O295">
        <f t="shared" si="26"/>
        <v>23469.920000000002</v>
      </c>
      <c r="P295" s="7">
        <f t="shared" si="27"/>
        <v>0.90367806510459137</v>
      </c>
      <c r="Q295" s="7">
        <f t="shared" si="28"/>
        <v>4869.088235294118</v>
      </c>
      <c r="R295">
        <f t="shared" si="29"/>
        <v>1.4381386898634507</v>
      </c>
    </row>
    <row r="296" spans="1:18" x14ac:dyDescent="0.25">
      <c r="A296" t="s">
        <v>191</v>
      </c>
      <c r="B296" t="s">
        <v>192</v>
      </c>
      <c r="C296" t="s">
        <v>8</v>
      </c>
      <c r="D296">
        <v>61615</v>
      </c>
      <c r="E296" s="1">
        <v>44469</v>
      </c>
      <c r="F296" s="2">
        <f t="shared" si="24"/>
        <v>2021</v>
      </c>
      <c r="G296">
        <v>72</v>
      </c>
      <c r="H296" s="3">
        <v>404344</v>
      </c>
      <c r="I296">
        <v>29115</v>
      </c>
      <c r="J296">
        <v>404344</v>
      </c>
      <c r="K296">
        <v>371831</v>
      </c>
      <c r="L296">
        <v>370083</v>
      </c>
      <c r="M296" t="str">
        <f t="shared" si="25"/>
        <v>Medium</v>
      </c>
      <c r="N296">
        <f>VLOOKUP(C296,Lookup!$A$2:$D$5,MATCH(M296,Lookup!$A$1:$D$1,0),FALSE)</f>
        <v>0.08</v>
      </c>
      <c r="O296">
        <f t="shared" si="26"/>
        <v>29606.639999999999</v>
      </c>
      <c r="P296" s="7">
        <f t="shared" si="27"/>
        <v>0.91959074451457179</v>
      </c>
      <c r="Q296" s="7">
        <f t="shared" si="28"/>
        <v>5615.8888888888887</v>
      </c>
      <c r="R296">
        <f t="shared" si="29"/>
        <v>0.98339426561068732</v>
      </c>
    </row>
    <row r="297" spans="1:18" x14ac:dyDescent="0.25">
      <c r="A297" t="s">
        <v>193</v>
      </c>
      <c r="B297" t="s">
        <v>194</v>
      </c>
      <c r="C297" t="s">
        <v>20</v>
      </c>
      <c r="D297">
        <v>1915</v>
      </c>
      <c r="E297" s="1">
        <v>43738</v>
      </c>
      <c r="F297" s="2">
        <f t="shared" si="24"/>
        <v>2019</v>
      </c>
      <c r="G297">
        <v>71</v>
      </c>
      <c r="H297" s="3">
        <v>502198</v>
      </c>
      <c r="I297">
        <v>10316</v>
      </c>
      <c r="J297">
        <v>502198</v>
      </c>
      <c r="K297">
        <v>458745</v>
      </c>
      <c r="L297">
        <v>434440</v>
      </c>
      <c r="M297" t="str">
        <f t="shared" si="25"/>
        <v>Medium</v>
      </c>
      <c r="N297">
        <f>VLOOKUP(C297,Lookup!$A$2:$D$5,MATCH(M297,Lookup!$A$1:$D$1,0),FALSE)</f>
        <v>8.5000000000000006E-2</v>
      </c>
      <c r="O297">
        <f t="shared" si="26"/>
        <v>36927.4</v>
      </c>
      <c r="P297" s="7">
        <f t="shared" si="27"/>
        <v>0.9134743666840569</v>
      </c>
      <c r="Q297" s="7">
        <f t="shared" si="28"/>
        <v>7073.211267605634</v>
      </c>
      <c r="R297">
        <f t="shared" si="29"/>
        <v>0.27935895838862201</v>
      </c>
    </row>
    <row r="298" spans="1:18" x14ac:dyDescent="0.25">
      <c r="A298" t="s">
        <v>195</v>
      </c>
      <c r="B298" t="s">
        <v>28</v>
      </c>
      <c r="C298" t="s">
        <v>8</v>
      </c>
      <c r="D298">
        <v>60643</v>
      </c>
      <c r="E298" s="1">
        <v>43738</v>
      </c>
      <c r="F298" s="2">
        <f t="shared" si="24"/>
        <v>2019</v>
      </c>
      <c r="G298">
        <v>156</v>
      </c>
      <c r="H298" s="3">
        <v>1585403</v>
      </c>
      <c r="I298">
        <v>50561</v>
      </c>
      <c r="J298">
        <v>1585403</v>
      </c>
      <c r="K298">
        <v>1411626</v>
      </c>
      <c r="L298">
        <v>1369778</v>
      </c>
      <c r="M298" t="str">
        <f t="shared" si="25"/>
        <v>Large</v>
      </c>
      <c r="N298">
        <f>VLOOKUP(C298,Lookup!$A$2:$D$5,MATCH(M298,Lookup!$A$1:$D$1,0),FALSE)</f>
        <v>7.4999999999999997E-2</v>
      </c>
      <c r="O298">
        <f t="shared" si="26"/>
        <v>102733.34999999999</v>
      </c>
      <c r="P298" s="7">
        <f t="shared" si="27"/>
        <v>0.89038938364567244</v>
      </c>
      <c r="Q298" s="7">
        <f t="shared" si="28"/>
        <v>10162.839743589744</v>
      </c>
      <c r="R298">
        <f t="shared" si="29"/>
        <v>0.49215760996794133</v>
      </c>
    </row>
    <row r="299" spans="1:18" x14ac:dyDescent="0.25">
      <c r="A299" t="s">
        <v>195</v>
      </c>
      <c r="B299" t="s">
        <v>28</v>
      </c>
      <c r="C299" t="s">
        <v>8</v>
      </c>
      <c r="D299">
        <v>60643</v>
      </c>
      <c r="E299" s="1">
        <v>44104</v>
      </c>
      <c r="F299" s="2">
        <f t="shared" si="24"/>
        <v>2020</v>
      </c>
      <c r="G299">
        <v>172</v>
      </c>
      <c r="H299" s="3">
        <v>1761899</v>
      </c>
      <c r="I299">
        <v>108715</v>
      </c>
      <c r="J299">
        <v>1761899</v>
      </c>
      <c r="K299">
        <v>1581622</v>
      </c>
      <c r="L299">
        <v>1530200</v>
      </c>
      <c r="M299" t="str">
        <f t="shared" si="25"/>
        <v>Large</v>
      </c>
      <c r="N299">
        <f>VLOOKUP(C299,Lookup!$A$2:$D$5,MATCH(M299,Lookup!$A$1:$D$1,0),FALSE)</f>
        <v>7.4999999999999997E-2</v>
      </c>
      <c r="O299">
        <f t="shared" si="26"/>
        <v>114765</v>
      </c>
      <c r="P299" s="7">
        <f t="shared" si="27"/>
        <v>0.89768028700850622</v>
      </c>
      <c r="Q299" s="7">
        <f t="shared" si="28"/>
        <v>10243.598837209302</v>
      </c>
      <c r="R299">
        <f t="shared" si="29"/>
        <v>0.94728357948852004</v>
      </c>
    </row>
    <row r="300" spans="1:18" x14ac:dyDescent="0.25">
      <c r="A300" t="s">
        <v>195</v>
      </c>
      <c r="B300" t="s">
        <v>28</v>
      </c>
      <c r="C300" t="s">
        <v>8</v>
      </c>
      <c r="D300">
        <v>60643</v>
      </c>
      <c r="E300" s="1">
        <v>44469</v>
      </c>
      <c r="F300" s="2">
        <f t="shared" si="24"/>
        <v>2021</v>
      </c>
      <c r="G300">
        <v>168</v>
      </c>
      <c r="H300" s="3">
        <v>1818590</v>
      </c>
      <c r="I300">
        <v>167889</v>
      </c>
      <c r="J300">
        <v>1818590</v>
      </c>
      <c r="K300">
        <v>1630648</v>
      </c>
      <c r="L300">
        <v>1584344</v>
      </c>
      <c r="M300" t="str">
        <f t="shared" si="25"/>
        <v>Large</v>
      </c>
      <c r="N300">
        <f>VLOOKUP(C300,Lookup!$A$2:$D$5,MATCH(M300,Lookup!$A$1:$D$1,0),FALSE)</f>
        <v>7.4999999999999997E-2</v>
      </c>
      <c r="O300">
        <f t="shared" si="26"/>
        <v>118825.79999999999</v>
      </c>
      <c r="P300" s="7">
        <f t="shared" si="27"/>
        <v>0.89665510092984124</v>
      </c>
      <c r="Q300" s="7">
        <f t="shared" si="28"/>
        <v>10824.940476190477</v>
      </c>
      <c r="R300">
        <f t="shared" si="29"/>
        <v>1.4129002287382035</v>
      </c>
    </row>
    <row r="301" spans="1:18" x14ac:dyDescent="0.25">
      <c r="A301" t="s">
        <v>196</v>
      </c>
      <c r="B301" t="s">
        <v>197</v>
      </c>
      <c r="C301" t="s">
        <v>8</v>
      </c>
      <c r="D301">
        <v>61264</v>
      </c>
      <c r="E301" s="1">
        <v>43738</v>
      </c>
      <c r="F301" s="2">
        <f t="shared" si="24"/>
        <v>2019</v>
      </c>
      <c r="G301">
        <v>215</v>
      </c>
      <c r="H301" s="3">
        <v>1381090</v>
      </c>
      <c r="I301">
        <v>73313</v>
      </c>
      <c r="J301">
        <v>1381090</v>
      </c>
      <c r="K301">
        <v>1202603</v>
      </c>
      <c r="L301">
        <v>944755</v>
      </c>
      <c r="M301" t="str">
        <f t="shared" si="25"/>
        <v>Large</v>
      </c>
      <c r="N301">
        <f>VLOOKUP(C301,Lookup!$A$2:$D$5,MATCH(M301,Lookup!$A$1:$D$1,0),FALSE)</f>
        <v>7.4999999999999997E-2</v>
      </c>
      <c r="O301">
        <f t="shared" si="26"/>
        <v>70856.625</v>
      </c>
      <c r="P301" s="7">
        <f t="shared" si="27"/>
        <v>0.87076367217198014</v>
      </c>
      <c r="Q301" s="7">
        <f t="shared" si="28"/>
        <v>6423.6744186046508</v>
      </c>
      <c r="R301">
        <f t="shared" si="29"/>
        <v>1.0346668360227431</v>
      </c>
    </row>
    <row r="302" spans="1:18" x14ac:dyDescent="0.25">
      <c r="A302" t="s">
        <v>196</v>
      </c>
      <c r="B302" t="s">
        <v>197</v>
      </c>
      <c r="C302" t="s">
        <v>8</v>
      </c>
      <c r="D302">
        <v>61264</v>
      </c>
      <c r="E302" s="1">
        <v>44104</v>
      </c>
      <c r="F302" s="2">
        <f t="shared" si="24"/>
        <v>2020</v>
      </c>
      <c r="G302">
        <v>227</v>
      </c>
      <c r="H302" s="3">
        <v>1554217</v>
      </c>
      <c r="I302">
        <v>49627</v>
      </c>
      <c r="J302">
        <v>1554217</v>
      </c>
      <c r="K302">
        <v>1366197</v>
      </c>
      <c r="L302">
        <v>1098011</v>
      </c>
      <c r="M302" t="str">
        <f t="shared" si="25"/>
        <v>Large</v>
      </c>
      <c r="N302">
        <f>VLOOKUP(C302,Lookup!$A$2:$D$5,MATCH(M302,Lookup!$A$1:$D$1,0),FALSE)</f>
        <v>7.4999999999999997E-2</v>
      </c>
      <c r="O302">
        <f t="shared" si="26"/>
        <v>82350.824999999997</v>
      </c>
      <c r="P302" s="7">
        <f t="shared" si="27"/>
        <v>0.87902590178848905</v>
      </c>
      <c r="Q302" s="7">
        <f t="shared" si="28"/>
        <v>6846.7709251101323</v>
      </c>
      <c r="R302">
        <f t="shared" si="29"/>
        <v>0.60262905684308565</v>
      </c>
    </row>
    <row r="303" spans="1:18" x14ac:dyDescent="0.25">
      <c r="A303" t="s">
        <v>196</v>
      </c>
      <c r="B303" t="s">
        <v>197</v>
      </c>
      <c r="C303" t="s">
        <v>8</v>
      </c>
      <c r="D303">
        <v>61264</v>
      </c>
      <c r="E303" s="1">
        <v>44469</v>
      </c>
      <c r="F303" s="2">
        <f t="shared" si="24"/>
        <v>2021</v>
      </c>
      <c r="G303">
        <v>219</v>
      </c>
      <c r="H303" s="3">
        <v>1742274</v>
      </c>
      <c r="I303">
        <v>51434</v>
      </c>
      <c r="J303">
        <v>1742274</v>
      </c>
      <c r="K303">
        <v>1551098</v>
      </c>
      <c r="L303">
        <v>1249094</v>
      </c>
      <c r="M303" t="str">
        <f t="shared" si="25"/>
        <v>Large</v>
      </c>
      <c r="N303">
        <f>VLOOKUP(C303,Lookup!$A$2:$D$5,MATCH(M303,Lookup!$A$1:$D$1,0),FALSE)</f>
        <v>7.4999999999999997E-2</v>
      </c>
      <c r="O303">
        <f t="shared" si="26"/>
        <v>93682.05</v>
      </c>
      <c r="P303" s="7">
        <f t="shared" si="27"/>
        <v>0.89027213859588106</v>
      </c>
      <c r="Q303" s="7">
        <f t="shared" si="28"/>
        <v>7955.58904109589</v>
      </c>
      <c r="R303">
        <f t="shared" si="29"/>
        <v>0.54902726829739523</v>
      </c>
    </row>
    <row r="304" spans="1:18" x14ac:dyDescent="0.25">
      <c r="A304" t="s">
        <v>1387</v>
      </c>
      <c r="B304" t="s">
        <v>208</v>
      </c>
      <c r="C304" t="s">
        <v>20</v>
      </c>
      <c r="D304">
        <v>2767</v>
      </c>
      <c r="E304" s="1">
        <v>44469</v>
      </c>
      <c r="F304" s="2">
        <f t="shared" si="24"/>
        <v>2021</v>
      </c>
      <c r="G304">
        <v>188</v>
      </c>
      <c r="H304" s="3">
        <v>1305286</v>
      </c>
      <c r="I304">
        <v>115037</v>
      </c>
      <c r="J304">
        <v>1305286</v>
      </c>
      <c r="K304">
        <v>1172790</v>
      </c>
      <c r="L304">
        <v>1163364</v>
      </c>
      <c r="M304" t="str">
        <f t="shared" si="25"/>
        <v>Large</v>
      </c>
      <c r="N304">
        <f>VLOOKUP(C304,Lookup!$A$2:$D$5,MATCH(M304,Lookup!$A$1:$D$1,0),FALSE)</f>
        <v>0.08</v>
      </c>
      <c r="O304">
        <f t="shared" si="26"/>
        <v>93069.119999999995</v>
      </c>
      <c r="P304" s="7">
        <f t="shared" si="27"/>
        <v>0.89849274411891344</v>
      </c>
      <c r="Q304" s="7">
        <f t="shared" si="28"/>
        <v>6943.010638297872</v>
      </c>
      <c r="R304">
        <f t="shared" si="29"/>
        <v>1.2360383336599723</v>
      </c>
    </row>
    <row r="305" spans="1:18" x14ac:dyDescent="0.25">
      <c r="A305" t="s">
        <v>198</v>
      </c>
      <c r="B305" t="s">
        <v>28</v>
      </c>
      <c r="C305" t="s">
        <v>8</v>
      </c>
      <c r="D305">
        <v>60603</v>
      </c>
      <c r="E305" s="1">
        <v>43738</v>
      </c>
      <c r="F305" s="2">
        <f t="shared" si="24"/>
        <v>2019</v>
      </c>
      <c r="G305">
        <v>11448</v>
      </c>
      <c r="H305" s="3">
        <v>138843929</v>
      </c>
      <c r="I305">
        <v>20503342</v>
      </c>
      <c r="J305">
        <v>138843929</v>
      </c>
      <c r="K305">
        <v>122108112</v>
      </c>
      <c r="L305">
        <v>105369232</v>
      </c>
      <c r="M305" t="str">
        <f t="shared" si="25"/>
        <v>Large</v>
      </c>
      <c r="N305">
        <f>VLOOKUP(C305,Lookup!$A$2:$D$5,MATCH(M305,Lookup!$A$1:$D$1,0),FALSE)</f>
        <v>7.4999999999999997E-2</v>
      </c>
      <c r="O305">
        <f t="shared" si="26"/>
        <v>7902692.3999999994</v>
      </c>
      <c r="P305" s="7">
        <f t="shared" si="27"/>
        <v>0.87946309845495663</v>
      </c>
      <c r="Q305" s="7">
        <f t="shared" si="28"/>
        <v>12128.225803633823</v>
      </c>
      <c r="R305">
        <f t="shared" si="29"/>
        <v>2.5944755233039314</v>
      </c>
    </row>
    <row r="306" spans="1:18" x14ac:dyDescent="0.25">
      <c r="A306" t="s">
        <v>198</v>
      </c>
      <c r="B306" t="s">
        <v>28</v>
      </c>
      <c r="C306" t="s">
        <v>8</v>
      </c>
      <c r="D306">
        <v>60603</v>
      </c>
      <c r="E306" s="1">
        <v>44104</v>
      </c>
      <c r="F306" s="2">
        <f t="shared" si="24"/>
        <v>2020</v>
      </c>
      <c r="G306">
        <v>10632</v>
      </c>
      <c r="H306" s="3">
        <v>151532887</v>
      </c>
      <c r="I306">
        <v>14616327</v>
      </c>
      <c r="J306">
        <v>151532887</v>
      </c>
      <c r="K306">
        <v>133661375</v>
      </c>
      <c r="L306">
        <v>126012708</v>
      </c>
      <c r="M306" t="str">
        <f t="shared" si="25"/>
        <v>Large</v>
      </c>
      <c r="N306">
        <f>VLOOKUP(C306,Lookup!$A$2:$D$5,MATCH(M306,Lookup!$A$1:$D$1,0),FALSE)</f>
        <v>7.4999999999999997E-2</v>
      </c>
      <c r="O306">
        <f t="shared" si="26"/>
        <v>9450953.0999999996</v>
      </c>
      <c r="P306" s="7">
        <f t="shared" si="27"/>
        <v>0.88206182595861182</v>
      </c>
      <c r="Q306" s="7">
        <f t="shared" si="28"/>
        <v>14252.528875094056</v>
      </c>
      <c r="R306">
        <f t="shared" si="29"/>
        <v>1.5465452897020513</v>
      </c>
    </row>
    <row r="307" spans="1:18" x14ac:dyDescent="0.25">
      <c r="A307" t="s">
        <v>198</v>
      </c>
      <c r="B307" t="s">
        <v>28</v>
      </c>
      <c r="C307" t="s">
        <v>8</v>
      </c>
      <c r="D307">
        <v>60603</v>
      </c>
      <c r="E307" s="1">
        <v>44469</v>
      </c>
      <c r="F307" s="2">
        <f t="shared" si="24"/>
        <v>2021</v>
      </c>
      <c r="G307">
        <v>10367</v>
      </c>
      <c r="H307" s="3">
        <v>166195578</v>
      </c>
      <c r="I307">
        <v>35657723</v>
      </c>
      <c r="J307">
        <v>166195578</v>
      </c>
      <c r="K307">
        <v>147709830</v>
      </c>
      <c r="L307">
        <v>139123423</v>
      </c>
      <c r="M307" t="str">
        <f t="shared" si="25"/>
        <v>Large</v>
      </c>
      <c r="N307">
        <f>VLOOKUP(C307,Lookup!$A$2:$D$5,MATCH(M307,Lookup!$A$1:$D$1,0),FALSE)</f>
        <v>7.4999999999999997E-2</v>
      </c>
      <c r="O307">
        <f t="shared" si="26"/>
        <v>10434256.725</v>
      </c>
      <c r="P307" s="7">
        <f t="shared" si="27"/>
        <v>0.88877112001138803</v>
      </c>
      <c r="Q307" s="7">
        <f t="shared" si="28"/>
        <v>16031.212308285907</v>
      </c>
      <c r="R307">
        <f t="shared" si="29"/>
        <v>3.4173706800375858</v>
      </c>
    </row>
    <row r="308" spans="1:18" x14ac:dyDescent="0.25">
      <c r="A308" t="s">
        <v>199</v>
      </c>
      <c r="B308" t="s">
        <v>200</v>
      </c>
      <c r="C308" t="s">
        <v>8</v>
      </c>
      <c r="D308">
        <v>60172</v>
      </c>
      <c r="E308" s="1">
        <v>43738</v>
      </c>
      <c r="F308" s="2">
        <f t="shared" si="24"/>
        <v>2019</v>
      </c>
      <c r="G308">
        <v>25</v>
      </c>
      <c r="H308" s="3">
        <v>7920</v>
      </c>
      <c r="I308">
        <v>7742</v>
      </c>
      <c r="J308">
        <v>7920</v>
      </c>
      <c r="K308">
        <v>1047</v>
      </c>
      <c r="L308">
        <v>1000</v>
      </c>
      <c r="M308" t="str">
        <f t="shared" si="25"/>
        <v>Small</v>
      </c>
      <c r="N308">
        <f>VLOOKUP(C308,Lookup!$A$2:$D$5,MATCH(M308,Lookup!$A$1:$D$1,0),FALSE)</f>
        <v>0.09</v>
      </c>
      <c r="O308">
        <f t="shared" si="26"/>
        <v>90</v>
      </c>
      <c r="P308" s="7">
        <f t="shared" si="27"/>
        <v>0.1321969696969697</v>
      </c>
      <c r="Q308" s="7">
        <f t="shared" si="28"/>
        <v>316.8</v>
      </c>
      <c r="R308">
        <f t="shared" si="29"/>
        <v>86.022222222222226</v>
      </c>
    </row>
    <row r="309" spans="1:18" x14ac:dyDescent="0.25">
      <c r="A309" t="s">
        <v>199</v>
      </c>
      <c r="B309" t="s">
        <v>200</v>
      </c>
      <c r="C309" t="s">
        <v>8</v>
      </c>
      <c r="D309">
        <v>60172</v>
      </c>
      <c r="E309" s="1">
        <v>44104</v>
      </c>
      <c r="F309" s="2">
        <f t="shared" si="24"/>
        <v>2020</v>
      </c>
      <c r="G309">
        <v>23</v>
      </c>
      <c r="H309" s="3">
        <v>7981</v>
      </c>
      <c r="I309">
        <v>7801</v>
      </c>
      <c r="J309">
        <v>7981</v>
      </c>
      <c r="K309">
        <v>1028</v>
      </c>
      <c r="L309">
        <v>1000</v>
      </c>
      <c r="M309" t="str">
        <f t="shared" si="25"/>
        <v>Small</v>
      </c>
      <c r="N309">
        <f>VLOOKUP(C309,Lookup!$A$2:$D$5,MATCH(M309,Lookup!$A$1:$D$1,0),FALSE)</f>
        <v>0.09</v>
      </c>
      <c r="O309">
        <f t="shared" si="26"/>
        <v>90</v>
      </c>
      <c r="P309" s="7">
        <f t="shared" si="27"/>
        <v>0.12880591404585892</v>
      </c>
      <c r="Q309" s="7">
        <f t="shared" si="28"/>
        <v>347</v>
      </c>
      <c r="R309">
        <f t="shared" si="29"/>
        <v>86.677777777777777</v>
      </c>
    </row>
    <row r="310" spans="1:18" x14ac:dyDescent="0.25">
      <c r="A310" t="s">
        <v>199</v>
      </c>
      <c r="B310" t="s">
        <v>200</v>
      </c>
      <c r="C310" t="s">
        <v>8</v>
      </c>
      <c r="D310">
        <v>60172</v>
      </c>
      <c r="E310" s="1">
        <v>44469</v>
      </c>
      <c r="F310" s="2">
        <f t="shared" si="24"/>
        <v>2021</v>
      </c>
      <c r="G310">
        <v>23</v>
      </c>
      <c r="H310" s="3">
        <v>7998</v>
      </c>
      <c r="I310">
        <v>7818</v>
      </c>
      <c r="J310">
        <v>7998</v>
      </c>
      <c r="K310">
        <v>1014</v>
      </c>
      <c r="L310">
        <v>1000</v>
      </c>
      <c r="M310" t="str">
        <f t="shared" si="25"/>
        <v>Small</v>
      </c>
      <c r="N310">
        <f>VLOOKUP(C310,Lookup!$A$2:$D$5,MATCH(M310,Lookup!$A$1:$D$1,0),FALSE)</f>
        <v>0.09</v>
      </c>
      <c r="O310">
        <f t="shared" si="26"/>
        <v>90</v>
      </c>
      <c r="P310" s="7">
        <f t="shared" si="27"/>
        <v>0.12678169542385595</v>
      </c>
      <c r="Q310" s="7">
        <f t="shared" si="28"/>
        <v>347.73913043478262</v>
      </c>
      <c r="R310">
        <f t="shared" si="29"/>
        <v>86.86666666666666</v>
      </c>
    </row>
    <row r="311" spans="1:18" x14ac:dyDescent="0.25">
      <c r="A311" t="s">
        <v>201</v>
      </c>
      <c r="B311" t="s">
        <v>202</v>
      </c>
      <c r="C311" t="s">
        <v>17</v>
      </c>
      <c r="D311">
        <v>11932</v>
      </c>
      <c r="E311" s="1">
        <v>43738</v>
      </c>
      <c r="F311" s="2">
        <f t="shared" si="24"/>
        <v>2019</v>
      </c>
      <c r="G311">
        <v>490</v>
      </c>
      <c r="H311" s="3">
        <v>4735802</v>
      </c>
      <c r="I311">
        <v>131218</v>
      </c>
      <c r="J311">
        <v>4735802</v>
      </c>
      <c r="K311">
        <v>4173714</v>
      </c>
      <c r="L311">
        <v>3746503</v>
      </c>
      <c r="M311" t="str">
        <f t="shared" si="25"/>
        <v>Large</v>
      </c>
      <c r="N311">
        <f>VLOOKUP(C311,Lookup!$A$2:$D$5,MATCH(M311,Lookup!$A$1:$D$1,0),FALSE)</f>
        <v>0.08</v>
      </c>
      <c r="O311">
        <f t="shared" si="26"/>
        <v>299720.24</v>
      </c>
      <c r="P311" s="7">
        <f t="shared" si="27"/>
        <v>0.88131091629253078</v>
      </c>
      <c r="Q311" s="7">
        <f t="shared" si="28"/>
        <v>9664.9020408163269</v>
      </c>
      <c r="R311">
        <f t="shared" si="29"/>
        <v>0.43780159791677736</v>
      </c>
    </row>
    <row r="312" spans="1:18" x14ac:dyDescent="0.25">
      <c r="A312" t="s">
        <v>201</v>
      </c>
      <c r="B312" t="s">
        <v>202</v>
      </c>
      <c r="C312" t="s">
        <v>17</v>
      </c>
      <c r="D312">
        <v>11932</v>
      </c>
      <c r="E312" s="1">
        <v>44104</v>
      </c>
      <c r="F312" s="2">
        <f t="shared" si="24"/>
        <v>2020</v>
      </c>
      <c r="G312">
        <v>493</v>
      </c>
      <c r="H312" s="3">
        <v>6322033</v>
      </c>
      <c r="I312">
        <v>710467</v>
      </c>
      <c r="J312">
        <v>6322033</v>
      </c>
      <c r="K312">
        <v>5732577</v>
      </c>
      <c r="L312">
        <v>5370526</v>
      </c>
      <c r="M312" t="str">
        <f t="shared" si="25"/>
        <v>Large</v>
      </c>
      <c r="N312">
        <f>VLOOKUP(C312,Lookup!$A$2:$D$5,MATCH(M312,Lookup!$A$1:$D$1,0),FALSE)</f>
        <v>0.08</v>
      </c>
      <c r="O312">
        <f t="shared" si="26"/>
        <v>429642.08</v>
      </c>
      <c r="P312" s="7">
        <f t="shared" si="27"/>
        <v>0.9067616382261845</v>
      </c>
      <c r="Q312" s="7">
        <f t="shared" si="28"/>
        <v>12823.596348884381</v>
      </c>
      <c r="R312">
        <f t="shared" si="29"/>
        <v>1.6536252687353157</v>
      </c>
    </row>
    <row r="313" spans="1:18" x14ac:dyDescent="0.25">
      <c r="A313" t="s">
        <v>203</v>
      </c>
      <c r="B313" t="s">
        <v>26</v>
      </c>
      <c r="C313" t="s">
        <v>20</v>
      </c>
      <c r="D313">
        <v>2109</v>
      </c>
      <c r="E313" s="1">
        <v>43738</v>
      </c>
      <c r="F313" s="2">
        <f t="shared" si="24"/>
        <v>2019</v>
      </c>
      <c r="G313">
        <v>767</v>
      </c>
      <c r="H313" s="3">
        <v>8654381</v>
      </c>
      <c r="I313">
        <v>74787</v>
      </c>
      <c r="J313">
        <v>8654381</v>
      </c>
      <c r="K313">
        <v>7802992</v>
      </c>
      <c r="L313">
        <v>6700308</v>
      </c>
      <c r="M313" t="str">
        <f t="shared" si="25"/>
        <v>Large</v>
      </c>
      <c r="N313">
        <f>VLOOKUP(C313,Lookup!$A$2:$D$5,MATCH(M313,Lookup!$A$1:$D$1,0),FALSE)</f>
        <v>0.08</v>
      </c>
      <c r="O313">
        <f t="shared" si="26"/>
        <v>536024.64</v>
      </c>
      <c r="P313" s="7">
        <f t="shared" si="27"/>
        <v>0.90162335122523496</v>
      </c>
      <c r="Q313" s="7">
        <f t="shared" si="28"/>
        <v>11283.417209908735</v>
      </c>
      <c r="R313">
        <f t="shared" si="29"/>
        <v>0.13952157124717252</v>
      </c>
    </row>
    <row r="314" spans="1:18" x14ac:dyDescent="0.25">
      <c r="A314" t="s">
        <v>203</v>
      </c>
      <c r="B314" t="s">
        <v>26</v>
      </c>
      <c r="C314" t="s">
        <v>20</v>
      </c>
      <c r="D314">
        <v>2109</v>
      </c>
      <c r="E314" s="1">
        <v>44104</v>
      </c>
      <c r="F314" s="2">
        <f t="shared" si="24"/>
        <v>2020</v>
      </c>
      <c r="G314">
        <v>798</v>
      </c>
      <c r="H314" s="3">
        <v>9399435</v>
      </c>
      <c r="I314">
        <v>543113</v>
      </c>
      <c r="J314">
        <v>9399435</v>
      </c>
      <c r="K314">
        <v>8522301</v>
      </c>
      <c r="L314">
        <v>7883262</v>
      </c>
      <c r="M314" t="str">
        <f t="shared" si="25"/>
        <v>Large</v>
      </c>
      <c r="N314">
        <f>VLOOKUP(C314,Lookup!$A$2:$D$5,MATCH(M314,Lookup!$A$1:$D$1,0),FALSE)</f>
        <v>0.08</v>
      </c>
      <c r="O314">
        <f t="shared" si="26"/>
        <v>630660.96</v>
      </c>
      <c r="P314" s="7">
        <f t="shared" si="27"/>
        <v>0.90668226334880764</v>
      </c>
      <c r="Q314" s="7">
        <f t="shared" si="28"/>
        <v>11778.74060150376</v>
      </c>
      <c r="R314">
        <f t="shared" si="29"/>
        <v>0.86118062548219254</v>
      </c>
    </row>
    <row r="315" spans="1:18" x14ac:dyDescent="0.25">
      <c r="A315" t="s">
        <v>204</v>
      </c>
      <c r="B315" t="s">
        <v>26</v>
      </c>
      <c r="C315" t="s">
        <v>20</v>
      </c>
      <c r="D315">
        <v>2108</v>
      </c>
      <c r="E315" s="1">
        <v>43738</v>
      </c>
      <c r="F315" s="2">
        <f t="shared" si="24"/>
        <v>2019</v>
      </c>
      <c r="G315">
        <v>62</v>
      </c>
      <c r="H315" s="3">
        <v>51453</v>
      </c>
      <c r="I315">
        <v>9986</v>
      </c>
      <c r="J315">
        <v>51453</v>
      </c>
      <c r="K315">
        <v>13125</v>
      </c>
      <c r="L315">
        <v>500</v>
      </c>
      <c r="M315" t="str">
        <f t="shared" si="25"/>
        <v>Small</v>
      </c>
      <c r="N315">
        <f>VLOOKUP(C315,Lookup!$A$2:$D$5,MATCH(M315,Lookup!$A$1:$D$1,0),FALSE)</f>
        <v>9.5000000000000001E-2</v>
      </c>
      <c r="O315">
        <f t="shared" si="26"/>
        <v>47.5</v>
      </c>
      <c r="P315" s="7">
        <f t="shared" si="27"/>
        <v>0.25508716692904204</v>
      </c>
      <c r="Q315" s="7">
        <f t="shared" si="28"/>
        <v>829.88709677419354</v>
      </c>
      <c r="R315">
        <f t="shared" si="29"/>
        <v>210.23157894736843</v>
      </c>
    </row>
    <row r="316" spans="1:18" x14ac:dyDescent="0.25">
      <c r="A316" t="s">
        <v>204</v>
      </c>
      <c r="B316" t="s">
        <v>26</v>
      </c>
      <c r="C316" t="s">
        <v>20</v>
      </c>
      <c r="D316">
        <v>2108</v>
      </c>
      <c r="E316" s="1">
        <v>44104</v>
      </c>
      <c r="F316" s="2">
        <f t="shared" si="24"/>
        <v>2020</v>
      </c>
      <c r="G316">
        <v>70</v>
      </c>
      <c r="H316" s="3">
        <v>52204</v>
      </c>
      <c r="I316">
        <v>10062</v>
      </c>
      <c r="J316">
        <v>52204</v>
      </c>
      <c r="K316">
        <v>13499</v>
      </c>
      <c r="L316">
        <v>500</v>
      </c>
      <c r="M316" t="str">
        <f t="shared" si="25"/>
        <v>Small</v>
      </c>
      <c r="N316">
        <f>VLOOKUP(C316,Lookup!$A$2:$D$5,MATCH(M316,Lookup!$A$1:$D$1,0),FALSE)</f>
        <v>9.5000000000000001E-2</v>
      </c>
      <c r="O316">
        <f t="shared" si="26"/>
        <v>47.5</v>
      </c>
      <c r="P316" s="7">
        <f t="shared" si="27"/>
        <v>0.25858171787602485</v>
      </c>
      <c r="Q316" s="7">
        <f t="shared" si="28"/>
        <v>745.7714285714286</v>
      </c>
      <c r="R316">
        <f t="shared" si="29"/>
        <v>211.83157894736843</v>
      </c>
    </row>
    <row r="317" spans="1:18" x14ac:dyDescent="0.25">
      <c r="A317" t="s">
        <v>204</v>
      </c>
      <c r="B317" t="s">
        <v>26</v>
      </c>
      <c r="C317" t="s">
        <v>20</v>
      </c>
      <c r="D317">
        <v>2108</v>
      </c>
      <c r="E317" s="1">
        <v>44469</v>
      </c>
      <c r="F317" s="2">
        <f t="shared" si="24"/>
        <v>2021</v>
      </c>
      <c r="G317">
        <v>70</v>
      </c>
      <c r="H317" s="3">
        <v>62250</v>
      </c>
      <c r="I317">
        <v>16941</v>
      </c>
      <c r="J317">
        <v>62250</v>
      </c>
      <c r="K317">
        <v>20035</v>
      </c>
      <c r="L317">
        <v>500</v>
      </c>
      <c r="M317" t="str">
        <f t="shared" si="25"/>
        <v>Small</v>
      </c>
      <c r="N317">
        <f>VLOOKUP(C317,Lookup!$A$2:$D$5,MATCH(M317,Lookup!$A$1:$D$1,0),FALSE)</f>
        <v>9.5000000000000001E-2</v>
      </c>
      <c r="O317">
        <f t="shared" si="26"/>
        <v>47.5</v>
      </c>
      <c r="P317" s="7">
        <f t="shared" si="27"/>
        <v>0.32184738955823294</v>
      </c>
      <c r="Q317" s="7">
        <f t="shared" si="28"/>
        <v>889.28571428571433</v>
      </c>
      <c r="R317">
        <f t="shared" si="29"/>
        <v>356.65263157894736</v>
      </c>
    </row>
    <row r="318" spans="1:18" x14ac:dyDescent="0.25">
      <c r="A318" t="s">
        <v>205</v>
      </c>
      <c r="B318" t="s">
        <v>206</v>
      </c>
      <c r="C318" t="s">
        <v>8</v>
      </c>
      <c r="D318">
        <v>60712</v>
      </c>
      <c r="E318" s="1">
        <v>43738</v>
      </c>
      <c r="F318" s="2">
        <f t="shared" si="24"/>
        <v>2019</v>
      </c>
      <c r="G318">
        <v>22</v>
      </c>
      <c r="H318" s="3">
        <v>122310</v>
      </c>
      <c r="I318">
        <v>25519</v>
      </c>
      <c r="J318">
        <v>122310</v>
      </c>
      <c r="K318">
        <v>107817</v>
      </c>
      <c r="L318">
        <v>103312</v>
      </c>
      <c r="M318" t="str">
        <f t="shared" si="25"/>
        <v>Medium</v>
      </c>
      <c r="N318">
        <f>VLOOKUP(C318,Lookup!$A$2:$D$5,MATCH(M318,Lookup!$A$1:$D$1,0),FALSE)</f>
        <v>0.08</v>
      </c>
      <c r="O318">
        <f t="shared" si="26"/>
        <v>8264.9600000000009</v>
      </c>
      <c r="P318" s="7">
        <f t="shared" si="27"/>
        <v>0.88150600932057888</v>
      </c>
      <c r="Q318" s="7">
        <f t="shared" si="28"/>
        <v>5559.545454545455</v>
      </c>
      <c r="R318">
        <f t="shared" si="29"/>
        <v>3.0876132491869286</v>
      </c>
    </row>
    <row r="319" spans="1:18" x14ac:dyDescent="0.25">
      <c r="A319" t="s">
        <v>205</v>
      </c>
      <c r="B319" t="s">
        <v>206</v>
      </c>
      <c r="C319" t="s">
        <v>8</v>
      </c>
      <c r="D319">
        <v>60712</v>
      </c>
      <c r="E319" s="1">
        <v>44104</v>
      </c>
      <c r="F319" s="2">
        <f t="shared" si="24"/>
        <v>2020</v>
      </c>
      <c r="G319">
        <v>22</v>
      </c>
      <c r="H319" s="3">
        <v>161310</v>
      </c>
      <c r="I319">
        <v>56897</v>
      </c>
      <c r="J319">
        <v>161310</v>
      </c>
      <c r="K319">
        <v>146213</v>
      </c>
      <c r="L319">
        <v>137688</v>
      </c>
      <c r="M319" t="str">
        <f t="shared" si="25"/>
        <v>Medium</v>
      </c>
      <c r="N319">
        <f>VLOOKUP(C319,Lookup!$A$2:$D$5,MATCH(M319,Lookup!$A$1:$D$1,0),FALSE)</f>
        <v>0.08</v>
      </c>
      <c r="O319">
        <f t="shared" si="26"/>
        <v>11015.04</v>
      </c>
      <c r="P319" s="7">
        <f t="shared" si="27"/>
        <v>0.90641001797780674</v>
      </c>
      <c r="Q319" s="7">
        <f t="shared" si="28"/>
        <v>7332.272727272727</v>
      </c>
      <c r="R319">
        <f t="shared" si="29"/>
        <v>5.1653920457846718</v>
      </c>
    </row>
    <row r="320" spans="1:18" x14ac:dyDescent="0.25">
      <c r="A320" t="s">
        <v>205</v>
      </c>
      <c r="B320" t="s">
        <v>206</v>
      </c>
      <c r="C320" t="s">
        <v>8</v>
      </c>
      <c r="D320">
        <v>60712</v>
      </c>
      <c r="E320" s="1">
        <v>44469</v>
      </c>
      <c r="F320" s="2">
        <f t="shared" si="24"/>
        <v>2021</v>
      </c>
      <c r="G320">
        <v>22</v>
      </c>
      <c r="H320" s="3">
        <v>170048</v>
      </c>
      <c r="I320">
        <v>63329</v>
      </c>
      <c r="J320">
        <v>170048</v>
      </c>
      <c r="K320">
        <v>154746</v>
      </c>
      <c r="L320">
        <v>150263</v>
      </c>
      <c r="M320" t="str">
        <f t="shared" si="25"/>
        <v>Medium</v>
      </c>
      <c r="N320">
        <f>VLOOKUP(C320,Lookup!$A$2:$D$5,MATCH(M320,Lookup!$A$1:$D$1,0),FALSE)</f>
        <v>0.08</v>
      </c>
      <c r="O320">
        <f t="shared" si="26"/>
        <v>12021.04</v>
      </c>
      <c r="P320" s="7">
        <f t="shared" si="27"/>
        <v>0.91001364320662403</v>
      </c>
      <c r="Q320" s="7">
        <f t="shared" si="28"/>
        <v>7729.454545454545</v>
      </c>
      <c r="R320">
        <f t="shared" si="29"/>
        <v>5.2681797914323552</v>
      </c>
    </row>
    <row r="321" spans="1:18" x14ac:dyDescent="0.25">
      <c r="A321" t="s">
        <v>207</v>
      </c>
      <c r="B321" t="s">
        <v>208</v>
      </c>
      <c r="C321" t="s">
        <v>20</v>
      </c>
      <c r="D321">
        <v>2767</v>
      </c>
      <c r="E321" s="1">
        <v>43738</v>
      </c>
      <c r="F321" s="2">
        <f t="shared" si="24"/>
        <v>2019</v>
      </c>
      <c r="G321">
        <v>115</v>
      </c>
      <c r="H321" s="3">
        <v>622905</v>
      </c>
      <c r="I321">
        <v>8366</v>
      </c>
      <c r="J321">
        <v>622905</v>
      </c>
      <c r="K321">
        <v>561713</v>
      </c>
      <c r="L321">
        <v>532617</v>
      </c>
      <c r="M321" t="str">
        <f t="shared" si="25"/>
        <v>Medium</v>
      </c>
      <c r="N321">
        <f>VLOOKUP(C321,Lookup!$A$2:$D$5,MATCH(M321,Lookup!$A$1:$D$1,0),FALSE)</f>
        <v>8.5000000000000006E-2</v>
      </c>
      <c r="O321">
        <f t="shared" si="26"/>
        <v>45272.445</v>
      </c>
      <c r="P321" s="7">
        <f t="shared" si="27"/>
        <v>0.90176351128984356</v>
      </c>
      <c r="Q321" s="7">
        <f t="shared" si="28"/>
        <v>5416.565217391304</v>
      </c>
      <c r="R321">
        <f t="shared" si="29"/>
        <v>0.18479231682759789</v>
      </c>
    </row>
    <row r="322" spans="1:18" x14ac:dyDescent="0.25">
      <c r="A322" t="s">
        <v>207</v>
      </c>
      <c r="B322" t="s">
        <v>208</v>
      </c>
      <c r="C322" t="s">
        <v>20</v>
      </c>
      <c r="D322">
        <v>2767</v>
      </c>
      <c r="E322" s="1">
        <v>44104</v>
      </c>
      <c r="F322" s="2">
        <f t="shared" ref="F322:F385" si="30">YEAR(E322)</f>
        <v>2020</v>
      </c>
      <c r="G322">
        <v>119</v>
      </c>
      <c r="H322" s="3">
        <v>712150</v>
      </c>
      <c r="I322">
        <v>38306</v>
      </c>
      <c r="J322">
        <v>712150</v>
      </c>
      <c r="K322">
        <v>645539</v>
      </c>
      <c r="L322">
        <v>620861</v>
      </c>
      <c r="M322" t="str">
        <f t="shared" ref="M322:M385" si="31">IF(H322&gt;1000000,"Large",IF(H322&lt;100000,"Small","Medium"))</f>
        <v>Medium</v>
      </c>
      <c r="N322">
        <f>VLOOKUP(C322,Lookup!$A$2:$D$5,MATCH(M322,Lookup!$A$1:$D$1,0),FALSE)</f>
        <v>8.5000000000000006E-2</v>
      </c>
      <c r="O322">
        <f t="shared" ref="O322:O385" si="32">L322*N322</f>
        <v>52773.185000000005</v>
      </c>
      <c r="P322" s="7">
        <f t="shared" ref="P322:P385" si="33">K322/H322</f>
        <v>0.90646493014112195</v>
      </c>
      <c r="Q322" s="7">
        <f t="shared" ref="Q322:Q385" si="34">H322/G322</f>
        <v>5984.453781512605</v>
      </c>
      <c r="R322">
        <f t="shared" ref="R322:R385" si="35">I322/O322</f>
        <v>0.72586105993034145</v>
      </c>
    </row>
    <row r="323" spans="1:18" x14ac:dyDescent="0.25">
      <c r="A323" t="s">
        <v>209</v>
      </c>
      <c r="B323" t="s">
        <v>210</v>
      </c>
      <c r="C323" t="s">
        <v>20</v>
      </c>
      <c r="D323">
        <v>2780</v>
      </c>
      <c r="E323" s="1">
        <v>43738</v>
      </c>
      <c r="F323" s="2">
        <f t="shared" si="30"/>
        <v>2019</v>
      </c>
      <c r="G323">
        <v>419</v>
      </c>
      <c r="H323" s="3">
        <v>2279692</v>
      </c>
      <c r="I323">
        <v>48655</v>
      </c>
      <c r="J323">
        <v>2279692</v>
      </c>
      <c r="K323">
        <v>1963969</v>
      </c>
      <c r="L323">
        <v>1906705</v>
      </c>
      <c r="M323" t="str">
        <f t="shared" si="31"/>
        <v>Large</v>
      </c>
      <c r="N323">
        <f>VLOOKUP(C323,Lookup!$A$2:$D$5,MATCH(M323,Lookup!$A$1:$D$1,0),FALSE)</f>
        <v>0.08</v>
      </c>
      <c r="O323">
        <f t="shared" si="32"/>
        <v>152536.4</v>
      </c>
      <c r="P323" s="7">
        <f t="shared" si="33"/>
        <v>0.86150629120074118</v>
      </c>
      <c r="Q323" s="7">
        <f t="shared" si="34"/>
        <v>5440.7923627684968</v>
      </c>
      <c r="R323">
        <f t="shared" si="35"/>
        <v>0.31897304512234459</v>
      </c>
    </row>
    <row r="324" spans="1:18" x14ac:dyDescent="0.25">
      <c r="A324" t="s">
        <v>209</v>
      </c>
      <c r="B324" t="s">
        <v>210</v>
      </c>
      <c r="C324" t="s">
        <v>20</v>
      </c>
      <c r="D324">
        <v>2780</v>
      </c>
      <c r="E324" s="1">
        <v>44104</v>
      </c>
      <c r="F324" s="2">
        <f t="shared" si="30"/>
        <v>2020</v>
      </c>
      <c r="G324">
        <v>425</v>
      </c>
      <c r="H324" s="3">
        <v>2745813</v>
      </c>
      <c r="I324">
        <v>135015</v>
      </c>
      <c r="J324">
        <v>2745814</v>
      </c>
      <c r="K324">
        <v>2432559</v>
      </c>
      <c r="L324">
        <v>2288667</v>
      </c>
      <c r="M324" t="str">
        <f t="shared" si="31"/>
        <v>Large</v>
      </c>
      <c r="N324">
        <f>VLOOKUP(C324,Lookup!$A$2:$D$5,MATCH(M324,Lookup!$A$1:$D$1,0),FALSE)</f>
        <v>0.08</v>
      </c>
      <c r="O324">
        <f t="shared" si="32"/>
        <v>183093.36000000002</v>
      </c>
      <c r="P324" s="7">
        <f t="shared" si="33"/>
        <v>0.88591575609846707</v>
      </c>
      <c r="Q324" s="7">
        <f t="shared" si="34"/>
        <v>6460.7364705882355</v>
      </c>
      <c r="R324">
        <f t="shared" si="35"/>
        <v>0.73741068490960016</v>
      </c>
    </row>
    <row r="325" spans="1:18" x14ac:dyDescent="0.25">
      <c r="A325" t="s">
        <v>209</v>
      </c>
      <c r="B325" t="s">
        <v>210</v>
      </c>
      <c r="C325" t="s">
        <v>20</v>
      </c>
      <c r="D325">
        <v>2780</v>
      </c>
      <c r="E325" s="1">
        <v>44469</v>
      </c>
      <c r="F325" s="2">
        <f t="shared" si="30"/>
        <v>2021</v>
      </c>
      <c r="G325">
        <v>326</v>
      </c>
      <c r="H325" s="3">
        <v>2990438</v>
      </c>
      <c r="I325">
        <v>200252</v>
      </c>
      <c r="J325">
        <v>2990438</v>
      </c>
      <c r="K325">
        <v>2613258</v>
      </c>
      <c r="L325">
        <v>2554758</v>
      </c>
      <c r="M325" t="str">
        <f t="shared" si="31"/>
        <v>Large</v>
      </c>
      <c r="N325">
        <f>VLOOKUP(C325,Lookup!$A$2:$D$5,MATCH(M325,Lookup!$A$1:$D$1,0),FALSE)</f>
        <v>0.08</v>
      </c>
      <c r="O325">
        <f t="shared" si="32"/>
        <v>204380.64</v>
      </c>
      <c r="P325" s="7">
        <f t="shared" si="33"/>
        <v>0.87387131918468131</v>
      </c>
      <c r="Q325" s="7">
        <f t="shared" si="34"/>
        <v>9173.1226993865039</v>
      </c>
      <c r="R325">
        <f t="shared" si="35"/>
        <v>0.9797992608301842</v>
      </c>
    </row>
    <row r="326" spans="1:18" x14ac:dyDescent="0.25">
      <c r="A326" t="s">
        <v>211</v>
      </c>
      <c r="B326" t="s">
        <v>47</v>
      </c>
      <c r="C326" t="s">
        <v>5</v>
      </c>
      <c r="D326">
        <v>90036</v>
      </c>
      <c r="E326" s="1">
        <v>43738</v>
      </c>
      <c r="F326" s="2">
        <f t="shared" si="30"/>
        <v>2019</v>
      </c>
      <c r="G326">
        <v>61</v>
      </c>
      <c r="H326" s="3">
        <v>412174</v>
      </c>
      <c r="I326">
        <v>21823</v>
      </c>
      <c r="J326">
        <v>412174</v>
      </c>
      <c r="K326">
        <v>361111</v>
      </c>
      <c r="L326">
        <v>283569</v>
      </c>
      <c r="M326" t="str">
        <f t="shared" si="31"/>
        <v>Medium</v>
      </c>
      <c r="N326">
        <f>VLOOKUP(C326,Lookup!$A$2:$D$5,MATCH(M326,Lookup!$A$1:$D$1,0),FALSE)</f>
        <v>0.09</v>
      </c>
      <c r="O326">
        <f t="shared" si="32"/>
        <v>25521.21</v>
      </c>
      <c r="P326" s="7">
        <f t="shared" si="33"/>
        <v>0.87611300082004206</v>
      </c>
      <c r="Q326" s="7">
        <f t="shared" si="34"/>
        <v>6756.9508196721308</v>
      </c>
      <c r="R326">
        <f t="shared" si="35"/>
        <v>0.85509268565244367</v>
      </c>
    </row>
    <row r="327" spans="1:18" x14ac:dyDescent="0.25">
      <c r="A327" t="s">
        <v>211</v>
      </c>
      <c r="B327" t="s">
        <v>47</v>
      </c>
      <c r="C327" t="s">
        <v>5</v>
      </c>
      <c r="D327">
        <v>90036</v>
      </c>
      <c r="E327" s="1">
        <v>44104</v>
      </c>
      <c r="F327" s="2">
        <f t="shared" si="30"/>
        <v>2020</v>
      </c>
      <c r="G327">
        <v>65</v>
      </c>
      <c r="H327" s="3">
        <v>497028</v>
      </c>
      <c r="I327">
        <v>69717</v>
      </c>
      <c r="J327">
        <v>497028</v>
      </c>
      <c r="K327">
        <v>446767</v>
      </c>
      <c r="L327">
        <v>329037</v>
      </c>
      <c r="M327" t="str">
        <f t="shared" si="31"/>
        <v>Medium</v>
      </c>
      <c r="N327">
        <f>VLOOKUP(C327,Lookup!$A$2:$D$5,MATCH(M327,Lookup!$A$1:$D$1,0),FALSE)</f>
        <v>0.09</v>
      </c>
      <c r="O327">
        <f t="shared" si="32"/>
        <v>29613.329999999998</v>
      </c>
      <c r="P327" s="7">
        <f t="shared" si="33"/>
        <v>0.89887692443886458</v>
      </c>
      <c r="Q327" s="7">
        <f t="shared" si="34"/>
        <v>7646.5846153846151</v>
      </c>
      <c r="R327">
        <f t="shared" si="35"/>
        <v>2.3542438489693662</v>
      </c>
    </row>
    <row r="328" spans="1:18" x14ac:dyDescent="0.25">
      <c r="A328" t="s">
        <v>212</v>
      </c>
      <c r="B328" t="s">
        <v>213</v>
      </c>
      <c r="C328" t="s">
        <v>20</v>
      </c>
      <c r="D328">
        <v>2445</v>
      </c>
      <c r="E328" s="1">
        <v>43738</v>
      </c>
      <c r="F328" s="2">
        <f t="shared" si="30"/>
        <v>2019</v>
      </c>
      <c r="G328">
        <v>431</v>
      </c>
      <c r="H328" s="3">
        <v>4979031</v>
      </c>
      <c r="I328">
        <v>98491</v>
      </c>
      <c r="J328">
        <v>4979031</v>
      </c>
      <c r="K328">
        <v>4436469</v>
      </c>
      <c r="L328">
        <v>3544406</v>
      </c>
      <c r="M328" t="str">
        <f t="shared" si="31"/>
        <v>Large</v>
      </c>
      <c r="N328">
        <f>VLOOKUP(C328,Lookup!$A$2:$D$5,MATCH(M328,Lookup!$A$1:$D$1,0),FALSE)</f>
        <v>0.08</v>
      </c>
      <c r="O328">
        <f t="shared" si="32"/>
        <v>283552.48</v>
      </c>
      <c r="P328" s="7">
        <f t="shared" si="33"/>
        <v>0.89103060414767454</v>
      </c>
      <c r="Q328" s="7">
        <f t="shared" si="34"/>
        <v>11552.276102088166</v>
      </c>
      <c r="R328">
        <f t="shared" si="35"/>
        <v>0.34734663579736635</v>
      </c>
    </row>
    <row r="329" spans="1:18" x14ac:dyDescent="0.25">
      <c r="A329" t="s">
        <v>212</v>
      </c>
      <c r="B329" t="s">
        <v>213</v>
      </c>
      <c r="C329" t="s">
        <v>20</v>
      </c>
      <c r="D329">
        <v>2445</v>
      </c>
      <c r="E329" s="1">
        <v>44104</v>
      </c>
      <c r="F329" s="2">
        <f t="shared" si="30"/>
        <v>2020</v>
      </c>
      <c r="G329">
        <v>495</v>
      </c>
      <c r="H329" s="3">
        <v>5855764</v>
      </c>
      <c r="I329">
        <v>185551</v>
      </c>
      <c r="J329">
        <v>5855764</v>
      </c>
      <c r="K329">
        <v>5267198</v>
      </c>
      <c r="L329">
        <v>4420674</v>
      </c>
      <c r="M329" t="str">
        <f t="shared" si="31"/>
        <v>Large</v>
      </c>
      <c r="N329">
        <f>VLOOKUP(C329,Lookup!$A$2:$D$5,MATCH(M329,Lookup!$A$1:$D$1,0),FALSE)</f>
        <v>0.08</v>
      </c>
      <c r="O329">
        <f t="shared" si="32"/>
        <v>353653.92</v>
      </c>
      <c r="P329" s="7">
        <f t="shared" si="33"/>
        <v>0.899489460299288</v>
      </c>
      <c r="Q329" s="7">
        <f t="shared" si="34"/>
        <v>11829.826262626262</v>
      </c>
      <c r="R329">
        <f t="shared" si="35"/>
        <v>0.52466829718726149</v>
      </c>
    </row>
    <row r="330" spans="1:18" x14ac:dyDescent="0.25">
      <c r="A330" t="s">
        <v>212</v>
      </c>
      <c r="B330" t="s">
        <v>213</v>
      </c>
      <c r="C330" t="s">
        <v>20</v>
      </c>
      <c r="D330">
        <v>2445</v>
      </c>
      <c r="E330" s="1">
        <v>44469</v>
      </c>
      <c r="F330" s="2">
        <f t="shared" si="30"/>
        <v>2021</v>
      </c>
      <c r="G330">
        <v>496</v>
      </c>
      <c r="H330" s="3">
        <v>5319415</v>
      </c>
      <c r="I330">
        <v>57158</v>
      </c>
      <c r="J330">
        <v>5319415</v>
      </c>
      <c r="K330">
        <v>4707730</v>
      </c>
      <c r="L330">
        <v>4319068</v>
      </c>
      <c r="M330" t="str">
        <f t="shared" si="31"/>
        <v>Large</v>
      </c>
      <c r="N330">
        <f>VLOOKUP(C330,Lookup!$A$2:$D$5,MATCH(M330,Lookup!$A$1:$D$1,0),FALSE)</f>
        <v>0.08</v>
      </c>
      <c r="O330">
        <f t="shared" si="32"/>
        <v>345525.44</v>
      </c>
      <c r="P330" s="7">
        <f t="shared" si="33"/>
        <v>0.88500897185122795</v>
      </c>
      <c r="Q330" s="7">
        <f t="shared" si="34"/>
        <v>10724.627016129032</v>
      </c>
      <c r="R330">
        <f t="shared" si="35"/>
        <v>0.1654234200526595</v>
      </c>
    </row>
    <row r="331" spans="1:18" x14ac:dyDescent="0.25">
      <c r="A331" t="s">
        <v>214</v>
      </c>
      <c r="B331" t="s">
        <v>215</v>
      </c>
      <c r="C331" t="s">
        <v>8</v>
      </c>
      <c r="D331">
        <v>60918</v>
      </c>
      <c r="E331" s="1">
        <v>43738</v>
      </c>
      <c r="F331" s="2">
        <f t="shared" si="30"/>
        <v>2019</v>
      </c>
      <c r="G331">
        <v>8</v>
      </c>
      <c r="H331" s="3">
        <v>41734</v>
      </c>
      <c r="I331">
        <v>4688</v>
      </c>
      <c r="J331">
        <v>41734</v>
      </c>
      <c r="K331">
        <v>36423</v>
      </c>
      <c r="L331">
        <v>36415</v>
      </c>
      <c r="M331" t="str">
        <f t="shared" si="31"/>
        <v>Small</v>
      </c>
      <c r="N331">
        <f>VLOOKUP(C331,Lookup!$A$2:$D$5,MATCH(M331,Lookup!$A$1:$D$1,0),FALSE)</f>
        <v>0.09</v>
      </c>
      <c r="O331">
        <f t="shared" si="32"/>
        <v>3277.35</v>
      </c>
      <c r="P331" s="7">
        <f t="shared" si="33"/>
        <v>0.87274164949441702</v>
      </c>
      <c r="Q331" s="7">
        <f t="shared" si="34"/>
        <v>5216.75</v>
      </c>
      <c r="R331">
        <f t="shared" si="35"/>
        <v>1.4304239705859918</v>
      </c>
    </row>
    <row r="332" spans="1:18" x14ac:dyDescent="0.25">
      <c r="A332" t="s">
        <v>214</v>
      </c>
      <c r="B332" t="s">
        <v>215</v>
      </c>
      <c r="C332" t="s">
        <v>8</v>
      </c>
      <c r="D332">
        <v>60918</v>
      </c>
      <c r="E332" s="1">
        <v>44104</v>
      </c>
      <c r="F332" s="2">
        <f t="shared" si="30"/>
        <v>2020</v>
      </c>
      <c r="G332">
        <v>8</v>
      </c>
      <c r="H332" s="3">
        <v>43973</v>
      </c>
      <c r="I332">
        <v>9232</v>
      </c>
      <c r="J332">
        <v>43973</v>
      </c>
      <c r="K332">
        <v>38633</v>
      </c>
      <c r="L332">
        <v>38608</v>
      </c>
      <c r="M332" t="str">
        <f t="shared" si="31"/>
        <v>Small</v>
      </c>
      <c r="N332">
        <f>VLOOKUP(C332,Lookup!$A$2:$D$5,MATCH(M332,Lookup!$A$1:$D$1,0),FALSE)</f>
        <v>0.09</v>
      </c>
      <c r="O332">
        <f t="shared" si="32"/>
        <v>3474.72</v>
      </c>
      <c r="P332" s="7">
        <f t="shared" si="33"/>
        <v>0.87856184476838062</v>
      </c>
      <c r="Q332" s="7">
        <f t="shared" si="34"/>
        <v>5496.625</v>
      </c>
      <c r="R332">
        <f t="shared" si="35"/>
        <v>2.6569047290141365</v>
      </c>
    </row>
    <row r="333" spans="1:18" x14ac:dyDescent="0.25">
      <c r="A333" t="s">
        <v>214</v>
      </c>
      <c r="B333" t="s">
        <v>215</v>
      </c>
      <c r="C333" t="s">
        <v>8</v>
      </c>
      <c r="D333">
        <v>60918</v>
      </c>
      <c r="E333" s="1">
        <v>44469</v>
      </c>
      <c r="F333" s="2">
        <f t="shared" si="30"/>
        <v>2021</v>
      </c>
      <c r="G333">
        <v>9</v>
      </c>
      <c r="H333" s="3">
        <v>50785</v>
      </c>
      <c r="I333">
        <v>4428</v>
      </c>
      <c r="J333">
        <v>50785</v>
      </c>
      <c r="K333">
        <v>45366</v>
      </c>
      <c r="L333">
        <v>45340</v>
      </c>
      <c r="M333" t="str">
        <f t="shared" si="31"/>
        <v>Small</v>
      </c>
      <c r="N333">
        <f>VLOOKUP(C333,Lookup!$A$2:$D$5,MATCH(M333,Lookup!$A$1:$D$1,0),FALSE)</f>
        <v>0.09</v>
      </c>
      <c r="O333">
        <f t="shared" si="32"/>
        <v>4080.6</v>
      </c>
      <c r="P333" s="7">
        <f t="shared" si="33"/>
        <v>0.89329526434970952</v>
      </c>
      <c r="Q333" s="7">
        <f t="shared" si="34"/>
        <v>5642.7777777777774</v>
      </c>
      <c r="R333">
        <f t="shared" si="35"/>
        <v>1.0851345390383766</v>
      </c>
    </row>
    <row r="334" spans="1:18" x14ac:dyDescent="0.25">
      <c r="A334" t="s">
        <v>216</v>
      </c>
      <c r="B334" t="s">
        <v>217</v>
      </c>
      <c r="C334" t="s">
        <v>8</v>
      </c>
      <c r="D334">
        <v>62233</v>
      </c>
      <c r="E334" s="1">
        <v>43738</v>
      </c>
      <c r="F334" s="2">
        <f t="shared" si="30"/>
        <v>2019</v>
      </c>
      <c r="G334">
        <v>63</v>
      </c>
      <c r="H334" s="3">
        <v>207566</v>
      </c>
      <c r="I334">
        <v>19322</v>
      </c>
      <c r="J334">
        <v>207566</v>
      </c>
      <c r="K334">
        <v>178227</v>
      </c>
      <c r="L334">
        <v>173092</v>
      </c>
      <c r="M334" t="str">
        <f t="shared" si="31"/>
        <v>Medium</v>
      </c>
      <c r="N334">
        <f>VLOOKUP(C334,Lookup!$A$2:$D$5,MATCH(M334,Lookup!$A$1:$D$1,0),FALSE)</f>
        <v>0.08</v>
      </c>
      <c r="O334">
        <f t="shared" si="32"/>
        <v>13847.36</v>
      </c>
      <c r="P334" s="7">
        <f t="shared" si="33"/>
        <v>0.8586521877378761</v>
      </c>
      <c r="Q334" s="7">
        <f t="shared" si="34"/>
        <v>3294.6984126984125</v>
      </c>
      <c r="R334">
        <f t="shared" si="35"/>
        <v>1.3953562267464701</v>
      </c>
    </row>
    <row r="335" spans="1:18" x14ac:dyDescent="0.25">
      <c r="A335" t="s">
        <v>216</v>
      </c>
      <c r="B335" t="s">
        <v>217</v>
      </c>
      <c r="C335" t="s">
        <v>8</v>
      </c>
      <c r="D335">
        <v>62233</v>
      </c>
      <c r="E335" s="1">
        <v>44104</v>
      </c>
      <c r="F335" s="2">
        <f t="shared" si="30"/>
        <v>2020</v>
      </c>
      <c r="G335">
        <v>59</v>
      </c>
      <c r="H335" s="3">
        <v>237910</v>
      </c>
      <c r="I335">
        <v>36589</v>
      </c>
      <c r="J335">
        <v>237910</v>
      </c>
      <c r="K335">
        <v>206417</v>
      </c>
      <c r="L335">
        <v>201354</v>
      </c>
      <c r="M335" t="str">
        <f t="shared" si="31"/>
        <v>Medium</v>
      </c>
      <c r="N335">
        <f>VLOOKUP(C335,Lookup!$A$2:$D$5,MATCH(M335,Lookup!$A$1:$D$1,0),FALSE)</f>
        <v>0.08</v>
      </c>
      <c r="O335">
        <f t="shared" si="32"/>
        <v>16108.32</v>
      </c>
      <c r="P335" s="7">
        <f t="shared" si="33"/>
        <v>0.86762641334958601</v>
      </c>
      <c r="Q335" s="7">
        <f t="shared" si="34"/>
        <v>4032.3728813559323</v>
      </c>
      <c r="R335">
        <f t="shared" si="35"/>
        <v>2.2714348858229783</v>
      </c>
    </row>
    <row r="336" spans="1:18" x14ac:dyDescent="0.25">
      <c r="A336" t="s">
        <v>216</v>
      </c>
      <c r="B336" t="s">
        <v>217</v>
      </c>
      <c r="C336" t="s">
        <v>8</v>
      </c>
      <c r="D336">
        <v>62233</v>
      </c>
      <c r="E336" s="1">
        <v>44469</v>
      </c>
      <c r="F336" s="2">
        <f t="shared" si="30"/>
        <v>2021</v>
      </c>
      <c r="G336">
        <v>58</v>
      </c>
      <c r="H336" s="3">
        <v>255556</v>
      </c>
      <c r="I336">
        <v>38042</v>
      </c>
      <c r="J336">
        <v>255556</v>
      </c>
      <c r="K336">
        <v>223372</v>
      </c>
      <c r="L336">
        <v>218634</v>
      </c>
      <c r="M336" t="str">
        <f t="shared" si="31"/>
        <v>Medium</v>
      </c>
      <c r="N336">
        <f>VLOOKUP(C336,Lookup!$A$2:$D$5,MATCH(M336,Lookup!$A$1:$D$1,0),FALSE)</f>
        <v>0.08</v>
      </c>
      <c r="O336">
        <f t="shared" si="32"/>
        <v>17490.72</v>
      </c>
      <c r="P336" s="7">
        <f t="shared" si="33"/>
        <v>0.87406282771682131</v>
      </c>
      <c r="Q336" s="7">
        <f t="shared" si="34"/>
        <v>4406.1379310344828</v>
      </c>
      <c r="R336">
        <f t="shared" si="35"/>
        <v>2.1749819332766176</v>
      </c>
    </row>
    <row r="337" spans="1:18" x14ac:dyDescent="0.25">
      <c r="A337" t="s">
        <v>218</v>
      </c>
      <c r="B337" t="s">
        <v>28</v>
      </c>
      <c r="C337" t="s">
        <v>8</v>
      </c>
      <c r="D337">
        <v>60604</v>
      </c>
      <c r="E337" s="1">
        <v>43738</v>
      </c>
      <c r="F337" s="2">
        <f t="shared" si="30"/>
        <v>2019</v>
      </c>
      <c r="G337">
        <v>17</v>
      </c>
      <c r="H337" s="3">
        <v>132299</v>
      </c>
      <c r="I337">
        <v>6035</v>
      </c>
      <c r="J337">
        <v>132300</v>
      </c>
      <c r="K337">
        <v>117077</v>
      </c>
      <c r="L337">
        <v>115659</v>
      </c>
      <c r="M337" t="str">
        <f t="shared" si="31"/>
        <v>Medium</v>
      </c>
      <c r="N337">
        <f>VLOOKUP(C337,Lookup!$A$2:$D$5,MATCH(M337,Lookup!$A$1:$D$1,0),FALSE)</f>
        <v>0.08</v>
      </c>
      <c r="O337">
        <f t="shared" si="32"/>
        <v>9252.7199999999993</v>
      </c>
      <c r="P337" s="7">
        <f t="shared" si="33"/>
        <v>0.88494244098594854</v>
      </c>
      <c r="Q337" s="7">
        <f t="shared" si="34"/>
        <v>7782.2941176470586</v>
      </c>
      <c r="R337">
        <f t="shared" si="35"/>
        <v>0.65224063842848379</v>
      </c>
    </row>
    <row r="338" spans="1:18" x14ac:dyDescent="0.25">
      <c r="A338" t="s">
        <v>218</v>
      </c>
      <c r="B338" t="s">
        <v>28</v>
      </c>
      <c r="C338" t="s">
        <v>8</v>
      </c>
      <c r="D338">
        <v>60604</v>
      </c>
      <c r="E338" s="1">
        <v>44104</v>
      </c>
      <c r="F338" s="2">
        <f t="shared" si="30"/>
        <v>2020</v>
      </c>
      <c r="G338">
        <v>16</v>
      </c>
      <c r="H338" s="3">
        <v>147022</v>
      </c>
      <c r="I338">
        <v>4224</v>
      </c>
      <c r="J338">
        <v>147022</v>
      </c>
      <c r="K338">
        <v>129509</v>
      </c>
      <c r="L338">
        <v>120827</v>
      </c>
      <c r="M338" t="str">
        <f t="shared" si="31"/>
        <v>Medium</v>
      </c>
      <c r="N338">
        <f>VLOOKUP(C338,Lookup!$A$2:$D$5,MATCH(M338,Lookup!$A$1:$D$1,0),FALSE)</f>
        <v>0.08</v>
      </c>
      <c r="O338">
        <f t="shared" si="32"/>
        <v>9666.16</v>
      </c>
      <c r="P338" s="7">
        <f t="shared" si="33"/>
        <v>0.88088177279590807</v>
      </c>
      <c r="Q338" s="7">
        <f t="shared" si="34"/>
        <v>9188.875</v>
      </c>
      <c r="R338">
        <f t="shared" si="35"/>
        <v>0.43698842146209044</v>
      </c>
    </row>
    <row r="339" spans="1:18" x14ac:dyDescent="0.25">
      <c r="A339" t="s">
        <v>218</v>
      </c>
      <c r="B339" t="s">
        <v>28</v>
      </c>
      <c r="C339" t="s">
        <v>8</v>
      </c>
      <c r="D339">
        <v>60604</v>
      </c>
      <c r="E339" s="1">
        <v>44469</v>
      </c>
      <c r="F339" s="2">
        <f t="shared" si="30"/>
        <v>2021</v>
      </c>
      <c r="G339">
        <v>17</v>
      </c>
      <c r="H339" s="3">
        <v>220359</v>
      </c>
      <c r="I339">
        <v>41758</v>
      </c>
      <c r="J339">
        <v>220359</v>
      </c>
      <c r="K339">
        <v>199294</v>
      </c>
      <c r="L339">
        <v>193360</v>
      </c>
      <c r="M339" t="str">
        <f t="shared" si="31"/>
        <v>Medium</v>
      </c>
      <c r="N339">
        <f>VLOOKUP(C339,Lookup!$A$2:$D$5,MATCH(M339,Lookup!$A$1:$D$1,0),FALSE)</f>
        <v>0.08</v>
      </c>
      <c r="O339">
        <f t="shared" si="32"/>
        <v>15468.800000000001</v>
      </c>
      <c r="P339" s="7">
        <f t="shared" si="33"/>
        <v>0.90440599204026162</v>
      </c>
      <c r="Q339" s="7">
        <f t="shared" si="34"/>
        <v>12962.294117647059</v>
      </c>
      <c r="R339">
        <f t="shared" si="35"/>
        <v>2.6994983450558543</v>
      </c>
    </row>
    <row r="340" spans="1:18" x14ac:dyDescent="0.25">
      <c r="A340" t="s">
        <v>219</v>
      </c>
      <c r="B340" t="s">
        <v>163</v>
      </c>
      <c r="C340" t="s">
        <v>8</v>
      </c>
      <c r="D340">
        <v>61820</v>
      </c>
      <c r="E340" s="1">
        <v>43738</v>
      </c>
      <c r="F340" s="2">
        <f t="shared" si="30"/>
        <v>2019</v>
      </c>
      <c r="G340">
        <v>1257</v>
      </c>
      <c r="H340" s="3">
        <v>7803711</v>
      </c>
      <c r="I340">
        <v>185479</v>
      </c>
      <c r="J340">
        <v>7803711</v>
      </c>
      <c r="K340">
        <v>6665004</v>
      </c>
      <c r="L340">
        <v>6381073</v>
      </c>
      <c r="M340" t="str">
        <f t="shared" si="31"/>
        <v>Large</v>
      </c>
      <c r="N340">
        <f>VLOOKUP(C340,Lookup!$A$2:$D$5,MATCH(M340,Lookup!$A$1:$D$1,0),FALSE)</f>
        <v>7.4999999999999997E-2</v>
      </c>
      <c r="O340">
        <f t="shared" si="32"/>
        <v>478580.47499999998</v>
      </c>
      <c r="P340" s="7">
        <f t="shared" si="33"/>
        <v>0.8540813466823669</v>
      </c>
      <c r="Q340" s="7">
        <f t="shared" si="34"/>
        <v>6208.2028639618138</v>
      </c>
      <c r="R340">
        <f t="shared" si="35"/>
        <v>0.38756073364672894</v>
      </c>
    </row>
    <row r="341" spans="1:18" x14ac:dyDescent="0.25">
      <c r="A341" t="s">
        <v>219</v>
      </c>
      <c r="B341" t="s">
        <v>163</v>
      </c>
      <c r="C341" t="s">
        <v>8</v>
      </c>
      <c r="D341">
        <v>61820</v>
      </c>
      <c r="E341" s="1">
        <v>44104</v>
      </c>
      <c r="F341" s="2">
        <f t="shared" si="30"/>
        <v>2020</v>
      </c>
      <c r="G341">
        <v>1323</v>
      </c>
      <c r="H341" s="3">
        <v>10516925</v>
      </c>
      <c r="I341">
        <v>471760</v>
      </c>
      <c r="J341">
        <v>10516925</v>
      </c>
      <c r="K341">
        <v>9129684</v>
      </c>
      <c r="L341">
        <v>8788741</v>
      </c>
      <c r="M341" t="str">
        <f t="shared" si="31"/>
        <v>Large</v>
      </c>
      <c r="N341">
        <f>VLOOKUP(C341,Lookup!$A$2:$D$5,MATCH(M341,Lookup!$A$1:$D$1,0),FALSE)</f>
        <v>7.4999999999999997E-2</v>
      </c>
      <c r="O341">
        <f t="shared" si="32"/>
        <v>659155.57499999995</v>
      </c>
      <c r="P341" s="7">
        <f t="shared" si="33"/>
        <v>0.86809442874224163</v>
      </c>
      <c r="Q341" s="7">
        <f t="shared" si="34"/>
        <v>7949.3008314436884</v>
      </c>
      <c r="R341">
        <f t="shared" si="35"/>
        <v>0.71570357271119189</v>
      </c>
    </row>
    <row r="342" spans="1:18" x14ac:dyDescent="0.25">
      <c r="A342" t="s">
        <v>219</v>
      </c>
      <c r="B342" t="s">
        <v>163</v>
      </c>
      <c r="C342" t="s">
        <v>8</v>
      </c>
      <c r="D342">
        <v>61820</v>
      </c>
      <c r="E342" s="1">
        <v>44469</v>
      </c>
      <c r="F342" s="2">
        <f t="shared" si="30"/>
        <v>2021</v>
      </c>
      <c r="G342">
        <v>1408</v>
      </c>
      <c r="H342" s="3">
        <v>12866133</v>
      </c>
      <c r="I342">
        <v>877365</v>
      </c>
      <c r="J342">
        <v>12866133</v>
      </c>
      <c r="K342">
        <v>11280516</v>
      </c>
      <c r="L342">
        <v>10895769</v>
      </c>
      <c r="M342" t="str">
        <f t="shared" si="31"/>
        <v>Large</v>
      </c>
      <c r="N342">
        <f>VLOOKUP(C342,Lookup!$A$2:$D$5,MATCH(M342,Lookup!$A$1:$D$1,0),FALSE)</f>
        <v>7.4999999999999997E-2</v>
      </c>
      <c r="O342">
        <f t="shared" si="32"/>
        <v>817182.67499999993</v>
      </c>
      <c r="P342" s="7">
        <f t="shared" si="33"/>
        <v>0.8767604065650495</v>
      </c>
      <c r="Q342" s="7">
        <f t="shared" si="34"/>
        <v>9137.878551136364</v>
      </c>
      <c r="R342">
        <f t="shared" si="35"/>
        <v>1.0736461097881207</v>
      </c>
    </row>
    <row r="343" spans="1:18" x14ac:dyDescent="0.25">
      <c r="A343" t="s">
        <v>220</v>
      </c>
      <c r="B343" t="s">
        <v>28</v>
      </c>
      <c r="C343" t="s">
        <v>8</v>
      </c>
      <c r="D343">
        <v>60601</v>
      </c>
      <c r="E343" s="1">
        <v>43738</v>
      </c>
      <c r="F343" s="2">
        <f t="shared" si="30"/>
        <v>2019</v>
      </c>
      <c r="G343">
        <v>1004</v>
      </c>
      <c r="H343" s="3">
        <v>5432970</v>
      </c>
      <c r="I343">
        <v>108839</v>
      </c>
      <c r="J343">
        <v>5432970</v>
      </c>
      <c r="K343">
        <v>4672752</v>
      </c>
      <c r="L343">
        <v>4088250</v>
      </c>
      <c r="M343" t="str">
        <f t="shared" si="31"/>
        <v>Large</v>
      </c>
      <c r="N343">
        <f>VLOOKUP(C343,Lookup!$A$2:$D$5,MATCH(M343,Lookup!$A$1:$D$1,0),FALSE)</f>
        <v>7.4999999999999997E-2</v>
      </c>
      <c r="O343">
        <f t="shared" si="32"/>
        <v>306618.75</v>
      </c>
      <c r="P343" s="7">
        <f t="shared" si="33"/>
        <v>0.86007321962020777</v>
      </c>
      <c r="Q343" s="7">
        <f t="shared" si="34"/>
        <v>5411.3247011952189</v>
      </c>
      <c r="R343">
        <f t="shared" si="35"/>
        <v>0.35496524592837198</v>
      </c>
    </row>
    <row r="344" spans="1:18" x14ac:dyDescent="0.25">
      <c r="A344" t="s">
        <v>220</v>
      </c>
      <c r="B344" t="s">
        <v>28</v>
      </c>
      <c r="C344" t="s">
        <v>8</v>
      </c>
      <c r="D344">
        <v>60601</v>
      </c>
      <c r="E344" s="1">
        <v>44104</v>
      </c>
      <c r="F344" s="2">
        <f t="shared" si="30"/>
        <v>2020</v>
      </c>
      <c r="G344">
        <v>964</v>
      </c>
      <c r="H344" s="3">
        <v>6490094</v>
      </c>
      <c r="I344">
        <v>101078</v>
      </c>
      <c r="J344">
        <v>6490094</v>
      </c>
      <c r="K344">
        <v>5677717</v>
      </c>
      <c r="L344">
        <v>4897790</v>
      </c>
      <c r="M344" t="str">
        <f t="shared" si="31"/>
        <v>Large</v>
      </c>
      <c r="N344">
        <f>VLOOKUP(C344,Lookup!$A$2:$D$5,MATCH(M344,Lookup!$A$1:$D$1,0),FALSE)</f>
        <v>7.4999999999999997E-2</v>
      </c>
      <c r="O344">
        <f t="shared" si="32"/>
        <v>367334.25</v>
      </c>
      <c r="P344" s="7">
        <f t="shared" si="33"/>
        <v>0.87482816119458362</v>
      </c>
      <c r="Q344" s="7">
        <f t="shared" si="34"/>
        <v>6732.4626556016601</v>
      </c>
      <c r="R344">
        <f t="shared" si="35"/>
        <v>0.27516628247978508</v>
      </c>
    </row>
    <row r="345" spans="1:18" x14ac:dyDescent="0.25">
      <c r="A345" t="s">
        <v>220</v>
      </c>
      <c r="B345" t="s">
        <v>28</v>
      </c>
      <c r="C345" t="s">
        <v>8</v>
      </c>
      <c r="D345">
        <v>60601</v>
      </c>
      <c r="E345" s="1">
        <v>44469</v>
      </c>
      <c r="F345" s="2">
        <f t="shared" si="30"/>
        <v>2021</v>
      </c>
      <c r="G345">
        <v>967</v>
      </c>
      <c r="H345" s="3">
        <v>6694301</v>
      </c>
      <c r="I345">
        <v>142878</v>
      </c>
      <c r="J345">
        <v>6694301</v>
      </c>
      <c r="K345">
        <v>5825367</v>
      </c>
      <c r="L345">
        <v>5214487</v>
      </c>
      <c r="M345" t="str">
        <f t="shared" si="31"/>
        <v>Large</v>
      </c>
      <c r="N345">
        <f>VLOOKUP(C345,Lookup!$A$2:$D$5,MATCH(M345,Lookup!$A$1:$D$1,0),FALSE)</f>
        <v>7.4999999999999997E-2</v>
      </c>
      <c r="O345">
        <f t="shared" si="32"/>
        <v>391086.52499999997</v>
      </c>
      <c r="P345" s="7">
        <f t="shared" si="33"/>
        <v>0.87019794897181946</v>
      </c>
      <c r="Q345" s="7">
        <f t="shared" si="34"/>
        <v>6922.7518097207858</v>
      </c>
      <c r="R345">
        <f t="shared" si="35"/>
        <v>0.36533603401446779</v>
      </c>
    </row>
    <row r="346" spans="1:18" x14ac:dyDescent="0.25">
      <c r="A346" t="s">
        <v>221</v>
      </c>
      <c r="B346" t="s">
        <v>222</v>
      </c>
      <c r="C346" t="s">
        <v>8</v>
      </c>
      <c r="D346">
        <v>61010</v>
      </c>
      <c r="E346" s="1">
        <v>43738</v>
      </c>
      <c r="F346" s="2">
        <f t="shared" si="30"/>
        <v>2019</v>
      </c>
      <c r="G346">
        <v>67</v>
      </c>
      <c r="H346" s="3">
        <v>275837</v>
      </c>
      <c r="I346">
        <v>15540</v>
      </c>
      <c r="J346">
        <v>275837</v>
      </c>
      <c r="K346">
        <v>246787</v>
      </c>
      <c r="L346">
        <v>244779</v>
      </c>
      <c r="M346" t="str">
        <f t="shared" si="31"/>
        <v>Medium</v>
      </c>
      <c r="N346">
        <f>VLOOKUP(C346,Lookup!$A$2:$D$5,MATCH(M346,Lookup!$A$1:$D$1,0),FALSE)</f>
        <v>0.08</v>
      </c>
      <c r="O346">
        <f t="shared" si="32"/>
        <v>19582.32</v>
      </c>
      <c r="P346" s="7">
        <f t="shared" si="33"/>
        <v>0.89468417942480527</v>
      </c>
      <c r="Q346" s="7">
        <f t="shared" si="34"/>
        <v>4116.9701492537315</v>
      </c>
      <c r="R346">
        <f t="shared" si="35"/>
        <v>0.79357297807409954</v>
      </c>
    </row>
    <row r="347" spans="1:18" x14ac:dyDescent="0.25">
      <c r="A347" t="s">
        <v>221</v>
      </c>
      <c r="B347" t="s">
        <v>222</v>
      </c>
      <c r="C347" t="s">
        <v>8</v>
      </c>
      <c r="D347">
        <v>61010</v>
      </c>
      <c r="E347" s="1">
        <v>44104</v>
      </c>
      <c r="F347" s="2">
        <f t="shared" si="30"/>
        <v>2020</v>
      </c>
      <c r="G347">
        <v>62</v>
      </c>
      <c r="H347" s="3">
        <v>325233</v>
      </c>
      <c r="I347">
        <v>34164</v>
      </c>
      <c r="J347">
        <v>325233</v>
      </c>
      <c r="K347">
        <v>293176</v>
      </c>
      <c r="L347">
        <v>287263</v>
      </c>
      <c r="M347" t="str">
        <f t="shared" si="31"/>
        <v>Medium</v>
      </c>
      <c r="N347">
        <f>VLOOKUP(C347,Lookup!$A$2:$D$5,MATCH(M347,Lookup!$A$1:$D$1,0),FALSE)</f>
        <v>0.08</v>
      </c>
      <c r="O347">
        <f t="shared" si="32"/>
        <v>22981.040000000001</v>
      </c>
      <c r="P347" s="7">
        <f t="shared" si="33"/>
        <v>0.90143374134851018</v>
      </c>
      <c r="Q347" s="7">
        <f t="shared" si="34"/>
        <v>5245.6935483870966</v>
      </c>
      <c r="R347">
        <f t="shared" si="35"/>
        <v>1.4866167936699122</v>
      </c>
    </row>
    <row r="348" spans="1:18" x14ac:dyDescent="0.25">
      <c r="A348" t="s">
        <v>221</v>
      </c>
      <c r="B348" t="s">
        <v>222</v>
      </c>
      <c r="C348" t="s">
        <v>8</v>
      </c>
      <c r="D348">
        <v>61010</v>
      </c>
      <c r="E348" s="1">
        <v>44469</v>
      </c>
      <c r="F348" s="2">
        <f t="shared" si="30"/>
        <v>2021</v>
      </c>
      <c r="G348">
        <v>65</v>
      </c>
      <c r="H348" s="3">
        <v>341803</v>
      </c>
      <c r="I348">
        <v>47680</v>
      </c>
      <c r="J348">
        <v>341803</v>
      </c>
      <c r="K348">
        <v>306950</v>
      </c>
      <c r="L348">
        <v>304943</v>
      </c>
      <c r="M348" t="str">
        <f t="shared" si="31"/>
        <v>Medium</v>
      </c>
      <c r="N348">
        <f>VLOOKUP(C348,Lookup!$A$2:$D$5,MATCH(M348,Lookup!$A$1:$D$1,0),FALSE)</f>
        <v>0.08</v>
      </c>
      <c r="O348">
        <f t="shared" si="32"/>
        <v>24395.439999999999</v>
      </c>
      <c r="P348" s="7">
        <f t="shared" si="33"/>
        <v>0.8980319072682218</v>
      </c>
      <c r="Q348" s="7">
        <f t="shared" si="34"/>
        <v>5258.5076923076922</v>
      </c>
      <c r="R348">
        <f t="shared" si="35"/>
        <v>1.9544636210701674</v>
      </c>
    </row>
    <row r="349" spans="1:18" x14ac:dyDescent="0.25">
      <c r="A349" t="s">
        <v>223</v>
      </c>
      <c r="B349" t="s">
        <v>224</v>
      </c>
      <c r="C349" t="s">
        <v>5</v>
      </c>
      <c r="D349">
        <v>92024</v>
      </c>
      <c r="E349" s="1">
        <v>43738</v>
      </c>
      <c r="F349" s="2">
        <f t="shared" si="30"/>
        <v>2019</v>
      </c>
      <c r="G349">
        <v>37</v>
      </c>
      <c r="H349" s="3">
        <v>326761</v>
      </c>
      <c r="I349">
        <v>39090</v>
      </c>
      <c r="J349">
        <v>326761</v>
      </c>
      <c r="K349">
        <v>283685</v>
      </c>
      <c r="L349">
        <v>282428</v>
      </c>
      <c r="M349" t="str">
        <f t="shared" si="31"/>
        <v>Medium</v>
      </c>
      <c r="N349">
        <f>VLOOKUP(C349,Lookup!$A$2:$D$5,MATCH(M349,Lookup!$A$1:$D$1,0),FALSE)</f>
        <v>0.09</v>
      </c>
      <c r="O349">
        <f t="shared" si="32"/>
        <v>25418.52</v>
      </c>
      <c r="P349" s="7">
        <f t="shared" si="33"/>
        <v>0.86817276235536067</v>
      </c>
      <c r="Q349" s="7">
        <f t="shared" si="34"/>
        <v>8831.3783783783783</v>
      </c>
      <c r="R349">
        <f t="shared" si="35"/>
        <v>1.5378550757479192</v>
      </c>
    </row>
    <row r="350" spans="1:18" x14ac:dyDescent="0.25">
      <c r="A350" t="s">
        <v>223</v>
      </c>
      <c r="B350" t="s">
        <v>224</v>
      </c>
      <c r="C350" t="s">
        <v>5</v>
      </c>
      <c r="D350">
        <v>92024</v>
      </c>
      <c r="E350" s="1">
        <v>44104</v>
      </c>
      <c r="F350" s="2">
        <f t="shared" si="30"/>
        <v>2020</v>
      </c>
      <c r="G350">
        <v>36</v>
      </c>
      <c r="H350" s="3">
        <v>470493</v>
      </c>
      <c r="I350">
        <v>70324</v>
      </c>
      <c r="J350">
        <v>470493</v>
      </c>
      <c r="K350">
        <v>422964</v>
      </c>
      <c r="L350">
        <v>411772</v>
      </c>
      <c r="M350" t="str">
        <f t="shared" si="31"/>
        <v>Medium</v>
      </c>
      <c r="N350">
        <f>VLOOKUP(C350,Lookup!$A$2:$D$5,MATCH(M350,Lookup!$A$1:$D$1,0),FALSE)</f>
        <v>0.09</v>
      </c>
      <c r="O350">
        <f t="shared" si="32"/>
        <v>37059.479999999996</v>
      </c>
      <c r="P350" s="7">
        <f t="shared" si="33"/>
        <v>0.89898043116475701</v>
      </c>
      <c r="Q350" s="7">
        <f t="shared" si="34"/>
        <v>13069.25</v>
      </c>
      <c r="R350">
        <f t="shared" si="35"/>
        <v>1.8975981314362751</v>
      </c>
    </row>
    <row r="351" spans="1:18" x14ac:dyDescent="0.25">
      <c r="A351" t="s">
        <v>223</v>
      </c>
      <c r="B351" t="s">
        <v>224</v>
      </c>
      <c r="C351" t="s">
        <v>5</v>
      </c>
      <c r="D351">
        <v>92024</v>
      </c>
      <c r="E351" s="1">
        <v>44469</v>
      </c>
      <c r="F351" s="2">
        <f t="shared" si="30"/>
        <v>2021</v>
      </c>
      <c r="G351">
        <v>42</v>
      </c>
      <c r="H351" s="3">
        <v>654000</v>
      </c>
      <c r="I351">
        <v>166404</v>
      </c>
      <c r="J351">
        <v>654000</v>
      </c>
      <c r="K351">
        <v>598506</v>
      </c>
      <c r="L351">
        <v>596908</v>
      </c>
      <c r="M351" t="str">
        <f t="shared" si="31"/>
        <v>Medium</v>
      </c>
      <c r="N351">
        <f>VLOOKUP(C351,Lookup!$A$2:$D$5,MATCH(M351,Lookup!$A$1:$D$1,0),FALSE)</f>
        <v>0.09</v>
      </c>
      <c r="O351">
        <f t="shared" si="32"/>
        <v>53721.72</v>
      </c>
      <c r="P351" s="7">
        <f t="shared" si="33"/>
        <v>0.91514678899082569</v>
      </c>
      <c r="Q351" s="7">
        <f t="shared" si="34"/>
        <v>15571.428571428571</v>
      </c>
      <c r="R351">
        <f t="shared" si="35"/>
        <v>3.0975180988248328</v>
      </c>
    </row>
    <row r="352" spans="1:18" x14ac:dyDescent="0.25">
      <c r="A352" t="s">
        <v>225</v>
      </c>
      <c r="B352" t="s">
        <v>226</v>
      </c>
      <c r="C352" t="s">
        <v>5</v>
      </c>
      <c r="D352">
        <v>94549</v>
      </c>
      <c r="E352" s="1">
        <v>43738</v>
      </c>
      <c r="F352" s="2">
        <f t="shared" si="30"/>
        <v>2019</v>
      </c>
      <c r="G352">
        <v>130</v>
      </c>
      <c r="H352" s="3">
        <v>1094856</v>
      </c>
      <c r="I352">
        <v>67661</v>
      </c>
      <c r="J352">
        <v>1094856</v>
      </c>
      <c r="K352">
        <v>968093</v>
      </c>
      <c r="L352">
        <v>926396</v>
      </c>
      <c r="M352" t="str">
        <f t="shared" si="31"/>
        <v>Large</v>
      </c>
      <c r="N352">
        <f>VLOOKUP(C352,Lookup!$A$2:$D$5,MATCH(M352,Lookup!$A$1:$D$1,0),FALSE)</f>
        <v>0.08</v>
      </c>
      <c r="O352">
        <f t="shared" si="32"/>
        <v>74111.680000000008</v>
      </c>
      <c r="P352" s="7">
        <f t="shared" si="33"/>
        <v>0.88421947726459005</v>
      </c>
      <c r="Q352" s="7">
        <f t="shared" si="34"/>
        <v>8421.9692307692312</v>
      </c>
      <c r="R352">
        <f t="shared" si="35"/>
        <v>0.91296000846290348</v>
      </c>
    </row>
    <row r="353" spans="1:18" x14ac:dyDescent="0.25">
      <c r="A353" t="s">
        <v>225</v>
      </c>
      <c r="B353" t="s">
        <v>793</v>
      </c>
      <c r="C353" t="s">
        <v>5</v>
      </c>
      <c r="D353">
        <v>94597</v>
      </c>
      <c r="E353" s="1">
        <v>44104</v>
      </c>
      <c r="F353" s="2">
        <f t="shared" si="30"/>
        <v>2020</v>
      </c>
      <c r="G353">
        <v>142</v>
      </c>
      <c r="H353" s="3">
        <v>1972944</v>
      </c>
      <c r="I353">
        <v>503893</v>
      </c>
      <c r="J353">
        <v>1972944</v>
      </c>
      <c r="K353">
        <v>1829639</v>
      </c>
      <c r="L353">
        <v>1448874</v>
      </c>
      <c r="M353" t="str">
        <f t="shared" si="31"/>
        <v>Large</v>
      </c>
      <c r="N353">
        <f>VLOOKUP(C353,Lookup!$A$2:$D$5,MATCH(M353,Lookup!$A$1:$D$1,0),FALSE)</f>
        <v>0.08</v>
      </c>
      <c r="O353">
        <f t="shared" si="32"/>
        <v>115909.92</v>
      </c>
      <c r="P353" s="7">
        <f t="shared" si="33"/>
        <v>0.9273648922625275</v>
      </c>
      <c r="Q353" s="7">
        <f t="shared" si="34"/>
        <v>13893.971830985916</v>
      </c>
      <c r="R353">
        <f t="shared" si="35"/>
        <v>4.3472810610170383</v>
      </c>
    </row>
    <row r="354" spans="1:18" x14ac:dyDescent="0.25">
      <c r="A354" t="s">
        <v>225</v>
      </c>
      <c r="B354" t="s">
        <v>793</v>
      </c>
      <c r="C354" t="s">
        <v>5</v>
      </c>
      <c r="D354">
        <v>94597</v>
      </c>
      <c r="E354" s="1">
        <v>44469</v>
      </c>
      <c r="F354" s="2">
        <f t="shared" si="30"/>
        <v>2021</v>
      </c>
      <c r="G354">
        <v>146</v>
      </c>
      <c r="H354" s="3">
        <v>2049148</v>
      </c>
      <c r="I354">
        <v>601050</v>
      </c>
      <c r="J354">
        <v>2049148</v>
      </c>
      <c r="K354">
        <v>1856965</v>
      </c>
      <c r="L354">
        <v>1746379</v>
      </c>
      <c r="M354" t="str">
        <f t="shared" si="31"/>
        <v>Large</v>
      </c>
      <c r="N354">
        <f>VLOOKUP(C354,Lookup!$A$2:$D$5,MATCH(M354,Lookup!$A$1:$D$1,0),FALSE)</f>
        <v>0.08</v>
      </c>
      <c r="O354">
        <f t="shared" si="32"/>
        <v>139710.32</v>
      </c>
      <c r="P354" s="7">
        <f t="shared" si="33"/>
        <v>0.90621321641970221</v>
      </c>
      <c r="Q354" s="7">
        <f t="shared" si="34"/>
        <v>14035.260273972603</v>
      </c>
      <c r="R354">
        <f t="shared" si="35"/>
        <v>4.3021159782613054</v>
      </c>
    </row>
    <row r="355" spans="1:18" x14ac:dyDescent="0.25">
      <c r="A355" t="s">
        <v>227</v>
      </c>
      <c r="B355" t="s">
        <v>228</v>
      </c>
      <c r="C355" t="s">
        <v>5</v>
      </c>
      <c r="D355">
        <v>92602</v>
      </c>
      <c r="E355" s="1">
        <v>43738</v>
      </c>
      <c r="F355" s="2">
        <f t="shared" si="30"/>
        <v>2019</v>
      </c>
      <c r="G355">
        <v>12</v>
      </c>
      <c r="H355" s="3">
        <v>82653</v>
      </c>
      <c r="I355">
        <v>10893</v>
      </c>
      <c r="J355">
        <v>82653</v>
      </c>
      <c r="K355">
        <v>70066</v>
      </c>
      <c r="L355">
        <v>55286</v>
      </c>
      <c r="M355" t="str">
        <f t="shared" si="31"/>
        <v>Small</v>
      </c>
      <c r="N355">
        <f>VLOOKUP(C355,Lookup!$A$2:$D$5,MATCH(M355,Lookup!$A$1:$D$1,0),FALSE)</f>
        <v>0.1</v>
      </c>
      <c r="O355">
        <f t="shared" si="32"/>
        <v>5528.6</v>
      </c>
      <c r="P355" s="7">
        <f t="shared" si="33"/>
        <v>0.84771272670078524</v>
      </c>
      <c r="Q355" s="7">
        <f t="shared" si="34"/>
        <v>6887.75</v>
      </c>
      <c r="R355">
        <f t="shared" si="35"/>
        <v>1.9702998950909814</v>
      </c>
    </row>
    <row r="356" spans="1:18" x14ac:dyDescent="0.25">
      <c r="A356" t="s">
        <v>227</v>
      </c>
      <c r="B356" t="s">
        <v>228</v>
      </c>
      <c r="C356" t="s">
        <v>5</v>
      </c>
      <c r="D356">
        <v>92602</v>
      </c>
      <c r="E356" s="1">
        <v>44104</v>
      </c>
      <c r="F356" s="2">
        <f t="shared" si="30"/>
        <v>2020</v>
      </c>
      <c r="G356">
        <v>12</v>
      </c>
      <c r="H356" s="3">
        <v>97413</v>
      </c>
      <c r="I356">
        <v>21300</v>
      </c>
      <c r="J356">
        <v>97413</v>
      </c>
      <c r="K356">
        <v>85746</v>
      </c>
      <c r="L356">
        <v>68136</v>
      </c>
      <c r="M356" t="str">
        <f t="shared" si="31"/>
        <v>Small</v>
      </c>
      <c r="N356">
        <f>VLOOKUP(C356,Lookup!$A$2:$D$5,MATCH(M356,Lookup!$A$1:$D$1,0),FALSE)</f>
        <v>0.1</v>
      </c>
      <c r="O356">
        <f t="shared" si="32"/>
        <v>6813.6</v>
      </c>
      <c r="P356" s="7">
        <f t="shared" si="33"/>
        <v>0.88023159126605277</v>
      </c>
      <c r="Q356" s="7">
        <f t="shared" si="34"/>
        <v>8117.75</v>
      </c>
      <c r="R356">
        <f t="shared" si="35"/>
        <v>3.1261007396970761</v>
      </c>
    </row>
    <row r="357" spans="1:18" x14ac:dyDescent="0.25">
      <c r="A357" t="s">
        <v>227</v>
      </c>
      <c r="B357" t="s">
        <v>228</v>
      </c>
      <c r="C357" t="s">
        <v>5</v>
      </c>
      <c r="D357">
        <v>92602</v>
      </c>
      <c r="E357" s="1">
        <v>44469</v>
      </c>
      <c r="F357" s="2">
        <f t="shared" si="30"/>
        <v>2021</v>
      </c>
      <c r="G357">
        <v>12</v>
      </c>
      <c r="H357" s="3">
        <v>104337</v>
      </c>
      <c r="I357">
        <v>22805</v>
      </c>
      <c r="J357">
        <v>104337</v>
      </c>
      <c r="K357">
        <v>92534</v>
      </c>
      <c r="L357">
        <v>80834</v>
      </c>
      <c r="M357" t="str">
        <f t="shared" si="31"/>
        <v>Medium</v>
      </c>
      <c r="N357">
        <f>VLOOKUP(C357,Lookup!$A$2:$D$5,MATCH(M357,Lookup!$A$1:$D$1,0),FALSE)</f>
        <v>0.09</v>
      </c>
      <c r="O357">
        <f t="shared" si="32"/>
        <v>7275.0599999999995</v>
      </c>
      <c r="P357" s="7">
        <f t="shared" si="33"/>
        <v>0.88687618007034896</v>
      </c>
      <c r="Q357" s="7">
        <f t="shared" si="34"/>
        <v>8694.75</v>
      </c>
      <c r="R357">
        <f t="shared" si="35"/>
        <v>3.1346820507322279</v>
      </c>
    </row>
    <row r="358" spans="1:18" x14ac:dyDescent="0.25">
      <c r="A358" t="s">
        <v>229</v>
      </c>
      <c r="B358" t="s">
        <v>228</v>
      </c>
      <c r="C358" t="s">
        <v>5</v>
      </c>
      <c r="D358">
        <v>92614</v>
      </c>
      <c r="E358" s="1">
        <v>43738</v>
      </c>
      <c r="F358" s="2">
        <f t="shared" si="30"/>
        <v>2019</v>
      </c>
      <c r="G358">
        <v>20</v>
      </c>
      <c r="H358" s="3">
        <v>145422</v>
      </c>
      <c r="I358">
        <v>23085</v>
      </c>
      <c r="J358">
        <v>145422</v>
      </c>
      <c r="K358">
        <v>76420</v>
      </c>
      <c r="L358">
        <v>71214</v>
      </c>
      <c r="M358" t="str">
        <f t="shared" si="31"/>
        <v>Medium</v>
      </c>
      <c r="N358">
        <f>VLOOKUP(C358,Lookup!$A$2:$D$5,MATCH(M358,Lookup!$A$1:$D$1,0),FALSE)</f>
        <v>0.09</v>
      </c>
      <c r="O358">
        <f t="shared" si="32"/>
        <v>6409.2599999999993</v>
      </c>
      <c r="P358" s="7">
        <f t="shared" si="33"/>
        <v>0.52550508176204425</v>
      </c>
      <c r="Q358" s="7">
        <f t="shared" si="34"/>
        <v>7271.1</v>
      </c>
      <c r="R358">
        <f t="shared" si="35"/>
        <v>3.601819866880108</v>
      </c>
    </row>
    <row r="359" spans="1:18" x14ac:dyDescent="0.25">
      <c r="A359" t="s">
        <v>229</v>
      </c>
      <c r="B359" t="s">
        <v>228</v>
      </c>
      <c r="C359" t="s">
        <v>5</v>
      </c>
      <c r="D359">
        <v>92614</v>
      </c>
      <c r="E359" s="1">
        <v>44104</v>
      </c>
      <c r="F359" s="2">
        <f t="shared" si="30"/>
        <v>2020</v>
      </c>
      <c r="G359">
        <v>17</v>
      </c>
      <c r="H359" s="3">
        <v>115713</v>
      </c>
      <c r="I359">
        <v>53831</v>
      </c>
      <c r="J359">
        <v>115713</v>
      </c>
      <c r="K359">
        <v>57082</v>
      </c>
      <c r="L359">
        <v>52364</v>
      </c>
      <c r="M359" t="str">
        <f t="shared" si="31"/>
        <v>Medium</v>
      </c>
      <c r="N359">
        <f>VLOOKUP(C359,Lookup!$A$2:$D$5,MATCH(M359,Lookup!$A$1:$D$1,0),FALSE)</f>
        <v>0.09</v>
      </c>
      <c r="O359">
        <f t="shared" si="32"/>
        <v>4712.76</v>
      </c>
      <c r="P359" s="7">
        <f t="shared" si="33"/>
        <v>0.49330671575363183</v>
      </c>
      <c r="Q359" s="7">
        <f t="shared" si="34"/>
        <v>6806.6470588235297</v>
      </c>
      <c r="R359">
        <f t="shared" si="35"/>
        <v>11.422393671648885</v>
      </c>
    </row>
    <row r="360" spans="1:18" x14ac:dyDescent="0.25">
      <c r="A360" t="s">
        <v>229</v>
      </c>
      <c r="B360" t="s">
        <v>228</v>
      </c>
      <c r="C360" t="s">
        <v>5</v>
      </c>
      <c r="D360">
        <v>92614</v>
      </c>
      <c r="E360" s="1">
        <v>44469</v>
      </c>
      <c r="F360" s="2">
        <f t="shared" si="30"/>
        <v>2021</v>
      </c>
      <c r="G360">
        <v>20</v>
      </c>
      <c r="H360" s="3">
        <v>146610</v>
      </c>
      <c r="I360">
        <v>94227</v>
      </c>
      <c r="J360">
        <v>146610</v>
      </c>
      <c r="K360">
        <v>102188</v>
      </c>
      <c r="L360">
        <v>101715</v>
      </c>
      <c r="M360" t="str">
        <f t="shared" si="31"/>
        <v>Medium</v>
      </c>
      <c r="N360">
        <f>VLOOKUP(C360,Lookup!$A$2:$D$5,MATCH(M360,Lookup!$A$1:$D$1,0),FALSE)</f>
        <v>0.09</v>
      </c>
      <c r="O360">
        <f t="shared" si="32"/>
        <v>9154.35</v>
      </c>
      <c r="P360" s="7">
        <f t="shared" si="33"/>
        <v>0.69700566127822117</v>
      </c>
      <c r="Q360" s="7">
        <f t="shared" si="34"/>
        <v>7330.5</v>
      </c>
      <c r="R360">
        <f t="shared" si="35"/>
        <v>10.293139327205099</v>
      </c>
    </row>
    <row r="361" spans="1:18" x14ac:dyDescent="0.25">
      <c r="A361" t="s">
        <v>230</v>
      </c>
      <c r="B361" t="s">
        <v>231</v>
      </c>
      <c r="C361" t="s">
        <v>5</v>
      </c>
      <c r="D361">
        <v>92683</v>
      </c>
      <c r="E361" s="1">
        <v>43738</v>
      </c>
      <c r="F361" s="2">
        <f t="shared" si="30"/>
        <v>2019</v>
      </c>
      <c r="G361">
        <v>18</v>
      </c>
      <c r="H361" s="3">
        <v>45401</v>
      </c>
      <c r="I361">
        <v>14646</v>
      </c>
      <c r="J361">
        <v>45401</v>
      </c>
      <c r="K361">
        <v>31889</v>
      </c>
      <c r="L361">
        <v>24381</v>
      </c>
      <c r="M361" t="str">
        <f t="shared" si="31"/>
        <v>Small</v>
      </c>
      <c r="N361">
        <f>VLOOKUP(C361,Lookup!$A$2:$D$5,MATCH(M361,Lookup!$A$1:$D$1,0),FALSE)</f>
        <v>0.1</v>
      </c>
      <c r="O361">
        <f t="shared" si="32"/>
        <v>2438.1</v>
      </c>
      <c r="P361" s="7">
        <f t="shared" si="33"/>
        <v>0.70238541001299526</v>
      </c>
      <c r="Q361" s="7">
        <f t="shared" si="34"/>
        <v>2522.2777777777778</v>
      </c>
      <c r="R361">
        <f t="shared" si="35"/>
        <v>6.0071367048111233</v>
      </c>
    </row>
    <row r="362" spans="1:18" x14ac:dyDescent="0.25">
      <c r="A362" t="s">
        <v>230</v>
      </c>
      <c r="B362" t="s">
        <v>231</v>
      </c>
      <c r="C362" t="s">
        <v>5</v>
      </c>
      <c r="D362">
        <v>92683</v>
      </c>
      <c r="E362" s="1">
        <v>44104</v>
      </c>
      <c r="F362" s="2">
        <f t="shared" si="30"/>
        <v>2020</v>
      </c>
      <c r="G362">
        <v>16</v>
      </c>
      <c r="H362" s="3">
        <v>71586</v>
      </c>
      <c r="I362">
        <v>28463</v>
      </c>
      <c r="J362">
        <v>71586</v>
      </c>
      <c r="K362">
        <v>59520</v>
      </c>
      <c r="L362">
        <v>49844</v>
      </c>
      <c r="M362" t="str">
        <f t="shared" si="31"/>
        <v>Small</v>
      </c>
      <c r="N362">
        <f>VLOOKUP(C362,Lookup!$A$2:$D$5,MATCH(M362,Lookup!$A$1:$D$1,0),FALSE)</f>
        <v>0.1</v>
      </c>
      <c r="O362">
        <f t="shared" si="32"/>
        <v>4984.4000000000005</v>
      </c>
      <c r="P362" s="7">
        <f t="shared" si="33"/>
        <v>0.83144748973262927</v>
      </c>
      <c r="Q362" s="7">
        <f t="shared" si="34"/>
        <v>4474.125</v>
      </c>
      <c r="R362">
        <f t="shared" si="35"/>
        <v>5.7104164994783719</v>
      </c>
    </row>
    <row r="363" spans="1:18" x14ac:dyDescent="0.25">
      <c r="A363" t="s">
        <v>230</v>
      </c>
      <c r="B363" t="s">
        <v>231</v>
      </c>
      <c r="C363" t="s">
        <v>5</v>
      </c>
      <c r="D363">
        <v>92683</v>
      </c>
      <c r="E363" s="1">
        <v>44469</v>
      </c>
      <c r="F363" s="2">
        <f t="shared" si="30"/>
        <v>2021</v>
      </c>
      <c r="G363">
        <v>16</v>
      </c>
      <c r="H363" s="3">
        <v>82282</v>
      </c>
      <c r="I363">
        <v>30076</v>
      </c>
      <c r="J363">
        <v>82282</v>
      </c>
      <c r="K363">
        <v>70898</v>
      </c>
      <c r="L363">
        <v>70379</v>
      </c>
      <c r="M363" t="str">
        <f t="shared" si="31"/>
        <v>Small</v>
      </c>
      <c r="N363">
        <f>VLOOKUP(C363,Lookup!$A$2:$D$5,MATCH(M363,Lookup!$A$1:$D$1,0),FALSE)</f>
        <v>0.1</v>
      </c>
      <c r="O363">
        <f t="shared" si="32"/>
        <v>7037.9000000000005</v>
      </c>
      <c r="P363" s="7">
        <f t="shared" si="33"/>
        <v>0.8616465326559879</v>
      </c>
      <c r="Q363" s="7">
        <f t="shared" si="34"/>
        <v>5142.625</v>
      </c>
      <c r="R363">
        <f t="shared" si="35"/>
        <v>4.2734338367979081</v>
      </c>
    </row>
    <row r="364" spans="1:18" x14ac:dyDescent="0.25">
      <c r="A364" t="s">
        <v>232</v>
      </c>
      <c r="B364" t="s">
        <v>101</v>
      </c>
      <c r="C364" t="s">
        <v>5</v>
      </c>
      <c r="D364">
        <v>94104</v>
      </c>
      <c r="E364" s="1">
        <v>43738</v>
      </c>
      <c r="F364" s="2">
        <f t="shared" si="30"/>
        <v>2019</v>
      </c>
      <c r="G364">
        <v>8</v>
      </c>
      <c r="H364" s="3">
        <v>74560</v>
      </c>
      <c r="I364">
        <v>4820</v>
      </c>
      <c r="J364">
        <v>74560</v>
      </c>
      <c r="K364">
        <v>41847</v>
      </c>
      <c r="L364">
        <v>40883</v>
      </c>
      <c r="M364" t="str">
        <f t="shared" si="31"/>
        <v>Small</v>
      </c>
      <c r="N364">
        <f>VLOOKUP(C364,Lookup!$A$2:$D$5,MATCH(M364,Lookup!$A$1:$D$1,0),FALSE)</f>
        <v>0.1</v>
      </c>
      <c r="O364">
        <f t="shared" si="32"/>
        <v>4088.3</v>
      </c>
      <c r="P364" s="7">
        <f t="shared" si="33"/>
        <v>0.56125268240343351</v>
      </c>
      <c r="Q364" s="7">
        <f t="shared" si="34"/>
        <v>9320</v>
      </c>
      <c r="R364">
        <f t="shared" si="35"/>
        <v>1.1789741457329452</v>
      </c>
    </row>
    <row r="365" spans="1:18" x14ac:dyDescent="0.25">
      <c r="A365" t="s">
        <v>232</v>
      </c>
      <c r="B365" t="s">
        <v>101</v>
      </c>
      <c r="C365" t="s">
        <v>5</v>
      </c>
      <c r="D365">
        <v>94104</v>
      </c>
      <c r="E365" s="1">
        <v>44104</v>
      </c>
      <c r="F365" s="2">
        <f t="shared" si="30"/>
        <v>2020</v>
      </c>
      <c r="G365">
        <v>8</v>
      </c>
      <c r="H365" s="3">
        <v>89177</v>
      </c>
      <c r="I365">
        <v>25042</v>
      </c>
      <c r="J365">
        <v>89177</v>
      </c>
      <c r="K365">
        <v>54918</v>
      </c>
      <c r="L365">
        <v>54093</v>
      </c>
      <c r="M365" t="str">
        <f t="shared" si="31"/>
        <v>Small</v>
      </c>
      <c r="N365">
        <f>VLOOKUP(C365,Lookup!$A$2:$D$5,MATCH(M365,Lookup!$A$1:$D$1,0),FALSE)</f>
        <v>0.1</v>
      </c>
      <c r="O365">
        <f t="shared" si="32"/>
        <v>5409.3</v>
      </c>
      <c r="P365" s="7">
        <f t="shared" si="33"/>
        <v>0.61583143635690818</v>
      </c>
      <c r="Q365" s="7">
        <f t="shared" si="34"/>
        <v>11147.125</v>
      </c>
      <c r="R365">
        <f t="shared" si="35"/>
        <v>4.6294344924481905</v>
      </c>
    </row>
    <row r="366" spans="1:18" x14ac:dyDescent="0.25">
      <c r="A366" t="s">
        <v>232</v>
      </c>
      <c r="B366" t="s">
        <v>101</v>
      </c>
      <c r="C366" t="s">
        <v>5</v>
      </c>
      <c r="D366">
        <v>94104</v>
      </c>
      <c r="E366" s="1">
        <v>44469</v>
      </c>
      <c r="F366" s="2">
        <f t="shared" si="30"/>
        <v>2021</v>
      </c>
      <c r="G366">
        <v>8</v>
      </c>
      <c r="H366" s="3">
        <v>79096</v>
      </c>
      <c r="I366">
        <v>18295</v>
      </c>
      <c r="J366">
        <v>79096</v>
      </c>
      <c r="K366">
        <v>43675</v>
      </c>
      <c r="L366">
        <v>43165</v>
      </c>
      <c r="M366" t="str">
        <f t="shared" si="31"/>
        <v>Small</v>
      </c>
      <c r="N366">
        <f>VLOOKUP(C366,Lookup!$A$2:$D$5,MATCH(M366,Lookup!$A$1:$D$1,0),FALSE)</f>
        <v>0.1</v>
      </c>
      <c r="O366">
        <f t="shared" si="32"/>
        <v>4316.5</v>
      </c>
      <c r="P366" s="7">
        <f t="shared" si="33"/>
        <v>0.55217710124405783</v>
      </c>
      <c r="Q366" s="7">
        <f t="shared" si="34"/>
        <v>9887</v>
      </c>
      <c r="R366">
        <f t="shared" si="35"/>
        <v>4.2383875825321438</v>
      </c>
    </row>
    <row r="367" spans="1:18" x14ac:dyDescent="0.25">
      <c r="A367" t="s">
        <v>233</v>
      </c>
      <c r="B367" t="s">
        <v>234</v>
      </c>
      <c r="C367" t="s">
        <v>5</v>
      </c>
      <c r="D367">
        <v>92037</v>
      </c>
      <c r="E367" s="1">
        <v>43738</v>
      </c>
      <c r="F367" s="2">
        <f t="shared" si="30"/>
        <v>2019</v>
      </c>
      <c r="G367">
        <v>130</v>
      </c>
      <c r="H367" s="3">
        <v>999638</v>
      </c>
      <c r="I367">
        <v>90108</v>
      </c>
      <c r="J367">
        <v>999638</v>
      </c>
      <c r="K367">
        <v>891681</v>
      </c>
      <c r="L367">
        <v>827936</v>
      </c>
      <c r="M367" t="str">
        <f t="shared" si="31"/>
        <v>Medium</v>
      </c>
      <c r="N367">
        <f>VLOOKUP(C367,Lookup!$A$2:$D$5,MATCH(M367,Lookup!$A$1:$D$1,0),FALSE)</f>
        <v>0.09</v>
      </c>
      <c r="O367">
        <f t="shared" si="32"/>
        <v>74514.239999999991</v>
      </c>
      <c r="P367" s="7">
        <f t="shared" si="33"/>
        <v>0.89200390541375973</v>
      </c>
      <c r="Q367" s="7">
        <f t="shared" si="34"/>
        <v>7689.5230769230766</v>
      </c>
      <c r="R367">
        <f t="shared" si="35"/>
        <v>1.2092722142774321</v>
      </c>
    </row>
    <row r="368" spans="1:18" x14ac:dyDescent="0.25">
      <c r="A368" t="s">
        <v>233</v>
      </c>
      <c r="B368" t="s">
        <v>234</v>
      </c>
      <c r="C368" t="s">
        <v>5</v>
      </c>
      <c r="D368">
        <v>92037</v>
      </c>
      <c r="E368" s="1">
        <v>44104</v>
      </c>
      <c r="F368" s="2">
        <f t="shared" si="30"/>
        <v>2020</v>
      </c>
      <c r="G368">
        <v>134</v>
      </c>
      <c r="H368" s="3">
        <v>1243375</v>
      </c>
      <c r="I368">
        <v>161107</v>
      </c>
      <c r="J368">
        <v>1243375</v>
      </c>
      <c r="K368">
        <v>1124704</v>
      </c>
      <c r="L368">
        <v>1031653</v>
      </c>
      <c r="M368" t="str">
        <f t="shared" si="31"/>
        <v>Large</v>
      </c>
      <c r="N368">
        <f>VLOOKUP(C368,Lookup!$A$2:$D$5,MATCH(M368,Lookup!$A$1:$D$1,0),FALSE)</f>
        <v>0.08</v>
      </c>
      <c r="O368">
        <f t="shared" si="32"/>
        <v>82532.240000000005</v>
      </c>
      <c r="P368" s="7">
        <f t="shared" si="33"/>
        <v>0.90455735397607318</v>
      </c>
      <c r="Q368" s="7">
        <f t="shared" si="34"/>
        <v>9278.9179104477607</v>
      </c>
      <c r="R368">
        <f t="shared" si="35"/>
        <v>1.9520492840131323</v>
      </c>
    </row>
    <row r="369" spans="1:18" x14ac:dyDescent="0.25">
      <c r="A369" t="s">
        <v>233</v>
      </c>
      <c r="B369" t="s">
        <v>234</v>
      </c>
      <c r="C369" t="s">
        <v>5</v>
      </c>
      <c r="D369">
        <v>92037</v>
      </c>
      <c r="E369" s="1">
        <v>44469</v>
      </c>
      <c r="F369" s="2">
        <f t="shared" si="30"/>
        <v>2021</v>
      </c>
      <c r="G369">
        <v>162</v>
      </c>
      <c r="H369" s="3">
        <v>1474186</v>
      </c>
      <c r="I369">
        <v>144313</v>
      </c>
      <c r="J369">
        <v>1474186</v>
      </c>
      <c r="K369">
        <v>1339431</v>
      </c>
      <c r="L369">
        <v>1319364</v>
      </c>
      <c r="M369" t="str">
        <f t="shared" si="31"/>
        <v>Large</v>
      </c>
      <c r="N369">
        <f>VLOOKUP(C369,Lookup!$A$2:$D$5,MATCH(M369,Lookup!$A$1:$D$1,0),FALSE)</f>
        <v>0.08</v>
      </c>
      <c r="O369">
        <f t="shared" si="32"/>
        <v>105549.12</v>
      </c>
      <c r="P369" s="7">
        <f t="shared" si="33"/>
        <v>0.90859023216880364</v>
      </c>
      <c r="Q369" s="7">
        <f t="shared" si="34"/>
        <v>9099.9135802469136</v>
      </c>
      <c r="R369">
        <f t="shared" si="35"/>
        <v>1.3672591491051749</v>
      </c>
    </row>
    <row r="370" spans="1:18" x14ac:dyDescent="0.25">
      <c r="A370" t="s">
        <v>235</v>
      </c>
      <c r="B370" t="s">
        <v>236</v>
      </c>
      <c r="C370" t="s">
        <v>5</v>
      </c>
      <c r="D370">
        <v>92688</v>
      </c>
      <c r="E370" s="1">
        <v>43738</v>
      </c>
      <c r="F370" s="2">
        <f t="shared" si="30"/>
        <v>2019</v>
      </c>
      <c r="G370">
        <v>40</v>
      </c>
      <c r="H370" s="3">
        <v>226463</v>
      </c>
      <c r="I370">
        <v>18542</v>
      </c>
      <c r="J370">
        <v>226463</v>
      </c>
      <c r="K370">
        <v>200522</v>
      </c>
      <c r="L370">
        <v>195362</v>
      </c>
      <c r="M370" t="str">
        <f t="shared" si="31"/>
        <v>Medium</v>
      </c>
      <c r="N370">
        <f>VLOOKUP(C370,Lookup!$A$2:$D$5,MATCH(M370,Lookup!$A$1:$D$1,0),FALSE)</f>
        <v>0.09</v>
      </c>
      <c r="O370">
        <f t="shared" si="32"/>
        <v>17582.579999999998</v>
      </c>
      <c r="P370" s="7">
        <f t="shared" si="33"/>
        <v>0.88545148655630279</v>
      </c>
      <c r="Q370" s="7">
        <f t="shared" si="34"/>
        <v>5661.5749999999998</v>
      </c>
      <c r="R370">
        <f t="shared" si="35"/>
        <v>1.0545665084418785</v>
      </c>
    </row>
    <row r="371" spans="1:18" x14ac:dyDescent="0.25">
      <c r="A371" t="s">
        <v>237</v>
      </c>
      <c r="B371" t="s">
        <v>238</v>
      </c>
      <c r="C371" t="s">
        <v>20</v>
      </c>
      <c r="D371">
        <v>2138</v>
      </c>
      <c r="E371" s="1">
        <v>43738</v>
      </c>
      <c r="F371" s="2">
        <f t="shared" si="30"/>
        <v>2019</v>
      </c>
      <c r="G371">
        <v>389</v>
      </c>
      <c r="H371" s="3">
        <v>4125490</v>
      </c>
      <c r="I371">
        <v>93650</v>
      </c>
      <c r="J371">
        <v>4125490</v>
      </c>
      <c r="K371">
        <v>3707036</v>
      </c>
      <c r="L371">
        <v>3133167</v>
      </c>
      <c r="M371" t="str">
        <f t="shared" si="31"/>
        <v>Large</v>
      </c>
      <c r="N371">
        <f>VLOOKUP(C371,Lookup!$A$2:$D$5,MATCH(M371,Lookup!$A$1:$D$1,0),FALSE)</f>
        <v>0.08</v>
      </c>
      <c r="O371">
        <f t="shared" si="32"/>
        <v>250653.36000000002</v>
      </c>
      <c r="P371" s="7">
        <f t="shared" si="33"/>
        <v>0.89856865487493609</v>
      </c>
      <c r="Q371" s="7">
        <f t="shared" si="34"/>
        <v>10605.372750642673</v>
      </c>
      <c r="R371">
        <f t="shared" si="35"/>
        <v>0.37362355725053914</v>
      </c>
    </row>
    <row r="372" spans="1:18" x14ac:dyDescent="0.25">
      <c r="A372" t="s">
        <v>237</v>
      </c>
      <c r="B372" t="s">
        <v>238</v>
      </c>
      <c r="C372" t="s">
        <v>20</v>
      </c>
      <c r="D372">
        <v>2138</v>
      </c>
      <c r="E372" s="1">
        <v>44104</v>
      </c>
      <c r="F372" s="2">
        <f t="shared" si="30"/>
        <v>2020</v>
      </c>
      <c r="G372">
        <v>428</v>
      </c>
      <c r="H372" s="3">
        <v>5194891</v>
      </c>
      <c r="I372">
        <v>142937</v>
      </c>
      <c r="J372">
        <v>5194891</v>
      </c>
      <c r="K372">
        <v>4745042</v>
      </c>
      <c r="L372">
        <v>4023459</v>
      </c>
      <c r="M372" t="str">
        <f t="shared" si="31"/>
        <v>Large</v>
      </c>
      <c r="N372">
        <f>VLOOKUP(C372,Lookup!$A$2:$D$5,MATCH(M372,Lookup!$A$1:$D$1,0),FALSE)</f>
        <v>0.08</v>
      </c>
      <c r="O372">
        <f t="shared" si="32"/>
        <v>321876.72000000003</v>
      </c>
      <c r="P372" s="7">
        <f t="shared" si="33"/>
        <v>0.91340549782468972</v>
      </c>
      <c r="Q372" s="7">
        <f t="shared" si="34"/>
        <v>12137.595794392524</v>
      </c>
      <c r="R372">
        <f t="shared" si="35"/>
        <v>0.44407374351273365</v>
      </c>
    </row>
    <row r="373" spans="1:18" x14ac:dyDescent="0.25">
      <c r="A373" t="s">
        <v>237</v>
      </c>
      <c r="B373" t="s">
        <v>238</v>
      </c>
      <c r="C373" t="s">
        <v>20</v>
      </c>
      <c r="D373">
        <v>2138</v>
      </c>
      <c r="E373" s="1">
        <v>44469</v>
      </c>
      <c r="F373" s="2">
        <f t="shared" si="30"/>
        <v>2021</v>
      </c>
      <c r="G373">
        <v>455</v>
      </c>
      <c r="H373" s="3">
        <v>5350980</v>
      </c>
      <c r="I373">
        <v>366283</v>
      </c>
      <c r="J373">
        <v>5350980</v>
      </c>
      <c r="K373">
        <v>4852227</v>
      </c>
      <c r="L373">
        <v>4522210</v>
      </c>
      <c r="M373" t="str">
        <f t="shared" si="31"/>
        <v>Large</v>
      </c>
      <c r="N373">
        <f>VLOOKUP(C373,Lookup!$A$2:$D$5,MATCH(M373,Lookup!$A$1:$D$1,0),FALSE)</f>
        <v>0.08</v>
      </c>
      <c r="O373">
        <f t="shared" si="32"/>
        <v>361776.8</v>
      </c>
      <c r="P373" s="7">
        <f t="shared" si="33"/>
        <v>0.90679221376271257</v>
      </c>
      <c r="Q373" s="7">
        <f t="shared" si="34"/>
        <v>11760.395604395604</v>
      </c>
      <c r="R373">
        <f t="shared" si="35"/>
        <v>1.0124557461948915</v>
      </c>
    </row>
    <row r="374" spans="1:18" x14ac:dyDescent="0.25">
      <c r="A374" t="s">
        <v>239</v>
      </c>
      <c r="B374" t="s">
        <v>238</v>
      </c>
      <c r="C374" t="s">
        <v>20</v>
      </c>
      <c r="D374">
        <v>2138</v>
      </c>
      <c r="E374" s="1">
        <v>43738</v>
      </c>
      <c r="F374" s="2">
        <f t="shared" si="30"/>
        <v>2019</v>
      </c>
      <c r="G374">
        <v>322</v>
      </c>
      <c r="H374" s="3">
        <v>2841855</v>
      </c>
      <c r="I374">
        <v>68907</v>
      </c>
      <c r="J374">
        <v>2841855</v>
      </c>
      <c r="K374">
        <v>2602703</v>
      </c>
      <c r="L374">
        <v>2412039</v>
      </c>
      <c r="M374" t="str">
        <f t="shared" si="31"/>
        <v>Large</v>
      </c>
      <c r="N374">
        <f>VLOOKUP(C374,Lookup!$A$2:$D$5,MATCH(M374,Lookup!$A$1:$D$1,0),FALSE)</f>
        <v>0.08</v>
      </c>
      <c r="O374">
        <f t="shared" si="32"/>
        <v>192963.12</v>
      </c>
      <c r="P374" s="7">
        <f t="shared" si="33"/>
        <v>0.9158465157441178</v>
      </c>
      <c r="Q374" s="7">
        <f t="shared" si="34"/>
        <v>8825.6366459627334</v>
      </c>
      <c r="R374">
        <f t="shared" si="35"/>
        <v>0.35709932550841839</v>
      </c>
    </row>
    <row r="375" spans="1:18" x14ac:dyDescent="0.25">
      <c r="A375" t="s">
        <v>239</v>
      </c>
      <c r="B375" t="s">
        <v>238</v>
      </c>
      <c r="C375" t="s">
        <v>20</v>
      </c>
      <c r="D375">
        <v>2138</v>
      </c>
      <c r="E375" s="1">
        <v>44104</v>
      </c>
      <c r="F375" s="2">
        <f t="shared" si="30"/>
        <v>2020</v>
      </c>
      <c r="G375">
        <v>383</v>
      </c>
      <c r="H375" s="3">
        <v>3986816</v>
      </c>
      <c r="I375">
        <v>64520</v>
      </c>
      <c r="J375">
        <v>3986815</v>
      </c>
      <c r="K375">
        <v>3592116</v>
      </c>
      <c r="L375">
        <v>3340132</v>
      </c>
      <c r="M375" t="str">
        <f t="shared" si="31"/>
        <v>Large</v>
      </c>
      <c r="N375">
        <f>VLOOKUP(C375,Lookup!$A$2:$D$5,MATCH(M375,Lookup!$A$1:$D$1,0),FALSE)</f>
        <v>0.08</v>
      </c>
      <c r="O375">
        <f t="shared" si="32"/>
        <v>267210.56</v>
      </c>
      <c r="P375" s="7">
        <f t="shared" si="33"/>
        <v>0.900998691687803</v>
      </c>
      <c r="Q375" s="7">
        <f t="shared" si="34"/>
        <v>10409.441253263707</v>
      </c>
      <c r="R375">
        <f t="shared" si="35"/>
        <v>0.24145752323560865</v>
      </c>
    </row>
    <row r="376" spans="1:18" x14ac:dyDescent="0.25">
      <c r="A376" t="s">
        <v>239</v>
      </c>
      <c r="B376" t="s">
        <v>238</v>
      </c>
      <c r="C376" t="s">
        <v>20</v>
      </c>
      <c r="D376">
        <v>2138</v>
      </c>
      <c r="E376" s="1">
        <v>44469</v>
      </c>
      <c r="F376" s="2">
        <f t="shared" si="30"/>
        <v>2021</v>
      </c>
      <c r="G376">
        <v>385</v>
      </c>
      <c r="H376" s="3">
        <v>4483246</v>
      </c>
      <c r="I376">
        <v>93477</v>
      </c>
      <c r="J376">
        <v>4483246</v>
      </c>
      <c r="K376">
        <v>4061324</v>
      </c>
      <c r="L376">
        <v>3940180</v>
      </c>
      <c r="M376" t="str">
        <f t="shared" si="31"/>
        <v>Large</v>
      </c>
      <c r="N376">
        <f>VLOOKUP(C376,Lookup!$A$2:$D$5,MATCH(M376,Lookup!$A$1:$D$1,0),FALSE)</f>
        <v>0.08</v>
      </c>
      <c r="O376">
        <f t="shared" si="32"/>
        <v>315214.40000000002</v>
      </c>
      <c r="P376" s="7">
        <f t="shared" si="33"/>
        <v>0.90588917048049555</v>
      </c>
      <c r="Q376" s="7">
        <f t="shared" si="34"/>
        <v>11644.794805194806</v>
      </c>
      <c r="R376">
        <f t="shared" si="35"/>
        <v>0.29655053830028066</v>
      </c>
    </row>
    <row r="377" spans="1:18" x14ac:dyDescent="0.25">
      <c r="A377" t="s">
        <v>240</v>
      </c>
      <c r="B377" t="s">
        <v>241</v>
      </c>
      <c r="C377" t="s">
        <v>8</v>
      </c>
      <c r="D377">
        <v>61424</v>
      </c>
      <c r="E377" s="1">
        <v>43738</v>
      </c>
      <c r="F377" s="2">
        <f t="shared" si="30"/>
        <v>2019</v>
      </c>
      <c r="G377">
        <v>5</v>
      </c>
      <c r="H377" s="3">
        <v>19497</v>
      </c>
      <c r="I377">
        <v>6987</v>
      </c>
      <c r="J377">
        <v>19497</v>
      </c>
      <c r="K377">
        <v>17201</v>
      </c>
      <c r="L377">
        <v>16599</v>
      </c>
      <c r="M377" t="str">
        <f t="shared" si="31"/>
        <v>Small</v>
      </c>
      <c r="N377">
        <f>VLOOKUP(C377,Lookup!$A$2:$D$5,MATCH(M377,Lookup!$A$1:$D$1,0),FALSE)</f>
        <v>0.09</v>
      </c>
      <c r="O377">
        <f t="shared" si="32"/>
        <v>1493.9099999999999</v>
      </c>
      <c r="P377" s="7">
        <f t="shared" si="33"/>
        <v>0.88223829307072887</v>
      </c>
      <c r="Q377" s="7">
        <f t="shared" si="34"/>
        <v>3899.4</v>
      </c>
      <c r="R377">
        <f t="shared" si="35"/>
        <v>4.6769885736088526</v>
      </c>
    </row>
    <row r="378" spans="1:18" x14ac:dyDescent="0.25">
      <c r="A378" t="s">
        <v>240</v>
      </c>
      <c r="B378" t="s">
        <v>241</v>
      </c>
      <c r="C378" t="s">
        <v>8</v>
      </c>
      <c r="D378">
        <v>61424</v>
      </c>
      <c r="E378" s="1">
        <v>44104</v>
      </c>
      <c r="F378" s="2">
        <f t="shared" si="30"/>
        <v>2020</v>
      </c>
      <c r="G378">
        <v>5</v>
      </c>
      <c r="H378" s="3">
        <v>17201</v>
      </c>
      <c r="I378">
        <v>6200</v>
      </c>
      <c r="J378">
        <v>17201</v>
      </c>
      <c r="K378">
        <v>14616</v>
      </c>
      <c r="L378">
        <v>14600</v>
      </c>
      <c r="M378" t="str">
        <f t="shared" si="31"/>
        <v>Small</v>
      </c>
      <c r="N378">
        <f>VLOOKUP(C378,Lookup!$A$2:$D$5,MATCH(M378,Lookup!$A$1:$D$1,0),FALSE)</f>
        <v>0.09</v>
      </c>
      <c r="O378">
        <f t="shared" si="32"/>
        <v>1314</v>
      </c>
      <c r="P378" s="7">
        <f t="shared" si="33"/>
        <v>0.84971803964885761</v>
      </c>
      <c r="Q378" s="7">
        <f t="shared" si="34"/>
        <v>3440.2</v>
      </c>
      <c r="R378">
        <f t="shared" si="35"/>
        <v>4.7184170471841709</v>
      </c>
    </row>
    <row r="379" spans="1:18" x14ac:dyDescent="0.25">
      <c r="A379" t="s">
        <v>240</v>
      </c>
      <c r="B379" t="s">
        <v>241</v>
      </c>
      <c r="C379" t="s">
        <v>8</v>
      </c>
      <c r="D379">
        <v>61424</v>
      </c>
      <c r="E379" s="1">
        <v>44469</v>
      </c>
      <c r="F379" s="2">
        <f t="shared" si="30"/>
        <v>2021</v>
      </c>
      <c r="G379">
        <v>7</v>
      </c>
      <c r="H379" s="3">
        <v>19346</v>
      </c>
      <c r="I379">
        <v>6739</v>
      </c>
      <c r="J379">
        <v>19346</v>
      </c>
      <c r="K379">
        <v>15341</v>
      </c>
      <c r="L379">
        <v>15183</v>
      </c>
      <c r="M379" t="str">
        <f t="shared" si="31"/>
        <v>Small</v>
      </c>
      <c r="N379">
        <f>VLOOKUP(C379,Lookup!$A$2:$D$5,MATCH(M379,Lookup!$A$1:$D$1,0),FALSE)</f>
        <v>0.09</v>
      </c>
      <c r="O379">
        <f t="shared" si="32"/>
        <v>1366.47</v>
      </c>
      <c r="P379" s="7">
        <f t="shared" si="33"/>
        <v>0.79298046107722531</v>
      </c>
      <c r="Q379" s="7">
        <f t="shared" si="34"/>
        <v>2763.7142857142858</v>
      </c>
      <c r="R379">
        <f t="shared" si="35"/>
        <v>4.9316852912980158</v>
      </c>
    </row>
    <row r="380" spans="1:18" x14ac:dyDescent="0.25">
      <c r="A380" t="s">
        <v>242</v>
      </c>
      <c r="B380" t="s">
        <v>243</v>
      </c>
      <c r="C380" t="s">
        <v>8</v>
      </c>
      <c r="D380">
        <v>60920</v>
      </c>
      <c r="E380" s="1">
        <v>43738</v>
      </c>
      <c r="F380" s="2">
        <f t="shared" si="30"/>
        <v>2019</v>
      </c>
      <c r="G380">
        <v>4</v>
      </c>
      <c r="H380" s="3">
        <v>21762</v>
      </c>
      <c r="I380">
        <v>4439</v>
      </c>
      <c r="J380">
        <v>21762</v>
      </c>
      <c r="K380">
        <v>19268</v>
      </c>
      <c r="L380">
        <v>19246</v>
      </c>
      <c r="M380" t="str">
        <f t="shared" si="31"/>
        <v>Small</v>
      </c>
      <c r="N380">
        <f>VLOOKUP(C380,Lookup!$A$2:$D$5,MATCH(M380,Lookup!$A$1:$D$1,0),FALSE)</f>
        <v>0.09</v>
      </c>
      <c r="O380">
        <f t="shared" si="32"/>
        <v>1732.1399999999999</v>
      </c>
      <c r="P380" s="7">
        <f t="shared" si="33"/>
        <v>0.88539656281591761</v>
      </c>
      <c r="Q380" s="7">
        <f t="shared" si="34"/>
        <v>5440.5</v>
      </c>
      <c r="R380">
        <f t="shared" si="35"/>
        <v>2.56272587666124</v>
      </c>
    </row>
    <row r="381" spans="1:18" x14ac:dyDescent="0.25">
      <c r="A381" t="s">
        <v>242</v>
      </c>
      <c r="B381" t="s">
        <v>243</v>
      </c>
      <c r="C381" t="s">
        <v>8</v>
      </c>
      <c r="D381">
        <v>60920</v>
      </c>
      <c r="E381" s="1">
        <v>44104</v>
      </c>
      <c r="F381" s="2">
        <f t="shared" si="30"/>
        <v>2020</v>
      </c>
      <c r="G381">
        <v>4</v>
      </c>
      <c r="H381" s="3">
        <v>21439</v>
      </c>
      <c r="I381">
        <v>4888</v>
      </c>
      <c r="J381">
        <v>21439</v>
      </c>
      <c r="K381">
        <v>18932</v>
      </c>
      <c r="L381">
        <v>18896</v>
      </c>
      <c r="M381" t="str">
        <f t="shared" si="31"/>
        <v>Small</v>
      </c>
      <c r="N381">
        <f>VLOOKUP(C381,Lookup!$A$2:$D$5,MATCH(M381,Lookup!$A$1:$D$1,0),FALSE)</f>
        <v>0.09</v>
      </c>
      <c r="O381">
        <f t="shared" si="32"/>
        <v>1700.6399999999999</v>
      </c>
      <c r="P381" s="7">
        <f t="shared" si="33"/>
        <v>0.88306357572647975</v>
      </c>
      <c r="Q381" s="7">
        <f t="shared" si="34"/>
        <v>5359.75</v>
      </c>
      <c r="R381">
        <f t="shared" si="35"/>
        <v>2.8742120613416127</v>
      </c>
    </row>
    <row r="382" spans="1:18" x14ac:dyDescent="0.25">
      <c r="A382" t="s">
        <v>242</v>
      </c>
      <c r="B382" t="s">
        <v>243</v>
      </c>
      <c r="C382" t="s">
        <v>8</v>
      </c>
      <c r="D382">
        <v>60920</v>
      </c>
      <c r="E382" s="1">
        <v>44469</v>
      </c>
      <c r="F382" s="2">
        <f t="shared" si="30"/>
        <v>2021</v>
      </c>
      <c r="G382">
        <v>4</v>
      </c>
      <c r="H382" s="3">
        <v>24907</v>
      </c>
      <c r="I382">
        <v>8162</v>
      </c>
      <c r="J382">
        <v>24907</v>
      </c>
      <c r="K382">
        <v>22429</v>
      </c>
      <c r="L382">
        <v>22397</v>
      </c>
      <c r="M382" t="str">
        <f t="shared" si="31"/>
        <v>Small</v>
      </c>
      <c r="N382">
        <f>VLOOKUP(C382,Lookup!$A$2:$D$5,MATCH(M382,Lookup!$A$1:$D$1,0),FALSE)</f>
        <v>0.09</v>
      </c>
      <c r="O382">
        <f t="shared" si="32"/>
        <v>2015.73</v>
      </c>
      <c r="P382" s="7">
        <f t="shared" si="33"/>
        <v>0.90050989681615612</v>
      </c>
      <c r="Q382" s="7">
        <f t="shared" si="34"/>
        <v>6226.75</v>
      </c>
      <c r="R382">
        <f t="shared" si="35"/>
        <v>4.0491534084425993</v>
      </c>
    </row>
    <row r="383" spans="1:18" x14ac:dyDescent="0.25">
      <c r="A383" t="s">
        <v>244</v>
      </c>
      <c r="B383" t="s">
        <v>245</v>
      </c>
      <c r="C383" t="s">
        <v>20</v>
      </c>
      <c r="D383">
        <v>2021</v>
      </c>
      <c r="E383" s="1">
        <v>43738</v>
      </c>
      <c r="F383" s="2">
        <f t="shared" si="30"/>
        <v>2019</v>
      </c>
      <c r="G383">
        <v>17</v>
      </c>
      <c r="H383" s="3">
        <v>122804</v>
      </c>
      <c r="I383">
        <v>22894</v>
      </c>
      <c r="J383">
        <v>122805</v>
      </c>
      <c r="K383">
        <v>103216</v>
      </c>
      <c r="L383">
        <v>100216</v>
      </c>
      <c r="M383" t="str">
        <f t="shared" si="31"/>
        <v>Medium</v>
      </c>
      <c r="N383">
        <f>VLOOKUP(C383,Lookup!$A$2:$D$5,MATCH(M383,Lookup!$A$1:$D$1,0),FALSE)</f>
        <v>8.5000000000000006E-2</v>
      </c>
      <c r="O383">
        <f t="shared" si="32"/>
        <v>8518.36</v>
      </c>
      <c r="P383" s="7">
        <f t="shared" si="33"/>
        <v>0.84049379499039123</v>
      </c>
      <c r="Q383" s="7">
        <f t="shared" si="34"/>
        <v>7223.7647058823532</v>
      </c>
      <c r="R383">
        <f t="shared" si="35"/>
        <v>2.6876065345911653</v>
      </c>
    </row>
    <row r="384" spans="1:18" x14ac:dyDescent="0.25">
      <c r="A384" t="s">
        <v>244</v>
      </c>
      <c r="B384" t="s">
        <v>245</v>
      </c>
      <c r="C384" t="s">
        <v>20</v>
      </c>
      <c r="D384">
        <v>2021</v>
      </c>
      <c r="E384" s="1">
        <v>44104</v>
      </c>
      <c r="F384" s="2">
        <f t="shared" si="30"/>
        <v>2020</v>
      </c>
      <c r="G384">
        <v>16</v>
      </c>
      <c r="H384" s="3">
        <v>138853</v>
      </c>
      <c r="I384">
        <v>28133</v>
      </c>
      <c r="J384">
        <v>138853</v>
      </c>
      <c r="K384">
        <v>118218</v>
      </c>
      <c r="L384">
        <v>115917</v>
      </c>
      <c r="M384" t="str">
        <f t="shared" si="31"/>
        <v>Medium</v>
      </c>
      <c r="N384">
        <f>VLOOKUP(C384,Lookup!$A$2:$D$5,MATCH(M384,Lookup!$A$1:$D$1,0),FALSE)</f>
        <v>8.5000000000000006E-2</v>
      </c>
      <c r="O384">
        <f t="shared" si="32"/>
        <v>9852.9450000000015</v>
      </c>
      <c r="P384" s="7">
        <f t="shared" si="33"/>
        <v>0.8513895990724003</v>
      </c>
      <c r="Q384" s="7">
        <f t="shared" si="34"/>
        <v>8678.3125</v>
      </c>
      <c r="R384">
        <f t="shared" si="35"/>
        <v>2.8552884442164244</v>
      </c>
    </row>
    <row r="385" spans="1:18" x14ac:dyDescent="0.25">
      <c r="A385" t="s">
        <v>244</v>
      </c>
      <c r="B385" t="s">
        <v>245</v>
      </c>
      <c r="C385" t="s">
        <v>20</v>
      </c>
      <c r="D385">
        <v>2021</v>
      </c>
      <c r="E385" s="1">
        <v>44469</v>
      </c>
      <c r="F385" s="2">
        <f t="shared" si="30"/>
        <v>2021</v>
      </c>
      <c r="G385">
        <v>16</v>
      </c>
      <c r="H385" s="3">
        <v>152637</v>
      </c>
      <c r="I385">
        <v>36956</v>
      </c>
      <c r="J385">
        <v>152637</v>
      </c>
      <c r="K385">
        <v>131467</v>
      </c>
      <c r="L385">
        <v>129251</v>
      </c>
      <c r="M385" t="str">
        <f t="shared" si="31"/>
        <v>Medium</v>
      </c>
      <c r="N385">
        <f>VLOOKUP(C385,Lookup!$A$2:$D$5,MATCH(M385,Lookup!$A$1:$D$1,0),FALSE)</f>
        <v>8.5000000000000006E-2</v>
      </c>
      <c r="O385">
        <f t="shared" si="32"/>
        <v>10986.335000000001</v>
      </c>
      <c r="P385" s="7">
        <f t="shared" si="33"/>
        <v>0.86130492606641906</v>
      </c>
      <c r="Q385" s="7">
        <f t="shared" si="34"/>
        <v>9539.8125</v>
      </c>
      <c r="R385">
        <f t="shared" si="35"/>
        <v>3.3638151394436813</v>
      </c>
    </row>
    <row r="386" spans="1:18" x14ac:dyDescent="0.25">
      <c r="A386" t="s">
        <v>246</v>
      </c>
      <c r="B386" t="s">
        <v>167</v>
      </c>
      <c r="C386" t="s">
        <v>20</v>
      </c>
      <c r="D386">
        <v>1930</v>
      </c>
      <c r="E386" s="1">
        <v>43738</v>
      </c>
      <c r="F386" s="2">
        <f t="shared" ref="F386:F449" si="36">YEAR(E386)</f>
        <v>2019</v>
      </c>
      <c r="G386">
        <v>74</v>
      </c>
      <c r="H386" s="3">
        <v>676529</v>
      </c>
      <c r="I386">
        <v>38371</v>
      </c>
      <c r="J386">
        <v>676529</v>
      </c>
      <c r="K386">
        <v>519455</v>
      </c>
      <c r="L386">
        <v>494766</v>
      </c>
      <c r="M386" t="str">
        <f t="shared" ref="M386:M449" si="37">IF(H386&gt;1000000,"Large",IF(H386&lt;100000,"Small","Medium"))</f>
        <v>Medium</v>
      </c>
      <c r="N386">
        <f>VLOOKUP(C386,Lookup!$A$2:$D$5,MATCH(M386,Lookup!$A$1:$D$1,0),FALSE)</f>
        <v>8.5000000000000006E-2</v>
      </c>
      <c r="O386">
        <f t="shared" ref="O386:O449" si="38">L386*N386</f>
        <v>42055.11</v>
      </c>
      <c r="P386" s="7">
        <f t="shared" ref="P386:P449" si="39">K386/H386</f>
        <v>0.76782370009267897</v>
      </c>
      <c r="Q386" s="7">
        <f t="shared" ref="Q386:Q449" si="40">H386/G386</f>
        <v>9142.2837837837833</v>
      </c>
      <c r="R386">
        <f t="shared" ref="R386:R449" si="41">I386/O386</f>
        <v>0.91239804152218362</v>
      </c>
    </row>
    <row r="387" spans="1:18" x14ac:dyDescent="0.25">
      <c r="A387" t="s">
        <v>246</v>
      </c>
      <c r="B387" t="s">
        <v>167</v>
      </c>
      <c r="C387" t="s">
        <v>20</v>
      </c>
      <c r="D387">
        <v>1930</v>
      </c>
      <c r="E387" s="1">
        <v>44104</v>
      </c>
      <c r="F387" s="2">
        <f t="shared" si="36"/>
        <v>2020</v>
      </c>
      <c r="G387">
        <v>74</v>
      </c>
      <c r="H387" s="3">
        <v>747829</v>
      </c>
      <c r="I387">
        <v>87650</v>
      </c>
      <c r="J387">
        <v>747829</v>
      </c>
      <c r="K387">
        <v>584688</v>
      </c>
      <c r="L387">
        <v>557914</v>
      </c>
      <c r="M387" t="str">
        <f t="shared" si="37"/>
        <v>Medium</v>
      </c>
      <c r="N387">
        <f>VLOOKUP(C387,Lookup!$A$2:$D$5,MATCH(M387,Lookup!$A$1:$D$1,0),FALSE)</f>
        <v>8.5000000000000006E-2</v>
      </c>
      <c r="O387">
        <f t="shared" si="38"/>
        <v>47422.69</v>
      </c>
      <c r="P387" s="7">
        <f t="shared" si="39"/>
        <v>0.78184718699060884</v>
      </c>
      <c r="Q387" s="7">
        <f t="shared" si="40"/>
        <v>10105.797297297297</v>
      </c>
      <c r="R387">
        <f t="shared" si="41"/>
        <v>1.8482713654581804</v>
      </c>
    </row>
    <row r="388" spans="1:18" x14ac:dyDescent="0.25">
      <c r="A388" t="s">
        <v>246</v>
      </c>
      <c r="B388" t="s">
        <v>167</v>
      </c>
      <c r="C388" t="s">
        <v>20</v>
      </c>
      <c r="D388">
        <v>1930</v>
      </c>
      <c r="E388" s="1">
        <v>44469</v>
      </c>
      <c r="F388" s="2">
        <f t="shared" si="36"/>
        <v>2021</v>
      </c>
      <c r="G388">
        <v>75</v>
      </c>
      <c r="H388" s="3">
        <v>834026</v>
      </c>
      <c r="I388">
        <v>56328</v>
      </c>
      <c r="J388">
        <v>834026</v>
      </c>
      <c r="K388">
        <v>661061</v>
      </c>
      <c r="L388">
        <v>632814</v>
      </c>
      <c r="M388" t="str">
        <f t="shared" si="37"/>
        <v>Medium</v>
      </c>
      <c r="N388">
        <f>VLOOKUP(C388,Lookup!$A$2:$D$5,MATCH(M388,Lookup!$A$1:$D$1,0),FALSE)</f>
        <v>8.5000000000000006E-2</v>
      </c>
      <c r="O388">
        <f t="shared" si="38"/>
        <v>53789.19</v>
      </c>
      <c r="P388" s="7">
        <f t="shared" si="39"/>
        <v>0.79261437892823483</v>
      </c>
      <c r="Q388" s="7">
        <f t="shared" si="40"/>
        <v>11120.346666666666</v>
      </c>
      <c r="R388">
        <f t="shared" si="41"/>
        <v>1.0471992606692906</v>
      </c>
    </row>
    <row r="389" spans="1:18" x14ac:dyDescent="0.25">
      <c r="A389" t="s">
        <v>247</v>
      </c>
      <c r="B389" t="s">
        <v>248</v>
      </c>
      <c r="C389" t="s">
        <v>20</v>
      </c>
      <c r="D389">
        <v>2675</v>
      </c>
      <c r="E389" s="1">
        <v>43738</v>
      </c>
      <c r="F389" s="2">
        <f t="shared" si="36"/>
        <v>2019</v>
      </c>
      <c r="G389">
        <v>159</v>
      </c>
      <c r="H389" s="3">
        <v>958735</v>
      </c>
      <c r="I389">
        <v>50094</v>
      </c>
      <c r="J389">
        <v>958735</v>
      </c>
      <c r="K389">
        <v>862819</v>
      </c>
      <c r="L389">
        <v>839489</v>
      </c>
      <c r="M389" t="str">
        <f t="shared" si="37"/>
        <v>Medium</v>
      </c>
      <c r="N389">
        <f>VLOOKUP(C389,Lookup!$A$2:$D$5,MATCH(M389,Lookup!$A$1:$D$1,0),FALSE)</f>
        <v>8.5000000000000006E-2</v>
      </c>
      <c r="O389">
        <f t="shared" si="38"/>
        <v>71356.565000000002</v>
      </c>
      <c r="P389" s="7">
        <f t="shared" si="39"/>
        <v>0.89995567075364935</v>
      </c>
      <c r="Q389" s="7">
        <f t="shared" si="40"/>
        <v>6029.7798742138366</v>
      </c>
      <c r="R389">
        <f t="shared" si="41"/>
        <v>0.70202370307483264</v>
      </c>
    </row>
    <row r="390" spans="1:18" x14ac:dyDescent="0.25">
      <c r="A390" t="s">
        <v>247</v>
      </c>
      <c r="B390" t="s">
        <v>248</v>
      </c>
      <c r="C390" t="s">
        <v>20</v>
      </c>
      <c r="D390">
        <v>2675</v>
      </c>
      <c r="E390" s="1">
        <v>44104</v>
      </c>
      <c r="F390" s="2">
        <f t="shared" si="36"/>
        <v>2020</v>
      </c>
      <c r="G390">
        <v>159</v>
      </c>
      <c r="H390" s="3">
        <v>1126661</v>
      </c>
      <c r="I390">
        <v>111435</v>
      </c>
      <c r="J390">
        <v>1126661</v>
      </c>
      <c r="K390">
        <v>1024285</v>
      </c>
      <c r="L390">
        <v>986363</v>
      </c>
      <c r="M390" t="str">
        <f t="shared" si="37"/>
        <v>Large</v>
      </c>
      <c r="N390">
        <f>VLOOKUP(C390,Lookup!$A$2:$D$5,MATCH(M390,Lookup!$A$1:$D$1,0),FALSE)</f>
        <v>0.08</v>
      </c>
      <c r="O390">
        <f t="shared" si="38"/>
        <v>78909.040000000008</v>
      </c>
      <c r="P390" s="7">
        <f t="shared" si="39"/>
        <v>0.90913327078864004</v>
      </c>
      <c r="Q390" s="7">
        <f t="shared" si="40"/>
        <v>7085.9182389937105</v>
      </c>
      <c r="R390">
        <f t="shared" si="41"/>
        <v>1.4121956115547722</v>
      </c>
    </row>
    <row r="391" spans="1:18" x14ac:dyDescent="0.25">
      <c r="A391" t="s">
        <v>247</v>
      </c>
      <c r="B391" t="s">
        <v>248</v>
      </c>
      <c r="C391" t="s">
        <v>20</v>
      </c>
      <c r="D391">
        <v>2675</v>
      </c>
      <c r="E391" s="1">
        <v>44469</v>
      </c>
      <c r="F391" s="2">
        <f t="shared" si="36"/>
        <v>2021</v>
      </c>
      <c r="G391">
        <v>159</v>
      </c>
      <c r="H391" s="3">
        <v>1331322</v>
      </c>
      <c r="I391">
        <v>311923</v>
      </c>
      <c r="J391">
        <v>1331322</v>
      </c>
      <c r="K391">
        <v>1221578</v>
      </c>
      <c r="L391">
        <v>1198643</v>
      </c>
      <c r="M391" t="str">
        <f t="shared" si="37"/>
        <v>Large</v>
      </c>
      <c r="N391">
        <f>VLOOKUP(C391,Lookup!$A$2:$D$5,MATCH(M391,Lookup!$A$1:$D$1,0),FALSE)</f>
        <v>0.08</v>
      </c>
      <c r="O391">
        <f t="shared" si="38"/>
        <v>95891.44</v>
      </c>
      <c r="P391" s="7">
        <f t="shared" si="39"/>
        <v>0.9175676508012337</v>
      </c>
      <c r="Q391" s="7">
        <f t="shared" si="40"/>
        <v>8373.0943396226412</v>
      </c>
      <c r="R391">
        <f t="shared" si="41"/>
        <v>3.2528763777037866</v>
      </c>
    </row>
    <row r="392" spans="1:18" x14ac:dyDescent="0.25">
      <c r="A392" t="s">
        <v>249</v>
      </c>
      <c r="B392" t="s">
        <v>228</v>
      </c>
      <c r="C392" t="s">
        <v>5</v>
      </c>
      <c r="D392">
        <v>92618</v>
      </c>
      <c r="E392" s="1">
        <v>43738</v>
      </c>
      <c r="F392" s="2">
        <f t="shared" si="36"/>
        <v>2019</v>
      </c>
      <c r="G392">
        <v>324</v>
      </c>
      <c r="H392" s="3">
        <v>205057</v>
      </c>
      <c r="I392">
        <v>48</v>
      </c>
      <c r="J392">
        <v>205057</v>
      </c>
      <c r="K392">
        <v>65734</v>
      </c>
      <c r="L392">
        <v>500</v>
      </c>
      <c r="M392" t="str">
        <f t="shared" si="37"/>
        <v>Medium</v>
      </c>
      <c r="N392">
        <f>VLOOKUP(C392,Lookup!$A$2:$D$5,MATCH(M392,Lookup!$A$1:$D$1,0),FALSE)</f>
        <v>0.09</v>
      </c>
      <c r="O392">
        <f t="shared" si="38"/>
        <v>45</v>
      </c>
      <c r="P392" s="7">
        <f t="shared" si="39"/>
        <v>0.32056452596107426</v>
      </c>
      <c r="Q392" s="7">
        <f t="shared" si="40"/>
        <v>632.89197530864203</v>
      </c>
      <c r="R392">
        <f t="shared" si="41"/>
        <v>1.0666666666666667</v>
      </c>
    </row>
    <row r="393" spans="1:18" x14ac:dyDescent="0.25">
      <c r="A393" t="s">
        <v>249</v>
      </c>
      <c r="B393" t="s">
        <v>228</v>
      </c>
      <c r="C393" t="s">
        <v>5</v>
      </c>
      <c r="D393">
        <v>92618</v>
      </c>
      <c r="E393" s="1">
        <v>44104</v>
      </c>
      <c r="F393" s="2">
        <f t="shared" si="36"/>
        <v>2020</v>
      </c>
      <c r="G393">
        <v>329</v>
      </c>
      <c r="H393" s="3">
        <v>203067</v>
      </c>
      <c r="I393">
        <v>15384</v>
      </c>
      <c r="J393">
        <v>203067</v>
      </c>
      <c r="K393">
        <v>58420</v>
      </c>
      <c r="L393">
        <v>500</v>
      </c>
      <c r="M393" t="str">
        <f t="shared" si="37"/>
        <v>Medium</v>
      </c>
      <c r="N393">
        <f>VLOOKUP(C393,Lookup!$A$2:$D$5,MATCH(M393,Lookup!$A$1:$D$1,0),FALSE)</f>
        <v>0.09</v>
      </c>
      <c r="O393">
        <f t="shared" si="38"/>
        <v>45</v>
      </c>
      <c r="P393" s="7">
        <f t="shared" si="39"/>
        <v>0.28768829992071582</v>
      </c>
      <c r="Q393" s="7">
        <f t="shared" si="40"/>
        <v>617.224924012158</v>
      </c>
      <c r="R393">
        <f t="shared" si="41"/>
        <v>341.86666666666667</v>
      </c>
    </row>
    <row r="394" spans="1:18" x14ac:dyDescent="0.25">
      <c r="A394" t="s">
        <v>249</v>
      </c>
      <c r="B394" t="s">
        <v>228</v>
      </c>
      <c r="C394" t="s">
        <v>5</v>
      </c>
      <c r="D394">
        <v>92618</v>
      </c>
      <c r="E394" s="1">
        <v>44469</v>
      </c>
      <c r="F394" s="2">
        <f t="shared" si="36"/>
        <v>2021</v>
      </c>
      <c r="G394">
        <v>177</v>
      </c>
      <c r="H394" s="3">
        <v>203544</v>
      </c>
      <c r="I394">
        <v>38460</v>
      </c>
      <c r="J394">
        <v>203544</v>
      </c>
      <c r="K394">
        <v>35251</v>
      </c>
      <c r="L394">
        <v>500</v>
      </c>
      <c r="M394" t="str">
        <f t="shared" si="37"/>
        <v>Medium</v>
      </c>
      <c r="N394">
        <f>VLOOKUP(C394,Lookup!$A$2:$D$5,MATCH(M394,Lookup!$A$1:$D$1,0),FALSE)</f>
        <v>0.09</v>
      </c>
      <c r="O394">
        <f t="shared" si="38"/>
        <v>45</v>
      </c>
      <c r="P394" s="7">
        <f t="shared" si="39"/>
        <v>0.17318614157135559</v>
      </c>
      <c r="Q394" s="7">
        <f t="shared" si="40"/>
        <v>1149.9661016949153</v>
      </c>
      <c r="R394">
        <f t="shared" si="41"/>
        <v>854.66666666666663</v>
      </c>
    </row>
    <row r="395" spans="1:18" x14ac:dyDescent="0.25">
      <c r="A395" t="s">
        <v>250</v>
      </c>
      <c r="B395" t="s">
        <v>251</v>
      </c>
      <c r="C395" t="s">
        <v>8</v>
      </c>
      <c r="D395">
        <v>62016</v>
      </c>
      <c r="E395" s="1">
        <v>43738</v>
      </c>
      <c r="F395" s="2">
        <f t="shared" si="36"/>
        <v>2019</v>
      </c>
      <c r="G395">
        <v>258</v>
      </c>
      <c r="H395" s="3">
        <v>1919832</v>
      </c>
      <c r="I395">
        <v>226869</v>
      </c>
      <c r="J395">
        <v>1919832</v>
      </c>
      <c r="K395">
        <v>1766478</v>
      </c>
      <c r="L395">
        <v>1701722</v>
      </c>
      <c r="M395" t="str">
        <f t="shared" si="37"/>
        <v>Large</v>
      </c>
      <c r="N395">
        <f>VLOOKUP(C395,Lookup!$A$2:$D$5,MATCH(M395,Lookup!$A$1:$D$1,0),FALSE)</f>
        <v>7.4999999999999997E-2</v>
      </c>
      <c r="O395">
        <f t="shared" si="38"/>
        <v>127629.15</v>
      </c>
      <c r="P395" s="7">
        <f t="shared" si="39"/>
        <v>0.92012113559936493</v>
      </c>
      <c r="Q395" s="7">
        <f t="shared" si="40"/>
        <v>7441.2093023255811</v>
      </c>
      <c r="R395">
        <f t="shared" si="41"/>
        <v>1.7775641379731826</v>
      </c>
    </row>
    <row r="396" spans="1:18" x14ac:dyDescent="0.25">
      <c r="A396" t="s">
        <v>250</v>
      </c>
      <c r="B396" t="s">
        <v>251</v>
      </c>
      <c r="C396" t="s">
        <v>8</v>
      </c>
      <c r="D396">
        <v>62016</v>
      </c>
      <c r="E396" s="1">
        <v>44104</v>
      </c>
      <c r="F396" s="2">
        <f t="shared" si="36"/>
        <v>2020</v>
      </c>
      <c r="G396">
        <v>283</v>
      </c>
      <c r="H396" s="3">
        <v>2506451</v>
      </c>
      <c r="I396">
        <v>288378</v>
      </c>
      <c r="J396">
        <v>2506451</v>
      </c>
      <c r="K396">
        <v>2338416</v>
      </c>
      <c r="L396">
        <v>2278875</v>
      </c>
      <c r="M396" t="str">
        <f t="shared" si="37"/>
        <v>Large</v>
      </c>
      <c r="N396">
        <f>VLOOKUP(C396,Lookup!$A$2:$D$5,MATCH(M396,Lookup!$A$1:$D$1,0),FALSE)</f>
        <v>7.4999999999999997E-2</v>
      </c>
      <c r="O396">
        <f t="shared" si="38"/>
        <v>170915.625</v>
      </c>
      <c r="P396" s="7">
        <f t="shared" si="39"/>
        <v>0.93295899261545512</v>
      </c>
      <c r="Q396" s="7">
        <f t="shared" si="40"/>
        <v>8856.7173144876324</v>
      </c>
      <c r="R396">
        <f t="shared" si="41"/>
        <v>1.6872535790686194</v>
      </c>
    </row>
    <row r="397" spans="1:18" x14ac:dyDescent="0.25">
      <c r="A397" t="s">
        <v>250</v>
      </c>
      <c r="B397" t="s">
        <v>251</v>
      </c>
      <c r="C397" t="s">
        <v>8</v>
      </c>
      <c r="D397">
        <v>62016</v>
      </c>
      <c r="E397" s="1">
        <v>44469</v>
      </c>
      <c r="F397" s="2">
        <f t="shared" si="36"/>
        <v>2021</v>
      </c>
      <c r="G397">
        <v>296</v>
      </c>
      <c r="H397" s="3">
        <v>3023404</v>
      </c>
      <c r="I397">
        <v>829457</v>
      </c>
      <c r="J397">
        <v>3023404</v>
      </c>
      <c r="K397">
        <v>2840075</v>
      </c>
      <c r="L397">
        <v>2833118</v>
      </c>
      <c r="M397" t="str">
        <f t="shared" si="37"/>
        <v>Large</v>
      </c>
      <c r="N397">
        <f>VLOOKUP(C397,Lookup!$A$2:$D$5,MATCH(M397,Lookup!$A$1:$D$1,0),FALSE)</f>
        <v>7.4999999999999997E-2</v>
      </c>
      <c r="O397">
        <f t="shared" si="38"/>
        <v>212483.85</v>
      </c>
      <c r="P397" s="7">
        <f t="shared" si="39"/>
        <v>0.93936337981956763</v>
      </c>
      <c r="Q397" s="7">
        <f t="shared" si="40"/>
        <v>10214.202702702703</v>
      </c>
      <c r="R397">
        <f t="shared" si="41"/>
        <v>3.9036237342273306</v>
      </c>
    </row>
    <row r="398" spans="1:18" x14ac:dyDescent="0.25">
      <c r="A398" t="s">
        <v>252</v>
      </c>
      <c r="B398" t="s">
        <v>253</v>
      </c>
      <c r="C398" t="s">
        <v>17</v>
      </c>
      <c r="D398">
        <v>13619</v>
      </c>
      <c r="E398" s="1">
        <v>43738</v>
      </c>
      <c r="F398" s="2">
        <f t="shared" si="36"/>
        <v>2019</v>
      </c>
      <c r="G398">
        <v>37</v>
      </c>
      <c r="H398" s="3">
        <v>251050</v>
      </c>
      <c r="I398">
        <v>44796</v>
      </c>
      <c r="J398">
        <v>251050</v>
      </c>
      <c r="K398">
        <v>223650</v>
      </c>
      <c r="L398">
        <v>210031</v>
      </c>
      <c r="M398" t="str">
        <f t="shared" si="37"/>
        <v>Medium</v>
      </c>
      <c r="N398">
        <f>VLOOKUP(C398,Lookup!$A$2:$D$5,MATCH(M398,Lookup!$A$1:$D$1,0),FALSE)</f>
        <v>8.5000000000000006E-2</v>
      </c>
      <c r="O398">
        <f t="shared" si="38"/>
        <v>17852.635000000002</v>
      </c>
      <c r="P398" s="7">
        <f t="shared" si="39"/>
        <v>0.89085839474208328</v>
      </c>
      <c r="Q398" s="7">
        <f t="shared" si="40"/>
        <v>6785.135135135135</v>
      </c>
      <c r="R398">
        <f t="shared" si="41"/>
        <v>2.509209424827203</v>
      </c>
    </row>
    <row r="399" spans="1:18" x14ac:dyDescent="0.25">
      <c r="A399" t="s">
        <v>252</v>
      </c>
      <c r="B399" t="s">
        <v>253</v>
      </c>
      <c r="C399" t="s">
        <v>17</v>
      </c>
      <c r="D399">
        <v>13619</v>
      </c>
      <c r="E399" s="1">
        <v>44104</v>
      </c>
      <c r="F399" s="2">
        <f t="shared" si="36"/>
        <v>2020</v>
      </c>
      <c r="G399">
        <v>34</v>
      </c>
      <c r="H399" s="3">
        <v>282355</v>
      </c>
      <c r="I399">
        <v>45735</v>
      </c>
      <c r="J399">
        <v>282355</v>
      </c>
      <c r="K399">
        <v>252919</v>
      </c>
      <c r="L399">
        <v>239457</v>
      </c>
      <c r="M399" t="str">
        <f t="shared" si="37"/>
        <v>Medium</v>
      </c>
      <c r="N399">
        <f>VLOOKUP(C399,Lookup!$A$2:$D$5,MATCH(M399,Lookup!$A$1:$D$1,0),FALSE)</f>
        <v>8.5000000000000006E-2</v>
      </c>
      <c r="O399">
        <f t="shared" si="38"/>
        <v>20353.845000000001</v>
      </c>
      <c r="P399" s="7">
        <f t="shared" si="39"/>
        <v>0.89574826016893627</v>
      </c>
      <c r="Q399" s="7">
        <f t="shared" si="40"/>
        <v>8304.5588235294126</v>
      </c>
      <c r="R399">
        <f t="shared" si="41"/>
        <v>2.24699559223331</v>
      </c>
    </row>
    <row r="400" spans="1:18" x14ac:dyDescent="0.25">
      <c r="A400" t="s">
        <v>252</v>
      </c>
      <c r="B400" t="s">
        <v>253</v>
      </c>
      <c r="C400" t="s">
        <v>17</v>
      </c>
      <c r="D400">
        <v>13619</v>
      </c>
      <c r="E400" s="1">
        <v>44469</v>
      </c>
      <c r="F400" s="2">
        <f t="shared" si="36"/>
        <v>2021</v>
      </c>
      <c r="G400">
        <v>36</v>
      </c>
      <c r="H400" s="3">
        <v>290212</v>
      </c>
      <c r="I400">
        <v>25178</v>
      </c>
      <c r="J400">
        <v>290212</v>
      </c>
      <c r="K400">
        <v>259442</v>
      </c>
      <c r="L400">
        <v>248588</v>
      </c>
      <c r="M400" t="str">
        <f t="shared" si="37"/>
        <v>Medium</v>
      </c>
      <c r="N400">
        <f>VLOOKUP(C400,Lookup!$A$2:$D$5,MATCH(M400,Lookup!$A$1:$D$1,0),FALSE)</f>
        <v>8.5000000000000006E-2</v>
      </c>
      <c r="O400">
        <f t="shared" si="38"/>
        <v>21129.980000000003</v>
      </c>
      <c r="P400" s="7">
        <f t="shared" si="39"/>
        <v>0.8939740603420947</v>
      </c>
      <c r="Q400" s="7">
        <f t="shared" si="40"/>
        <v>8061.4444444444443</v>
      </c>
      <c r="R400">
        <f t="shared" si="41"/>
        <v>1.1915770862064232</v>
      </c>
    </row>
    <row r="401" spans="1:18" x14ac:dyDescent="0.25">
      <c r="A401" t="s">
        <v>254</v>
      </c>
      <c r="B401" t="s">
        <v>16</v>
      </c>
      <c r="C401" t="s">
        <v>17</v>
      </c>
      <c r="D401">
        <v>10027</v>
      </c>
      <c r="E401" s="1">
        <v>43738</v>
      </c>
      <c r="F401" s="2">
        <f t="shared" si="36"/>
        <v>2019</v>
      </c>
      <c r="G401">
        <v>108</v>
      </c>
      <c r="H401" s="3">
        <v>589778</v>
      </c>
      <c r="I401">
        <v>41839</v>
      </c>
      <c r="J401">
        <v>589778</v>
      </c>
      <c r="K401">
        <v>523191</v>
      </c>
      <c r="L401">
        <v>481154</v>
      </c>
      <c r="M401" t="str">
        <f t="shared" si="37"/>
        <v>Medium</v>
      </c>
      <c r="N401">
        <f>VLOOKUP(C401,Lookup!$A$2:$D$5,MATCH(M401,Lookup!$A$1:$D$1,0),FALSE)</f>
        <v>8.5000000000000006E-2</v>
      </c>
      <c r="O401">
        <f t="shared" si="38"/>
        <v>40898.090000000004</v>
      </c>
      <c r="P401" s="7">
        <f t="shared" si="39"/>
        <v>0.88709819627046105</v>
      </c>
      <c r="Q401" s="7">
        <f t="shared" si="40"/>
        <v>5460.9074074074078</v>
      </c>
      <c r="R401">
        <f t="shared" si="41"/>
        <v>1.0230062088474057</v>
      </c>
    </row>
    <row r="402" spans="1:18" x14ac:dyDescent="0.25">
      <c r="A402" t="s">
        <v>254</v>
      </c>
      <c r="B402" t="s">
        <v>16</v>
      </c>
      <c r="C402" t="s">
        <v>17</v>
      </c>
      <c r="D402">
        <v>10027</v>
      </c>
      <c r="E402" s="1">
        <v>44104</v>
      </c>
      <c r="F402" s="2">
        <f t="shared" si="36"/>
        <v>2020</v>
      </c>
      <c r="G402">
        <v>109</v>
      </c>
      <c r="H402" s="3">
        <v>673051</v>
      </c>
      <c r="I402">
        <v>71910</v>
      </c>
      <c r="J402">
        <v>673051</v>
      </c>
      <c r="K402">
        <v>611009</v>
      </c>
      <c r="L402">
        <v>546913</v>
      </c>
      <c r="M402" t="str">
        <f t="shared" si="37"/>
        <v>Medium</v>
      </c>
      <c r="N402">
        <f>VLOOKUP(C402,Lookup!$A$2:$D$5,MATCH(M402,Lookup!$A$1:$D$1,0),FALSE)</f>
        <v>8.5000000000000006E-2</v>
      </c>
      <c r="O402">
        <f t="shared" si="38"/>
        <v>46487.605000000003</v>
      </c>
      <c r="P402" s="7">
        <f t="shared" si="39"/>
        <v>0.90781976402976894</v>
      </c>
      <c r="Q402" s="7">
        <f t="shared" si="40"/>
        <v>6174.779816513761</v>
      </c>
      <c r="R402">
        <f t="shared" si="41"/>
        <v>1.5468639436254028</v>
      </c>
    </row>
    <row r="403" spans="1:18" x14ac:dyDescent="0.25">
      <c r="A403" t="s">
        <v>254</v>
      </c>
      <c r="B403" t="s">
        <v>16</v>
      </c>
      <c r="C403" t="s">
        <v>17</v>
      </c>
      <c r="D403">
        <v>10027</v>
      </c>
      <c r="E403" s="1">
        <v>44469</v>
      </c>
      <c r="F403" s="2">
        <f t="shared" si="36"/>
        <v>2021</v>
      </c>
      <c r="G403">
        <v>99</v>
      </c>
      <c r="H403" s="3">
        <v>707304</v>
      </c>
      <c r="I403">
        <v>79126</v>
      </c>
      <c r="J403">
        <v>707304</v>
      </c>
      <c r="K403">
        <v>641716</v>
      </c>
      <c r="L403">
        <v>616096</v>
      </c>
      <c r="M403" t="str">
        <f t="shared" si="37"/>
        <v>Medium</v>
      </c>
      <c r="N403">
        <f>VLOOKUP(C403,Lookup!$A$2:$D$5,MATCH(M403,Lookup!$A$1:$D$1,0),FALSE)</f>
        <v>8.5000000000000006E-2</v>
      </c>
      <c r="O403">
        <f t="shared" si="38"/>
        <v>52368.160000000003</v>
      </c>
      <c r="P403" s="7">
        <f t="shared" si="39"/>
        <v>0.90727042403266489</v>
      </c>
      <c r="Q403" s="7">
        <f t="shared" si="40"/>
        <v>7144.484848484848</v>
      </c>
      <c r="R403">
        <f t="shared" si="41"/>
        <v>1.5109562757217361</v>
      </c>
    </row>
    <row r="404" spans="1:18" x14ac:dyDescent="0.25">
      <c r="A404" t="s">
        <v>255</v>
      </c>
      <c r="B404" t="s">
        <v>256</v>
      </c>
      <c r="C404" t="s">
        <v>8</v>
      </c>
      <c r="D404">
        <v>62420</v>
      </c>
      <c r="E404" s="1">
        <v>43738</v>
      </c>
      <c r="F404" s="2">
        <f t="shared" si="36"/>
        <v>2019</v>
      </c>
      <c r="G404">
        <v>64</v>
      </c>
      <c r="H404" s="3">
        <v>327892</v>
      </c>
      <c r="I404">
        <v>4742</v>
      </c>
      <c r="J404">
        <v>327893</v>
      </c>
      <c r="K404">
        <v>293111</v>
      </c>
      <c r="L404">
        <v>291503</v>
      </c>
      <c r="M404" t="str">
        <f t="shared" si="37"/>
        <v>Medium</v>
      </c>
      <c r="N404">
        <f>VLOOKUP(C404,Lookup!$A$2:$D$5,MATCH(M404,Lookup!$A$1:$D$1,0),FALSE)</f>
        <v>0.08</v>
      </c>
      <c r="O404">
        <f t="shared" si="38"/>
        <v>23320.240000000002</v>
      </c>
      <c r="P404" s="7">
        <f t="shared" si="39"/>
        <v>0.89392543886401621</v>
      </c>
      <c r="Q404" s="7">
        <f t="shared" si="40"/>
        <v>5123.3125</v>
      </c>
      <c r="R404">
        <f t="shared" si="41"/>
        <v>0.20334267571860323</v>
      </c>
    </row>
    <row r="405" spans="1:18" x14ac:dyDescent="0.25">
      <c r="A405" t="s">
        <v>255</v>
      </c>
      <c r="B405" t="s">
        <v>256</v>
      </c>
      <c r="C405" t="s">
        <v>8</v>
      </c>
      <c r="D405">
        <v>62420</v>
      </c>
      <c r="E405" s="1">
        <v>44104</v>
      </c>
      <c r="F405" s="2">
        <f t="shared" si="36"/>
        <v>2020</v>
      </c>
      <c r="G405">
        <v>66</v>
      </c>
      <c r="H405" s="3">
        <v>364095</v>
      </c>
      <c r="I405">
        <v>3453</v>
      </c>
      <c r="J405">
        <v>364095</v>
      </c>
      <c r="K405">
        <v>325296</v>
      </c>
      <c r="L405">
        <v>323439</v>
      </c>
      <c r="M405" t="str">
        <f t="shared" si="37"/>
        <v>Medium</v>
      </c>
      <c r="N405">
        <f>VLOOKUP(C405,Lookup!$A$2:$D$5,MATCH(M405,Lookup!$A$1:$D$1,0),FALSE)</f>
        <v>0.08</v>
      </c>
      <c r="O405">
        <f t="shared" si="38"/>
        <v>25875.119999999999</v>
      </c>
      <c r="P405" s="7">
        <f t="shared" si="39"/>
        <v>0.8934371523915462</v>
      </c>
      <c r="Q405" s="7">
        <f t="shared" si="40"/>
        <v>5516.590909090909</v>
      </c>
      <c r="R405">
        <f t="shared" si="41"/>
        <v>0.13344865646999898</v>
      </c>
    </row>
    <row r="406" spans="1:18" x14ac:dyDescent="0.25">
      <c r="A406" t="s">
        <v>255</v>
      </c>
      <c r="B406" t="s">
        <v>256</v>
      </c>
      <c r="C406" t="s">
        <v>8</v>
      </c>
      <c r="D406">
        <v>62420</v>
      </c>
      <c r="E406" s="1">
        <v>44469</v>
      </c>
      <c r="F406" s="2">
        <f t="shared" si="36"/>
        <v>2021</v>
      </c>
      <c r="G406">
        <v>64</v>
      </c>
      <c r="H406" s="3">
        <v>400182</v>
      </c>
      <c r="I406">
        <v>11211</v>
      </c>
      <c r="J406">
        <v>400182</v>
      </c>
      <c r="K406">
        <v>359937</v>
      </c>
      <c r="L406">
        <v>357862</v>
      </c>
      <c r="M406" t="str">
        <f t="shared" si="37"/>
        <v>Medium</v>
      </c>
      <c r="N406">
        <f>VLOOKUP(C406,Lookup!$A$2:$D$5,MATCH(M406,Lookup!$A$1:$D$1,0),FALSE)</f>
        <v>0.08</v>
      </c>
      <c r="O406">
        <f t="shared" si="38"/>
        <v>28628.959999999999</v>
      </c>
      <c r="P406" s="7">
        <f t="shared" si="39"/>
        <v>0.89943325786767025</v>
      </c>
      <c r="Q406" s="7">
        <f t="shared" si="40"/>
        <v>6252.84375</v>
      </c>
      <c r="R406">
        <f t="shared" si="41"/>
        <v>0.39159648132520358</v>
      </c>
    </row>
    <row r="407" spans="1:18" x14ac:dyDescent="0.25">
      <c r="A407" t="s">
        <v>257</v>
      </c>
      <c r="B407" t="s">
        <v>47</v>
      </c>
      <c r="C407" t="s">
        <v>5</v>
      </c>
      <c r="D407">
        <v>90012</v>
      </c>
      <c r="E407" s="1">
        <v>43738</v>
      </c>
      <c r="F407" s="2">
        <f t="shared" si="36"/>
        <v>2019</v>
      </c>
      <c r="G407">
        <v>1228</v>
      </c>
      <c r="H407" s="3">
        <v>17971214</v>
      </c>
      <c r="I407">
        <v>786062</v>
      </c>
      <c r="J407">
        <v>17971214</v>
      </c>
      <c r="K407">
        <v>15617640</v>
      </c>
      <c r="L407">
        <v>14691259</v>
      </c>
      <c r="M407" t="str">
        <f t="shared" si="37"/>
        <v>Large</v>
      </c>
      <c r="N407">
        <f>VLOOKUP(C407,Lookup!$A$2:$D$5,MATCH(M407,Lookup!$A$1:$D$1,0),FALSE)</f>
        <v>0.08</v>
      </c>
      <c r="O407">
        <f t="shared" si="38"/>
        <v>1175300.72</v>
      </c>
      <c r="P407" s="7">
        <f t="shared" si="39"/>
        <v>0.8690364490679372</v>
      </c>
      <c r="Q407" s="7">
        <f t="shared" si="40"/>
        <v>14634.539087947882</v>
      </c>
      <c r="R407">
        <f t="shared" si="41"/>
        <v>0.66881776435906548</v>
      </c>
    </row>
    <row r="408" spans="1:18" x14ac:dyDescent="0.25">
      <c r="A408" t="s">
        <v>257</v>
      </c>
      <c r="B408" t="s">
        <v>47</v>
      </c>
      <c r="C408" t="s">
        <v>5</v>
      </c>
      <c r="D408">
        <v>90012</v>
      </c>
      <c r="E408" s="1">
        <v>44104</v>
      </c>
      <c r="F408" s="2">
        <f t="shared" si="36"/>
        <v>2020</v>
      </c>
      <c r="G408">
        <v>1208</v>
      </c>
      <c r="H408" s="3">
        <v>19000888</v>
      </c>
      <c r="I408">
        <v>1431474</v>
      </c>
      <c r="J408">
        <v>19000888</v>
      </c>
      <c r="K408">
        <v>16555309</v>
      </c>
      <c r="L408">
        <v>16065245</v>
      </c>
      <c r="M408" t="str">
        <f t="shared" si="37"/>
        <v>Large</v>
      </c>
      <c r="N408">
        <f>VLOOKUP(C408,Lookup!$A$2:$D$5,MATCH(M408,Lookup!$A$1:$D$1,0),FALSE)</f>
        <v>0.08</v>
      </c>
      <c r="O408">
        <f t="shared" si="38"/>
        <v>1285219.6000000001</v>
      </c>
      <c r="P408" s="7">
        <f t="shared" si="39"/>
        <v>0.87129133122620372</v>
      </c>
      <c r="Q408" s="7">
        <f t="shared" si="40"/>
        <v>15729.211920529802</v>
      </c>
      <c r="R408">
        <f t="shared" si="41"/>
        <v>1.1137972063295642</v>
      </c>
    </row>
    <row r="409" spans="1:18" x14ac:dyDescent="0.25">
      <c r="A409" t="s">
        <v>257</v>
      </c>
      <c r="B409" t="s">
        <v>47</v>
      </c>
      <c r="C409" t="s">
        <v>5</v>
      </c>
      <c r="D409">
        <v>90012</v>
      </c>
      <c r="E409" s="1">
        <v>44469</v>
      </c>
      <c r="F409" s="2">
        <f t="shared" si="36"/>
        <v>2021</v>
      </c>
      <c r="G409">
        <v>1171</v>
      </c>
      <c r="H409" s="3">
        <v>19846076</v>
      </c>
      <c r="I409">
        <v>1822825</v>
      </c>
      <c r="J409">
        <v>19846076</v>
      </c>
      <c r="K409">
        <v>17310998</v>
      </c>
      <c r="L409">
        <v>17040010</v>
      </c>
      <c r="M409" t="str">
        <f t="shared" si="37"/>
        <v>Large</v>
      </c>
      <c r="N409">
        <f>VLOOKUP(C409,Lookup!$A$2:$D$5,MATCH(M409,Lookup!$A$1:$D$1,0),FALSE)</f>
        <v>0.08</v>
      </c>
      <c r="O409">
        <f t="shared" si="38"/>
        <v>1363200.8</v>
      </c>
      <c r="P409" s="7">
        <f t="shared" si="39"/>
        <v>0.87226301058204148</v>
      </c>
      <c r="Q409" s="7">
        <f t="shared" si="40"/>
        <v>16947.972672929121</v>
      </c>
      <c r="R409">
        <f t="shared" si="41"/>
        <v>1.3371654418043182</v>
      </c>
    </row>
    <row r="410" spans="1:18" x14ac:dyDescent="0.25">
      <c r="A410" t="s">
        <v>258</v>
      </c>
      <c r="B410" t="s">
        <v>259</v>
      </c>
      <c r="C410" t="s">
        <v>8</v>
      </c>
      <c r="D410">
        <v>61817</v>
      </c>
      <c r="E410" s="1">
        <v>43738</v>
      </c>
      <c r="F410" s="2">
        <f t="shared" si="36"/>
        <v>2019</v>
      </c>
      <c r="G410">
        <v>20</v>
      </c>
      <c r="H410" s="3">
        <v>63196</v>
      </c>
      <c r="I410">
        <v>6431</v>
      </c>
      <c r="J410">
        <v>63196</v>
      </c>
      <c r="K410">
        <v>56880</v>
      </c>
      <c r="L410">
        <v>55893</v>
      </c>
      <c r="M410" t="str">
        <f t="shared" si="37"/>
        <v>Small</v>
      </c>
      <c r="N410">
        <f>VLOOKUP(C410,Lookup!$A$2:$D$5,MATCH(M410,Lookup!$A$1:$D$1,0),FALSE)</f>
        <v>0.09</v>
      </c>
      <c r="O410">
        <f t="shared" si="38"/>
        <v>5030.37</v>
      </c>
      <c r="P410" s="7">
        <f t="shared" si="39"/>
        <v>0.90005696563073612</v>
      </c>
      <c r="Q410" s="7">
        <f t="shared" si="40"/>
        <v>3159.8</v>
      </c>
      <c r="R410">
        <f t="shared" si="41"/>
        <v>1.2784347871031356</v>
      </c>
    </row>
    <row r="411" spans="1:18" x14ac:dyDescent="0.25">
      <c r="A411" t="s">
        <v>258</v>
      </c>
      <c r="B411" t="s">
        <v>259</v>
      </c>
      <c r="C411" t="s">
        <v>8</v>
      </c>
      <c r="D411">
        <v>61817</v>
      </c>
      <c r="E411" s="1">
        <v>44104</v>
      </c>
      <c r="F411" s="2">
        <f t="shared" si="36"/>
        <v>2020</v>
      </c>
      <c r="G411">
        <v>19</v>
      </c>
      <c r="H411" s="3">
        <v>67168</v>
      </c>
      <c r="I411">
        <v>7413</v>
      </c>
      <c r="J411">
        <v>67168</v>
      </c>
      <c r="K411">
        <v>59975</v>
      </c>
      <c r="L411">
        <v>58828</v>
      </c>
      <c r="M411" t="str">
        <f t="shared" si="37"/>
        <v>Small</v>
      </c>
      <c r="N411">
        <f>VLOOKUP(C411,Lookup!$A$2:$D$5,MATCH(M411,Lookup!$A$1:$D$1,0),FALSE)</f>
        <v>0.09</v>
      </c>
      <c r="O411">
        <f t="shared" si="38"/>
        <v>5294.5199999999995</v>
      </c>
      <c r="P411" s="7">
        <f t="shared" si="39"/>
        <v>0.89291031443544544</v>
      </c>
      <c r="Q411" s="7">
        <f t="shared" si="40"/>
        <v>3535.1578947368421</v>
      </c>
      <c r="R411">
        <f t="shared" si="41"/>
        <v>1.4001269236871332</v>
      </c>
    </row>
    <row r="412" spans="1:18" x14ac:dyDescent="0.25">
      <c r="A412" t="s">
        <v>258</v>
      </c>
      <c r="B412" t="s">
        <v>259</v>
      </c>
      <c r="C412" t="s">
        <v>8</v>
      </c>
      <c r="D412">
        <v>61817</v>
      </c>
      <c r="E412" s="1">
        <v>44469</v>
      </c>
      <c r="F412" s="2">
        <f t="shared" si="36"/>
        <v>2021</v>
      </c>
      <c r="G412">
        <v>21</v>
      </c>
      <c r="H412" s="3">
        <v>73983</v>
      </c>
      <c r="I412">
        <v>17370</v>
      </c>
      <c r="J412">
        <v>73983</v>
      </c>
      <c r="K412">
        <v>65699</v>
      </c>
      <c r="L412">
        <v>64801</v>
      </c>
      <c r="M412" t="str">
        <f t="shared" si="37"/>
        <v>Small</v>
      </c>
      <c r="N412">
        <f>VLOOKUP(C412,Lookup!$A$2:$D$5,MATCH(M412,Lookup!$A$1:$D$1,0),FALSE)</f>
        <v>0.09</v>
      </c>
      <c r="O412">
        <f t="shared" si="38"/>
        <v>5832.09</v>
      </c>
      <c r="P412" s="7">
        <f t="shared" si="39"/>
        <v>0.88802833083275889</v>
      </c>
      <c r="Q412" s="7">
        <f t="shared" si="40"/>
        <v>3523</v>
      </c>
      <c r="R412">
        <f t="shared" si="41"/>
        <v>2.978349099550933</v>
      </c>
    </row>
    <row r="413" spans="1:18" x14ac:dyDescent="0.25">
      <c r="A413" t="s">
        <v>260</v>
      </c>
      <c r="B413" t="s">
        <v>261</v>
      </c>
      <c r="C413" t="s">
        <v>17</v>
      </c>
      <c r="D413">
        <v>12701</v>
      </c>
      <c r="E413" s="1">
        <v>43738</v>
      </c>
      <c r="F413" s="2">
        <f t="shared" si="36"/>
        <v>2019</v>
      </c>
      <c r="G413">
        <v>96</v>
      </c>
      <c r="H413" s="3">
        <v>525224</v>
      </c>
      <c r="I413">
        <v>66182</v>
      </c>
      <c r="J413">
        <v>525224</v>
      </c>
      <c r="K413">
        <v>487570</v>
      </c>
      <c r="L413">
        <v>486944</v>
      </c>
      <c r="M413" t="str">
        <f t="shared" si="37"/>
        <v>Medium</v>
      </c>
      <c r="N413">
        <f>VLOOKUP(C413,Lookup!$A$2:$D$5,MATCH(M413,Lookup!$A$1:$D$1,0),FALSE)</f>
        <v>8.5000000000000006E-2</v>
      </c>
      <c r="O413">
        <f t="shared" si="38"/>
        <v>41390.240000000005</v>
      </c>
      <c r="P413" s="7">
        <f t="shared" si="39"/>
        <v>0.92830868353312113</v>
      </c>
      <c r="Q413" s="7">
        <f t="shared" si="40"/>
        <v>5471.083333333333</v>
      </c>
      <c r="R413">
        <f t="shared" si="41"/>
        <v>1.5989759904750489</v>
      </c>
    </row>
    <row r="414" spans="1:18" x14ac:dyDescent="0.25">
      <c r="A414" t="s">
        <v>260</v>
      </c>
      <c r="B414" t="s">
        <v>261</v>
      </c>
      <c r="C414" t="s">
        <v>17</v>
      </c>
      <c r="D414">
        <v>12701</v>
      </c>
      <c r="E414" s="1">
        <v>44104</v>
      </c>
      <c r="F414" s="2">
        <f t="shared" si="36"/>
        <v>2020</v>
      </c>
      <c r="G414">
        <v>89</v>
      </c>
      <c r="H414" s="3">
        <v>591935</v>
      </c>
      <c r="I414">
        <v>106867</v>
      </c>
      <c r="J414">
        <v>591935</v>
      </c>
      <c r="K414">
        <v>551822</v>
      </c>
      <c r="L414">
        <v>550932</v>
      </c>
      <c r="M414" t="str">
        <f t="shared" si="37"/>
        <v>Medium</v>
      </c>
      <c r="N414">
        <f>VLOOKUP(C414,Lookup!$A$2:$D$5,MATCH(M414,Lookup!$A$1:$D$1,0),FALSE)</f>
        <v>8.5000000000000006E-2</v>
      </c>
      <c r="O414">
        <f t="shared" si="38"/>
        <v>46829.22</v>
      </c>
      <c r="P414" s="7">
        <f t="shared" si="39"/>
        <v>0.93223411354287211</v>
      </c>
      <c r="Q414" s="7">
        <f t="shared" si="40"/>
        <v>6650.9550561797751</v>
      </c>
      <c r="R414">
        <f t="shared" si="41"/>
        <v>2.2820580825390642</v>
      </c>
    </row>
    <row r="415" spans="1:18" x14ac:dyDescent="0.25">
      <c r="A415" t="s">
        <v>260</v>
      </c>
      <c r="B415" t="s">
        <v>261</v>
      </c>
      <c r="C415" t="s">
        <v>17</v>
      </c>
      <c r="D415">
        <v>12701</v>
      </c>
      <c r="E415" s="1">
        <v>44469</v>
      </c>
      <c r="F415" s="2">
        <f t="shared" si="36"/>
        <v>2021</v>
      </c>
      <c r="G415">
        <v>87</v>
      </c>
      <c r="H415" s="3">
        <v>595749</v>
      </c>
      <c r="I415">
        <v>39030</v>
      </c>
      <c r="J415">
        <v>595749</v>
      </c>
      <c r="K415">
        <v>555488</v>
      </c>
      <c r="L415">
        <v>554381</v>
      </c>
      <c r="M415" t="str">
        <f t="shared" si="37"/>
        <v>Medium</v>
      </c>
      <c r="N415">
        <f>VLOOKUP(C415,Lookup!$A$2:$D$5,MATCH(M415,Lookup!$A$1:$D$1,0),FALSE)</f>
        <v>8.5000000000000006E-2</v>
      </c>
      <c r="O415">
        <f t="shared" si="38"/>
        <v>47122.385000000002</v>
      </c>
      <c r="P415" s="7">
        <f t="shared" si="39"/>
        <v>0.93241952567272457</v>
      </c>
      <c r="Q415" s="7">
        <f t="shared" si="40"/>
        <v>6847.6896551724139</v>
      </c>
      <c r="R415">
        <f t="shared" si="41"/>
        <v>0.82826877289848544</v>
      </c>
    </row>
    <row r="416" spans="1:18" x14ac:dyDescent="0.25">
      <c r="A416" t="s">
        <v>262</v>
      </c>
      <c r="B416" t="s">
        <v>263</v>
      </c>
      <c r="C416" t="s">
        <v>17</v>
      </c>
      <c r="D416">
        <v>14755</v>
      </c>
      <c r="E416" s="1">
        <v>43738</v>
      </c>
      <c r="F416" s="2">
        <f t="shared" si="36"/>
        <v>2019</v>
      </c>
      <c r="G416">
        <v>66</v>
      </c>
      <c r="H416" s="3">
        <v>251356</v>
      </c>
      <c r="I416">
        <v>11760</v>
      </c>
      <c r="J416">
        <v>251356</v>
      </c>
      <c r="K416">
        <v>228771</v>
      </c>
      <c r="L416">
        <v>224456</v>
      </c>
      <c r="M416" t="str">
        <f t="shared" si="37"/>
        <v>Medium</v>
      </c>
      <c r="N416">
        <f>VLOOKUP(C416,Lookup!$A$2:$D$5,MATCH(M416,Lookup!$A$1:$D$1,0),FALSE)</f>
        <v>8.5000000000000006E-2</v>
      </c>
      <c r="O416">
        <f t="shared" si="38"/>
        <v>19078.760000000002</v>
      </c>
      <c r="P416" s="7">
        <f t="shared" si="39"/>
        <v>0.91014736071547919</v>
      </c>
      <c r="Q416" s="7">
        <f t="shared" si="40"/>
        <v>3808.4242424242425</v>
      </c>
      <c r="R416">
        <f t="shared" si="41"/>
        <v>0.6163922602936458</v>
      </c>
    </row>
    <row r="417" spans="1:18" x14ac:dyDescent="0.25">
      <c r="A417" t="s">
        <v>262</v>
      </c>
      <c r="B417" t="s">
        <v>263</v>
      </c>
      <c r="C417" t="s">
        <v>17</v>
      </c>
      <c r="D417">
        <v>14755</v>
      </c>
      <c r="E417" s="1">
        <v>44104</v>
      </c>
      <c r="F417" s="2">
        <f t="shared" si="36"/>
        <v>2020</v>
      </c>
      <c r="G417">
        <v>60</v>
      </c>
      <c r="H417" s="3">
        <v>292251</v>
      </c>
      <c r="I417">
        <v>12468</v>
      </c>
      <c r="J417">
        <v>292251</v>
      </c>
      <c r="K417">
        <v>268586</v>
      </c>
      <c r="L417">
        <v>258962</v>
      </c>
      <c r="M417" t="str">
        <f t="shared" si="37"/>
        <v>Medium</v>
      </c>
      <c r="N417">
        <f>VLOOKUP(C417,Lookup!$A$2:$D$5,MATCH(M417,Lookup!$A$1:$D$1,0),FALSE)</f>
        <v>8.5000000000000006E-2</v>
      </c>
      <c r="O417">
        <f t="shared" si="38"/>
        <v>22011.77</v>
      </c>
      <c r="P417" s="7">
        <f t="shared" si="39"/>
        <v>0.91902508460193466</v>
      </c>
      <c r="Q417" s="7">
        <f t="shared" si="40"/>
        <v>4870.8500000000004</v>
      </c>
      <c r="R417">
        <f t="shared" si="41"/>
        <v>0.56642423576114054</v>
      </c>
    </row>
    <row r="418" spans="1:18" x14ac:dyDescent="0.25">
      <c r="A418" t="s">
        <v>262</v>
      </c>
      <c r="B418" t="s">
        <v>263</v>
      </c>
      <c r="C418" t="s">
        <v>17</v>
      </c>
      <c r="D418">
        <v>14755</v>
      </c>
      <c r="E418" s="1">
        <v>44469</v>
      </c>
      <c r="F418" s="2">
        <f t="shared" si="36"/>
        <v>2021</v>
      </c>
      <c r="G418">
        <v>62</v>
      </c>
      <c r="H418" s="3">
        <v>323990</v>
      </c>
      <c r="I418">
        <v>31204</v>
      </c>
      <c r="J418">
        <v>323990</v>
      </c>
      <c r="K418">
        <v>299338</v>
      </c>
      <c r="L418">
        <v>289694</v>
      </c>
      <c r="M418" t="str">
        <f t="shared" si="37"/>
        <v>Medium</v>
      </c>
      <c r="N418">
        <f>VLOOKUP(C418,Lookup!$A$2:$D$5,MATCH(M418,Lookup!$A$1:$D$1,0),FALSE)</f>
        <v>8.5000000000000006E-2</v>
      </c>
      <c r="O418">
        <f t="shared" si="38"/>
        <v>24623.99</v>
      </c>
      <c r="P418" s="7">
        <f t="shared" si="39"/>
        <v>0.92391123182814283</v>
      </c>
      <c r="Q418" s="7">
        <f t="shared" si="40"/>
        <v>5225.6451612903229</v>
      </c>
      <c r="R418">
        <f t="shared" si="41"/>
        <v>1.2672194879871215</v>
      </c>
    </row>
    <row r="419" spans="1:18" x14ac:dyDescent="0.25">
      <c r="A419" t="s">
        <v>264</v>
      </c>
      <c r="B419" t="s">
        <v>265</v>
      </c>
      <c r="C419" t="s">
        <v>17</v>
      </c>
      <c r="D419">
        <v>13160</v>
      </c>
      <c r="E419" s="1">
        <v>43738</v>
      </c>
      <c r="F419" s="2">
        <f t="shared" si="36"/>
        <v>2019</v>
      </c>
      <c r="G419">
        <v>24</v>
      </c>
      <c r="H419" s="3">
        <v>153844</v>
      </c>
      <c r="I419">
        <v>11438</v>
      </c>
      <c r="J419">
        <v>153844</v>
      </c>
      <c r="K419">
        <v>140129</v>
      </c>
      <c r="L419">
        <v>138539</v>
      </c>
      <c r="M419" t="str">
        <f t="shared" si="37"/>
        <v>Medium</v>
      </c>
      <c r="N419">
        <f>VLOOKUP(C419,Lookup!$A$2:$D$5,MATCH(M419,Lookup!$A$1:$D$1,0),FALSE)</f>
        <v>8.5000000000000006E-2</v>
      </c>
      <c r="O419">
        <f t="shared" si="38"/>
        <v>11775.815000000001</v>
      </c>
      <c r="P419" s="7">
        <f t="shared" si="39"/>
        <v>0.91085125191752681</v>
      </c>
      <c r="Q419" s="7">
        <f t="shared" si="40"/>
        <v>6410.166666666667</v>
      </c>
      <c r="R419">
        <f t="shared" si="41"/>
        <v>0.97131281359294452</v>
      </c>
    </row>
    <row r="420" spans="1:18" x14ac:dyDescent="0.25">
      <c r="A420" t="s">
        <v>264</v>
      </c>
      <c r="B420" t="s">
        <v>265</v>
      </c>
      <c r="C420" t="s">
        <v>17</v>
      </c>
      <c r="D420">
        <v>13160</v>
      </c>
      <c r="E420" s="1">
        <v>44104</v>
      </c>
      <c r="F420" s="2">
        <f t="shared" si="36"/>
        <v>2020</v>
      </c>
      <c r="G420">
        <v>24</v>
      </c>
      <c r="H420" s="3">
        <v>186462</v>
      </c>
      <c r="I420">
        <v>10504</v>
      </c>
      <c r="J420">
        <v>186462</v>
      </c>
      <c r="K420">
        <v>171202</v>
      </c>
      <c r="L420">
        <v>169820</v>
      </c>
      <c r="M420" t="str">
        <f t="shared" si="37"/>
        <v>Medium</v>
      </c>
      <c r="N420">
        <f>VLOOKUP(C420,Lookup!$A$2:$D$5,MATCH(M420,Lookup!$A$1:$D$1,0),FALSE)</f>
        <v>8.5000000000000006E-2</v>
      </c>
      <c r="O420">
        <f t="shared" si="38"/>
        <v>14434.7</v>
      </c>
      <c r="P420" s="7">
        <f t="shared" si="39"/>
        <v>0.91816026858019328</v>
      </c>
      <c r="Q420" s="7">
        <f t="shared" si="40"/>
        <v>7769.25</v>
      </c>
      <c r="R420">
        <f t="shared" si="41"/>
        <v>0.7276909114841319</v>
      </c>
    </row>
    <row r="421" spans="1:18" x14ac:dyDescent="0.25">
      <c r="A421" t="s">
        <v>264</v>
      </c>
      <c r="B421" t="s">
        <v>265</v>
      </c>
      <c r="C421" t="s">
        <v>17</v>
      </c>
      <c r="D421">
        <v>13160</v>
      </c>
      <c r="E421" s="1">
        <v>44469</v>
      </c>
      <c r="F421" s="2">
        <f t="shared" si="36"/>
        <v>2021</v>
      </c>
      <c r="G421">
        <v>30</v>
      </c>
      <c r="H421" s="3">
        <v>228889</v>
      </c>
      <c r="I421">
        <v>11752</v>
      </c>
      <c r="J421">
        <v>228889</v>
      </c>
      <c r="K421">
        <v>207186</v>
      </c>
      <c r="L421">
        <v>205704</v>
      </c>
      <c r="M421" t="str">
        <f t="shared" si="37"/>
        <v>Medium</v>
      </c>
      <c r="N421">
        <f>VLOOKUP(C421,Lookup!$A$2:$D$5,MATCH(M421,Lookup!$A$1:$D$1,0),FALSE)</f>
        <v>8.5000000000000006E-2</v>
      </c>
      <c r="O421">
        <f t="shared" si="38"/>
        <v>17484.84</v>
      </c>
      <c r="P421" s="7">
        <f t="shared" si="39"/>
        <v>0.90518111398975054</v>
      </c>
      <c r="Q421" s="7">
        <f t="shared" si="40"/>
        <v>7629.6333333333332</v>
      </c>
      <c r="R421">
        <f t="shared" si="41"/>
        <v>0.67212510952345006</v>
      </c>
    </row>
    <row r="422" spans="1:18" x14ac:dyDescent="0.25">
      <c r="A422" t="s">
        <v>266</v>
      </c>
      <c r="B422" t="s">
        <v>267</v>
      </c>
      <c r="C422" t="s">
        <v>8</v>
      </c>
      <c r="D422">
        <v>61254</v>
      </c>
      <c r="E422" s="1">
        <v>43738</v>
      </c>
      <c r="F422" s="2">
        <f t="shared" si="36"/>
        <v>2019</v>
      </c>
      <c r="G422">
        <v>165</v>
      </c>
      <c r="H422" s="3">
        <v>919878</v>
      </c>
      <c r="I422">
        <v>23988</v>
      </c>
      <c r="J422">
        <v>919878</v>
      </c>
      <c r="K422">
        <v>812995</v>
      </c>
      <c r="L422">
        <v>715680</v>
      </c>
      <c r="M422" t="str">
        <f t="shared" si="37"/>
        <v>Medium</v>
      </c>
      <c r="N422">
        <f>VLOOKUP(C422,Lookup!$A$2:$D$5,MATCH(M422,Lookup!$A$1:$D$1,0),FALSE)</f>
        <v>0.08</v>
      </c>
      <c r="O422">
        <f t="shared" si="38"/>
        <v>57254.400000000001</v>
      </c>
      <c r="P422" s="7">
        <f t="shared" si="39"/>
        <v>0.88380741794020512</v>
      </c>
      <c r="Q422" s="7">
        <f t="shared" si="40"/>
        <v>5575.0181818181818</v>
      </c>
      <c r="R422">
        <f t="shared" si="41"/>
        <v>0.41897216633132123</v>
      </c>
    </row>
    <row r="423" spans="1:18" x14ac:dyDescent="0.25">
      <c r="A423" t="s">
        <v>266</v>
      </c>
      <c r="B423" t="s">
        <v>267</v>
      </c>
      <c r="C423" t="s">
        <v>8</v>
      </c>
      <c r="D423">
        <v>61254</v>
      </c>
      <c r="E423" s="1">
        <v>44104</v>
      </c>
      <c r="F423" s="2">
        <f t="shared" si="36"/>
        <v>2020</v>
      </c>
      <c r="G423">
        <v>165</v>
      </c>
      <c r="H423" s="3">
        <v>956978</v>
      </c>
      <c r="I423">
        <v>28287</v>
      </c>
      <c r="J423">
        <v>956978</v>
      </c>
      <c r="K423">
        <v>844684</v>
      </c>
      <c r="L423">
        <v>738492</v>
      </c>
      <c r="M423" t="str">
        <f t="shared" si="37"/>
        <v>Medium</v>
      </c>
      <c r="N423">
        <f>VLOOKUP(C423,Lookup!$A$2:$D$5,MATCH(M423,Lookup!$A$1:$D$1,0),FALSE)</f>
        <v>0.08</v>
      </c>
      <c r="O423">
        <f t="shared" si="38"/>
        <v>59079.360000000001</v>
      </c>
      <c r="P423" s="7">
        <f t="shared" si="39"/>
        <v>0.88265769955004192</v>
      </c>
      <c r="Q423" s="7">
        <f t="shared" si="40"/>
        <v>5799.8666666666668</v>
      </c>
      <c r="R423">
        <f t="shared" si="41"/>
        <v>0.47879665588794462</v>
      </c>
    </row>
    <row r="424" spans="1:18" x14ac:dyDescent="0.25">
      <c r="A424" t="s">
        <v>266</v>
      </c>
      <c r="B424" t="s">
        <v>267</v>
      </c>
      <c r="C424" t="s">
        <v>8</v>
      </c>
      <c r="D424">
        <v>61254</v>
      </c>
      <c r="E424" s="1">
        <v>44469</v>
      </c>
      <c r="F424" s="2">
        <f t="shared" si="36"/>
        <v>2021</v>
      </c>
      <c r="G424">
        <v>168</v>
      </c>
      <c r="H424" s="3">
        <v>1094117</v>
      </c>
      <c r="I424">
        <v>26786</v>
      </c>
      <c r="J424">
        <v>1094117</v>
      </c>
      <c r="K424">
        <v>973768</v>
      </c>
      <c r="L424">
        <v>865441</v>
      </c>
      <c r="M424" t="str">
        <f t="shared" si="37"/>
        <v>Large</v>
      </c>
      <c r="N424">
        <f>VLOOKUP(C424,Lookup!$A$2:$D$5,MATCH(M424,Lookup!$A$1:$D$1,0),FALSE)</f>
        <v>7.4999999999999997E-2</v>
      </c>
      <c r="O424">
        <f t="shared" si="38"/>
        <v>64908.074999999997</v>
      </c>
      <c r="P424" s="7">
        <f t="shared" si="39"/>
        <v>0.89000353709886604</v>
      </c>
      <c r="Q424" s="7">
        <f t="shared" si="40"/>
        <v>6512.6011904761908</v>
      </c>
      <c r="R424">
        <f t="shared" si="41"/>
        <v>0.41267592668554726</v>
      </c>
    </row>
    <row r="425" spans="1:18" x14ac:dyDescent="0.25">
      <c r="A425" t="s">
        <v>268</v>
      </c>
      <c r="B425" t="s">
        <v>269</v>
      </c>
      <c r="C425" t="s">
        <v>8</v>
      </c>
      <c r="D425">
        <v>60804</v>
      </c>
      <c r="E425" s="1">
        <v>43738</v>
      </c>
      <c r="F425" s="2">
        <f t="shared" si="36"/>
        <v>2019</v>
      </c>
      <c r="G425">
        <v>49</v>
      </c>
      <c r="H425" s="3">
        <v>187869</v>
      </c>
      <c r="I425">
        <v>33059</v>
      </c>
      <c r="J425">
        <v>187869</v>
      </c>
      <c r="K425">
        <v>168696</v>
      </c>
      <c r="L425">
        <v>147827</v>
      </c>
      <c r="M425" t="str">
        <f t="shared" si="37"/>
        <v>Medium</v>
      </c>
      <c r="N425">
        <f>VLOOKUP(C425,Lookup!$A$2:$D$5,MATCH(M425,Lookup!$A$1:$D$1,0),FALSE)</f>
        <v>0.08</v>
      </c>
      <c r="O425">
        <f t="shared" si="38"/>
        <v>11826.16</v>
      </c>
      <c r="P425" s="7">
        <f t="shared" si="39"/>
        <v>0.8979448445459336</v>
      </c>
      <c r="Q425" s="7">
        <f t="shared" si="40"/>
        <v>3834.0612244897961</v>
      </c>
      <c r="R425">
        <f t="shared" si="41"/>
        <v>2.7954128812733803</v>
      </c>
    </row>
    <row r="426" spans="1:18" x14ac:dyDescent="0.25">
      <c r="A426" t="s">
        <v>268</v>
      </c>
      <c r="B426" t="s">
        <v>269</v>
      </c>
      <c r="C426" t="s">
        <v>8</v>
      </c>
      <c r="D426">
        <v>60804</v>
      </c>
      <c r="E426" s="1">
        <v>44104</v>
      </c>
      <c r="F426" s="2">
        <f t="shared" si="36"/>
        <v>2020</v>
      </c>
      <c r="G426">
        <v>48</v>
      </c>
      <c r="H426" s="3">
        <v>191652</v>
      </c>
      <c r="I426">
        <v>41145</v>
      </c>
      <c r="J426">
        <v>191652</v>
      </c>
      <c r="K426">
        <v>171895</v>
      </c>
      <c r="L426">
        <v>155380</v>
      </c>
      <c r="M426" t="str">
        <f t="shared" si="37"/>
        <v>Medium</v>
      </c>
      <c r="N426">
        <f>VLOOKUP(C426,Lookup!$A$2:$D$5,MATCH(M426,Lookup!$A$1:$D$1,0),FALSE)</f>
        <v>0.08</v>
      </c>
      <c r="O426">
        <f t="shared" si="38"/>
        <v>12430.4</v>
      </c>
      <c r="P426" s="7">
        <f t="shared" si="39"/>
        <v>0.89691211153549144</v>
      </c>
      <c r="Q426" s="7">
        <f t="shared" si="40"/>
        <v>3992.75</v>
      </c>
      <c r="R426">
        <f t="shared" si="41"/>
        <v>3.3100302484232205</v>
      </c>
    </row>
    <row r="427" spans="1:18" x14ac:dyDescent="0.25">
      <c r="A427" t="s">
        <v>268</v>
      </c>
      <c r="B427" t="s">
        <v>269</v>
      </c>
      <c r="C427" t="s">
        <v>8</v>
      </c>
      <c r="D427">
        <v>60804</v>
      </c>
      <c r="E427" s="1">
        <v>44469</v>
      </c>
      <c r="F427" s="2">
        <f t="shared" si="36"/>
        <v>2021</v>
      </c>
      <c r="G427">
        <v>49</v>
      </c>
      <c r="H427" s="3">
        <v>198210</v>
      </c>
      <c r="I427">
        <v>29407</v>
      </c>
      <c r="J427">
        <v>198210</v>
      </c>
      <c r="K427">
        <v>178151</v>
      </c>
      <c r="L427">
        <v>165364</v>
      </c>
      <c r="M427" t="str">
        <f t="shared" si="37"/>
        <v>Medium</v>
      </c>
      <c r="N427">
        <f>VLOOKUP(C427,Lookup!$A$2:$D$5,MATCH(M427,Lookup!$A$1:$D$1,0),FALSE)</f>
        <v>0.08</v>
      </c>
      <c r="O427">
        <f t="shared" si="38"/>
        <v>13229.12</v>
      </c>
      <c r="P427" s="7">
        <f t="shared" si="39"/>
        <v>0.8987992533171888</v>
      </c>
      <c r="Q427" s="7">
        <f t="shared" si="40"/>
        <v>4045.1020408163267</v>
      </c>
      <c r="R427">
        <f t="shared" si="41"/>
        <v>2.222899179990808</v>
      </c>
    </row>
    <row r="428" spans="1:18" x14ac:dyDescent="0.25">
      <c r="A428" t="s">
        <v>270</v>
      </c>
      <c r="B428" t="s">
        <v>28</v>
      </c>
      <c r="C428" t="s">
        <v>8</v>
      </c>
      <c r="D428">
        <v>60657</v>
      </c>
      <c r="E428" s="1">
        <v>43738</v>
      </c>
      <c r="F428" s="2">
        <f t="shared" si="36"/>
        <v>2019</v>
      </c>
      <c r="G428">
        <v>24</v>
      </c>
      <c r="H428" s="3">
        <v>103572</v>
      </c>
      <c r="I428">
        <v>7469</v>
      </c>
      <c r="J428">
        <v>103572</v>
      </c>
      <c r="K428">
        <v>75550</v>
      </c>
      <c r="L428">
        <v>74662</v>
      </c>
      <c r="M428" t="str">
        <f t="shared" si="37"/>
        <v>Medium</v>
      </c>
      <c r="N428">
        <f>VLOOKUP(C428,Lookup!$A$2:$D$5,MATCH(M428,Lookup!$A$1:$D$1,0),FALSE)</f>
        <v>0.08</v>
      </c>
      <c r="O428">
        <f t="shared" si="38"/>
        <v>5972.96</v>
      </c>
      <c r="P428" s="7">
        <f t="shared" si="39"/>
        <v>0.72944425134206159</v>
      </c>
      <c r="Q428" s="7">
        <f t="shared" si="40"/>
        <v>4315.5</v>
      </c>
      <c r="R428">
        <f t="shared" si="41"/>
        <v>1.2504687792987061</v>
      </c>
    </row>
    <row r="429" spans="1:18" x14ac:dyDescent="0.25">
      <c r="A429" t="s">
        <v>270</v>
      </c>
      <c r="B429" t="s">
        <v>28</v>
      </c>
      <c r="C429" t="s">
        <v>8</v>
      </c>
      <c r="D429">
        <v>60657</v>
      </c>
      <c r="E429" s="1">
        <v>44104</v>
      </c>
      <c r="F429" s="2">
        <f t="shared" si="36"/>
        <v>2020</v>
      </c>
      <c r="G429">
        <v>25</v>
      </c>
      <c r="H429" s="3">
        <v>116164</v>
      </c>
      <c r="I429">
        <v>17841</v>
      </c>
      <c r="J429">
        <v>116164</v>
      </c>
      <c r="K429">
        <v>87980</v>
      </c>
      <c r="L429">
        <v>83246</v>
      </c>
      <c r="M429" t="str">
        <f t="shared" si="37"/>
        <v>Medium</v>
      </c>
      <c r="N429">
        <f>VLOOKUP(C429,Lookup!$A$2:$D$5,MATCH(M429,Lookup!$A$1:$D$1,0),FALSE)</f>
        <v>0.08</v>
      </c>
      <c r="O429">
        <f t="shared" si="38"/>
        <v>6659.68</v>
      </c>
      <c r="P429" s="7">
        <f t="shared" si="39"/>
        <v>0.75737750077476673</v>
      </c>
      <c r="Q429" s="7">
        <f t="shared" si="40"/>
        <v>4646.5600000000004</v>
      </c>
      <c r="R429">
        <f t="shared" si="41"/>
        <v>2.67895754750979</v>
      </c>
    </row>
    <row r="430" spans="1:18" x14ac:dyDescent="0.25">
      <c r="A430" t="s">
        <v>270</v>
      </c>
      <c r="B430" t="s">
        <v>28</v>
      </c>
      <c r="C430" t="s">
        <v>8</v>
      </c>
      <c r="D430">
        <v>60657</v>
      </c>
      <c r="E430" s="1">
        <v>44469</v>
      </c>
      <c r="F430" s="2">
        <f t="shared" si="36"/>
        <v>2021</v>
      </c>
      <c r="G430">
        <v>22</v>
      </c>
      <c r="H430" s="3">
        <v>114436</v>
      </c>
      <c r="I430">
        <v>19612</v>
      </c>
      <c r="J430">
        <v>114436</v>
      </c>
      <c r="K430">
        <v>86092</v>
      </c>
      <c r="L430">
        <v>80434</v>
      </c>
      <c r="M430" t="str">
        <f t="shared" si="37"/>
        <v>Medium</v>
      </c>
      <c r="N430">
        <f>VLOOKUP(C430,Lookup!$A$2:$D$5,MATCH(M430,Lookup!$A$1:$D$1,0),FALSE)</f>
        <v>0.08</v>
      </c>
      <c r="O430">
        <f t="shared" si="38"/>
        <v>6434.72</v>
      </c>
      <c r="P430" s="7">
        <f t="shared" si="39"/>
        <v>0.75231570484812471</v>
      </c>
      <c r="Q430" s="7">
        <f t="shared" si="40"/>
        <v>5201.636363636364</v>
      </c>
      <c r="R430">
        <f t="shared" si="41"/>
        <v>3.047840465474799</v>
      </c>
    </row>
    <row r="431" spans="1:18" x14ac:dyDescent="0.25">
      <c r="A431" t="s">
        <v>271</v>
      </c>
      <c r="B431" t="s">
        <v>272</v>
      </c>
      <c r="C431" t="s">
        <v>8</v>
      </c>
      <c r="D431">
        <v>62324</v>
      </c>
      <c r="E431" s="1">
        <v>43738</v>
      </c>
      <c r="F431" s="2">
        <f t="shared" si="36"/>
        <v>2019</v>
      </c>
      <c r="G431">
        <v>32</v>
      </c>
      <c r="H431" s="3">
        <v>144220</v>
      </c>
      <c r="I431">
        <v>9443</v>
      </c>
      <c r="J431">
        <v>144220</v>
      </c>
      <c r="K431">
        <v>122309</v>
      </c>
      <c r="L431">
        <v>114706</v>
      </c>
      <c r="M431" t="str">
        <f t="shared" si="37"/>
        <v>Medium</v>
      </c>
      <c r="N431">
        <f>VLOOKUP(C431,Lookup!$A$2:$D$5,MATCH(M431,Lookup!$A$1:$D$1,0),FALSE)</f>
        <v>0.08</v>
      </c>
      <c r="O431">
        <f t="shared" si="38"/>
        <v>9176.48</v>
      </c>
      <c r="P431" s="7">
        <f t="shared" si="39"/>
        <v>0.84807238940507557</v>
      </c>
      <c r="Q431" s="7">
        <f t="shared" si="40"/>
        <v>4506.875</v>
      </c>
      <c r="R431">
        <f t="shared" si="41"/>
        <v>1.0290438163653166</v>
      </c>
    </row>
    <row r="432" spans="1:18" x14ac:dyDescent="0.25">
      <c r="A432" t="s">
        <v>271</v>
      </c>
      <c r="B432" t="s">
        <v>272</v>
      </c>
      <c r="C432" t="s">
        <v>8</v>
      </c>
      <c r="D432">
        <v>62324</v>
      </c>
      <c r="E432" s="1">
        <v>44104</v>
      </c>
      <c r="F432" s="2">
        <f t="shared" si="36"/>
        <v>2020</v>
      </c>
      <c r="G432">
        <v>30</v>
      </c>
      <c r="H432" s="3">
        <v>161352</v>
      </c>
      <c r="I432">
        <v>33324</v>
      </c>
      <c r="J432">
        <v>161352</v>
      </c>
      <c r="K432">
        <v>138706</v>
      </c>
      <c r="L432">
        <v>129332</v>
      </c>
      <c r="M432" t="str">
        <f t="shared" si="37"/>
        <v>Medium</v>
      </c>
      <c r="N432">
        <f>VLOOKUP(C432,Lookup!$A$2:$D$5,MATCH(M432,Lookup!$A$1:$D$1,0),FALSE)</f>
        <v>0.08</v>
      </c>
      <c r="O432">
        <f t="shared" si="38"/>
        <v>10346.56</v>
      </c>
      <c r="P432" s="7">
        <f t="shared" si="39"/>
        <v>0.85964847042490955</v>
      </c>
      <c r="Q432" s="7">
        <f t="shared" si="40"/>
        <v>5378.4</v>
      </c>
      <c r="R432">
        <f t="shared" si="41"/>
        <v>3.2207806266043981</v>
      </c>
    </row>
    <row r="433" spans="1:18" x14ac:dyDescent="0.25">
      <c r="A433" t="s">
        <v>271</v>
      </c>
      <c r="B433" t="s">
        <v>272</v>
      </c>
      <c r="C433" t="s">
        <v>8</v>
      </c>
      <c r="D433">
        <v>62324</v>
      </c>
      <c r="E433" s="1">
        <v>44469</v>
      </c>
      <c r="F433" s="2">
        <f t="shared" si="36"/>
        <v>2021</v>
      </c>
      <c r="G433">
        <v>31</v>
      </c>
      <c r="H433" s="3">
        <v>176739</v>
      </c>
      <c r="I433">
        <v>46458</v>
      </c>
      <c r="J433">
        <v>176739</v>
      </c>
      <c r="K433">
        <v>152771</v>
      </c>
      <c r="L433">
        <v>145983</v>
      </c>
      <c r="M433" t="str">
        <f t="shared" si="37"/>
        <v>Medium</v>
      </c>
      <c r="N433">
        <f>VLOOKUP(C433,Lookup!$A$2:$D$5,MATCH(M433,Lookup!$A$1:$D$1,0),FALSE)</f>
        <v>0.08</v>
      </c>
      <c r="O433">
        <f t="shared" si="38"/>
        <v>11678.64</v>
      </c>
      <c r="P433" s="7">
        <f t="shared" si="39"/>
        <v>0.86438759979404656</v>
      </c>
      <c r="Q433" s="7">
        <f t="shared" si="40"/>
        <v>5701.2580645161288</v>
      </c>
      <c r="R433">
        <f t="shared" si="41"/>
        <v>3.9780316886212779</v>
      </c>
    </row>
    <row r="434" spans="1:18" x14ac:dyDescent="0.25">
      <c r="A434" t="s">
        <v>273</v>
      </c>
      <c r="B434" t="s">
        <v>274</v>
      </c>
      <c r="C434" t="s">
        <v>5</v>
      </c>
      <c r="D434">
        <v>93720</v>
      </c>
      <c r="E434" s="1">
        <v>43738</v>
      </c>
      <c r="F434" s="2">
        <f t="shared" si="36"/>
        <v>2019</v>
      </c>
      <c r="G434">
        <v>270</v>
      </c>
      <c r="H434" s="3">
        <v>1583970</v>
      </c>
      <c r="I434">
        <v>42947</v>
      </c>
      <c r="J434">
        <v>1583970</v>
      </c>
      <c r="K434">
        <v>1347481</v>
      </c>
      <c r="L434">
        <v>1311541</v>
      </c>
      <c r="M434" t="str">
        <f t="shared" si="37"/>
        <v>Large</v>
      </c>
      <c r="N434">
        <f>VLOOKUP(C434,Lookup!$A$2:$D$5,MATCH(M434,Lookup!$A$1:$D$1,0),FALSE)</f>
        <v>0.08</v>
      </c>
      <c r="O434">
        <f t="shared" si="38"/>
        <v>104923.28</v>
      </c>
      <c r="P434" s="7">
        <f t="shared" si="39"/>
        <v>0.85069856121012388</v>
      </c>
      <c r="Q434" s="7">
        <f t="shared" si="40"/>
        <v>5866.5555555555557</v>
      </c>
      <c r="R434">
        <f t="shared" si="41"/>
        <v>0.4093181227273871</v>
      </c>
    </row>
    <row r="435" spans="1:18" x14ac:dyDescent="0.25">
      <c r="A435" t="s">
        <v>273</v>
      </c>
      <c r="B435" t="s">
        <v>274</v>
      </c>
      <c r="C435" t="s">
        <v>5</v>
      </c>
      <c r="D435">
        <v>93720</v>
      </c>
      <c r="E435" s="1">
        <v>44104</v>
      </c>
      <c r="F435" s="2">
        <f t="shared" si="36"/>
        <v>2020</v>
      </c>
      <c r="G435">
        <v>287</v>
      </c>
      <c r="H435" s="3">
        <v>1950121</v>
      </c>
      <c r="I435">
        <v>86863</v>
      </c>
      <c r="J435">
        <v>1950121</v>
      </c>
      <c r="K435">
        <v>1710501</v>
      </c>
      <c r="L435">
        <v>1681879</v>
      </c>
      <c r="M435" t="str">
        <f t="shared" si="37"/>
        <v>Large</v>
      </c>
      <c r="N435">
        <f>VLOOKUP(C435,Lookup!$A$2:$D$5,MATCH(M435,Lookup!$A$1:$D$1,0),FALSE)</f>
        <v>0.08</v>
      </c>
      <c r="O435">
        <f t="shared" si="38"/>
        <v>134550.32</v>
      </c>
      <c r="P435" s="7">
        <f t="shared" si="39"/>
        <v>0.87712557323366092</v>
      </c>
      <c r="Q435" s="7">
        <f t="shared" si="40"/>
        <v>6794.8466898954703</v>
      </c>
      <c r="R435">
        <f t="shared" si="41"/>
        <v>0.64558003280854326</v>
      </c>
    </row>
    <row r="436" spans="1:18" x14ac:dyDescent="0.25">
      <c r="A436" t="s">
        <v>273</v>
      </c>
      <c r="B436" t="s">
        <v>274</v>
      </c>
      <c r="C436" t="s">
        <v>5</v>
      </c>
      <c r="D436">
        <v>93720</v>
      </c>
      <c r="E436" s="1">
        <v>44469</v>
      </c>
      <c r="F436" s="2">
        <f t="shared" si="36"/>
        <v>2021</v>
      </c>
      <c r="G436">
        <v>246</v>
      </c>
      <c r="H436" s="3">
        <v>2347934</v>
      </c>
      <c r="I436">
        <v>67461</v>
      </c>
      <c r="J436">
        <v>2347934</v>
      </c>
      <c r="K436">
        <v>2097799</v>
      </c>
      <c r="L436">
        <v>2059446</v>
      </c>
      <c r="M436" t="str">
        <f t="shared" si="37"/>
        <v>Large</v>
      </c>
      <c r="N436">
        <f>VLOOKUP(C436,Lookup!$A$2:$D$5,MATCH(M436,Lookup!$A$1:$D$1,0),FALSE)</f>
        <v>0.08</v>
      </c>
      <c r="O436">
        <f t="shared" si="38"/>
        <v>164755.68</v>
      </c>
      <c r="P436" s="7">
        <f t="shared" si="39"/>
        <v>0.89346591514071516</v>
      </c>
      <c r="Q436" s="7">
        <f t="shared" si="40"/>
        <v>9544.4471544715452</v>
      </c>
      <c r="R436">
        <f t="shared" si="41"/>
        <v>0.40946084529528814</v>
      </c>
    </row>
    <row r="437" spans="1:18" x14ac:dyDescent="0.25">
      <c r="A437" t="s">
        <v>275</v>
      </c>
      <c r="B437" t="s">
        <v>276</v>
      </c>
      <c r="C437" t="s">
        <v>8</v>
      </c>
      <c r="D437">
        <v>60062</v>
      </c>
      <c r="E437" s="1">
        <v>43738</v>
      </c>
      <c r="F437" s="2">
        <f t="shared" si="36"/>
        <v>2019</v>
      </c>
      <c r="G437">
        <v>27</v>
      </c>
      <c r="H437" s="3">
        <v>125844</v>
      </c>
      <c r="I437">
        <v>4851</v>
      </c>
      <c r="J437">
        <v>125844</v>
      </c>
      <c r="K437">
        <v>113621</v>
      </c>
      <c r="L437">
        <v>108099</v>
      </c>
      <c r="M437" t="str">
        <f t="shared" si="37"/>
        <v>Medium</v>
      </c>
      <c r="N437">
        <f>VLOOKUP(C437,Lookup!$A$2:$D$5,MATCH(M437,Lookup!$A$1:$D$1,0),FALSE)</f>
        <v>0.08</v>
      </c>
      <c r="O437">
        <f t="shared" si="38"/>
        <v>8647.92</v>
      </c>
      <c r="P437" s="7">
        <f t="shared" si="39"/>
        <v>0.90287180954197255</v>
      </c>
      <c r="Q437" s="7">
        <f t="shared" si="40"/>
        <v>4660.8888888888887</v>
      </c>
      <c r="R437">
        <f t="shared" si="41"/>
        <v>0.56094413454333525</v>
      </c>
    </row>
    <row r="438" spans="1:18" x14ac:dyDescent="0.25">
      <c r="A438" t="s">
        <v>275</v>
      </c>
      <c r="B438" t="s">
        <v>276</v>
      </c>
      <c r="C438" t="s">
        <v>8</v>
      </c>
      <c r="D438">
        <v>60062</v>
      </c>
      <c r="E438" s="1">
        <v>44104</v>
      </c>
      <c r="F438" s="2">
        <f t="shared" si="36"/>
        <v>2020</v>
      </c>
      <c r="G438">
        <v>28</v>
      </c>
      <c r="H438" s="3">
        <v>164444</v>
      </c>
      <c r="I438">
        <v>9249</v>
      </c>
      <c r="J438">
        <v>164444</v>
      </c>
      <c r="K438">
        <v>146020</v>
      </c>
      <c r="L438">
        <v>125614</v>
      </c>
      <c r="M438" t="str">
        <f t="shared" si="37"/>
        <v>Medium</v>
      </c>
      <c r="N438">
        <f>VLOOKUP(C438,Lookup!$A$2:$D$5,MATCH(M438,Lookup!$A$1:$D$1,0),FALSE)</f>
        <v>0.08</v>
      </c>
      <c r="O438">
        <f t="shared" si="38"/>
        <v>10049.120000000001</v>
      </c>
      <c r="P438" s="7">
        <f t="shared" si="39"/>
        <v>0.88796185935637661</v>
      </c>
      <c r="Q438" s="7">
        <f t="shared" si="40"/>
        <v>5873</v>
      </c>
      <c r="R438">
        <f t="shared" si="41"/>
        <v>0.92037909787125627</v>
      </c>
    </row>
    <row r="439" spans="1:18" x14ac:dyDescent="0.25">
      <c r="A439" t="s">
        <v>275</v>
      </c>
      <c r="B439" t="s">
        <v>276</v>
      </c>
      <c r="C439" t="s">
        <v>8</v>
      </c>
      <c r="D439">
        <v>60062</v>
      </c>
      <c r="E439" s="1">
        <v>44469</v>
      </c>
      <c r="F439" s="2">
        <f t="shared" si="36"/>
        <v>2021</v>
      </c>
      <c r="G439">
        <v>28</v>
      </c>
      <c r="H439" s="3">
        <v>158810</v>
      </c>
      <c r="I439">
        <v>27971</v>
      </c>
      <c r="J439">
        <v>158810</v>
      </c>
      <c r="K439">
        <v>139332</v>
      </c>
      <c r="L439">
        <v>130794</v>
      </c>
      <c r="M439" t="str">
        <f t="shared" si="37"/>
        <v>Medium</v>
      </c>
      <c r="N439">
        <f>VLOOKUP(C439,Lookup!$A$2:$D$5,MATCH(M439,Lookup!$A$1:$D$1,0),FALSE)</f>
        <v>0.08</v>
      </c>
      <c r="O439">
        <f t="shared" si="38"/>
        <v>10463.52</v>
      </c>
      <c r="P439" s="7">
        <f t="shared" si="39"/>
        <v>0.87735029280272026</v>
      </c>
      <c r="Q439" s="7">
        <f t="shared" si="40"/>
        <v>5671.7857142857147</v>
      </c>
      <c r="R439">
        <f t="shared" si="41"/>
        <v>2.6731921953606435</v>
      </c>
    </row>
    <row r="440" spans="1:18" x14ac:dyDescent="0.25">
      <c r="A440" t="s">
        <v>277</v>
      </c>
      <c r="B440" t="s">
        <v>278</v>
      </c>
      <c r="C440" t="s">
        <v>20</v>
      </c>
      <c r="D440">
        <v>2145</v>
      </c>
      <c r="E440" s="1">
        <v>43738</v>
      </c>
      <c r="F440" s="2">
        <f t="shared" si="36"/>
        <v>2019</v>
      </c>
      <c r="G440">
        <v>429</v>
      </c>
      <c r="H440" s="3">
        <v>5282207</v>
      </c>
      <c r="I440">
        <v>334121</v>
      </c>
      <c r="J440">
        <v>5282207</v>
      </c>
      <c r="K440">
        <v>4931960</v>
      </c>
      <c r="L440">
        <v>4342179</v>
      </c>
      <c r="M440" t="str">
        <f t="shared" si="37"/>
        <v>Large</v>
      </c>
      <c r="N440">
        <f>VLOOKUP(C440,Lookup!$A$2:$D$5,MATCH(M440,Lookup!$A$1:$D$1,0),FALSE)</f>
        <v>0.08</v>
      </c>
      <c r="O440">
        <f t="shared" si="38"/>
        <v>347374.32</v>
      </c>
      <c r="P440" s="7">
        <f t="shared" si="39"/>
        <v>0.93369305670906122</v>
      </c>
      <c r="Q440" s="7">
        <f t="shared" si="40"/>
        <v>12312.83682983683</v>
      </c>
      <c r="R440">
        <f t="shared" si="41"/>
        <v>0.96184715093504891</v>
      </c>
    </row>
    <row r="441" spans="1:18" x14ac:dyDescent="0.25">
      <c r="A441" t="s">
        <v>277</v>
      </c>
      <c r="B441" t="s">
        <v>278</v>
      </c>
      <c r="C441" t="s">
        <v>20</v>
      </c>
      <c r="D441">
        <v>2145</v>
      </c>
      <c r="E441" s="1">
        <v>44104</v>
      </c>
      <c r="F441" s="2">
        <f t="shared" si="36"/>
        <v>2020</v>
      </c>
      <c r="G441">
        <v>426</v>
      </c>
      <c r="H441" s="3">
        <v>6279089</v>
      </c>
      <c r="I441">
        <v>412580</v>
      </c>
      <c r="J441">
        <v>6279089</v>
      </c>
      <c r="K441">
        <v>5896016</v>
      </c>
      <c r="L441">
        <v>5416881</v>
      </c>
      <c r="M441" t="str">
        <f t="shared" si="37"/>
        <v>Large</v>
      </c>
      <c r="N441">
        <f>VLOOKUP(C441,Lookup!$A$2:$D$5,MATCH(M441,Lookup!$A$1:$D$1,0),FALSE)</f>
        <v>0.08</v>
      </c>
      <c r="O441">
        <f t="shared" si="38"/>
        <v>433350.48</v>
      </c>
      <c r="P441" s="7">
        <f t="shared" si="39"/>
        <v>0.93899226464221164</v>
      </c>
      <c r="Q441" s="7">
        <f t="shared" si="40"/>
        <v>14739.645539906103</v>
      </c>
      <c r="R441">
        <f t="shared" si="41"/>
        <v>0.95207001962937721</v>
      </c>
    </row>
    <row r="442" spans="1:18" x14ac:dyDescent="0.25">
      <c r="A442" t="s">
        <v>277</v>
      </c>
      <c r="B442" t="s">
        <v>278</v>
      </c>
      <c r="C442" t="s">
        <v>20</v>
      </c>
      <c r="D442">
        <v>2145</v>
      </c>
      <c r="E442" s="1">
        <v>44469</v>
      </c>
      <c r="F442" s="2">
        <f t="shared" si="36"/>
        <v>2021</v>
      </c>
      <c r="G442">
        <v>399</v>
      </c>
      <c r="H442" s="3">
        <v>7112322</v>
      </c>
      <c r="I442">
        <v>589984</v>
      </c>
      <c r="J442">
        <v>7112322</v>
      </c>
      <c r="K442">
        <v>6687355</v>
      </c>
      <c r="L442">
        <v>6206208</v>
      </c>
      <c r="M442" t="str">
        <f t="shared" si="37"/>
        <v>Large</v>
      </c>
      <c r="N442">
        <f>VLOOKUP(C442,Lookup!$A$2:$D$5,MATCH(M442,Lookup!$A$1:$D$1,0),FALSE)</f>
        <v>0.08</v>
      </c>
      <c r="O442">
        <f t="shared" si="38"/>
        <v>496496.64000000001</v>
      </c>
      <c r="P442" s="7">
        <f t="shared" si="39"/>
        <v>0.94024919006760377</v>
      </c>
      <c r="Q442" s="7">
        <f t="shared" si="40"/>
        <v>17825.36842105263</v>
      </c>
      <c r="R442">
        <f t="shared" si="41"/>
        <v>1.1882940436414635</v>
      </c>
    </row>
    <row r="443" spans="1:18" x14ac:dyDescent="0.25">
      <c r="A443" t="s">
        <v>279</v>
      </c>
      <c r="B443" t="s">
        <v>280</v>
      </c>
      <c r="C443" t="s">
        <v>17</v>
      </c>
      <c r="D443">
        <v>12932</v>
      </c>
      <c r="E443" s="1">
        <v>43738</v>
      </c>
      <c r="F443" s="2">
        <f t="shared" si="36"/>
        <v>2019</v>
      </c>
      <c r="G443">
        <v>69</v>
      </c>
      <c r="H443" s="3">
        <v>379998</v>
      </c>
      <c r="I443">
        <v>19118</v>
      </c>
      <c r="J443">
        <v>379998</v>
      </c>
      <c r="K443">
        <v>349952</v>
      </c>
      <c r="L443">
        <v>341826</v>
      </c>
      <c r="M443" t="str">
        <f t="shared" si="37"/>
        <v>Medium</v>
      </c>
      <c r="N443">
        <f>VLOOKUP(C443,Lookup!$A$2:$D$5,MATCH(M443,Lookup!$A$1:$D$1,0),FALSE)</f>
        <v>8.5000000000000006E-2</v>
      </c>
      <c r="O443">
        <f t="shared" si="38"/>
        <v>29055.210000000003</v>
      </c>
      <c r="P443" s="7">
        <f t="shared" si="39"/>
        <v>0.92093116279559362</v>
      </c>
      <c r="Q443" s="7">
        <f t="shared" si="40"/>
        <v>5507.217391304348</v>
      </c>
      <c r="R443">
        <f t="shared" si="41"/>
        <v>0.6579887049517108</v>
      </c>
    </row>
    <row r="444" spans="1:18" x14ac:dyDescent="0.25">
      <c r="A444" t="s">
        <v>279</v>
      </c>
      <c r="B444" t="s">
        <v>280</v>
      </c>
      <c r="C444" t="s">
        <v>17</v>
      </c>
      <c r="D444">
        <v>12932</v>
      </c>
      <c r="E444" s="1">
        <v>44104</v>
      </c>
      <c r="F444" s="2">
        <f t="shared" si="36"/>
        <v>2020</v>
      </c>
      <c r="G444">
        <v>66</v>
      </c>
      <c r="H444" s="3">
        <v>403031</v>
      </c>
      <c r="I444">
        <v>12328</v>
      </c>
      <c r="J444">
        <v>403031</v>
      </c>
      <c r="K444">
        <v>368012</v>
      </c>
      <c r="L444">
        <v>358816</v>
      </c>
      <c r="M444" t="str">
        <f t="shared" si="37"/>
        <v>Medium</v>
      </c>
      <c r="N444">
        <f>VLOOKUP(C444,Lookup!$A$2:$D$5,MATCH(M444,Lookup!$A$1:$D$1,0),FALSE)</f>
        <v>8.5000000000000006E-2</v>
      </c>
      <c r="O444">
        <f t="shared" si="38"/>
        <v>30499.360000000001</v>
      </c>
      <c r="P444" s="7">
        <f t="shared" si="39"/>
        <v>0.91311090213904145</v>
      </c>
      <c r="Q444" s="7">
        <f t="shared" si="40"/>
        <v>6106.530303030303</v>
      </c>
      <c r="R444">
        <f t="shared" si="41"/>
        <v>0.40420520299442347</v>
      </c>
    </row>
    <row r="445" spans="1:18" x14ac:dyDescent="0.25">
      <c r="A445" t="s">
        <v>279</v>
      </c>
      <c r="B445" t="s">
        <v>280</v>
      </c>
      <c r="C445" t="s">
        <v>17</v>
      </c>
      <c r="D445">
        <v>12932</v>
      </c>
      <c r="E445" s="1">
        <v>44469</v>
      </c>
      <c r="F445" s="2">
        <f t="shared" si="36"/>
        <v>2021</v>
      </c>
      <c r="G445">
        <v>70</v>
      </c>
      <c r="H445" s="3">
        <v>469563</v>
      </c>
      <c r="I445">
        <v>35968</v>
      </c>
      <c r="J445">
        <v>469563</v>
      </c>
      <c r="K445">
        <v>431085</v>
      </c>
      <c r="L445">
        <v>421683</v>
      </c>
      <c r="M445" t="str">
        <f t="shared" si="37"/>
        <v>Medium</v>
      </c>
      <c r="N445">
        <f>VLOOKUP(C445,Lookup!$A$2:$D$5,MATCH(M445,Lookup!$A$1:$D$1,0),FALSE)</f>
        <v>8.5000000000000006E-2</v>
      </c>
      <c r="O445">
        <f t="shared" si="38"/>
        <v>35843.055</v>
      </c>
      <c r="P445" s="7">
        <f t="shared" si="39"/>
        <v>0.91805572415203074</v>
      </c>
      <c r="Q445" s="7">
        <f t="shared" si="40"/>
        <v>6708.0428571428574</v>
      </c>
      <c r="R445">
        <f t="shared" si="41"/>
        <v>1.0034858914788374</v>
      </c>
    </row>
    <row r="446" spans="1:18" x14ac:dyDescent="0.25">
      <c r="A446" t="s">
        <v>281</v>
      </c>
      <c r="B446" t="s">
        <v>282</v>
      </c>
      <c r="C446" t="s">
        <v>20</v>
      </c>
      <c r="D446">
        <v>2053</v>
      </c>
      <c r="E446" s="1">
        <v>43738</v>
      </c>
      <c r="F446" s="2">
        <f t="shared" si="36"/>
        <v>2019</v>
      </c>
      <c r="G446">
        <v>45</v>
      </c>
      <c r="H446" s="3">
        <v>251824</v>
      </c>
      <c r="I446">
        <v>28005</v>
      </c>
      <c r="J446">
        <v>251824</v>
      </c>
      <c r="K446">
        <v>231309</v>
      </c>
      <c r="L446">
        <v>212331</v>
      </c>
      <c r="M446" t="str">
        <f t="shared" si="37"/>
        <v>Medium</v>
      </c>
      <c r="N446">
        <f>VLOOKUP(C446,Lookup!$A$2:$D$5,MATCH(M446,Lookup!$A$1:$D$1,0),FALSE)</f>
        <v>8.5000000000000006E-2</v>
      </c>
      <c r="O446">
        <f t="shared" si="38"/>
        <v>18048.135000000002</v>
      </c>
      <c r="P446" s="7">
        <f t="shared" si="39"/>
        <v>0.91853437321303766</v>
      </c>
      <c r="Q446" s="7">
        <f t="shared" si="40"/>
        <v>5596.0888888888885</v>
      </c>
      <c r="R446">
        <f t="shared" si="41"/>
        <v>1.5516838720455048</v>
      </c>
    </row>
    <row r="447" spans="1:18" x14ac:dyDescent="0.25">
      <c r="A447" t="s">
        <v>281</v>
      </c>
      <c r="B447" t="s">
        <v>282</v>
      </c>
      <c r="C447" t="s">
        <v>20</v>
      </c>
      <c r="D447">
        <v>2053</v>
      </c>
      <c r="E447" s="1">
        <v>44104</v>
      </c>
      <c r="F447" s="2">
        <f t="shared" si="36"/>
        <v>2020</v>
      </c>
      <c r="G447">
        <v>45</v>
      </c>
      <c r="H447" s="3">
        <v>281557</v>
      </c>
      <c r="I447">
        <v>19030</v>
      </c>
      <c r="J447">
        <v>281557</v>
      </c>
      <c r="K447">
        <v>259041</v>
      </c>
      <c r="L447">
        <v>247681</v>
      </c>
      <c r="M447" t="str">
        <f t="shared" si="37"/>
        <v>Medium</v>
      </c>
      <c r="N447">
        <f>VLOOKUP(C447,Lookup!$A$2:$D$5,MATCH(M447,Lookup!$A$1:$D$1,0),FALSE)</f>
        <v>8.5000000000000006E-2</v>
      </c>
      <c r="O447">
        <f t="shared" si="38"/>
        <v>21052.885000000002</v>
      </c>
      <c r="P447" s="7">
        <f t="shared" si="39"/>
        <v>0.92003040236968003</v>
      </c>
      <c r="Q447" s="7">
        <f t="shared" si="40"/>
        <v>6256.8222222222221</v>
      </c>
      <c r="R447">
        <f t="shared" si="41"/>
        <v>0.90391411913379083</v>
      </c>
    </row>
    <row r="448" spans="1:18" x14ac:dyDescent="0.25">
      <c r="A448" t="s">
        <v>281</v>
      </c>
      <c r="B448" t="s">
        <v>282</v>
      </c>
      <c r="C448" t="s">
        <v>20</v>
      </c>
      <c r="D448">
        <v>2053</v>
      </c>
      <c r="E448" s="1">
        <v>44469</v>
      </c>
      <c r="F448" s="2">
        <f t="shared" si="36"/>
        <v>2021</v>
      </c>
      <c r="G448">
        <v>47</v>
      </c>
      <c r="H448" s="3">
        <v>327771</v>
      </c>
      <c r="I448">
        <v>52845</v>
      </c>
      <c r="J448">
        <v>327771</v>
      </c>
      <c r="K448">
        <v>305045</v>
      </c>
      <c r="L448">
        <v>301569</v>
      </c>
      <c r="M448" t="str">
        <f t="shared" si="37"/>
        <v>Medium</v>
      </c>
      <c r="N448">
        <f>VLOOKUP(C448,Lookup!$A$2:$D$5,MATCH(M448,Lookup!$A$1:$D$1,0),FALSE)</f>
        <v>8.5000000000000006E-2</v>
      </c>
      <c r="O448">
        <f t="shared" si="38"/>
        <v>25633.365000000002</v>
      </c>
      <c r="P448" s="7">
        <f t="shared" si="39"/>
        <v>0.93066500697133059</v>
      </c>
      <c r="Q448" s="7">
        <f t="shared" si="40"/>
        <v>6973.8510638297876</v>
      </c>
      <c r="R448">
        <f t="shared" si="41"/>
        <v>2.0615709252374783</v>
      </c>
    </row>
    <row r="449" spans="1:18" x14ac:dyDescent="0.25">
      <c r="A449" t="s">
        <v>283</v>
      </c>
      <c r="B449" t="s">
        <v>284</v>
      </c>
      <c r="C449" t="s">
        <v>17</v>
      </c>
      <c r="D449">
        <v>14902</v>
      </c>
      <c r="E449" s="1">
        <v>43738</v>
      </c>
      <c r="F449" s="2">
        <f t="shared" si="36"/>
        <v>2019</v>
      </c>
      <c r="G449">
        <v>352</v>
      </c>
      <c r="H449" s="3">
        <v>1789350</v>
      </c>
      <c r="I449">
        <v>145473</v>
      </c>
      <c r="J449">
        <v>1789349</v>
      </c>
      <c r="K449">
        <v>1615722</v>
      </c>
      <c r="L449">
        <v>1581705</v>
      </c>
      <c r="M449" t="str">
        <f t="shared" si="37"/>
        <v>Large</v>
      </c>
      <c r="N449">
        <f>VLOOKUP(C449,Lookup!$A$2:$D$5,MATCH(M449,Lookup!$A$1:$D$1,0),FALSE)</f>
        <v>0.08</v>
      </c>
      <c r="O449">
        <f t="shared" si="38"/>
        <v>126536.40000000001</v>
      </c>
      <c r="P449" s="7">
        <f t="shared" si="39"/>
        <v>0.90296588146533663</v>
      </c>
      <c r="Q449" s="7">
        <f t="shared" si="40"/>
        <v>5083.380681818182</v>
      </c>
      <c r="R449">
        <f t="shared" si="41"/>
        <v>1.1496533803711817</v>
      </c>
    </row>
    <row r="450" spans="1:18" x14ac:dyDescent="0.25">
      <c r="A450" t="s">
        <v>283</v>
      </c>
      <c r="B450" t="s">
        <v>284</v>
      </c>
      <c r="C450" t="s">
        <v>17</v>
      </c>
      <c r="D450">
        <v>14902</v>
      </c>
      <c r="E450" s="1">
        <v>44104</v>
      </c>
      <c r="F450" s="2">
        <f t="shared" ref="F450:F513" si="42">YEAR(E450)</f>
        <v>2020</v>
      </c>
      <c r="G450">
        <v>331</v>
      </c>
      <c r="H450" s="3">
        <v>2160200</v>
      </c>
      <c r="I450">
        <v>149117</v>
      </c>
      <c r="J450">
        <v>2160200</v>
      </c>
      <c r="K450">
        <v>1969518</v>
      </c>
      <c r="L450">
        <v>1926741</v>
      </c>
      <c r="M450" t="str">
        <f t="shared" ref="M450:M513" si="43">IF(H450&gt;1000000,"Large",IF(H450&lt;100000,"Small","Medium"))</f>
        <v>Large</v>
      </c>
      <c r="N450">
        <f>VLOOKUP(C450,Lookup!$A$2:$D$5,MATCH(M450,Lookup!$A$1:$D$1,0),FALSE)</f>
        <v>0.08</v>
      </c>
      <c r="O450">
        <f t="shared" ref="O450:O513" si="44">L450*N450</f>
        <v>154139.28</v>
      </c>
      <c r="P450" s="7">
        <f t="shared" ref="P450:P513" si="45">K450/H450</f>
        <v>0.91172946949356537</v>
      </c>
      <c r="Q450" s="7">
        <f t="shared" ref="Q450:Q513" si="46">H450/G450</f>
        <v>6526.283987915408</v>
      </c>
      <c r="R450">
        <f t="shared" ref="R450:R513" si="47">I450/O450</f>
        <v>0.9674172605451381</v>
      </c>
    </row>
    <row r="451" spans="1:18" x14ac:dyDescent="0.25">
      <c r="A451" t="s">
        <v>283</v>
      </c>
      <c r="B451" t="s">
        <v>284</v>
      </c>
      <c r="C451" t="s">
        <v>17</v>
      </c>
      <c r="D451">
        <v>14902</v>
      </c>
      <c r="E451" s="1">
        <v>44469</v>
      </c>
      <c r="F451" s="2">
        <f t="shared" si="42"/>
        <v>2021</v>
      </c>
      <c r="G451">
        <v>327</v>
      </c>
      <c r="H451" s="3">
        <v>2412643</v>
      </c>
      <c r="I451">
        <v>60615</v>
      </c>
      <c r="J451">
        <v>2412643</v>
      </c>
      <c r="K451">
        <v>2214697</v>
      </c>
      <c r="L451">
        <v>2177933</v>
      </c>
      <c r="M451" t="str">
        <f t="shared" si="43"/>
        <v>Large</v>
      </c>
      <c r="N451">
        <f>VLOOKUP(C451,Lookup!$A$2:$D$5,MATCH(M451,Lookup!$A$1:$D$1,0),FALSE)</f>
        <v>0.08</v>
      </c>
      <c r="O451">
        <f t="shared" si="44"/>
        <v>174234.64</v>
      </c>
      <c r="P451" s="7">
        <f t="shared" si="45"/>
        <v>0.91795470776239996</v>
      </c>
      <c r="Q451" s="7">
        <f t="shared" si="46"/>
        <v>7378.113149847095</v>
      </c>
      <c r="R451">
        <f t="shared" si="47"/>
        <v>0.34789293334551613</v>
      </c>
    </row>
    <row r="452" spans="1:18" x14ac:dyDescent="0.25">
      <c r="A452" t="s">
        <v>285</v>
      </c>
      <c r="B452" t="s">
        <v>217</v>
      </c>
      <c r="C452" t="s">
        <v>8</v>
      </c>
      <c r="D452">
        <v>62233</v>
      </c>
      <c r="E452" s="1">
        <v>43738</v>
      </c>
      <c r="F452" s="2">
        <f t="shared" si="42"/>
        <v>2019</v>
      </c>
      <c r="G452">
        <v>16</v>
      </c>
      <c r="H452" s="3">
        <v>61361</v>
      </c>
      <c r="I452">
        <v>1716</v>
      </c>
      <c r="J452">
        <v>61361</v>
      </c>
      <c r="K452">
        <v>52719</v>
      </c>
      <c r="L452">
        <v>52560</v>
      </c>
      <c r="M452" t="str">
        <f t="shared" si="43"/>
        <v>Small</v>
      </c>
      <c r="N452">
        <f>VLOOKUP(C452,Lookup!$A$2:$D$5,MATCH(M452,Lookup!$A$1:$D$1,0),FALSE)</f>
        <v>0.09</v>
      </c>
      <c r="O452">
        <f t="shared" si="44"/>
        <v>4730.3999999999996</v>
      </c>
      <c r="P452" s="7">
        <f t="shared" si="45"/>
        <v>0.85916135656198567</v>
      </c>
      <c r="Q452" s="7">
        <f t="shared" si="46"/>
        <v>3835.0625</v>
      </c>
      <c r="R452">
        <f t="shared" si="47"/>
        <v>0.3627600202942669</v>
      </c>
    </row>
    <row r="453" spans="1:18" x14ac:dyDescent="0.25">
      <c r="A453" t="s">
        <v>285</v>
      </c>
      <c r="B453" t="s">
        <v>217</v>
      </c>
      <c r="C453" t="s">
        <v>8</v>
      </c>
      <c r="D453">
        <v>62233</v>
      </c>
      <c r="E453" s="1">
        <v>44104</v>
      </c>
      <c r="F453" s="2">
        <f t="shared" si="42"/>
        <v>2020</v>
      </c>
      <c r="G453">
        <v>16</v>
      </c>
      <c r="H453" s="3">
        <v>67446</v>
      </c>
      <c r="I453">
        <v>12524</v>
      </c>
      <c r="J453">
        <v>67446</v>
      </c>
      <c r="K453">
        <v>59478</v>
      </c>
      <c r="L453">
        <v>55328</v>
      </c>
      <c r="M453" t="str">
        <f t="shared" si="43"/>
        <v>Small</v>
      </c>
      <c r="N453">
        <f>VLOOKUP(C453,Lookup!$A$2:$D$5,MATCH(M453,Lookup!$A$1:$D$1,0),FALSE)</f>
        <v>0.09</v>
      </c>
      <c r="O453">
        <f t="shared" si="44"/>
        <v>4979.5199999999995</v>
      </c>
      <c r="P453" s="7">
        <f t="shared" si="45"/>
        <v>0.88186104439106838</v>
      </c>
      <c r="Q453" s="7">
        <f t="shared" si="46"/>
        <v>4215.375</v>
      </c>
      <c r="R453">
        <f t="shared" si="47"/>
        <v>2.5151018572071204</v>
      </c>
    </row>
    <row r="454" spans="1:18" x14ac:dyDescent="0.25">
      <c r="A454" t="s">
        <v>285</v>
      </c>
      <c r="B454" t="s">
        <v>217</v>
      </c>
      <c r="C454" t="s">
        <v>8</v>
      </c>
      <c r="D454">
        <v>62233</v>
      </c>
      <c r="E454" s="1">
        <v>44469</v>
      </c>
      <c r="F454" s="2">
        <f t="shared" si="42"/>
        <v>2021</v>
      </c>
      <c r="G454">
        <v>16</v>
      </c>
      <c r="H454" s="3">
        <v>65098</v>
      </c>
      <c r="I454">
        <v>13427</v>
      </c>
      <c r="J454">
        <v>65098</v>
      </c>
      <c r="K454">
        <v>58745</v>
      </c>
      <c r="L454">
        <v>58529</v>
      </c>
      <c r="M454" t="str">
        <f t="shared" si="43"/>
        <v>Small</v>
      </c>
      <c r="N454">
        <f>VLOOKUP(C454,Lookup!$A$2:$D$5,MATCH(M454,Lookup!$A$1:$D$1,0),FALSE)</f>
        <v>0.09</v>
      </c>
      <c r="O454">
        <f t="shared" si="44"/>
        <v>5267.61</v>
      </c>
      <c r="P454" s="7">
        <f t="shared" si="45"/>
        <v>0.90240867614980491</v>
      </c>
      <c r="Q454" s="7">
        <f t="shared" si="46"/>
        <v>4068.625</v>
      </c>
      <c r="R454">
        <f t="shared" si="47"/>
        <v>2.5489738230430881</v>
      </c>
    </row>
    <row r="455" spans="1:18" x14ac:dyDescent="0.25">
      <c r="A455" t="s">
        <v>286</v>
      </c>
      <c r="B455" t="s">
        <v>287</v>
      </c>
      <c r="C455" t="s">
        <v>8</v>
      </c>
      <c r="D455">
        <v>62630</v>
      </c>
      <c r="E455" s="1">
        <v>43738</v>
      </c>
      <c r="F455" s="2">
        <f t="shared" si="42"/>
        <v>2019</v>
      </c>
      <c r="G455">
        <v>5</v>
      </c>
      <c r="H455" s="3">
        <v>17151</v>
      </c>
      <c r="I455">
        <v>4151</v>
      </c>
      <c r="J455">
        <v>17151</v>
      </c>
      <c r="K455">
        <v>15231</v>
      </c>
      <c r="L455">
        <v>14725</v>
      </c>
      <c r="M455" t="str">
        <f t="shared" si="43"/>
        <v>Small</v>
      </c>
      <c r="N455">
        <f>VLOOKUP(C455,Lookup!$A$2:$D$5,MATCH(M455,Lookup!$A$1:$D$1,0),FALSE)</f>
        <v>0.09</v>
      </c>
      <c r="O455">
        <f t="shared" si="44"/>
        <v>1325.25</v>
      </c>
      <c r="P455" s="7">
        <f t="shared" si="45"/>
        <v>0.88805317474199752</v>
      </c>
      <c r="Q455" s="7">
        <f t="shared" si="46"/>
        <v>3430.2</v>
      </c>
      <c r="R455">
        <f t="shared" si="47"/>
        <v>3.1322392001509147</v>
      </c>
    </row>
    <row r="456" spans="1:18" x14ac:dyDescent="0.25">
      <c r="A456" t="s">
        <v>286</v>
      </c>
      <c r="B456" t="s">
        <v>287</v>
      </c>
      <c r="C456" t="s">
        <v>8</v>
      </c>
      <c r="D456">
        <v>62630</v>
      </c>
      <c r="E456" s="1">
        <v>44104</v>
      </c>
      <c r="F456" s="2">
        <f t="shared" si="42"/>
        <v>2020</v>
      </c>
      <c r="G456">
        <v>5</v>
      </c>
      <c r="H456" s="3">
        <v>18002</v>
      </c>
      <c r="I456">
        <v>5764</v>
      </c>
      <c r="J456">
        <v>18002</v>
      </c>
      <c r="K456">
        <v>16044</v>
      </c>
      <c r="L456">
        <v>16035</v>
      </c>
      <c r="M456" t="str">
        <f t="shared" si="43"/>
        <v>Small</v>
      </c>
      <c r="N456">
        <f>VLOOKUP(C456,Lookup!$A$2:$D$5,MATCH(M456,Lookup!$A$1:$D$1,0),FALSE)</f>
        <v>0.09</v>
      </c>
      <c r="O456">
        <f t="shared" si="44"/>
        <v>1443.1499999999999</v>
      </c>
      <c r="P456" s="7">
        <f t="shared" si="45"/>
        <v>0.89123430729918895</v>
      </c>
      <c r="Q456" s="7">
        <f t="shared" si="46"/>
        <v>3600.4</v>
      </c>
      <c r="R456">
        <f t="shared" si="47"/>
        <v>3.9940408134982506</v>
      </c>
    </row>
    <row r="457" spans="1:18" x14ac:dyDescent="0.25">
      <c r="A457" t="s">
        <v>286</v>
      </c>
      <c r="B457" t="s">
        <v>287</v>
      </c>
      <c r="C457" t="s">
        <v>8</v>
      </c>
      <c r="D457">
        <v>62630</v>
      </c>
      <c r="E457" s="1">
        <v>44469</v>
      </c>
      <c r="F457" s="2">
        <f t="shared" si="42"/>
        <v>2021</v>
      </c>
      <c r="G457">
        <v>5</v>
      </c>
      <c r="H457" s="3">
        <v>21825</v>
      </c>
      <c r="I457">
        <v>6401</v>
      </c>
      <c r="J457">
        <v>21825</v>
      </c>
      <c r="K457">
        <v>19685</v>
      </c>
      <c r="L457">
        <v>19679</v>
      </c>
      <c r="M457" t="str">
        <f t="shared" si="43"/>
        <v>Small</v>
      </c>
      <c r="N457">
        <f>VLOOKUP(C457,Lookup!$A$2:$D$5,MATCH(M457,Lookup!$A$1:$D$1,0),FALSE)</f>
        <v>0.09</v>
      </c>
      <c r="O457">
        <f t="shared" si="44"/>
        <v>1771.11</v>
      </c>
      <c r="P457" s="7">
        <f t="shared" si="45"/>
        <v>0.90194730813287516</v>
      </c>
      <c r="Q457" s="7">
        <f t="shared" si="46"/>
        <v>4365</v>
      </c>
      <c r="R457">
        <f t="shared" si="47"/>
        <v>3.6141177001993103</v>
      </c>
    </row>
    <row r="458" spans="1:18" x14ac:dyDescent="0.25">
      <c r="A458" t="s">
        <v>288</v>
      </c>
      <c r="B458" t="s">
        <v>289</v>
      </c>
      <c r="C458" t="s">
        <v>5</v>
      </c>
      <c r="D458">
        <v>91710</v>
      </c>
      <c r="E458" s="1">
        <v>43738</v>
      </c>
      <c r="F458" s="2">
        <f t="shared" si="42"/>
        <v>2019</v>
      </c>
      <c r="G458">
        <v>50</v>
      </c>
      <c r="H458" s="3">
        <v>235309</v>
      </c>
      <c r="I458">
        <v>5543</v>
      </c>
      <c r="J458">
        <v>235309</v>
      </c>
      <c r="K458">
        <v>210273</v>
      </c>
      <c r="L458">
        <v>188657</v>
      </c>
      <c r="M458" t="str">
        <f t="shared" si="43"/>
        <v>Medium</v>
      </c>
      <c r="N458">
        <f>VLOOKUP(C458,Lookup!$A$2:$D$5,MATCH(M458,Lookup!$A$1:$D$1,0),FALSE)</f>
        <v>0.09</v>
      </c>
      <c r="O458">
        <f t="shared" si="44"/>
        <v>16979.13</v>
      </c>
      <c r="P458" s="7">
        <f t="shared" si="45"/>
        <v>0.89360372956410505</v>
      </c>
      <c r="Q458" s="7">
        <f t="shared" si="46"/>
        <v>4706.18</v>
      </c>
      <c r="R458">
        <f t="shared" si="47"/>
        <v>0.32645960069803337</v>
      </c>
    </row>
    <row r="459" spans="1:18" x14ac:dyDescent="0.25">
      <c r="A459" t="s">
        <v>288</v>
      </c>
      <c r="B459" t="s">
        <v>289</v>
      </c>
      <c r="C459" t="s">
        <v>5</v>
      </c>
      <c r="D459">
        <v>91710</v>
      </c>
      <c r="E459" s="1">
        <v>44104</v>
      </c>
      <c r="F459" s="2">
        <f t="shared" si="42"/>
        <v>2020</v>
      </c>
      <c r="G459">
        <v>49</v>
      </c>
      <c r="H459" s="3">
        <v>303332</v>
      </c>
      <c r="I459">
        <v>58948</v>
      </c>
      <c r="J459">
        <v>303332</v>
      </c>
      <c r="K459">
        <v>276512</v>
      </c>
      <c r="L459">
        <v>244746</v>
      </c>
      <c r="M459" t="str">
        <f t="shared" si="43"/>
        <v>Medium</v>
      </c>
      <c r="N459">
        <f>VLOOKUP(C459,Lookup!$A$2:$D$5,MATCH(M459,Lookup!$A$1:$D$1,0),FALSE)</f>
        <v>0.09</v>
      </c>
      <c r="O459">
        <f t="shared" si="44"/>
        <v>22027.14</v>
      </c>
      <c r="P459" s="7">
        <f t="shared" si="45"/>
        <v>0.91158202893199536</v>
      </c>
      <c r="Q459" s="7">
        <f t="shared" si="46"/>
        <v>6190.4489795918371</v>
      </c>
      <c r="R459">
        <f t="shared" si="47"/>
        <v>2.6761531456194496</v>
      </c>
    </row>
    <row r="460" spans="1:18" x14ac:dyDescent="0.25">
      <c r="A460" t="s">
        <v>288</v>
      </c>
      <c r="B460" t="s">
        <v>289</v>
      </c>
      <c r="C460" t="s">
        <v>5</v>
      </c>
      <c r="D460">
        <v>91710</v>
      </c>
      <c r="E460" s="1">
        <v>44469</v>
      </c>
      <c r="F460" s="2">
        <f t="shared" si="42"/>
        <v>2021</v>
      </c>
      <c r="G460">
        <v>53</v>
      </c>
      <c r="H460" s="3">
        <v>369712</v>
      </c>
      <c r="I460">
        <v>123449</v>
      </c>
      <c r="J460">
        <v>369712</v>
      </c>
      <c r="K460">
        <v>333923</v>
      </c>
      <c r="L460">
        <v>317133</v>
      </c>
      <c r="M460" t="str">
        <f t="shared" si="43"/>
        <v>Medium</v>
      </c>
      <c r="N460">
        <f>VLOOKUP(C460,Lookup!$A$2:$D$5,MATCH(M460,Lookup!$A$1:$D$1,0),FALSE)</f>
        <v>0.09</v>
      </c>
      <c r="O460">
        <f t="shared" si="44"/>
        <v>28541.969999999998</v>
      </c>
      <c r="P460" s="7">
        <f t="shared" si="45"/>
        <v>0.9031976240965941</v>
      </c>
      <c r="Q460" s="7">
        <f t="shared" si="46"/>
        <v>6975.6981132075471</v>
      </c>
      <c r="R460">
        <f t="shared" si="47"/>
        <v>4.3251744711384674</v>
      </c>
    </row>
    <row r="461" spans="1:18" x14ac:dyDescent="0.25">
      <c r="A461" t="s">
        <v>290</v>
      </c>
      <c r="B461" t="s">
        <v>28</v>
      </c>
      <c r="C461" t="s">
        <v>8</v>
      </c>
      <c r="D461">
        <v>60603</v>
      </c>
      <c r="E461" s="1">
        <v>43738</v>
      </c>
      <c r="F461" s="2">
        <f t="shared" si="42"/>
        <v>2019</v>
      </c>
      <c r="G461">
        <v>1678</v>
      </c>
      <c r="H461" s="3">
        <v>31742815</v>
      </c>
      <c r="I461">
        <v>951348</v>
      </c>
      <c r="J461">
        <v>31742815</v>
      </c>
      <c r="K461">
        <v>25603535</v>
      </c>
      <c r="L461">
        <v>23172370</v>
      </c>
      <c r="M461" t="str">
        <f t="shared" si="43"/>
        <v>Large</v>
      </c>
      <c r="N461">
        <f>VLOOKUP(C461,Lookup!$A$2:$D$5,MATCH(M461,Lookup!$A$1:$D$1,0),FALSE)</f>
        <v>7.4999999999999997E-2</v>
      </c>
      <c r="O461">
        <f t="shared" si="44"/>
        <v>1737927.75</v>
      </c>
      <c r="P461" s="7">
        <f t="shared" si="45"/>
        <v>0.80659308256057316</v>
      </c>
      <c r="Q461" s="7">
        <f t="shared" si="46"/>
        <v>18917.053039332539</v>
      </c>
      <c r="R461">
        <f t="shared" si="47"/>
        <v>0.54740365357535725</v>
      </c>
    </row>
    <row r="462" spans="1:18" x14ac:dyDescent="0.25">
      <c r="A462" t="s">
        <v>290</v>
      </c>
      <c r="B462" t="s">
        <v>28</v>
      </c>
      <c r="C462" t="s">
        <v>8</v>
      </c>
      <c r="D462">
        <v>60603</v>
      </c>
      <c r="E462" s="1">
        <v>44104</v>
      </c>
      <c r="F462" s="2">
        <f t="shared" si="42"/>
        <v>2020</v>
      </c>
      <c r="G462">
        <v>1671</v>
      </c>
      <c r="H462" s="3">
        <v>39464720</v>
      </c>
      <c r="I462">
        <v>4229451</v>
      </c>
      <c r="J462">
        <v>39464720</v>
      </c>
      <c r="K462">
        <v>32662659</v>
      </c>
      <c r="L462">
        <v>30575170</v>
      </c>
      <c r="M462" t="str">
        <f t="shared" si="43"/>
        <v>Large</v>
      </c>
      <c r="N462">
        <f>VLOOKUP(C462,Lookup!$A$2:$D$5,MATCH(M462,Lookup!$A$1:$D$1,0),FALSE)</f>
        <v>7.4999999999999997E-2</v>
      </c>
      <c r="O462">
        <f t="shared" si="44"/>
        <v>2293137.75</v>
      </c>
      <c r="P462" s="7">
        <f t="shared" si="45"/>
        <v>0.82764197997603939</v>
      </c>
      <c r="Q462" s="7">
        <f t="shared" si="46"/>
        <v>23617.426690604429</v>
      </c>
      <c r="R462">
        <f t="shared" si="47"/>
        <v>1.8443946509536988</v>
      </c>
    </row>
    <row r="463" spans="1:18" x14ac:dyDescent="0.25">
      <c r="A463" t="s">
        <v>290</v>
      </c>
      <c r="B463" t="s">
        <v>28</v>
      </c>
      <c r="C463" t="s">
        <v>8</v>
      </c>
      <c r="D463">
        <v>60603</v>
      </c>
      <c r="E463" s="1">
        <v>44469</v>
      </c>
      <c r="F463" s="2">
        <f t="shared" si="42"/>
        <v>2021</v>
      </c>
      <c r="G463">
        <v>1727</v>
      </c>
      <c r="H463" s="3">
        <v>45859037</v>
      </c>
      <c r="I463">
        <v>8531080</v>
      </c>
      <c r="J463">
        <v>45859037</v>
      </c>
      <c r="K463">
        <v>38567065</v>
      </c>
      <c r="L463">
        <v>36277822</v>
      </c>
      <c r="M463" t="str">
        <f t="shared" si="43"/>
        <v>Large</v>
      </c>
      <c r="N463">
        <f>VLOOKUP(C463,Lookup!$A$2:$D$5,MATCH(M463,Lookup!$A$1:$D$1,0),FALSE)</f>
        <v>7.4999999999999997E-2</v>
      </c>
      <c r="O463">
        <f t="shared" si="44"/>
        <v>2720836.65</v>
      </c>
      <c r="P463" s="7">
        <f t="shared" si="45"/>
        <v>0.84099160215684421</v>
      </c>
      <c r="Q463" s="7">
        <f t="shared" si="46"/>
        <v>26554.161551823971</v>
      </c>
      <c r="R463">
        <f t="shared" si="47"/>
        <v>3.1354620278288299</v>
      </c>
    </row>
    <row r="464" spans="1:18" x14ac:dyDescent="0.25">
      <c r="A464" t="s">
        <v>291</v>
      </c>
      <c r="B464" t="s">
        <v>163</v>
      </c>
      <c r="C464" t="s">
        <v>8</v>
      </c>
      <c r="D464">
        <v>61821</v>
      </c>
      <c r="E464" s="1">
        <v>43738</v>
      </c>
      <c r="F464" s="2">
        <f t="shared" si="42"/>
        <v>2019</v>
      </c>
      <c r="G464">
        <v>182</v>
      </c>
      <c r="H464" s="3">
        <v>692392</v>
      </c>
      <c r="I464">
        <v>9582</v>
      </c>
      <c r="J464">
        <v>692392</v>
      </c>
      <c r="K464">
        <v>608179</v>
      </c>
      <c r="L464">
        <v>563100</v>
      </c>
      <c r="M464" t="str">
        <f t="shared" si="43"/>
        <v>Medium</v>
      </c>
      <c r="N464">
        <f>VLOOKUP(C464,Lookup!$A$2:$D$5,MATCH(M464,Lookup!$A$1:$D$1,0),FALSE)</f>
        <v>0.08</v>
      </c>
      <c r="O464">
        <f t="shared" si="44"/>
        <v>45048</v>
      </c>
      <c r="P464" s="7">
        <f t="shared" si="45"/>
        <v>0.87837381136697135</v>
      </c>
      <c r="Q464" s="7">
        <f t="shared" si="46"/>
        <v>3804.3516483516482</v>
      </c>
      <c r="R464">
        <f t="shared" si="47"/>
        <v>0.21270644645711242</v>
      </c>
    </row>
    <row r="465" spans="1:18" x14ac:dyDescent="0.25">
      <c r="A465" t="s">
        <v>291</v>
      </c>
      <c r="B465" t="s">
        <v>163</v>
      </c>
      <c r="C465" t="s">
        <v>8</v>
      </c>
      <c r="D465">
        <v>61821</v>
      </c>
      <c r="E465" s="1">
        <v>44104</v>
      </c>
      <c r="F465" s="2">
        <f t="shared" si="42"/>
        <v>2020</v>
      </c>
      <c r="G465">
        <v>176</v>
      </c>
      <c r="H465" s="3">
        <v>785559</v>
      </c>
      <c r="I465">
        <v>30544</v>
      </c>
      <c r="J465">
        <v>785559</v>
      </c>
      <c r="K465">
        <v>693887</v>
      </c>
      <c r="L465">
        <v>595146</v>
      </c>
      <c r="M465" t="str">
        <f t="shared" si="43"/>
        <v>Medium</v>
      </c>
      <c r="N465">
        <f>VLOOKUP(C465,Lookup!$A$2:$D$5,MATCH(M465,Lookup!$A$1:$D$1,0),FALSE)</f>
        <v>0.08</v>
      </c>
      <c r="O465">
        <f t="shared" si="44"/>
        <v>47611.68</v>
      </c>
      <c r="P465" s="7">
        <f t="shared" si="45"/>
        <v>0.88330348197907482</v>
      </c>
      <c r="Q465" s="7">
        <f t="shared" si="46"/>
        <v>4463.403409090909</v>
      </c>
      <c r="R465">
        <f t="shared" si="47"/>
        <v>0.64152325647824227</v>
      </c>
    </row>
    <row r="466" spans="1:18" x14ac:dyDescent="0.25">
      <c r="A466" t="s">
        <v>291</v>
      </c>
      <c r="B466" t="s">
        <v>163</v>
      </c>
      <c r="C466" t="s">
        <v>8</v>
      </c>
      <c r="D466">
        <v>61821</v>
      </c>
      <c r="E466" s="1">
        <v>44469</v>
      </c>
      <c r="F466" s="2">
        <f t="shared" si="42"/>
        <v>2021</v>
      </c>
      <c r="G466">
        <v>179</v>
      </c>
      <c r="H466" s="3">
        <v>768084</v>
      </c>
      <c r="I466">
        <v>69217</v>
      </c>
      <c r="J466">
        <v>768084</v>
      </c>
      <c r="K466">
        <v>689319</v>
      </c>
      <c r="L466">
        <v>647279</v>
      </c>
      <c r="M466" t="str">
        <f t="shared" si="43"/>
        <v>Medium</v>
      </c>
      <c r="N466">
        <f>VLOOKUP(C466,Lookup!$A$2:$D$5,MATCH(M466,Lookup!$A$1:$D$1,0),FALSE)</f>
        <v>0.08</v>
      </c>
      <c r="O466">
        <f t="shared" si="44"/>
        <v>51782.32</v>
      </c>
      <c r="P466" s="7">
        <f t="shared" si="45"/>
        <v>0.89745262236942835</v>
      </c>
      <c r="Q466" s="7">
        <f t="shared" si="46"/>
        <v>4290.9720670391062</v>
      </c>
      <c r="R466">
        <f t="shared" si="47"/>
        <v>1.3366917511614003</v>
      </c>
    </row>
    <row r="467" spans="1:18" x14ac:dyDescent="0.25">
      <c r="A467" t="s">
        <v>292</v>
      </c>
      <c r="B467" t="s">
        <v>293</v>
      </c>
      <c r="C467" t="s">
        <v>5</v>
      </c>
      <c r="D467">
        <v>91103</v>
      </c>
      <c r="E467" s="1">
        <v>43738</v>
      </c>
      <c r="F467" s="2">
        <f t="shared" si="42"/>
        <v>2019</v>
      </c>
      <c r="G467">
        <v>3116</v>
      </c>
      <c r="H467" s="3">
        <v>45380876</v>
      </c>
      <c r="I467">
        <v>1463672</v>
      </c>
      <c r="J467">
        <v>45380876</v>
      </c>
      <c r="K467">
        <v>40216834</v>
      </c>
      <c r="L467">
        <v>36764650</v>
      </c>
      <c r="M467" t="str">
        <f t="shared" si="43"/>
        <v>Large</v>
      </c>
      <c r="N467">
        <f>VLOOKUP(C467,Lookup!$A$2:$D$5,MATCH(M467,Lookup!$A$1:$D$1,0),FALSE)</f>
        <v>0.08</v>
      </c>
      <c r="O467">
        <f t="shared" si="44"/>
        <v>2941172</v>
      </c>
      <c r="P467" s="7">
        <f t="shared" si="45"/>
        <v>0.88620664792808324</v>
      </c>
      <c r="Q467" s="7">
        <f t="shared" si="46"/>
        <v>14563.824133504493</v>
      </c>
      <c r="R467">
        <f t="shared" si="47"/>
        <v>0.49764923642683939</v>
      </c>
    </row>
    <row r="468" spans="1:18" x14ac:dyDescent="0.25">
      <c r="A468" t="s">
        <v>292</v>
      </c>
      <c r="B468" t="s">
        <v>293</v>
      </c>
      <c r="C468" t="s">
        <v>5</v>
      </c>
      <c r="D468">
        <v>91103</v>
      </c>
      <c r="E468" s="1">
        <v>44104</v>
      </c>
      <c r="F468" s="2">
        <f t="shared" si="42"/>
        <v>2020</v>
      </c>
      <c r="G468">
        <v>3801</v>
      </c>
      <c r="H468" s="3">
        <v>55419466</v>
      </c>
      <c r="I468">
        <v>6490414</v>
      </c>
      <c r="J468">
        <v>55419466</v>
      </c>
      <c r="K468">
        <v>50493757</v>
      </c>
      <c r="L468">
        <v>45639288</v>
      </c>
      <c r="M468" t="str">
        <f t="shared" si="43"/>
        <v>Large</v>
      </c>
      <c r="N468">
        <f>VLOOKUP(C468,Lookup!$A$2:$D$5,MATCH(M468,Lookup!$A$1:$D$1,0),FALSE)</f>
        <v>0.08</v>
      </c>
      <c r="O468">
        <f t="shared" si="44"/>
        <v>3651143.04</v>
      </c>
      <c r="P468" s="7">
        <f t="shared" si="45"/>
        <v>0.91111951529810842</v>
      </c>
      <c r="Q468" s="7">
        <f t="shared" si="46"/>
        <v>14580.233096553538</v>
      </c>
      <c r="R468">
        <f t="shared" si="47"/>
        <v>1.7776389281094831</v>
      </c>
    </row>
    <row r="469" spans="1:18" x14ac:dyDescent="0.25">
      <c r="A469" t="s">
        <v>292</v>
      </c>
      <c r="B469" t="s">
        <v>293</v>
      </c>
      <c r="C469" t="s">
        <v>5</v>
      </c>
      <c r="D469">
        <v>91103</v>
      </c>
      <c r="E469" s="1">
        <v>44469</v>
      </c>
      <c r="F469" s="2">
        <f t="shared" si="42"/>
        <v>2021</v>
      </c>
      <c r="G469">
        <v>3378</v>
      </c>
      <c r="H469" s="3">
        <v>48720884</v>
      </c>
      <c r="I469">
        <v>4377364</v>
      </c>
      <c r="J469">
        <v>48720884</v>
      </c>
      <c r="K469">
        <v>43372782</v>
      </c>
      <c r="L469">
        <v>40856213</v>
      </c>
      <c r="M469" t="str">
        <f t="shared" si="43"/>
        <v>Large</v>
      </c>
      <c r="N469">
        <f>VLOOKUP(C469,Lookup!$A$2:$D$5,MATCH(M469,Lookup!$A$1:$D$1,0),FALSE)</f>
        <v>0.08</v>
      </c>
      <c r="O469">
        <f t="shared" si="44"/>
        <v>3268497.04</v>
      </c>
      <c r="P469" s="7">
        <f t="shared" si="45"/>
        <v>0.89022978318702095</v>
      </c>
      <c r="Q469" s="7">
        <f t="shared" si="46"/>
        <v>14422.997039668442</v>
      </c>
      <c r="R469">
        <f t="shared" si="47"/>
        <v>1.3392589763520177</v>
      </c>
    </row>
    <row r="470" spans="1:18" x14ac:dyDescent="0.25">
      <c r="A470" t="s">
        <v>294</v>
      </c>
      <c r="B470" t="s">
        <v>295</v>
      </c>
      <c r="C470" t="s">
        <v>17</v>
      </c>
      <c r="D470">
        <v>13618</v>
      </c>
      <c r="E470" s="1">
        <v>43738</v>
      </c>
      <c r="F470" s="2">
        <f t="shared" si="42"/>
        <v>2019</v>
      </c>
      <c r="G470">
        <v>16</v>
      </c>
      <c r="H470" s="3">
        <v>69897</v>
      </c>
      <c r="I470">
        <v>6294</v>
      </c>
      <c r="J470">
        <v>69897</v>
      </c>
      <c r="K470">
        <v>62904</v>
      </c>
      <c r="L470">
        <v>62644</v>
      </c>
      <c r="M470" t="str">
        <f t="shared" si="43"/>
        <v>Small</v>
      </c>
      <c r="N470">
        <f>VLOOKUP(C470,Lookup!$A$2:$D$5,MATCH(M470,Lookup!$A$1:$D$1,0),FALSE)</f>
        <v>0.09</v>
      </c>
      <c r="O470">
        <f t="shared" si="44"/>
        <v>5637.96</v>
      </c>
      <c r="P470" s="7">
        <f t="shared" si="45"/>
        <v>0.89995278767329068</v>
      </c>
      <c r="Q470" s="7">
        <f t="shared" si="46"/>
        <v>4368.5625</v>
      </c>
      <c r="R470">
        <f t="shared" si="47"/>
        <v>1.1163612370431859</v>
      </c>
    </row>
    <row r="471" spans="1:18" x14ac:dyDescent="0.25">
      <c r="A471" t="s">
        <v>294</v>
      </c>
      <c r="B471" t="s">
        <v>295</v>
      </c>
      <c r="C471" t="s">
        <v>17</v>
      </c>
      <c r="D471">
        <v>13618</v>
      </c>
      <c r="E471" s="1">
        <v>44104</v>
      </c>
      <c r="F471" s="2">
        <f t="shared" si="42"/>
        <v>2020</v>
      </c>
      <c r="G471">
        <v>17</v>
      </c>
      <c r="H471" s="3">
        <v>76473</v>
      </c>
      <c r="I471">
        <v>8405</v>
      </c>
      <c r="J471">
        <v>76473</v>
      </c>
      <c r="K471">
        <v>68988</v>
      </c>
      <c r="L471">
        <v>68557</v>
      </c>
      <c r="M471" t="str">
        <f t="shared" si="43"/>
        <v>Small</v>
      </c>
      <c r="N471">
        <f>VLOOKUP(C471,Lookup!$A$2:$D$5,MATCH(M471,Lookup!$A$1:$D$1,0),FALSE)</f>
        <v>0.09</v>
      </c>
      <c r="O471">
        <f t="shared" si="44"/>
        <v>6170.13</v>
      </c>
      <c r="P471" s="7">
        <f t="shared" si="45"/>
        <v>0.90212231768075002</v>
      </c>
      <c r="Q471" s="7">
        <f t="shared" si="46"/>
        <v>4498.411764705882</v>
      </c>
      <c r="R471">
        <f t="shared" si="47"/>
        <v>1.3622079275477177</v>
      </c>
    </row>
    <row r="472" spans="1:18" x14ac:dyDescent="0.25">
      <c r="A472" t="s">
        <v>294</v>
      </c>
      <c r="B472" t="s">
        <v>295</v>
      </c>
      <c r="C472" t="s">
        <v>17</v>
      </c>
      <c r="D472">
        <v>13618</v>
      </c>
      <c r="E472" s="1">
        <v>44469</v>
      </c>
      <c r="F472" s="2">
        <f t="shared" si="42"/>
        <v>2021</v>
      </c>
      <c r="G472">
        <v>17</v>
      </c>
      <c r="H472" s="3">
        <v>87204</v>
      </c>
      <c r="I472">
        <v>9942</v>
      </c>
      <c r="J472">
        <v>87204</v>
      </c>
      <c r="K472">
        <v>79935</v>
      </c>
      <c r="L472">
        <v>79696</v>
      </c>
      <c r="M472" t="str">
        <f t="shared" si="43"/>
        <v>Small</v>
      </c>
      <c r="N472">
        <f>VLOOKUP(C472,Lookup!$A$2:$D$5,MATCH(M472,Lookup!$A$1:$D$1,0),FALSE)</f>
        <v>0.09</v>
      </c>
      <c r="O472">
        <f t="shared" si="44"/>
        <v>7172.6399999999994</v>
      </c>
      <c r="P472" s="7">
        <f t="shared" si="45"/>
        <v>0.91664373193890192</v>
      </c>
      <c r="Q472" s="7">
        <f t="shared" si="46"/>
        <v>5129.6470588235297</v>
      </c>
      <c r="R472">
        <f t="shared" si="47"/>
        <v>1.386100515291441</v>
      </c>
    </row>
    <row r="473" spans="1:18" x14ac:dyDescent="0.25">
      <c r="A473" t="s">
        <v>296</v>
      </c>
      <c r="B473" t="s">
        <v>297</v>
      </c>
      <c r="C473" t="s">
        <v>8</v>
      </c>
      <c r="D473">
        <v>60921</v>
      </c>
      <c r="E473" s="1">
        <v>43738</v>
      </c>
      <c r="F473" s="2">
        <f t="shared" si="42"/>
        <v>2019</v>
      </c>
      <c r="G473">
        <v>11</v>
      </c>
      <c r="H473" s="3">
        <v>31184</v>
      </c>
      <c r="I473">
        <v>3272</v>
      </c>
      <c r="J473">
        <v>31184</v>
      </c>
      <c r="K473">
        <v>26842</v>
      </c>
      <c r="L473">
        <v>26714</v>
      </c>
      <c r="M473" t="str">
        <f t="shared" si="43"/>
        <v>Small</v>
      </c>
      <c r="N473">
        <f>VLOOKUP(C473,Lookup!$A$2:$D$5,MATCH(M473,Lookup!$A$1:$D$1,0),FALSE)</f>
        <v>0.09</v>
      </c>
      <c r="O473">
        <f t="shared" si="44"/>
        <v>2404.2599999999998</v>
      </c>
      <c r="P473" s="7">
        <f t="shared" si="45"/>
        <v>0.86076192919445871</v>
      </c>
      <c r="Q473" s="7">
        <f t="shared" si="46"/>
        <v>2834.909090909091</v>
      </c>
      <c r="R473">
        <f t="shared" si="47"/>
        <v>1.3609177044080092</v>
      </c>
    </row>
    <row r="474" spans="1:18" x14ac:dyDescent="0.25">
      <c r="A474" t="s">
        <v>296</v>
      </c>
      <c r="B474" t="s">
        <v>297</v>
      </c>
      <c r="C474" t="s">
        <v>8</v>
      </c>
      <c r="D474">
        <v>60921</v>
      </c>
      <c r="E474" s="1">
        <v>44104</v>
      </c>
      <c r="F474" s="2">
        <f t="shared" si="42"/>
        <v>2020</v>
      </c>
      <c r="G474">
        <v>11</v>
      </c>
      <c r="H474" s="3">
        <v>41594</v>
      </c>
      <c r="I474">
        <v>3844</v>
      </c>
      <c r="J474">
        <v>41594</v>
      </c>
      <c r="K474">
        <v>37459</v>
      </c>
      <c r="L474">
        <v>30253</v>
      </c>
      <c r="M474" t="str">
        <f t="shared" si="43"/>
        <v>Small</v>
      </c>
      <c r="N474">
        <f>VLOOKUP(C474,Lookup!$A$2:$D$5,MATCH(M474,Lookup!$A$1:$D$1,0),FALSE)</f>
        <v>0.09</v>
      </c>
      <c r="O474">
        <f t="shared" si="44"/>
        <v>2722.77</v>
      </c>
      <c r="P474" s="7">
        <f t="shared" si="45"/>
        <v>0.90058662307063519</v>
      </c>
      <c r="Q474" s="7">
        <f t="shared" si="46"/>
        <v>3781.2727272727275</v>
      </c>
      <c r="R474">
        <f t="shared" si="47"/>
        <v>1.4117975444124917</v>
      </c>
    </row>
    <row r="475" spans="1:18" x14ac:dyDescent="0.25">
      <c r="A475" t="s">
        <v>296</v>
      </c>
      <c r="B475" t="s">
        <v>297</v>
      </c>
      <c r="C475" t="s">
        <v>8</v>
      </c>
      <c r="D475">
        <v>60921</v>
      </c>
      <c r="E475" s="1">
        <v>44469</v>
      </c>
      <c r="F475" s="2">
        <f t="shared" si="42"/>
        <v>2021</v>
      </c>
      <c r="G475">
        <v>10</v>
      </c>
      <c r="H475" s="3">
        <v>41503</v>
      </c>
      <c r="I475">
        <v>8382</v>
      </c>
      <c r="J475">
        <v>41503</v>
      </c>
      <c r="K475">
        <v>36260</v>
      </c>
      <c r="L475">
        <v>35518</v>
      </c>
      <c r="M475" t="str">
        <f t="shared" si="43"/>
        <v>Small</v>
      </c>
      <c r="N475">
        <f>VLOOKUP(C475,Lookup!$A$2:$D$5,MATCH(M475,Lookup!$A$1:$D$1,0),FALSE)</f>
        <v>0.09</v>
      </c>
      <c r="O475">
        <f t="shared" si="44"/>
        <v>3196.62</v>
      </c>
      <c r="P475" s="7">
        <f t="shared" si="45"/>
        <v>0.87367178276269186</v>
      </c>
      <c r="Q475" s="7">
        <f t="shared" si="46"/>
        <v>4150.3</v>
      </c>
      <c r="R475">
        <f t="shared" si="47"/>
        <v>2.622144640276292</v>
      </c>
    </row>
    <row r="476" spans="1:18" x14ac:dyDescent="0.25">
      <c r="A476" t="s">
        <v>298</v>
      </c>
      <c r="B476" t="s">
        <v>299</v>
      </c>
      <c r="C476" t="s">
        <v>8</v>
      </c>
      <c r="D476">
        <v>62531</v>
      </c>
      <c r="E476" s="1">
        <v>43738</v>
      </c>
      <c r="F476" s="2">
        <f t="shared" si="42"/>
        <v>2019</v>
      </c>
      <c r="G476">
        <v>3</v>
      </c>
      <c r="H476" s="3">
        <v>26079</v>
      </c>
      <c r="I476">
        <v>7909</v>
      </c>
      <c r="J476">
        <v>26079</v>
      </c>
      <c r="K476">
        <v>23580</v>
      </c>
      <c r="L476">
        <v>23545</v>
      </c>
      <c r="M476" t="str">
        <f t="shared" si="43"/>
        <v>Small</v>
      </c>
      <c r="N476">
        <f>VLOOKUP(C476,Lookup!$A$2:$D$5,MATCH(M476,Lookup!$A$1:$D$1,0),FALSE)</f>
        <v>0.09</v>
      </c>
      <c r="O476">
        <f t="shared" si="44"/>
        <v>2119.0499999999997</v>
      </c>
      <c r="P476" s="7">
        <f t="shared" si="45"/>
        <v>0.90417577361095136</v>
      </c>
      <c r="Q476" s="7">
        <f t="shared" si="46"/>
        <v>8693</v>
      </c>
      <c r="R476">
        <f t="shared" si="47"/>
        <v>3.7323328850192308</v>
      </c>
    </row>
    <row r="477" spans="1:18" x14ac:dyDescent="0.25">
      <c r="A477" t="s">
        <v>298</v>
      </c>
      <c r="B477" t="s">
        <v>299</v>
      </c>
      <c r="C477" t="s">
        <v>8</v>
      </c>
      <c r="D477">
        <v>62531</v>
      </c>
      <c r="E477" s="1">
        <v>44104</v>
      </c>
      <c r="F477" s="2">
        <f t="shared" si="42"/>
        <v>2020</v>
      </c>
      <c r="G477">
        <v>3</v>
      </c>
      <c r="H477" s="3">
        <v>28849</v>
      </c>
      <c r="I477">
        <v>11178</v>
      </c>
      <c r="J477">
        <v>28849</v>
      </c>
      <c r="K477">
        <v>26230</v>
      </c>
      <c r="L477">
        <v>24716</v>
      </c>
      <c r="M477" t="str">
        <f t="shared" si="43"/>
        <v>Small</v>
      </c>
      <c r="N477">
        <f>VLOOKUP(C477,Lookup!$A$2:$D$5,MATCH(M477,Lookup!$A$1:$D$1,0),FALSE)</f>
        <v>0.09</v>
      </c>
      <c r="O477">
        <f t="shared" si="44"/>
        <v>2224.44</v>
      </c>
      <c r="P477" s="7">
        <f t="shared" si="45"/>
        <v>0.90921695726021701</v>
      </c>
      <c r="Q477" s="7">
        <f t="shared" si="46"/>
        <v>9616.3333333333339</v>
      </c>
      <c r="R477">
        <f t="shared" si="47"/>
        <v>5.0250849652047256</v>
      </c>
    </row>
    <row r="478" spans="1:18" x14ac:dyDescent="0.25">
      <c r="A478" t="s">
        <v>298</v>
      </c>
      <c r="B478" t="s">
        <v>299</v>
      </c>
      <c r="C478" t="s">
        <v>8</v>
      </c>
      <c r="D478">
        <v>62531</v>
      </c>
      <c r="E478" s="1">
        <v>44469</v>
      </c>
      <c r="F478" s="2">
        <f t="shared" si="42"/>
        <v>2021</v>
      </c>
      <c r="G478">
        <v>3</v>
      </c>
      <c r="H478" s="3">
        <v>30399</v>
      </c>
      <c r="I478">
        <v>9807</v>
      </c>
      <c r="J478">
        <v>30399</v>
      </c>
      <c r="K478">
        <v>27792</v>
      </c>
      <c r="L478">
        <v>27773</v>
      </c>
      <c r="M478" t="str">
        <f t="shared" si="43"/>
        <v>Small</v>
      </c>
      <c r="N478">
        <f>VLOOKUP(C478,Lookup!$A$2:$D$5,MATCH(M478,Lookup!$A$1:$D$1,0),FALSE)</f>
        <v>0.09</v>
      </c>
      <c r="O478">
        <f t="shared" si="44"/>
        <v>2499.5699999999997</v>
      </c>
      <c r="P478" s="7">
        <f t="shared" si="45"/>
        <v>0.9142406000197375</v>
      </c>
      <c r="Q478" s="7">
        <f t="shared" si="46"/>
        <v>10133</v>
      </c>
      <c r="R478">
        <f t="shared" si="47"/>
        <v>3.9234748376720803</v>
      </c>
    </row>
    <row r="479" spans="1:18" x14ac:dyDescent="0.25">
      <c r="A479" t="s">
        <v>300</v>
      </c>
      <c r="B479" t="s">
        <v>301</v>
      </c>
      <c r="C479" t="s">
        <v>5</v>
      </c>
      <c r="D479">
        <v>91764</v>
      </c>
      <c r="E479" s="1">
        <v>43738</v>
      </c>
      <c r="F479" s="2">
        <f t="shared" si="42"/>
        <v>2019</v>
      </c>
      <c r="G479">
        <v>1033</v>
      </c>
      <c r="H479" s="3">
        <v>11330311</v>
      </c>
      <c r="I479">
        <v>443221</v>
      </c>
      <c r="J479">
        <v>11330311</v>
      </c>
      <c r="K479">
        <v>9353948</v>
      </c>
      <c r="L479">
        <v>8825368</v>
      </c>
      <c r="M479" t="str">
        <f t="shared" si="43"/>
        <v>Large</v>
      </c>
      <c r="N479">
        <f>VLOOKUP(C479,Lookup!$A$2:$D$5,MATCH(M479,Lookup!$A$1:$D$1,0),FALSE)</f>
        <v>0.08</v>
      </c>
      <c r="O479">
        <f t="shared" si="44"/>
        <v>706029.44000000006</v>
      </c>
      <c r="P479" s="7">
        <f t="shared" si="45"/>
        <v>0.82556851263835562</v>
      </c>
      <c r="Q479" s="7">
        <f t="shared" si="46"/>
        <v>10968.35527589545</v>
      </c>
      <c r="R479">
        <f t="shared" si="47"/>
        <v>0.62776560705457263</v>
      </c>
    </row>
    <row r="480" spans="1:18" x14ac:dyDescent="0.25">
      <c r="A480" t="s">
        <v>300</v>
      </c>
      <c r="B480" t="s">
        <v>301</v>
      </c>
      <c r="C480" t="s">
        <v>5</v>
      </c>
      <c r="D480">
        <v>91764</v>
      </c>
      <c r="E480" s="1">
        <v>44104</v>
      </c>
      <c r="F480" s="2">
        <f t="shared" si="42"/>
        <v>2020</v>
      </c>
      <c r="G480">
        <v>1002</v>
      </c>
      <c r="H480" s="3">
        <v>13813407</v>
      </c>
      <c r="I480">
        <v>1529320</v>
      </c>
      <c r="J480">
        <v>13813407</v>
      </c>
      <c r="K480">
        <v>11828648</v>
      </c>
      <c r="L480">
        <v>11203756</v>
      </c>
      <c r="M480" t="str">
        <f t="shared" si="43"/>
        <v>Large</v>
      </c>
      <c r="N480">
        <f>VLOOKUP(C480,Lookup!$A$2:$D$5,MATCH(M480,Lookup!$A$1:$D$1,0),FALSE)</f>
        <v>0.08</v>
      </c>
      <c r="O480">
        <f t="shared" si="44"/>
        <v>896300.48</v>
      </c>
      <c r="P480" s="7">
        <f t="shared" si="45"/>
        <v>0.85631647572535874</v>
      </c>
      <c r="Q480" s="7">
        <f t="shared" si="46"/>
        <v>13785.835329341317</v>
      </c>
      <c r="R480">
        <f t="shared" si="47"/>
        <v>1.7062581512842658</v>
      </c>
    </row>
    <row r="481" spans="1:18" x14ac:dyDescent="0.25">
      <c r="A481" t="s">
        <v>300</v>
      </c>
      <c r="B481" t="s">
        <v>301</v>
      </c>
      <c r="C481" t="s">
        <v>5</v>
      </c>
      <c r="D481">
        <v>91764</v>
      </c>
      <c r="E481" s="1">
        <v>44469</v>
      </c>
      <c r="F481" s="2">
        <f t="shared" si="42"/>
        <v>2021</v>
      </c>
      <c r="G481">
        <v>982</v>
      </c>
      <c r="H481" s="3">
        <v>16196109</v>
      </c>
      <c r="I481">
        <v>2588623</v>
      </c>
      <c r="J481">
        <v>16196109</v>
      </c>
      <c r="K481">
        <v>14173801</v>
      </c>
      <c r="L481">
        <v>12984880</v>
      </c>
      <c r="M481" t="str">
        <f t="shared" si="43"/>
        <v>Large</v>
      </c>
      <c r="N481">
        <f>VLOOKUP(C481,Lookup!$A$2:$D$5,MATCH(M481,Lookup!$A$1:$D$1,0),FALSE)</f>
        <v>0.08</v>
      </c>
      <c r="O481">
        <f t="shared" si="44"/>
        <v>1038790.4</v>
      </c>
      <c r="P481" s="7">
        <f t="shared" si="45"/>
        <v>0.87513618240035307</v>
      </c>
      <c r="Q481" s="7">
        <f t="shared" si="46"/>
        <v>16492.982688391039</v>
      </c>
      <c r="R481">
        <f t="shared" si="47"/>
        <v>2.4919589168325005</v>
      </c>
    </row>
    <row r="482" spans="1:18" x14ac:dyDescent="0.25">
      <c r="A482" t="s">
        <v>302</v>
      </c>
      <c r="B482" t="s">
        <v>303</v>
      </c>
      <c r="C482" t="s">
        <v>8</v>
      </c>
      <c r="D482">
        <v>62258</v>
      </c>
      <c r="E482" s="1">
        <v>43738</v>
      </c>
      <c r="F482" s="2">
        <f t="shared" si="42"/>
        <v>2019</v>
      </c>
      <c r="G482">
        <v>48</v>
      </c>
      <c r="H482" s="3">
        <v>399361</v>
      </c>
      <c r="I482">
        <v>6829</v>
      </c>
      <c r="J482">
        <v>399361</v>
      </c>
      <c r="K482">
        <v>352495</v>
      </c>
      <c r="L482">
        <v>338177</v>
      </c>
      <c r="M482" t="str">
        <f t="shared" si="43"/>
        <v>Medium</v>
      </c>
      <c r="N482">
        <f>VLOOKUP(C482,Lookup!$A$2:$D$5,MATCH(M482,Lookup!$A$1:$D$1,0),FALSE)</f>
        <v>0.08</v>
      </c>
      <c r="O482">
        <f t="shared" si="44"/>
        <v>27054.16</v>
      </c>
      <c r="P482" s="7">
        <f t="shared" si="45"/>
        <v>0.88264752942826163</v>
      </c>
      <c r="Q482" s="7">
        <f t="shared" si="46"/>
        <v>8320.0208333333339</v>
      </c>
      <c r="R482">
        <f t="shared" si="47"/>
        <v>0.25241959092427929</v>
      </c>
    </row>
    <row r="483" spans="1:18" x14ac:dyDescent="0.25">
      <c r="A483" t="s">
        <v>302</v>
      </c>
      <c r="B483" t="s">
        <v>303</v>
      </c>
      <c r="C483" t="s">
        <v>8</v>
      </c>
      <c r="D483">
        <v>62258</v>
      </c>
      <c r="E483" s="1">
        <v>44104</v>
      </c>
      <c r="F483" s="2">
        <f t="shared" si="42"/>
        <v>2020</v>
      </c>
      <c r="G483">
        <v>51</v>
      </c>
      <c r="H483" s="3">
        <v>439001</v>
      </c>
      <c r="I483">
        <v>11175</v>
      </c>
      <c r="J483">
        <v>439001</v>
      </c>
      <c r="K483">
        <v>388312</v>
      </c>
      <c r="L483">
        <v>371498</v>
      </c>
      <c r="M483" t="str">
        <f t="shared" si="43"/>
        <v>Medium</v>
      </c>
      <c r="N483">
        <f>VLOOKUP(C483,Lookup!$A$2:$D$5,MATCH(M483,Lookup!$A$1:$D$1,0),FALSE)</f>
        <v>0.08</v>
      </c>
      <c r="O483">
        <f t="shared" si="44"/>
        <v>29719.84</v>
      </c>
      <c r="P483" s="7">
        <f t="shared" si="45"/>
        <v>0.88453557053400789</v>
      </c>
      <c r="Q483" s="7">
        <f t="shared" si="46"/>
        <v>8607.8627450980384</v>
      </c>
      <c r="R483">
        <f t="shared" si="47"/>
        <v>0.37601144555286975</v>
      </c>
    </row>
    <row r="484" spans="1:18" x14ac:dyDescent="0.25">
      <c r="A484" t="s">
        <v>302</v>
      </c>
      <c r="B484" t="s">
        <v>303</v>
      </c>
      <c r="C484" t="s">
        <v>8</v>
      </c>
      <c r="D484">
        <v>62258</v>
      </c>
      <c r="E484" s="1">
        <v>44469</v>
      </c>
      <c r="F484" s="2">
        <f t="shared" si="42"/>
        <v>2021</v>
      </c>
      <c r="G484">
        <v>49</v>
      </c>
      <c r="H484" s="3">
        <v>458759</v>
      </c>
      <c r="I484">
        <v>4895</v>
      </c>
      <c r="J484">
        <v>458759</v>
      </c>
      <c r="K484">
        <v>409558</v>
      </c>
      <c r="L484">
        <v>390927</v>
      </c>
      <c r="M484" t="str">
        <f t="shared" si="43"/>
        <v>Medium</v>
      </c>
      <c r="N484">
        <f>VLOOKUP(C484,Lookup!$A$2:$D$5,MATCH(M484,Lookup!$A$1:$D$1,0),FALSE)</f>
        <v>0.08</v>
      </c>
      <c r="O484">
        <f t="shared" si="44"/>
        <v>31274.16</v>
      </c>
      <c r="P484" s="7">
        <f t="shared" si="45"/>
        <v>0.89275196780880595</v>
      </c>
      <c r="Q484" s="7">
        <f t="shared" si="46"/>
        <v>9362.4285714285706</v>
      </c>
      <c r="R484">
        <f t="shared" si="47"/>
        <v>0.15651899203687644</v>
      </c>
    </row>
    <row r="485" spans="1:18" x14ac:dyDescent="0.25">
      <c r="A485" t="s">
        <v>304</v>
      </c>
      <c r="B485" t="s">
        <v>305</v>
      </c>
      <c r="C485" t="s">
        <v>8</v>
      </c>
      <c r="D485">
        <v>61376</v>
      </c>
      <c r="E485" s="1">
        <v>43738</v>
      </c>
      <c r="F485" s="2">
        <f t="shared" si="42"/>
        <v>2019</v>
      </c>
      <c r="G485">
        <v>8</v>
      </c>
      <c r="H485" s="3">
        <v>47286</v>
      </c>
      <c r="I485">
        <v>9730</v>
      </c>
      <c r="J485">
        <v>47286</v>
      </c>
      <c r="K485">
        <v>42946</v>
      </c>
      <c r="L485">
        <v>42866</v>
      </c>
      <c r="M485" t="str">
        <f t="shared" si="43"/>
        <v>Small</v>
      </c>
      <c r="N485">
        <f>VLOOKUP(C485,Lookup!$A$2:$D$5,MATCH(M485,Lookup!$A$1:$D$1,0),FALSE)</f>
        <v>0.09</v>
      </c>
      <c r="O485">
        <f t="shared" si="44"/>
        <v>3857.94</v>
      </c>
      <c r="P485" s="7">
        <f t="shared" si="45"/>
        <v>0.90821807723216175</v>
      </c>
      <c r="Q485" s="7">
        <f t="shared" si="46"/>
        <v>5910.75</v>
      </c>
      <c r="R485">
        <f t="shared" si="47"/>
        <v>2.5220713645105937</v>
      </c>
    </row>
    <row r="486" spans="1:18" x14ac:dyDescent="0.25">
      <c r="A486" t="s">
        <v>304</v>
      </c>
      <c r="B486" t="s">
        <v>305</v>
      </c>
      <c r="C486" t="s">
        <v>8</v>
      </c>
      <c r="D486">
        <v>61376</v>
      </c>
      <c r="E486" s="1">
        <v>44104</v>
      </c>
      <c r="F486" s="2">
        <f t="shared" si="42"/>
        <v>2020</v>
      </c>
      <c r="G486">
        <v>8</v>
      </c>
      <c r="H486" s="3">
        <v>53281</v>
      </c>
      <c r="I486">
        <v>14622</v>
      </c>
      <c r="J486">
        <v>53281</v>
      </c>
      <c r="K486">
        <v>48495</v>
      </c>
      <c r="L486">
        <v>48390</v>
      </c>
      <c r="M486" t="str">
        <f t="shared" si="43"/>
        <v>Small</v>
      </c>
      <c r="N486">
        <f>VLOOKUP(C486,Lookup!$A$2:$D$5,MATCH(M486,Lookup!$A$1:$D$1,0),FALSE)</f>
        <v>0.09</v>
      </c>
      <c r="O486">
        <f t="shared" si="44"/>
        <v>4355.0999999999995</v>
      </c>
      <c r="P486" s="7">
        <f t="shared" si="45"/>
        <v>0.9101743585893658</v>
      </c>
      <c r="Q486" s="7">
        <f t="shared" si="46"/>
        <v>6660.125</v>
      </c>
      <c r="R486">
        <f t="shared" si="47"/>
        <v>3.357442997864573</v>
      </c>
    </row>
    <row r="487" spans="1:18" x14ac:dyDescent="0.25">
      <c r="A487" t="s">
        <v>304</v>
      </c>
      <c r="B487" t="s">
        <v>305</v>
      </c>
      <c r="C487" t="s">
        <v>8</v>
      </c>
      <c r="D487">
        <v>61376</v>
      </c>
      <c r="E487" s="1">
        <v>44469</v>
      </c>
      <c r="F487" s="2">
        <f t="shared" si="42"/>
        <v>2021</v>
      </c>
      <c r="G487">
        <v>7</v>
      </c>
      <c r="H487" s="3">
        <v>55108</v>
      </c>
      <c r="I487">
        <v>17147</v>
      </c>
      <c r="J487">
        <v>55108</v>
      </c>
      <c r="K487">
        <v>50187</v>
      </c>
      <c r="L487">
        <v>50104</v>
      </c>
      <c r="M487" t="str">
        <f t="shared" si="43"/>
        <v>Small</v>
      </c>
      <c r="N487">
        <f>VLOOKUP(C487,Lookup!$A$2:$D$5,MATCH(M487,Lookup!$A$1:$D$1,0),FALSE)</f>
        <v>0.09</v>
      </c>
      <c r="O487">
        <f t="shared" si="44"/>
        <v>4509.3599999999997</v>
      </c>
      <c r="P487" s="7">
        <f t="shared" si="45"/>
        <v>0.91070262030921101</v>
      </c>
      <c r="Q487" s="7">
        <f t="shared" si="46"/>
        <v>7872.5714285714284</v>
      </c>
      <c r="R487">
        <f t="shared" si="47"/>
        <v>3.8025351712881652</v>
      </c>
    </row>
    <row r="488" spans="1:18" x14ac:dyDescent="0.25">
      <c r="A488" t="s">
        <v>306</v>
      </c>
      <c r="B488" t="s">
        <v>307</v>
      </c>
      <c r="C488" t="s">
        <v>8</v>
      </c>
      <c r="D488">
        <v>62806</v>
      </c>
      <c r="E488" s="1">
        <v>43738</v>
      </c>
      <c r="F488" s="2">
        <f t="shared" si="42"/>
        <v>2019</v>
      </c>
      <c r="G488">
        <v>61</v>
      </c>
      <c r="H488" s="3">
        <v>318837</v>
      </c>
      <c r="I488">
        <v>19408</v>
      </c>
      <c r="J488">
        <v>318837</v>
      </c>
      <c r="K488">
        <v>263017</v>
      </c>
      <c r="L488">
        <v>246918</v>
      </c>
      <c r="M488" t="str">
        <f t="shared" si="43"/>
        <v>Medium</v>
      </c>
      <c r="N488">
        <f>VLOOKUP(C488,Lookup!$A$2:$D$5,MATCH(M488,Lookup!$A$1:$D$1,0),FALSE)</f>
        <v>0.08</v>
      </c>
      <c r="O488">
        <f t="shared" si="44"/>
        <v>19753.439999999999</v>
      </c>
      <c r="P488" s="7">
        <f t="shared" si="45"/>
        <v>0.82492621621706386</v>
      </c>
      <c r="Q488" s="7">
        <f t="shared" si="46"/>
        <v>5226.8360655737706</v>
      </c>
      <c r="R488">
        <f t="shared" si="47"/>
        <v>0.9825124130278069</v>
      </c>
    </row>
    <row r="489" spans="1:18" x14ac:dyDescent="0.25">
      <c r="A489" t="s">
        <v>306</v>
      </c>
      <c r="B489" t="s">
        <v>307</v>
      </c>
      <c r="C489" t="s">
        <v>8</v>
      </c>
      <c r="D489">
        <v>62806</v>
      </c>
      <c r="E489" s="1">
        <v>44104</v>
      </c>
      <c r="F489" s="2">
        <f t="shared" si="42"/>
        <v>2020</v>
      </c>
      <c r="G489">
        <v>64</v>
      </c>
      <c r="H489" s="3">
        <v>323010</v>
      </c>
      <c r="I489">
        <v>30168</v>
      </c>
      <c r="J489">
        <v>323010</v>
      </c>
      <c r="K489">
        <v>264754</v>
      </c>
      <c r="L489">
        <v>255868</v>
      </c>
      <c r="M489" t="str">
        <f t="shared" si="43"/>
        <v>Medium</v>
      </c>
      <c r="N489">
        <f>VLOOKUP(C489,Lookup!$A$2:$D$5,MATCH(M489,Lookup!$A$1:$D$1,0),FALSE)</f>
        <v>0.08</v>
      </c>
      <c r="O489">
        <f t="shared" si="44"/>
        <v>20469.439999999999</v>
      </c>
      <c r="P489" s="7">
        <f t="shared" si="45"/>
        <v>0.81964645057428565</v>
      </c>
      <c r="Q489" s="7">
        <f t="shared" si="46"/>
        <v>5047.03125</v>
      </c>
      <c r="R489">
        <f t="shared" si="47"/>
        <v>1.473806806634671</v>
      </c>
    </row>
    <row r="490" spans="1:18" x14ac:dyDescent="0.25">
      <c r="A490" t="s">
        <v>306</v>
      </c>
      <c r="B490" t="s">
        <v>307</v>
      </c>
      <c r="C490" t="s">
        <v>8</v>
      </c>
      <c r="D490">
        <v>62806</v>
      </c>
      <c r="E490" s="1">
        <v>44469</v>
      </c>
      <c r="F490" s="2">
        <f t="shared" si="42"/>
        <v>2021</v>
      </c>
      <c r="G490">
        <v>57</v>
      </c>
      <c r="H490" s="3">
        <v>336696</v>
      </c>
      <c r="I490">
        <v>54056</v>
      </c>
      <c r="J490">
        <v>336696</v>
      </c>
      <c r="K490">
        <v>278482</v>
      </c>
      <c r="L490">
        <v>276874</v>
      </c>
      <c r="M490" t="str">
        <f t="shared" si="43"/>
        <v>Medium</v>
      </c>
      <c r="N490">
        <f>VLOOKUP(C490,Lookup!$A$2:$D$5,MATCH(M490,Lookup!$A$1:$D$1,0),FALSE)</f>
        <v>0.08</v>
      </c>
      <c r="O490">
        <f t="shared" si="44"/>
        <v>22149.920000000002</v>
      </c>
      <c r="P490" s="7">
        <f t="shared" si="45"/>
        <v>0.82710219307624677</v>
      </c>
      <c r="Q490" s="7">
        <f t="shared" si="46"/>
        <v>5906.9473684210525</v>
      </c>
      <c r="R490">
        <f t="shared" si="47"/>
        <v>2.4404602815721228</v>
      </c>
    </row>
    <row r="491" spans="1:18" x14ac:dyDescent="0.25">
      <c r="A491" t="s">
        <v>308</v>
      </c>
      <c r="B491" t="s">
        <v>309</v>
      </c>
      <c r="C491" t="s">
        <v>8</v>
      </c>
      <c r="D491">
        <v>61048</v>
      </c>
      <c r="E491" s="1">
        <v>43738</v>
      </c>
      <c r="F491" s="2">
        <f t="shared" si="42"/>
        <v>2019</v>
      </c>
      <c r="G491">
        <v>51</v>
      </c>
      <c r="H491" s="3">
        <v>263560</v>
      </c>
      <c r="I491">
        <v>7834</v>
      </c>
      <c r="J491">
        <v>263560</v>
      </c>
      <c r="K491">
        <v>230497</v>
      </c>
      <c r="L491">
        <v>227691</v>
      </c>
      <c r="M491" t="str">
        <f t="shared" si="43"/>
        <v>Medium</v>
      </c>
      <c r="N491">
        <f>VLOOKUP(C491,Lookup!$A$2:$D$5,MATCH(M491,Lookup!$A$1:$D$1,0),FALSE)</f>
        <v>0.08</v>
      </c>
      <c r="O491">
        <f t="shared" si="44"/>
        <v>18215.28</v>
      </c>
      <c r="P491" s="7">
        <f t="shared" si="45"/>
        <v>0.87455228410988006</v>
      </c>
      <c r="Q491" s="7">
        <f t="shared" si="46"/>
        <v>5167.8431372549021</v>
      </c>
      <c r="R491">
        <f t="shared" si="47"/>
        <v>0.4300784835588583</v>
      </c>
    </row>
    <row r="492" spans="1:18" x14ac:dyDescent="0.25">
      <c r="A492" t="s">
        <v>308</v>
      </c>
      <c r="B492" t="s">
        <v>309</v>
      </c>
      <c r="C492" t="s">
        <v>8</v>
      </c>
      <c r="D492">
        <v>61048</v>
      </c>
      <c r="E492" s="1">
        <v>44104</v>
      </c>
      <c r="F492" s="2">
        <f t="shared" si="42"/>
        <v>2020</v>
      </c>
      <c r="G492">
        <v>51</v>
      </c>
      <c r="H492" s="3">
        <v>303899</v>
      </c>
      <c r="I492">
        <v>34095</v>
      </c>
      <c r="J492">
        <v>303899</v>
      </c>
      <c r="K492">
        <v>267660</v>
      </c>
      <c r="L492">
        <v>260132</v>
      </c>
      <c r="M492" t="str">
        <f t="shared" si="43"/>
        <v>Medium</v>
      </c>
      <c r="N492">
        <f>VLOOKUP(C492,Lookup!$A$2:$D$5,MATCH(M492,Lookup!$A$1:$D$1,0),FALSE)</f>
        <v>0.08</v>
      </c>
      <c r="O492">
        <f t="shared" si="44"/>
        <v>20810.560000000001</v>
      </c>
      <c r="P492" s="7">
        <f t="shared" si="45"/>
        <v>0.88075314495934509</v>
      </c>
      <c r="Q492" s="7">
        <f t="shared" si="46"/>
        <v>5958.8039215686276</v>
      </c>
      <c r="R492">
        <f t="shared" si="47"/>
        <v>1.6383509141512769</v>
      </c>
    </row>
    <row r="493" spans="1:18" x14ac:dyDescent="0.25">
      <c r="A493" t="s">
        <v>308</v>
      </c>
      <c r="B493" t="s">
        <v>309</v>
      </c>
      <c r="C493" t="s">
        <v>8</v>
      </c>
      <c r="D493">
        <v>61048</v>
      </c>
      <c r="E493" s="1">
        <v>44469</v>
      </c>
      <c r="F493" s="2">
        <f t="shared" si="42"/>
        <v>2021</v>
      </c>
      <c r="G493">
        <v>51</v>
      </c>
      <c r="H493" s="3">
        <v>309648</v>
      </c>
      <c r="I493">
        <v>35955</v>
      </c>
      <c r="J493">
        <v>309648</v>
      </c>
      <c r="K493">
        <v>271000</v>
      </c>
      <c r="L493">
        <v>262589</v>
      </c>
      <c r="M493" t="str">
        <f t="shared" si="43"/>
        <v>Medium</v>
      </c>
      <c r="N493">
        <f>VLOOKUP(C493,Lookup!$A$2:$D$5,MATCH(M493,Lookup!$A$1:$D$1,0),FALSE)</f>
        <v>0.08</v>
      </c>
      <c r="O493">
        <f t="shared" si="44"/>
        <v>21007.119999999999</v>
      </c>
      <c r="P493" s="7">
        <f t="shared" si="45"/>
        <v>0.87518730946106549</v>
      </c>
      <c r="Q493" s="7">
        <f t="shared" si="46"/>
        <v>6071.5294117647063</v>
      </c>
      <c r="R493">
        <f t="shared" si="47"/>
        <v>1.7115625559334169</v>
      </c>
    </row>
    <row r="494" spans="1:18" x14ac:dyDescent="0.25">
      <c r="A494" t="s">
        <v>310</v>
      </c>
      <c r="B494" t="s">
        <v>311</v>
      </c>
      <c r="C494" t="s">
        <v>8</v>
      </c>
      <c r="D494">
        <v>60953</v>
      </c>
      <c r="E494" s="1">
        <v>43738</v>
      </c>
      <c r="F494" s="2">
        <f t="shared" si="42"/>
        <v>2019</v>
      </c>
      <c r="G494">
        <v>15</v>
      </c>
      <c r="H494" s="3">
        <v>41593</v>
      </c>
      <c r="I494">
        <v>7220</v>
      </c>
      <c r="J494">
        <v>41593</v>
      </c>
      <c r="K494">
        <v>37035</v>
      </c>
      <c r="L494">
        <v>36983</v>
      </c>
      <c r="M494" t="str">
        <f t="shared" si="43"/>
        <v>Small</v>
      </c>
      <c r="N494">
        <f>VLOOKUP(C494,Lookup!$A$2:$D$5,MATCH(M494,Lookup!$A$1:$D$1,0),FALSE)</f>
        <v>0.09</v>
      </c>
      <c r="O494">
        <f t="shared" si="44"/>
        <v>3328.47</v>
      </c>
      <c r="P494" s="7">
        <f t="shared" si="45"/>
        <v>0.89041425239824012</v>
      </c>
      <c r="Q494" s="7">
        <f t="shared" si="46"/>
        <v>2772.8666666666668</v>
      </c>
      <c r="R494">
        <f t="shared" si="47"/>
        <v>2.16916481145992</v>
      </c>
    </row>
    <row r="495" spans="1:18" x14ac:dyDescent="0.25">
      <c r="A495" t="s">
        <v>310</v>
      </c>
      <c r="B495" t="s">
        <v>311</v>
      </c>
      <c r="C495" t="s">
        <v>8</v>
      </c>
      <c r="D495">
        <v>60953</v>
      </c>
      <c r="E495" s="1">
        <v>44104</v>
      </c>
      <c r="F495" s="2">
        <f t="shared" si="42"/>
        <v>2020</v>
      </c>
      <c r="G495">
        <v>14</v>
      </c>
      <c r="H495" s="3">
        <v>49481</v>
      </c>
      <c r="I495">
        <v>13764</v>
      </c>
      <c r="J495">
        <v>49481</v>
      </c>
      <c r="K495">
        <v>44850</v>
      </c>
      <c r="L495">
        <v>41791</v>
      </c>
      <c r="M495" t="str">
        <f t="shared" si="43"/>
        <v>Small</v>
      </c>
      <c r="N495">
        <f>VLOOKUP(C495,Lookup!$A$2:$D$5,MATCH(M495,Lookup!$A$1:$D$1,0),FALSE)</f>
        <v>0.09</v>
      </c>
      <c r="O495">
        <f t="shared" si="44"/>
        <v>3761.19</v>
      </c>
      <c r="P495" s="7">
        <f t="shared" si="45"/>
        <v>0.90640852044218989</v>
      </c>
      <c r="Q495" s="7">
        <f t="shared" si="46"/>
        <v>3534.3571428571427</v>
      </c>
      <c r="R495">
        <f t="shared" si="47"/>
        <v>3.6594801113477384</v>
      </c>
    </row>
    <row r="496" spans="1:18" x14ac:dyDescent="0.25">
      <c r="A496" t="s">
        <v>310</v>
      </c>
      <c r="B496" t="s">
        <v>311</v>
      </c>
      <c r="C496" t="s">
        <v>8</v>
      </c>
      <c r="D496">
        <v>60953</v>
      </c>
      <c r="E496" s="1">
        <v>44469</v>
      </c>
      <c r="F496" s="2">
        <f t="shared" si="42"/>
        <v>2021</v>
      </c>
      <c r="G496">
        <v>12</v>
      </c>
      <c r="H496" s="3">
        <v>51948</v>
      </c>
      <c r="I496">
        <v>17039</v>
      </c>
      <c r="J496">
        <v>51948</v>
      </c>
      <c r="K496">
        <v>47375</v>
      </c>
      <c r="L496">
        <v>47329</v>
      </c>
      <c r="M496" t="str">
        <f t="shared" si="43"/>
        <v>Small</v>
      </c>
      <c r="N496">
        <f>VLOOKUP(C496,Lookup!$A$2:$D$5,MATCH(M496,Lookup!$A$1:$D$1,0),FALSE)</f>
        <v>0.09</v>
      </c>
      <c r="O496">
        <f t="shared" si="44"/>
        <v>4259.6099999999997</v>
      </c>
      <c r="P496" s="7">
        <f t="shared" si="45"/>
        <v>0.911969661969662</v>
      </c>
      <c r="Q496" s="7">
        <f t="shared" si="46"/>
        <v>4329</v>
      </c>
      <c r="R496">
        <f t="shared" si="47"/>
        <v>4.0001314674348123</v>
      </c>
    </row>
    <row r="497" spans="1:18" x14ac:dyDescent="0.25">
      <c r="A497" t="s">
        <v>312</v>
      </c>
      <c r="B497" t="s">
        <v>47</v>
      </c>
      <c r="C497" t="s">
        <v>5</v>
      </c>
      <c r="D497">
        <v>90071</v>
      </c>
      <c r="E497" s="1">
        <v>43738</v>
      </c>
      <c r="F497" s="2">
        <f t="shared" si="42"/>
        <v>2019</v>
      </c>
      <c r="G497">
        <v>5169</v>
      </c>
      <c r="H497" s="3">
        <v>58193096</v>
      </c>
      <c r="I497">
        <v>1995161</v>
      </c>
      <c r="J497">
        <v>58193096</v>
      </c>
      <c r="K497">
        <v>53045798</v>
      </c>
      <c r="L497">
        <v>49246076</v>
      </c>
      <c r="M497" t="str">
        <f t="shared" si="43"/>
        <v>Large</v>
      </c>
      <c r="N497">
        <f>VLOOKUP(C497,Lookup!$A$2:$D$5,MATCH(M497,Lookup!$A$1:$D$1,0),FALSE)</f>
        <v>0.08</v>
      </c>
      <c r="O497">
        <f t="shared" si="44"/>
        <v>3939686.08</v>
      </c>
      <c r="P497" s="7">
        <f t="shared" si="45"/>
        <v>0.91154796094711987</v>
      </c>
      <c r="Q497" s="7">
        <f t="shared" si="46"/>
        <v>11258.095569742696</v>
      </c>
      <c r="R497">
        <f t="shared" si="47"/>
        <v>0.50642639019604319</v>
      </c>
    </row>
    <row r="498" spans="1:18" x14ac:dyDescent="0.25">
      <c r="A498" t="s">
        <v>312</v>
      </c>
      <c r="B498" t="s">
        <v>47</v>
      </c>
      <c r="C498" t="s">
        <v>5</v>
      </c>
      <c r="D498">
        <v>90071</v>
      </c>
      <c r="E498" s="1">
        <v>44104</v>
      </c>
      <c r="F498" s="2">
        <f t="shared" si="42"/>
        <v>2020</v>
      </c>
      <c r="G498">
        <v>5308</v>
      </c>
      <c r="H498" s="3">
        <v>72984004</v>
      </c>
      <c r="I498">
        <v>3849295</v>
      </c>
      <c r="J498">
        <v>72984004</v>
      </c>
      <c r="K498">
        <v>66669668</v>
      </c>
      <c r="L498">
        <v>63982800</v>
      </c>
      <c r="M498" t="str">
        <f t="shared" si="43"/>
        <v>Large</v>
      </c>
      <c r="N498">
        <f>VLOOKUP(C498,Lookup!$A$2:$D$5,MATCH(M498,Lookup!$A$1:$D$1,0),FALSE)</f>
        <v>0.08</v>
      </c>
      <c r="O498">
        <f t="shared" si="44"/>
        <v>5118624</v>
      </c>
      <c r="P498" s="7">
        <f t="shared" si="45"/>
        <v>0.91348328874913465</v>
      </c>
      <c r="Q498" s="7">
        <f t="shared" si="46"/>
        <v>13749.812358703843</v>
      </c>
      <c r="R498">
        <f t="shared" si="47"/>
        <v>0.75201753439986996</v>
      </c>
    </row>
    <row r="499" spans="1:18" x14ac:dyDescent="0.25">
      <c r="A499" t="s">
        <v>312</v>
      </c>
      <c r="B499" t="s">
        <v>47</v>
      </c>
      <c r="C499" t="s">
        <v>5</v>
      </c>
      <c r="D499">
        <v>90071</v>
      </c>
      <c r="E499" s="1">
        <v>44469</v>
      </c>
      <c r="F499" s="2">
        <f t="shared" si="42"/>
        <v>2021</v>
      </c>
      <c r="G499">
        <v>6697</v>
      </c>
      <c r="H499" s="3">
        <v>89831054</v>
      </c>
      <c r="I499">
        <v>8917488</v>
      </c>
      <c r="J499">
        <v>89831054</v>
      </c>
      <c r="K499">
        <v>83270729</v>
      </c>
      <c r="L499">
        <v>80093535</v>
      </c>
      <c r="M499" t="str">
        <f t="shared" si="43"/>
        <v>Large</v>
      </c>
      <c r="N499">
        <f>VLOOKUP(C499,Lookup!$A$2:$D$5,MATCH(M499,Lookup!$A$1:$D$1,0),FALSE)</f>
        <v>0.08</v>
      </c>
      <c r="O499">
        <f t="shared" si="44"/>
        <v>6407482.7999999998</v>
      </c>
      <c r="P499" s="7">
        <f t="shared" si="45"/>
        <v>0.92697041047742801</v>
      </c>
      <c r="Q499" s="7">
        <f t="shared" si="46"/>
        <v>13413.626101239361</v>
      </c>
      <c r="R499">
        <f t="shared" si="47"/>
        <v>1.3917303063224766</v>
      </c>
    </row>
    <row r="500" spans="1:18" x14ac:dyDescent="0.25">
      <c r="A500" t="s">
        <v>313</v>
      </c>
      <c r="B500" t="s">
        <v>314</v>
      </c>
      <c r="C500" t="s">
        <v>8</v>
      </c>
      <c r="D500">
        <v>62858</v>
      </c>
      <c r="E500" s="1">
        <v>43738</v>
      </c>
      <c r="F500" s="2">
        <f t="shared" si="42"/>
        <v>2019</v>
      </c>
      <c r="G500">
        <v>19</v>
      </c>
      <c r="H500" s="3">
        <v>78476</v>
      </c>
      <c r="I500">
        <v>8116</v>
      </c>
      <c r="J500">
        <v>78476</v>
      </c>
      <c r="K500">
        <v>66391</v>
      </c>
      <c r="L500">
        <v>66219</v>
      </c>
      <c r="M500" t="str">
        <f t="shared" si="43"/>
        <v>Small</v>
      </c>
      <c r="N500">
        <f>VLOOKUP(C500,Lookup!$A$2:$D$5,MATCH(M500,Lookup!$A$1:$D$1,0),FALSE)</f>
        <v>0.09</v>
      </c>
      <c r="O500">
        <f t="shared" si="44"/>
        <v>5959.71</v>
      </c>
      <c r="P500" s="7">
        <f t="shared" si="45"/>
        <v>0.84600387379581021</v>
      </c>
      <c r="Q500" s="7">
        <f t="shared" si="46"/>
        <v>4130.3157894736842</v>
      </c>
      <c r="R500">
        <f t="shared" si="47"/>
        <v>1.3618112290698707</v>
      </c>
    </row>
    <row r="501" spans="1:18" x14ac:dyDescent="0.25">
      <c r="A501" t="s">
        <v>313</v>
      </c>
      <c r="B501" t="s">
        <v>314</v>
      </c>
      <c r="C501" t="s">
        <v>8</v>
      </c>
      <c r="D501">
        <v>62858</v>
      </c>
      <c r="E501" s="1">
        <v>44104</v>
      </c>
      <c r="F501" s="2">
        <f t="shared" si="42"/>
        <v>2020</v>
      </c>
      <c r="G501">
        <v>19</v>
      </c>
      <c r="H501" s="3">
        <v>90122</v>
      </c>
      <c r="I501">
        <v>19514</v>
      </c>
      <c r="J501">
        <v>90122</v>
      </c>
      <c r="K501">
        <v>77445</v>
      </c>
      <c r="L501">
        <v>72874</v>
      </c>
      <c r="M501" t="str">
        <f t="shared" si="43"/>
        <v>Small</v>
      </c>
      <c r="N501">
        <f>VLOOKUP(C501,Lookup!$A$2:$D$5,MATCH(M501,Lookup!$A$1:$D$1,0),FALSE)</f>
        <v>0.09</v>
      </c>
      <c r="O501">
        <f t="shared" si="44"/>
        <v>6558.66</v>
      </c>
      <c r="P501" s="7">
        <f t="shared" si="45"/>
        <v>0.85933512349925656</v>
      </c>
      <c r="Q501" s="7">
        <f t="shared" si="46"/>
        <v>4743.2631578947367</v>
      </c>
      <c r="R501">
        <f t="shared" si="47"/>
        <v>2.9753028819911385</v>
      </c>
    </row>
    <row r="502" spans="1:18" x14ac:dyDescent="0.25">
      <c r="A502" t="s">
        <v>313</v>
      </c>
      <c r="B502" t="s">
        <v>314</v>
      </c>
      <c r="C502" t="s">
        <v>8</v>
      </c>
      <c r="D502">
        <v>62858</v>
      </c>
      <c r="E502" s="1">
        <v>44469</v>
      </c>
      <c r="F502" s="2">
        <f t="shared" si="42"/>
        <v>2021</v>
      </c>
      <c r="G502">
        <v>18</v>
      </c>
      <c r="H502" s="3">
        <v>97734</v>
      </c>
      <c r="I502">
        <v>25269</v>
      </c>
      <c r="J502">
        <v>97734</v>
      </c>
      <c r="K502">
        <v>85342</v>
      </c>
      <c r="L502">
        <v>79842</v>
      </c>
      <c r="M502" t="str">
        <f t="shared" si="43"/>
        <v>Small</v>
      </c>
      <c r="N502">
        <f>VLOOKUP(C502,Lookup!$A$2:$D$5,MATCH(M502,Lookup!$A$1:$D$1,0),FALSE)</f>
        <v>0.09</v>
      </c>
      <c r="O502">
        <f t="shared" si="44"/>
        <v>7185.78</v>
      </c>
      <c r="P502" s="7">
        <f t="shared" si="45"/>
        <v>0.87320686762027544</v>
      </c>
      <c r="Q502" s="7">
        <f t="shared" si="46"/>
        <v>5429.666666666667</v>
      </c>
      <c r="R502">
        <f t="shared" si="47"/>
        <v>3.5165284770755578</v>
      </c>
    </row>
    <row r="503" spans="1:18" x14ac:dyDescent="0.25">
      <c r="A503" t="s">
        <v>315</v>
      </c>
      <c r="B503" t="s">
        <v>316</v>
      </c>
      <c r="C503" t="s">
        <v>20</v>
      </c>
      <c r="D503">
        <v>1510</v>
      </c>
      <c r="E503" s="1">
        <v>43738</v>
      </c>
      <c r="F503" s="2">
        <f t="shared" si="42"/>
        <v>2019</v>
      </c>
      <c r="G503">
        <v>95</v>
      </c>
      <c r="H503" s="3">
        <v>584592</v>
      </c>
      <c r="I503">
        <v>23237</v>
      </c>
      <c r="J503">
        <v>584592</v>
      </c>
      <c r="K503">
        <v>519467</v>
      </c>
      <c r="L503">
        <v>463195</v>
      </c>
      <c r="M503" t="str">
        <f t="shared" si="43"/>
        <v>Medium</v>
      </c>
      <c r="N503">
        <f>VLOOKUP(C503,Lookup!$A$2:$D$5,MATCH(M503,Lookup!$A$1:$D$1,0),FALSE)</f>
        <v>8.5000000000000006E-2</v>
      </c>
      <c r="O503">
        <f t="shared" si="44"/>
        <v>39371.575000000004</v>
      </c>
      <c r="P503" s="7">
        <f t="shared" si="45"/>
        <v>0.8885975175849139</v>
      </c>
      <c r="Q503" s="7">
        <f t="shared" si="46"/>
        <v>6153.6</v>
      </c>
      <c r="R503">
        <f t="shared" si="47"/>
        <v>0.59019736954897017</v>
      </c>
    </row>
    <row r="504" spans="1:18" x14ac:dyDescent="0.25">
      <c r="A504" t="s">
        <v>315</v>
      </c>
      <c r="B504" t="s">
        <v>316</v>
      </c>
      <c r="C504" t="s">
        <v>20</v>
      </c>
      <c r="D504">
        <v>1510</v>
      </c>
      <c r="E504" s="1">
        <v>44104</v>
      </c>
      <c r="F504" s="2">
        <f t="shared" si="42"/>
        <v>2020</v>
      </c>
      <c r="G504">
        <v>96</v>
      </c>
      <c r="H504" s="3">
        <v>629750</v>
      </c>
      <c r="I504">
        <v>47560</v>
      </c>
      <c r="J504">
        <v>629750</v>
      </c>
      <c r="K504">
        <v>559731</v>
      </c>
      <c r="L504">
        <v>512588</v>
      </c>
      <c r="M504" t="str">
        <f t="shared" si="43"/>
        <v>Medium</v>
      </c>
      <c r="N504">
        <f>VLOOKUP(C504,Lookup!$A$2:$D$5,MATCH(M504,Lookup!$A$1:$D$1,0),FALSE)</f>
        <v>8.5000000000000006E-2</v>
      </c>
      <c r="O504">
        <f t="shared" si="44"/>
        <v>43569.98</v>
      </c>
      <c r="P504" s="7">
        <f t="shared" si="45"/>
        <v>0.88881460897181419</v>
      </c>
      <c r="Q504" s="7">
        <f t="shared" si="46"/>
        <v>6559.895833333333</v>
      </c>
      <c r="R504">
        <f t="shared" si="47"/>
        <v>1.0915772740772429</v>
      </c>
    </row>
    <row r="505" spans="1:18" x14ac:dyDescent="0.25">
      <c r="A505" t="s">
        <v>315</v>
      </c>
      <c r="B505" t="s">
        <v>316</v>
      </c>
      <c r="C505" t="s">
        <v>20</v>
      </c>
      <c r="D505">
        <v>1510</v>
      </c>
      <c r="E505" s="1">
        <v>44469</v>
      </c>
      <c r="F505" s="2">
        <f t="shared" si="42"/>
        <v>2021</v>
      </c>
      <c r="G505">
        <v>103</v>
      </c>
      <c r="H505" s="3">
        <v>644010</v>
      </c>
      <c r="I505">
        <v>55834</v>
      </c>
      <c r="J505">
        <v>644010</v>
      </c>
      <c r="K505">
        <v>571795</v>
      </c>
      <c r="L505">
        <v>540856</v>
      </c>
      <c r="M505" t="str">
        <f t="shared" si="43"/>
        <v>Medium</v>
      </c>
      <c r="N505">
        <f>VLOOKUP(C505,Lookup!$A$2:$D$5,MATCH(M505,Lookup!$A$1:$D$1,0),FALSE)</f>
        <v>8.5000000000000006E-2</v>
      </c>
      <c r="O505">
        <f t="shared" si="44"/>
        <v>45972.76</v>
      </c>
      <c r="P505" s="7">
        <f t="shared" si="45"/>
        <v>0.88786664803341564</v>
      </c>
      <c r="Q505" s="7">
        <f t="shared" si="46"/>
        <v>6252.5242718446598</v>
      </c>
      <c r="R505">
        <f t="shared" si="47"/>
        <v>1.2145018049819065</v>
      </c>
    </row>
    <row r="506" spans="1:18" x14ac:dyDescent="0.25">
      <c r="A506" t="s">
        <v>317</v>
      </c>
      <c r="B506" t="s">
        <v>318</v>
      </c>
      <c r="C506" t="s">
        <v>8</v>
      </c>
      <c r="D506">
        <v>62626</v>
      </c>
      <c r="E506" s="1">
        <v>43738</v>
      </c>
      <c r="F506" s="2">
        <f t="shared" si="42"/>
        <v>2019</v>
      </c>
      <c r="G506">
        <v>286</v>
      </c>
      <c r="H506" s="3">
        <v>1321421</v>
      </c>
      <c r="I506">
        <v>84598</v>
      </c>
      <c r="J506">
        <v>1321421</v>
      </c>
      <c r="K506">
        <v>1183507</v>
      </c>
      <c r="L506">
        <v>1120724</v>
      </c>
      <c r="M506" t="str">
        <f t="shared" si="43"/>
        <v>Large</v>
      </c>
      <c r="N506">
        <f>VLOOKUP(C506,Lookup!$A$2:$D$5,MATCH(M506,Lookup!$A$1:$D$1,0),FALSE)</f>
        <v>7.4999999999999997E-2</v>
      </c>
      <c r="O506">
        <f t="shared" si="44"/>
        <v>84054.3</v>
      </c>
      <c r="P506" s="7">
        <f t="shared" si="45"/>
        <v>0.89563205064850637</v>
      </c>
      <c r="Q506" s="7">
        <f t="shared" si="46"/>
        <v>4620.3531468531464</v>
      </c>
      <c r="R506">
        <f t="shared" si="47"/>
        <v>1.0064684376647</v>
      </c>
    </row>
    <row r="507" spans="1:18" x14ac:dyDescent="0.25">
      <c r="A507" t="s">
        <v>317</v>
      </c>
      <c r="B507" t="s">
        <v>318</v>
      </c>
      <c r="C507" t="s">
        <v>8</v>
      </c>
      <c r="D507">
        <v>62626</v>
      </c>
      <c r="E507" s="1">
        <v>44104</v>
      </c>
      <c r="F507" s="2">
        <f t="shared" si="42"/>
        <v>2020</v>
      </c>
      <c r="G507">
        <v>278</v>
      </c>
      <c r="H507" s="3">
        <v>1484046</v>
      </c>
      <c r="I507">
        <v>120407</v>
      </c>
      <c r="J507">
        <v>1484045</v>
      </c>
      <c r="K507">
        <v>1332378</v>
      </c>
      <c r="L507">
        <v>1255476</v>
      </c>
      <c r="M507" t="str">
        <f t="shared" si="43"/>
        <v>Large</v>
      </c>
      <c r="N507">
        <f>VLOOKUP(C507,Lookup!$A$2:$D$5,MATCH(M507,Lookup!$A$1:$D$1,0),FALSE)</f>
        <v>7.4999999999999997E-2</v>
      </c>
      <c r="O507">
        <f t="shared" si="44"/>
        <v>94160.7</v>
      </c>
      <c r="P507" s="7">
        <f t="shared" si="45"/>
        <v>0.89780101155894088</v>
      </c>
      <c r="Q507" s="7">
        <f t="shared" si="46"/>
        <v>5338.294964028777</v>
      </c>
      <c r="R507">
        <f t="shared" si="47"/>
        <v>1.2787394316312433</v>
      </c>
    </row>
    <row r="508" spans="1:18" x14ac:dyDescent="0.25">
      <c r="A508" t="s">
        <v>317</v>
      </c>
      <c r="B508" t="s">
        <v>318</v>
      </c>
      <c r="C508" t="s">
        <v>8</v>
      </c>
      <c r="D508">
        <v>62626</v>
      </c>
      <c r="E508" s="1">
        <v>44469</v>
      </c>
      <c r="F508" s="2">
        <f t="shared" si="42"/>
        <v>2021</v>
      </c>
      <c r="G508">
        <v>274</v>
      </c>
      <c r="H508" s="3">
        <v>1583203</v>
      </c>
      <c r="I508">
        <v>122468</v>
      </c>
      <c r="J508">
        <v>1583203</v>
      </c>
      <c r="K508">
        <v>1423539</v>
      </c>
      <c r="L508">
        <v>1360619</v>
      </c>
      <c r="M508" t="str">
        <f t="shared" si="43"/>
        <v>Large</v>
      </c>
      <c r="N508">
        <f>VLOOKUP(C508,Lookup!$A$2:$D$5,MATCH(M508,Lookup!$A$1:$D$1,0),FALSE)</f>
        <v>7.4999999999999997E-2</v>
      </c>
      <c r="O508">
        <f t="shared" si="44"/>
        <v>102046.425</v>
      </c>
      <c r="P508" s="7">
        <f t="shared" si="45"/>
        <v>0.89915127750515889</v>
      </c>
      <c r="Q508" s="7">
        <f t="shared" si="46"/>
        <v>5778.1131386861316</v>
      </c>
      <c r="R508">
        <f t="shared" si="47"/>
        <v>1.2001204353802692</v>
      </c>
    </row>
    <row r="509" spans="1:18" x14ac:dyDescent="0.25">
      <c r="A509" t="s">
        <v>319</v>
      </c>
      <c r="B509" t="s">
        <v>320</v>
      </c>
      <c r="C509" t="s">
        <v>20</v>
      </c>
      <c r="D509">
        <v>2188</v>
      </c>
      <c r="E509" s="1">
        <v>43738</v>
      </c>
      <c r="F509" s="2">
        <f t="shared" si="42"/>
        <v>2019</v>
      </c>
      <c r="G509">
        <v>144</v>
      </c>
      <c r="H509" s="3">
        <v>849216</v>
      </c>
      <c r="I509">
        <v>26059</v>
      </c>
      <c r="J509">
        <v>849216</v>
      </c>
      <c r="K509">
        <v>760959</v>
      </c>
      <c r="L509">
        <v>716916</v>
      </c>
      <c r="M509" t="str">
        <f t="shared" si="43"/>
        <v>Medium</v>
      </c>
      <c r="N509">
        <f>VLOOKUP(C509,Lookup!$A$2:$D$5,MATCH(M509,Lookup!$A$1:$D$1,0),FALSE)</f>
        <v>8.5000000000000006E-2</v>
      </c>
      <c r="O509">
        <f t="shared" si="44"/>
        <v>60937.860000000008</v>
      </c>
      <c r="P509" s="7">
        <f t="shared" si="45"/>
        <v>0.89607237734569301</v>
      </c>
      <c r="Q509" s="7">
        <f t="shared" si="46"/>
        <v>5897.333333333333</v>
      </c>
      <c r="R509">
        <f t="shared" si="47"/>
        <v>0.42763234547455387</v>
      </c>
    </row>
    <row r="510" spans="1:18" x14ac:dyDescent="0.25">
      <c r="A510" t="s">
        <v>319</v>
      </c>
      <c r="B510" t="s">
        <v>320</v>
      </c>
      <c r="C510" t="s">
        <v>20</v>
      </c>
      <c r="D510">
        <v>2188</v>
      </c>
      <c r="E510" s="1">
        <v>44104</v>
      </c>
      <c r="F510" s="2">
        <f t="shared" si="42"/>
        <v>2020</v>
      </c>
      <c r="G510">
        <v>133</v>
      </c>
      <c r="H510" s="3">
        <v>908788</v>
      </c>
      <c r="I510">
        <v>77639</v>
      </c>
      <c r="J510">
        <v>908788</v>
      </c>
      <c r="K510">
        <v>816578</v>
      </c>
      <c r="L510">
        <v>779984</v>
      </c>
      <c r="M510" t="str">
        <f t="shared" si="43"/>
        <v>Medium</v>
      </c>
      <c r="N510">
        <f>VLOOKUP(C510,Lookup!$A$2:$D$5,MATCH(M510,Lookup!$A$1:$D$1,0),FALSE)</f>
        <v>8.5000000000000006E-2</v>
      </c>
      <c r="O510">
        <f t="shared" si="44"/>
        <v>66298.64</v>
      </c>
      <c r="P510" s="7">
        <f t="shared" si="45"/>
        <v>0.89853519192594977</v>
      </c>
      <c r="Q510" s="7">
        <f t="shared" si="46"/>
        <v>6832.9924812030076</v>
      </c>
      <c r="R510">
        <f t="shared" si="47"/>
        <v>1.1710496625571807</v>
      </c>
    </row>
    <row r="511" spans="1:18" x14ac:dyDescent="0.25">
      <c r="A511" t="s">
        <v>319</v>
      </c>
      <c r="B511" t="s">
        <v>320</v>
      </c>
      <c r="C511" t="s">
        <v>20</v>
      </c>
      <c r="D511">
        <v>2188</v>
      </c>
      <c r="E511" s="1">
        <v>44469</v>
      </c>
      <c r="F511" s="2">
        <f t="shared" si="42"/>
        <v>2021</v>
      </c>
      <c r="G511">
        <v>125</v>
      </c>
      <c r="H511" s="3">
        <v>954958</v>
      </c>
      <c r="I511">
        <v>113792</v>
      </c>
      <c r="J511">
        <v>954958</v>
      </c>
      <c r="K511">
        <v>858571</v>
      </c>
      <c r="L511">
        <v>825580</v>
      </c>
      <c r="M511" t="str">
        <f t="shared" si="43"/>
        <v>Medium</v>
      </c>
      <c r="N511">
        <f>VLOOKUP(C511,Lookup!$A$2:$D$5,MATCH(M511,Lookup!$A$1:$D$1,0),FALSE)</f>
        <v>8.5000000000000006E-2</v>
      </c>
      <c r="O511">
        <f t="shared" si="44"/>
        <v>70174.3</v>
      </c>
      <c r="P511" s="7">
        <f t="shared" si="45"/>
        <v>0.89906676523993723</v>
      </c>
      <c r="Q511" s="7">
        <f t="shared" si="46"/>
        <v>7639.6639999999998</v>
      </c>
      <c r="R511">
        <f t="shared" si="47"/>
        <v>1.6215623098484773</v>
      </c>
    </row>
    <row r="512" spans="1:18" x14ac:dyDescent="0.25">
      <c r="A512" t="s">
        <v>321</v>
      </c>
      <c r="B512" t="s">
        <v>322</v>
      </c>
      <c r="C512" t="s">
        <v>8</v>
      </c>
      <c r="D512">
        <v>62326</v>
      </c>
      <c r="E512" s="1">
        <v>43738</v>
      </c>
      <c r="F512" s="2">
        <f t="shared" si="42"/>
        <v>2019</v>
      </c>
      <c r="G512">
        <v>8</v>
      </c>
      <c r="H512" s="3">
        <v>68792</v>
      </c>
      <c r="I512">
        <v>4971</v>
      </c>
      <c r="J512">
        <v>68792</v>
      </c>
      <c r="K512">
        <v>58046</v>
      </c>
      <c r="L512">
        <v>57530</v>
      </c>
      <c r="M512" t="str">
        <f t="shared" si="43"/>
        <v>Small</v>
      </c>
      <c r="N512">
        <f>VLOOKUP(C512,Lookup!$A$2:$D$5,MATCH(M512,Lookup!$A$1:$D$1,0),FALSE)</f>
        <v>0.09</v>
      </c>
      <c r="O512">
        <f t="shared" si="44"/>
        <v>5177.7</v>
      </c>
      <c r="P512" s="7">
        <f t="shared" si="45"/>
        <v>0.84378997557855562</v>
      </c>
      <c r="Q512" s="7">
        <f t="shared" si="46"/>
        <v>8599</v>
      </c>
      <c r="R512">
        <f t="shared" si="47"/>
        <v>0.96007879946694485</v>
      </c>
    </row>
    <row r="513" spans="1:18" x14ac:dyDescent="0.25">
      <c r="A513" t="s">
        <v>321</v>
      </c>
      <c r="B513" t="s">
        <v>322</v>
      </c>
      <c r="C513" t="s">
        <v>8</v>
      </c>
      <c r="D513">
        <v>62326</v>
      </c>
      <c r="E513" s="1">
        <v>44104</v>
      </c>
      <c r="F513" s="2">
        <f t="shared" si="42"/>
        <v>2020</v>
      </c>
      <c r="G513">
        <v>8</v>
      </c>
      <c r="H513" s="3">
        <v>78485</v>
      </c>
      <c r="I513">
        <v>5340</v>
      </c>
      <c r="J513">
        <v>78485</v>
      </c>
      <c r="K513">
        <v>66570</v>
      </c>
      <c r="L513">
        <v>65865</v>
      </c>
      <c r="M513" t="str">
        <f t="shared" si="43"/>
        <v>Small</v>
      </c>
      <c r="N513">
        <f>VLOOKUP(C513,Lookup!$A$2:$D$5,MATCH(M513,Lookup!$A$1:$D$1,0),FALSE)</f>
        <v>0.09</v>
      </c>
      <c r="O513">
        <f t="shared" si="44"/>
        <v>5927.8499999999995</v>
      </c>
      <c r="P513" s="7">
        <f t="shared" si="45"/>
        <v>0.84818755176148308</v>
      </c>
      <c r="Q513" s="7">
        <f t="shared" si="46"/>
        <v>9810.625</v>
      </c>
      <c r="R513">
        <f t="shared" si="47"/>
        <v>0.90083251094410288</v>
      </c>
    </row>
    <row r="514" spans="1:18" x14ac:dyDescent="0.25">
      <c r="A514" t="s">
        <v>321</v>
      </c>
      <c r="B514" t="s">
        <v>322</v>
      </c>
      <c r="C514" t="s">
        <v>8</v>
      </c>
      <c r="D514">
        <v>62326</v>
      </c>
      <c r="E514" s="1">
        <v>44469</v>
      </c>
      <c r="F514" s="2">
        <f t="shared" ref="F514:F577" si="48">YEAR(E514)</f>
        <v>2021</v>
      </c>
      <c r="G514">
        <v>8</v>
      </c>
      <c r="H514" s="3">
        <v>85778</v>
      </c>
      <c r="I514">
        <v>8622</v>
      </c>
      <c r="J514">
        <v>85778</v>
      </c>
      <c r="K514">
        <v>73279</v>
      </c>
      <c r="L514">
        <v>72562</v>
      </c>
      <c r="M514" t="str">
        <f t="shared" ref="M514:M577" si="49">IF(H514&gt;1000000,"Large",IF(H514&lt;100000,"Small","Medium"))</f>
        <v>Small</v>
      </c>
      <c r="N514">
        <f>VLOOKUP(C514,Lookup!$A$2:$D$5,MATCH(M514,Lookup!$A$1:$D$1,0),FALSE)</f>
        <v>0.09</v>
      </c>
      <c r="O514">
        <f t="shared" ref="O514:O577" si="50">L514*N514</f>
        <v>6530.58</v>
      </c>
      <c r="P514" s="7">
        <f t="shared" ref="P514:P577" si="51">K514/H514</f>
        <v>0.85428664692578515</v>
      </c>
      <c r="Q514" s="7">
        <f t="shared" ref="Q514:Q577" si="52">H514/G514</f>
        <v>10722.25</v>
      </c>
      <c r="R514">
        <f t="shared" ref="R514:R577" si="53">I514/O514</f>
        <v>1.3202502687357018</v>
      </c>
    </row>
    <row r="515" spans="1:18" x14ac:dyDescent="0.25">
      <c r="A515" t="s">
        <v>323</v>
      </c>
      <c r="B515" t="s">
        <v>190</v>
      </c>
      <c r="C515" t="s">
        <v>8</v>
      </c>
      <c r="D515">
        <v>62234</v>
      </c>
      <c r="E515" s="1">
        <v>43738</v>
      </c>
      <c r="F515" s="2">
        <f t="shared" si="48"/>
        <v>2019</v>
      </c>
      <c r="G515">
        <v>18</v>
      </c>
      <c r="H515" s="3">
        <v>120875</v>
      </c>
      <c r="I515">
        <v>5886</v>
      </c>
      <c r="J515">
        <v>120875</v>
      </c>
      <c r="K515">
        <v>87559</v>
      </c>
      <c r="L515">
        <v>87308</v>
      </c>
      <c r="M515" t="str">
        <f t="shared" si="49"/>
        <v>Medium</v>
      </c>
      <c r="N515">
        <f>VLOOKUP(C515,Lookup!$A$2:$D$5,MATCH(M515,Lookup!$A$1:$D$1,0),FALSE)</f>
        <v>0.08</v>
      </c>
      <c r="O515">
        <f t="shared" si="50"/>
        <v>6984.64</v>
      </c>
      <c r="P515" s="7">
        <f t="shared" si="51"/>
        <v>0.72437642192347462</v>
      </c>
      <c r="Q515" s="7">
        <f t="shared" si="52"/>
        <v>6715.2777777777774</v>
      </c>
      <c r="R515">
        <f t="shared" si="53"/>
        <v>0.84270628121134372</v>
      </c>
    </row>
    <row r="516" spans="1:18" x14ac:dyDescent="0.25">
      <c r="A516" t="s">
        <v>323</v>
      </c>
      <c r="B516" t="s">
        <v>190</v>
      </c>
      <c r="C516" t="s">
        <v>8</v>
      </c>
      <c r="D516">
        <v>62234</v>
      </c>
      <c r="E516" s="1">
        <v>44104</v>
      </c>
      <c r="F516" s="2">
        <f t="shared" si="48"/>
        <v>2020</v>
      </c>
      <c r="G516">
        <v>15</v>
      </c>
      <c r="H516" s="3">
        <v>131344</v>
      </c>
      <c r="I516">
        <v>10891</v>
      </c>
      <c r="J516">
        <v>131344</v>
      </c>
      <c r="K516">
        <v>97584</v>
      </c>
      <c r="L516">
        <v>93343</v>
      </c>
      <c r="M516" t="str">
        <f t="shared" si="49"/>
        <v>Medium</v>
      </c>
      <c r="N516">
        <f>VLOOKUP(C516,Lookup!$A$2:$D$5,MATCH(M516,Lookup!$A$1:$D$1,0),FALSE)</f>
        <v>0.08</v>
      </c>
      <c r="O516">
        <f t="shared" si="50"/>
        <v>7467.4400000000005</v>
      </c>
      <c r="P516" s="7">
        <f t="shared" si="51"/>
        <v>0.74296503837251793</v>
      </c>
      <c r="Q516" s="7">
        <f t="shared" si="52"/>
        <v>8756.2666666666664</v>
      </c>
      <c r="R516">
        <f t="shared" si="53"/>
        <v>1.4584650161233299</v>
      </c>
    </row>
    <row r="517" spans="1:18" x14ac:dyDescent="0.25">
      <c r="A517" t="s">
        <v>323</v>
      </c>
      <c r="B517" t="s">
        <v>190</v>
      </c>
      <c r="C517" t="s">
        <v>8</v>
      </c>
      <c r="D517">
        <v>62234</v>
      </c>
      <c r="E517" s="1">
        <v>44469</v>
      </c>
      <c r="F517" s="2">
        <f t="shared" si="48"/>
        <v>2021</v>
      </c>
      <c r="G517">
        <v>16</v>
      </c>
      <c r="H517" s="3">
        <v>136807</v>
      </c>
      <c r="I517">
        <v>12360</v>
      </c>
      <c r="J517">
        <v>136807</v>
      </c>
      <c r="K517">
        <v>102944</v>
      </c>
      <c r="L517">
        <v>97755</v>
      </c>
      <c r="M517" t="str">
        <f t="shared" si="49"/>
        <v>Medium</v>
      </c>
      <c r="N517">
        <f>VLOOKUP(C517,Lookup!$A$2:$D$5,MATCH(M517,Lookup!$A$1:$D$1,0),FALSE)</f>
        <v>0.08</v>
      </c>
      <c r="O517">
        <f t="shared" si="50"/>
        <v>7820.4000000000005</v>
      </c>
      <c r="P517" s="7">
        <f t="shared" si="51"/>
        <v>0.75247611598821695</v>
      </c>
      <c r="Q517" s="7">
        <f t="shared" si="52"/>
        <v>8550.4375</v>
      </c>
      <c r="R517">
        <f t="shared" si="53"/>
        <v>1.5804818167868651</v>
      </c>
    </row>
    <row r="518" spans="1:18" x14ac:dyDescent="0.25">
      <c r="A518" t="s">
        <v>324</v>
      </c>
      <c r="B518" t="s">
        <v>325</v>
      </c>
      <c r="C518" t="s">
        <v>20</v>
      </c>
      <c r="D518">
        <v>2170</v>
      </c>
      <c r="E518" s="1">
        <v>43738</v>
      </c>
      <c r="F518" s="2">
        <f t="shared" si="48"/>
        <v>2019</v>
      </c>
      <c r="G518">
        <v>31</v>
      </c>
      <c r="H518" s="3">
        <v>310895</v>
      </c>
      <c r="I518">
        <v>17675</v>
      </c>
      <c r="J518">
        <v>310895</v>
      </c>
      <c r="K518">
        <v>264922</v>
      </c>
      <c r="L518">
        <v>255188</v>
      </c>
      <c r="M518" t="str">
        <f t="shared" si="49"/>
        <v>Medium</v>
      </c>
      <c r="N518">
        <f>VLOOKUP(C518,Lookup!$A$2:$D$5,MATCH(M518,Lookup!$A$1:$D$1,0),FALSE)</f>
        <v>8.5000000000000006E-2</v>
      </c>
      <c r="O518">
        <f t="shared" si="50"/>
        <v>21690.980000000003</v>
      </c>
      <c r="P518" s="7">
        <f t="shared" si="51"/>
        <v>0.85212692388105304</v>
      </c>
      <c r="Q518" s="7">
        <f t="shared" si="52"/>
        <v>10028.870967741936</v>
      </c>
      <c r="R518">
        <f t="shared" si="53"/>
        <v>0.81485483827839944</v>
      </c>
    </row>
    <row r="519" spans="1:18" x14ac:dyDescent="0.25">
      <c r="A519" t="s">
        <v>324</v>
      </c>
      <c r="B519" t="s">
        <v>325</v>
      </c>
      <c r="C519" t="s">
        <v>20</v>
      </c>
      <c r="D519">
        <v>2170</v>
      </c>
      <c r="E519" s="1">
        <v>44104</v>
      </c>
      <c r="F519" s="2">
        <f t="shared" si="48"/>
        <v>2020</v>
      </c>
      <c r="G519">
        <v>28</v>
      </c>
      <c r="H519" s="3">
        <v>333493</v>
      </c>
      <c r="I519">
        <v>39592</v>
      </c>
      <c r="J519">
        <v>333493</v>
      </c>
      <c r="K519">
        <v>285973</v>
      </c>
      <c r="L519">
        <v>280205</v>
      </c>
      <c r="M519" t="str">
        <f t="shared" si="49"/>
        <v>Medium</v>
      </c>
      <c r="N519">
        <f>VLOOKUP(C519,Lookup!$A$2:$D$5,MATCH(M519,Lookup!$A$1:$D$1,0),FALSE)</f>
        <v>8.5000000000000006E-2</v>
      </c>
      <c r="O519">
        <f t="shared" si="50"/>
        <v>23817.425000000003</v>
      </c>
      <c r="P519" s="7">
        <f t="shared" si="51"/>
        <v>0.85750825354655125</v>
      </c>
      <c r="Q519" s="7">
        <f t="shared" si="52"/>
        <v>11910.464285714286</v>
      </c>
      <c r="R519">
        <f t="shared" si="53"/>
        <v>1.6623123616427886</v>
      </c>
    </row>
    <row r="520" spans="1:18" x14ac:dyDescent="0.25">
      <c r="A520" t="s">
        <v>324</v>
      </c>
      <c r="B520" t="s">
        <v>325</v>
      </c>
      <c r="C520" t="s">
        <v>20</v>
      </c>
      <c r="D520">
        <v>2170</v>
      </c>
      <c r="E520" s="1">
        <v>44469</v>
      </c>
      <c r="F520" s="2">
        <f t="shared" si="48"/>
        <v>2021</v>
      </c>
      <c r="G520">
        <v>29</v>
      </c>
      <c r="H520" s="3">
        <v>336678</v>
      </c>
      <c r="I520">
        <v>38700</v>
      </c>
      <c r="J520">
        <v>336678</v>
      </c>
      <c r="K520">
        <v>287571</v>
      </c>
      <c r="L520">
        <v>283820</v>
      </c>
      <c r="M520" t="str">
        <f t="shared" si="49"/>
        <v>Medium</v>
      </c>
      <c r="N520">
        <f>VLOOKUP(C520,Lookup!$A$2:$D$5,MATCH(M520,Lookup!$A$1:$D$1,0),FALSE)</f>
        <v>8.5000000000000006E-2</v>
      </c>
      <c r="O520">
        <f t="shared" si="50"/>
        <v>24124.7</v>
      </c>
      <c r="P520" s="7">
        <f t="shared" si="51"/>
        <v>0.85414253381569338</v>
      </c>
      <c r="Q520" s="7">
        <f t="shared" si="52"/>
        <v>11609.586206896553</v>
      </c>
      <c r="R520">
        <f t="shared" si="53"/>
        <v>1.6041650258863323</v>
      </c>
    </row>
    <row r="521" spans="1:18" x14ac:dyDescent="0.25">
      <c r="A521" t="s">
        <v>326</v>
      </c>
      <c r="B521" t="s">
        <v>327</v>
      </c>
      <c r="C521" t="s">
        <v>8</v>
      </c>
      <c r="D521">
        <v>62236</v>
      </c>
      <c r="E521" s="1">
        <v>43738</v>
      </c>
      <c r="F521" s="2">
        <f t="shared" si="48"/>
        <v>2019</v>
      </c>
      <c r="G521">
        <v>13</v>
      </c>
      <c r="H521" s="3">
        <v>45546</v>
      </c>
      <c r="I521">
        <v>7646</v>
      </c>
      <c r="J521">
        <v>45546</v>
      </c>
      <c r="K521">
        <v>39303</v>
      </c>
      <c r="L521">
        <v>39117</v>
      </c>
      <c r="M521" t="str">
        <f t="shared" si="49"/>
        <v>Small</v>
      </c>
      <c r="N521">
        <f>VLOOKUP(C521,Lookup!$A$2:$D$5,MATCH(M521,Lookup!$A$1:$D$1,0),FALSE)</f>
        <v>0.09</v>
      </c>
      <c r="O521">
        <f t="shared" si="50"/>
        <v>3520.5299999999997</v>
      </c>
      <c r="P521" s="7">
        <f t="shared" si="51"/>
        <v>0.86292978527203268</v>
      </c>
      <c r="Q521" s="7">
        <f t="shared" si="52"/>
        <v>3503.5384615384614</v>
      </c>
      <c r="R521">
        <f t="shared" si="53"/>
        <v>2.1718320821012749</v>
      </c>
    </row>
    <row r="522" spans="1:18" x14ac:dyDescent="0.25">
      <c r="A522" t="s">
        <v>1388</v>
      </c>
      <c r="B522" t="s">
        <v>646</v>
      </c>
      <c r="C522" t="s">
        <v>5</v>
      </c>
      <c r="D522">
        <v>95926</v>
      </c>
      <c r="E522" s="1">
        <v>44469</v>
      </c>
      <c r="F522" s="2">
        <f t="shared" si="48"/>
        <v>2021</v>
      </c>
      <c r="G522">
        <v>26</v>
      </c>
      <c r="H522" s="3">
        <v>342820</v>
      </c>
      <c r="I522">
        <v>68490</v>
      </c>
      <c r="J522">
        <v>342820</v>
      </c>
      <c r="K522">
        <v>298984</v>
      </c>
      <c r="L522">
        <v>298094</v>
      </c>
      <c r="M522" t="str">
        <f t="shared" si="49"/>
        <v>Medium</v>
      </c>
      <c r="N522">
        <f>VLOOKUP(C522,Lookup!$A$2:$D$5,MATCH(M522,Lookup!$A$1:$D$1,0),FALSE)</f>
        <v>0.09</v>
      </c>
      <c r="O522">
        <f t="shared" si="50"/>
        <v>26828.46</v>
      </c>
      <c r="P522" s="7">
        <f t="shared" si="51"/>
        <v>0.87213114754098364</v>
      </c>
      <c r="Q522" s="7">
        <f t="shared" si="52"/>
        <v>13185.384615384615</v>
      </c>
      <c r="R522">
        <f t="shared" si="53"/>
        <v>2.5528860024019271</v>
      </c>
    </row>
    <row r="523" spans="1:18" x14ac:dyDescent="0.25">
      <c r="A523" t="s">
        <v>328</v>
      </c>
      <c r="B523" t="s">
        <v>228</v>
      </c>
      <c r="C523" t="s">
        <v>5</v>
      </c>
      <c r="D523">
        <v>92612</v>
      </c>
      <c r="E523" s="1">
        <v>43738</v>
      </c>
      <c r="F523" s="2">
        <f t="shared" si="48"/>
        <v>2019</v>
      </c>
      <c r="G523">
        <v>63</v>
      </c>
      <c r="H523" s="3">
        <v>635190</v>
      </c>
      <c r="I523">
        <v>112934</v>
      </c>
      <c r="J523">
        <v>635190</v>
      </c>
      <c r="K523">
        <v>571425</v>
      </c>
      <c r="L523">
        <v>564725</v>
      </c>
      <c r="M523" t="str">
        <f t="shared" si="49"/>
        <v>Medium</v>
      </c>
      <c r="N523">
        <f>VLOOKUP(C523,Lookup!$A$2:$D$5,MATCH(M523,Lookup!$A$1:$D$1,0),FALSE)</f>
        <v>0.09</v>
      </c>
      <c r="O523">
        <f t="shared" si="50"/>
        <v>50825.25</v>
      </c>
      <c r="P523" s="7">
        <f t="shared" si="51"/>
        <v>0.89961271430595569</v>
      </c>
      <c r="Q523" s="7">
        <f t="shared" si="52"/>
        <v>10082.380952380952</v>
      </c>
      <c r="R523">
        <f t="shared" si="53"/>
        <v>2.2220057943640219</v>
      </c>
    </row>
    <row r="524" spans="1:18" x14ac:dyDescent="0.25">
      <c r="A524" t="s">
        <v>328</v>
      </c>
      <c r="B524" t="s">
        <v>228</v>
      </c>
      <c r="C524" t="s">
        <v>5</v>
      </c>
      <c r="D524">
        <v>92612</v>
      </c>
      <c r="E524" s="1">
        <v>44104</v>
      </c>
      <c r="F524" s="2">
        <f t="shared" si="48"/>
        <v>2020</v>
      </c>
      <c r="G524">
        <v>58</v>
      </c>
      <c r="H524" s="3">
        <v>937741</v>
      </c>
      <c r="I524">
        <v>238537</v>
      </c>
      <c r="J524">
        <v>937741</v>
      </c>
      <c r="K524">
        <v>872106</v>
      </c>
      <c r="L524">
        <v>865721</v>
      </c>
      <c r="M524" t="str">
        <f t="shared" si="49"/>
        <v>Medium</v>
      </c>
      <c r="N524">
        <f>VLOOKUP(C524,Lookup!$A$2:$D$5,MATCH(M524,Lookup!$A$1:$D$1,0),FALSE)</f>
        <v>0.09</v>
      </c>
      <c r="O524">
        <f t="shared" si="50"/>
        <v>77914.89</v>
      </c>
      <c r="P524" s="7">
        <f t="shared" si="51"/>
        <v>0.93000732611669956</v>
      </c>
      <c r="Q524" s="7">
        <f t="shared" si="52"/>
        <v>16167.948275862069</v>
      </c>
      <c r="R524">
        <f t="shared" si="53"/>
        <v>3.061507242068878</v>
      </c>
    </row>
    <row r="525" spans="1:18" x14ac:dyDescent="0.25">
      <c r="A525" t="s">
        <v>328</v>
      </c>
      <c r="B525" t="s">
        <v>228</v>
      </c>
      <c r="C525" t="s">
        <v>5</v>
      </c>
      <c r="D525">
        <v>92614</v>
      </c>
      <c r="E525" s="1">
        <v>44469</v>
      </c>
      <c r="F525" s="2">
        <f t="shared" si="48"/>
        <v>2021</v>
      </c>
      <c r="G525">
        <v>64</v>
      </c>
      <c r="H525" s="3">
        <v>1323629</v>
      </c>
      <c r="I525">
        <v>541109</v>
      </c>
      <c r="J525">
        <v>1323629</v>
      </c>
      <c r="K525">
        <v>1222472</v>
      </c>
      <c r="L525">
        <v>1210200</v>
      </c>
      <c r="M525" t="str">
        <f t="shared" si="49"/>
        <v>Large</v>
      </c>
      <c r="N525">
        <f>VLOOKUP(C525,Lookup!$A$2:$D$5,MATCH(M525,Lookup!$A$1:$D$1,0),FALSE)</f>
        <v>0.08</v>
      </c>
      <c r="O525">
        <f t="shared" si="50"/>
        <v>96816</v>
      </c>
      <c r="P525" s="7">
        <f t="shared" si="51"/>
        <v>0.92357601714679871</v>
      </c>
      <c r="Q525" s="7">
        <f t="shared" si="52"/>
        <v>20681.703125</v>
      </c>
      <c r="R525">
        <f t="shared" si="53"/>
        <v>5.5890451991406378</v>
      </c>
    </row>
    <row r="526" spans="1:18" x14ac:dyDescent="0.25">
      <c r="A526" t="s">
        <v>329</v>
      </c>
      <c r="B526" t="s">
        <v>228</v>
      </c>
      <c r="C526" t="s">
        <v>5</v>
      </c>
      <c r="D526">
        <v>92612</v>
      </c>
      <c r="E526" s="1">
        <v>43738</v>
      </c>
      <c r="F526" s="2">
        <f t="shared" si="48"/>
        <v>2019</v>
      </c>
      <c r="G526">
        <v>175</v>
      </c>
      <c r="H526" s="3">
        <v>1016735</v>
      </c>
      <c r="I526">
        <v>141879</v>
      </c>
      <c r="J526">
        <v>1016735</v>
      </c>
      <c r="K526">
        <v>913420</v>
      </c>
      <c r="L526">
        <v>901048</v>
      </c>
      <c r="M526" t="str">
        <f t="shared" si="49"/>
        <v>Large</v>
      </c>
      <c r="N526">
        <f>VLOOKUP(C526,Lookup!$A$2:$D$5,MATCH(M526,Lookup!$A$1:$D$1,0),FALSE)</f>
        <v>0.08</v>
      </c>
      <c r="O526">
        <f t="shared" si="50"/>
        <v>72083.839999999997</v>
      </c>
      <c r="P526" s="7">
        <f t="shared" si="51"/>
        <v>0.89838551835040592</v>
      </c>
      <c r="Q526" s="7">
        <f t="shared" si="52"/>
        <v>5809.9142857142861</v>
      </c>
      <c r="R526">
        <f t="shared" si="53"/>
        <v>1.9682497491809539</v>
      </c>
    </row>
    <row r="527" spans="1:18" x14ac:dyDescent="0.25">
      <c r="A527" t="s">
        <v>329</v>
      </c>
      <c r="B527" t="s">
        <v>228</v>
      </c>
      <c r="C527" t="s">
        <v>5</v>
      </c>
      <c r="D527">
        <v>92612</v>
      </c>
      <c r="E527" s="1">
        <v>44104</v>
      </c>
      <c r="F527" s="2">
        <f t="shared" si="48"/>
        <v>2020</v>
      </c>
      <c r="G527">
        <v>191</v>
      </c>
      <c r="H527" s="3">
        <v>1587533</v>
      </c>
      <c r="I527">
        <v>418534</v>
      </c>
      <c r="J527">
        <v>1587533</v>
      </c>
      <c r="K527">
        <v>1469245</v>
      </c>
      <c r="L527">
        <v>1355612</v>
      </c>
      <c r="M527" t="str">
        <f t="shared" si="49"/>
        <v>Large</v>
      </c>
      <c r="N527">
        <f>VLOOKUP(C527,Lookup!$A$2:$D$5,MATCH(M527,Lookup!$A$1:$D$1,0),FALSE)</f>
        <v>0.08</v>
      </c>
      <c r="O527">
        <f t="shared" si="50"/>
        <v>108448.96000000001</v>
      </c>
      <c r="P527" s="7">
        <f t="shared" si="51"/>
        <v>0.92548942289703584</v>
      </c>
      <c r="Q527" s="7">
        <f t="shared" si="52"/>
        <v>8311.6910994764403</v>
      </c>
      <c r="R527">
        <f t="shared" si="53"/>
        <v>3.8592716795071156</v>
      </c>
    </row>
    <row r="528" spans="1:18" x14ac:dyDescent="0.25">
      <c r="A528" t="s">
        <v>329</v>
      </c>
      <c r="B528" t="s">
        <v>228</v>
      </c>
      <c r="C528" t="s">
        <v>5</v>
      </c>
      <c r="D528">
        <v>92612</v>
      </c>
      <c r="E528" s="1">
        <v>44469</v>
      </c>
      <c r="F528" s="2">
        <f t="shared" si="48"/>
        <v>2021</v>
      </c>
      <c r="G528">
        <v>190</v>
      </c>
      <c r="H528" s="3">
        <v>1764126</v>
      </c>
      <c r="I528">
        <v>394667</v>
      </c>
      <c r="J528">
        <v>1764126</v>
      </c>
      <c r="K528">
        <v>1603506</v>
      </c>
      <c r="L528">
        <v>1589113</v>
      </c>
      <c r="M528" t="str">
        <f t="shared" si="49"/>
        <v>Large</v>
      </c>
      <c r="N528">
        <f>VLOOKUP(C528,Lookup!$A$2:$D$5,MATCH(M528,Lookup!$A$1:$D$1,0),FALSE)</f>
        <v>0.08</v>
      </c>
      <c r="O528">
        <f t="shared" si="50"/>
        <v>127129.04000000001</v>
      </c>
      <c r="P528" s="7">
        <f t="shared" si="51"/>
        <v>0.90895208165403152</v>
      </c>
      <c r="Q528" s="7">
        <f t="shared" si="52"/>
        <v>9284.8736842105263</v>
      </c>
      <c r="R528">
        <f t="shared" si="53"/>
        <v>3.104459846467809</v>
      </c>
    </row>
    <row r="529" spans="1:18" x14ac:dyDescent="0.25">
      <c r="A529" t="s">
        <v>330</v>
      </c>
      <c r="B529" t="s">
        <v>47</v>
      </c>
      <c r="C529" t="s">
        <v>5</v>
      </c>
      <c r="D529">
        <v>90010</v>
      </c>
      <c r="E529" s="1">
        <v>43738</v>
      </c>
      <c r="F529" s="2">
        <f t="shared" si="48"/>
        <v>2019</v>
      </c>
      <c r="G529">
        <v>190</v>
      </c>
      <c r="H529" s="3">
        <v>1159601</v>
      </c>
      <c r="I529">
        <v>84382</v>
      </c>
      <c r="J529">
        <v>1159601</v>
      </c>
      <c r="K529">
        <v>1014929</v>
      </c>
      <c r="L529">
        <v>989805</v>
      </c>
      <c r="M529" t="str">
        <f t="shared" si="49"/>
        <v>Large</v>
      </c>
      <c r="N529">
        <f>VLOOKUP(C529,Lookup!$A$2:$D$5,MATCH(M529,Lookup!$A$1:$D$1,0),FALSE)</f>
        <v>0.08</v>
      </c>
      <c r="O529">
        <f t="shared" si="50"/>
        <v>79184.400000000009</v>
      </c>
      <c r="P529" s="7">
        <f t="shared" si="51"/>
        <v>0.87523984542959177</v>
      </c>
      <c r="Q529" s="7">
        <f t="shared" si="52"/>
        <v>6103.1631578947372</v>
      </c>
      <c r="R529">
        <f t="shared" si="53"/>
        <v>1.0656391915579331</v>
      </c>
    </row>
    <row r="530" spans="1:18" x14ac:dyDescent="0.25">
      <c r="A530" t="s">
        <v>330</v>
      </c>
      <c r="B530" t="s">
        <v>47</v>
      </c>
      <c r="C530" t="s">
        <v>5</v>
      </c>
      <c r="D530">
        <v>90010</v>
      </c>
      <c r="E530" s="1">
        <v>44104</v>
      </c>
      <c r="F530" s="2">
        <f t="shared" si="48"/>
        <v>2020</v>
      </c>
      <c r="G530">
        <v>179</v>
      </c>
      <c r="H530" s="3">
        <v>1399381</v>
      </c>
      <c r="I530">
        <v>220073</v>
      </c>
      <c r="J530">
        <v>1399381</v>
      </c>
      <c r="K530">
        <v>1243810</v>
      </c>
      <c r="L530">
        <v>1101866</v>
      </c>
      <c r="M530" t="str">
        <f t="shared" si="49"/>
        <v>Large</v>
      </c>
      <c r="N530">
        <f>VLOOKUP(C530,Lookup!$A$2:$D$5,MATCH(M530,Lookup!$A$1:$D$1,0),FALSE)</f>
        <v>0.08</v>
      </c>
      <c r="O530">
        <f t="shared" si="50"/>
        <v>88149.28</v>
      </c>
      <c r="P530" s="7">
        <f t="shared" si="51"/>
        <v>0.88882870354821164</v>
      </c>
      <c r="Q530" s="7">
        <f t="shared" si="52"/>
        <v>7817.7709497206706</v>
      </c>
      <c r="R530">
        <f t="shared" si="53"/>
        <v>2.496594413476775</v>
      </c>
    </row>
    <row r="531" spans="1:18" x14ac:dyDescent="0.25">
      <c r="A531" t="s">
        <v>330</v>
      </c>
      <c r="B531" t="s">
        <v>47</v>
      </c>
      <c r="C531" t="s">
        <v>5</v>
      </c>
      <c r="D531">
        <v>90010</v>
      </c>
      <c r="E531" s="1">
        <v>44469</v>
      </c>
      <c r="F531" s="2">
        <f t="shared" si="48"/>
        <v>2021</v>
      </c>
      <c r="G531">
        <v>200</v>
      </c>
      <c r="H531" s="3">
        <v>1909035</v>
      </c>
      <c r="I531">
        <v>397522</v>
      </c>
      <c r="J531">
        <v>1909035</v>
      </c>
      <c r="K531">
        <v>1730967</v>
      </c>
      <c r="L531">
        <v>1666296</v>
      </c>
      <c r="M531" t="str">
        <f t="shared" si="49"/>
        <v>Large</v>
      </c>
      <c r="N531">
        <f>VLOOKUP(C531,Lookup!$A$2:$D$5,MATCH(M531,Lookup!$A$1:$D$1,0),FALSE)</f>
        <v>0.08</v>
      </c>
      <c r="O531">
        <f t="shared" si="50"/>
        <v>133303.67999999999</v>
      </c>
      <c r="P531" s="7">
        <f t="shared" si="51"/>
        <v>0.90672355404693994</v>
      </c>
      <c r="Q531" s="7">
        <f t="shared" si="52"/>
        <v>9545.1749999999993</v>
      </c>
      <c r="R531">
        <f t="shared" si="53"/>
        <v>2.982078214194837</v>
      </c>
    </row>
    <row r="532" spans="1:18" x14ac:dyDescent="0.25">
      <c r="A532" t="s">
        <v>331</v>
      </c>
      <c r="B532" t="s">
        <v>332</v>
      </c>
      <c r="C532" t="s">
        <v>20</v>
      </c>
      <c r="D532">
        <v>2136</v>
      </c>
      <c r="E532" s="1">
        <v>43738</v>
      </c>
      <c r="F532" s="2">
        <f t="shared" si="48"/>
        <v>2019</v>
      </c>
      <c r="G532">
        <v>21</v>
      </c>
      <c r="H532" s="3">
        <v>189845</v>
      </c>
      <c r="I532">
        <v>10931</v>
      </c>
      <c r="J532">
        <v>189845</v>
      </c>
      <c r="K532">
        <v>161706</v>
      </c>
      <c r="L532">
        <v>139190</v>
      </c>
      <c r="M532" t="str">
        <f t="shared" si="49"/>
        <v>Medium</v>
      </c>
      <c r="N532">
        <f>VLOOKUP(C532,Lookup!$A$2:$D$5,MATCH(M532,Lookup!$A$1:$D$1,0),FALSE)</f>
        <v>8.5000000000000006E-2</v>
      </c>
      <c r="O532">
        <f t="shared" si="50"/>
        <v>11831.150000000001</v>
      </c>
      <c r="P532" s="7">
        <f t="shared" si="51"/>
        <v>0.8517790829360794</v>
      </c>
      <c r="Q532" s="7">
        <f t="shared" si="52"/>
        <v>9040.2380952380954</v>
      </c>
      <c r="R532">
        <f t="shared" si="53"/>
        <v>0.92391694805661317</v>
      </c>
    </row>
    <row r="533" spans="1:18" x14ac:dyDescent="0.25">
      <c r="A533" t="s">
        <v>331</v>
      </c>
      <c r="B533" t="s">
        <v>332</v>
      </c>
      <c r="C533" t="s">
        <v>20</v>
      </c>
      <c r="D533">
        <v>2136</v>
      </c>
      <c r="E533" s="1">
        <v>44104</v>
      </c>
      <c r="F533" s="2">
        <f t="shared" si="48"/>
        <v>2020</v>
      </c>
      <c r="G533">
        <v>21</v>
      </c>
      <c r="H533" s="3">
        <v>189492</v>
      </c>
      <c r="I533">
        <v>14686</v>
      </c>
      <c r="J533">
        <v>189492</v>
      </c>
      <c r="K533">
        <v>160740</v>
      </c>
      <c r="L533">
        <v>138191</v>
      </c>
      <c r="M533" t="str">
        <f t="shared" si="49"/>
        <v>Medium</v>
      </c>
      <c r="N533">
        <f>VLOOKUP(C533,Lookup!$A$2:$D$5,MATCH(M533,Lookup!$A$1:$D$1,0),FALSE)</f>
        <v>8.5000000000000006E-2</v>
      </c>
      <c r="O533">
        <f t="shared" si="50"/>
        <v>11746.235000000001</v>
      </c>
      <c r="P533" s="7">
        <f t="shared" si="51"/>
        <v>0.84826800075992659</v>
      </c>
      <c r="Q533" s="7">
        <f t="shared" si="52"/>
        <v>9023.4285714285706</v>
      </c>
      <c r="R533">
        <f t="shared" si="53"/>
        <v>1.2502729598037157</v>
      </c>
    </row>
    <row r="534" spans="1:18" x14ac:dyDescent="0.25">
      <c r="A534" t="s">
        <v>331</v>
      </c>
      <c r="B534" t="s">
        <v>332</v>
      </c>
      <c r="C534" t="s">
        <v>20</v>
      </c>
      <c r="D534">
        <v>2136</v>
      </c>
      <c r="E534" s="1">
        <v>44469</v>
      </c>
      <c r="F534" s="2">
        <f t="shared" si="48"/>
        <v>2021</v>
      </c>
      <c r="G534">
        <v>19</v>
      </c>
      <c r="H534" s="3">
        <v>200187</v>
      </c>
      <c r="I534">
        <v>19363</v>
      </c>
      <c r="J534">
        <v>200187</v>
      </c>
      <c r="K534">
        <v>170702</v>
      </c>
      <c r="L534">
        <v>154494</v>
      </c>
      <c r="M534" t="str">
        <f t="shared" si="49"/>
        <v>Medium</v>
      </c>
      <c r="N534">
        <f>VLOOKUP(C534,Lookup!$A$2:$D$5,MATCH(M534,Lookup!$A$1:$D$1,0),FALSE)</f>
        <v>8.5000000000000006E-2</v>
      </c>
      <c r="O534">
        <f t="shared" si="50"/>
        <v>13131.990000000002</v>
      </c>
      <c r="P534" s="7">
        <f t="shared" si="51"/>
        <v>0.85271271361277201</v>
      </c>
      <c r="Q534" s="7">
        <f t="shared" si="52"/>
        <v>10536.157894736842</v>
      </c>
      <c r="R534">
        <f t="shared" si="53"/>
        <v>1.4744909187411808</v>
      </c>
    </row>
    <row r="535" spans="1:18" x14ac:dyDescent="0.25">
      <c r="A535" t="s">
        <v>333</v>
      </c>
      <c r="B535" t="s">
        <v>334</v>
      </c>
      <c r="C535" t="s">
        <v>8</v>
      </c>
      <c r="D535">
        <v>61089</v>
      </c>
      <c r="E535" s="1">
        <v>43738</v>
      </c>
      <c r="F535" s="2">
        <f t="shared" si="48"/>
        <v>2019</v>
      </c>
      <c r="G535">
        <v>20</v>
      </c>
      <c r="H535" s="3">
        <v>217335</v>
      </c>
      <c r="I535">
        <v>12368</v>
      </c>
      <c r="J535">
        <v>217334</v>
      </c>
      <c r="K535">
        <v>185257</v>
      </c>
      <c r="L535">
        <v>150092</v>
      </c>
      <c r="M535" t="str">
        <f t="shared" si="49"/>
        <v>Medium</v>
      </c>
      <c r="N535">
        <f>VLOOKUP(C535,Lookup!$A$2:$D$5,MATCH(M535,Lookup!$A$1:$D$1,0),FALSE)</f>
        <v>0.08</v>
      </c>
      <c r="O535">
        <f t="shared" si="50"/>
        <v>12007.36</v>
      </c>
      <c r="P535" s="7">
        <f t="shared" si="51"/>
        <v>0.85240297236984375</v>
      </c>
      <c r="Q535" s="7">
        <f t="shared" si="52"/>
        <v>10866.75</v>
      </c>
      <c r="R535">
        <f t="shared" si="53"/>
        <v>1.0300349119206886</v>
      </c>
    </row>
    <row r="536" spans="1:18" x14ac:dyDescent="0.25">
      <c r="A536" t="s">
        <v>333</v>
      </c>
      <c r="B536" t="s">
        <v>334</v>
      </c>
      <c r="C536" t="s">
        <v>8</v>
      </c>
      <c r="D536">
        <v>61089</v>
      </c>
      <c r="E536" s="1">
        <v>44104</v>
      </c>
      <c r="F536" s="2">
        <f t="shared" si="48"/>
        <v>2020</v>
      </c>
      <c r="G536">
        <v>15</v>
      </c>
      <c r="H536" s="3">
        <v>260654</v>
      </c>
      <c r="I536">
        <v>18721</v>
      </c>
      <c r="J536">
        <v>260653</v>
      </c>
      <c r="K536">
        <v>224082</v>
      </c>
      <c r="L536">
        <v>184719</v>
      </c>
      <c r="M536" t="str">
        <f t="shared" si="49"/>
        <v>Medium</v>
      </c>
      <c r="N536">
        <f>VLOOKUP(C536,Lookup!$A$2:$D$5,MATCH(M536,Lookup!$A$1:$D$1,0),FALSE)</f>
        <v>0.08</v>
      </c>
      <c r="O536">
        <f t="shared" si="50"/>
        <v>14777.52</v>
      </c>
      <c r="P536" s="7">
        <f t="shared" si="51"/>
        <v>0.85969139165330288</v>
      </c>
      <c r="Q536" s="7">
        <f t="shared" si="52"/>
        <v>17376.933333333334</v>
      </c>
      <c r="R536">
        <f t="shared" si="53"/>
        <v>1.2668566850188665</v>
      </c>
    </row>
    <row r="537" spans="1:18" x14ac:dyDescent="0.25">
      <c r="A537" t="s">
        <v>333</v>
      </c>
      <c r="B537" t="s">
        <v>334</v>
      </c>
      <c r="C537" t="s">
        <v>8</v>
      </c>
      <c r="D537">
        <v>61089</v>
      </c>
      <c r="E537" s="1">
        <v>44469</v>
      </c>
      <c r="F537" s="2">
        <f t="shared" si="48"/>
        <v>2021</v>
      </c>
      <c r="G537">
        <v>16</v>
      </c>
      <c r="H537" s="3">
        <v>257396</v>
      </c>
      <c r="I537">
        <v>7884</v>
      </c>
      <c r="J537">
        <v>257396</v>
      </c>
      <c r="K537">
        <v>218313</v>
      </c>
      <c r="L537">
        <v>180528</v>
      </c>
      <c r="M537" t="str">
        <f t="shared" si="49"/>
        <v>Medium</v>
      </c>
      <c r="N537">
        <f>VLOOKUP(C537,Lookup!$A$2:$D$5,MATCH(M537,Lookup!$A$1:$D$1,0),FALSE)</f>
        <v>0.08</v>
      </c>
      <c r="O537">
        <f t="shared" si="50"/>
        <v>14442.24</v>
      </c>
      <c r="P537" s="7">
        <f t="shared" si="51"/>
        <v>0.84816003356695524</v>
      </c>
      <c r="Q537" s="7">
        <f t="shared" si="52"/>
        <v>16087.25</v>
      </c>
      <c r="R537">
        <f t="shared" si="53"/>
        <v>0.54589869715501194</v>
      </c>
    </row>
    <row r="538" spans="1:18" x14ac:dyDescent="0.25">
      <c r="A538" t="s">
        <v>335</v>
      </c>
      <c r="B538" t="s">
        <v>336</v>
      </c>
      <c r="C538" t="s">
        <v>8</v>
      </c>
      <c r="D538">
        <v>62633</v>
      </c>
      <c r="E538" s="1">
        <v>43738</v>
      </c>
      <c r="F538" s="2">
        <f t="shared" si="48"/>
        <v>2019</v>
      </c>
      <c r="G538">
        <v>4</v>
      </c>
      <c r="H538" s="3">
        <v>36222</v>
      </c>
      <c r="I538">
        <v>7758</v>
      </c>
      <c r="J538">
        <v>36222</v>
      </c>
      <c r="K538">
        <v>28683</v>
      </c>
      <c r="L538">
        <v>28668</v>
      </c>
      <c r="M538" t="str">
        <f t="shared" si="49"/>
        <v>Small</v>
      </c>
      <c r="N538">
        <f>VLOOKUP(C538,Lookup!$A$2:$D$5,MATCH(M538,Lookup!$A$1:$D$1,0),FALSE)</f>
        <v>0.09</v>
      </c>
      <c r="O538">
        <f t="shared" si="50"/>
        <v>2580.12</v>
      </c>
      <c r="P538" s="7">
        <f t="shared" si="51"/>
        <v>0.79186682126884211</v>
      </c>
      <c r="Q538" s="7">
        <f t="shared" si="52"/>
        <v>9055.5</v>
      </c>
      <c r="R538">
        <f t="shared" si="53"/>
        <v>3.0068368913073811</v>
      </c>
    </row>
    <row r="539" spans="1:18" x14ac:dyDescent="0.25">
      <c r="A539" t="s">
        <v>335</v>
      </c>
      <c r="B539" t="s">
        <v>336</v>
      </c>
      <c r="C539" t="s">
        <v>8</v>
      </c>
      <c r="D539">
        <v>62633</v>
      </c>
      <c r="E539" s="1">
        <v>44104</v>
      </c>
      <c r="F539" s="2">
        <f t="shared" si="48"/>
        <v>2020</v>
      </c>
      <c r="G539">
        <v>4</v>
      </c>
      <c r="H539" s="3">
        <v>37904</v>
      </c>
      <c r="I539">
        <v>8067</v>
      </c>
      <c r="J539">
        <v>37904</v>
      </c>
      <c r="K539">
        <v>29612</v>
      </c>
      <c r="L539">
        <v>29596</v>
      </c>
      <c r="M539" t="str">
        <f t="shared" si="49"/>
        <v>Small</v>
      </c>
      <c r="N539">
        <f>VLOOKUP(C539,Lookup!$A$2:$D$5,MATCH(M539,Lookup!$A$1:$D$1,0),FALSE)</f>
        <v>0.09</v>
      </c>
      <c r="O539">
        <f t="shared" si="50"/>
        <v>2663.64</v>
      </c>
      <c r="P539" s="7">
        <f t="shared" si="51"/>
        <v>0.78123680878007595</v>
      </c>
      <c r="Q539" s="7">
        <f t="shared" si="52"/>
        <v>9476</v>
      </c>
      <c r="R539">
        <f t="shared" si="53"/>
        <v>3.0285624183448214</v>
      </c>
    </row>
    <row r="540" spans="1:18" x14ac:dyDescent="0.25">
      <c r="A540" t="s">
        <v>335</v>
      </c>
      <c r="B540" t="s">
        <v>336</v>
      </c>
      <c r="C540" t="s">
        <v>8</v>
      </c>
      <c r="D540">
        <v>62633</v>
      </c>
      <c r="E540" s="1">
        <v>44469</v>
      </c>
      <c r="F540" s="2">
        <f t="shared" si="48"/>
        <v>2021</v>
      </c>
      <c r="G540">
        <v>4</v>
      </c>
      <c r="H540" s="3">
        <v>39706</v>
      </c>
      <c r="I540">
        <v>11404</v>
      </c>
      <c r="J540">
        <v>39706</v>
      </c>
      <c r="K540">
        <v>30675</v>
      </c>
      <c r="L540">
        <v>30658</v>
      </c>
      <c r="M540" t="str">
        <f t="shared" si="49"/>
        <v>Small</v>
      </c>
      <c r="N540">
        <f>VLOOKUP(C540,Lookup!$A$2:$D$5,MATCH(M540,Lookup!$A$1:$D$1,0),FALSE)</f>
        <v>0.09</v>
      </c>
      <c r="O540">
        <f t="shared" si="50"/>
        <v>2759.22</v>
      </c>
      <c r="P540" s="7">
        <f t="shared" si="51"/>
        <v>0.77255326650883993</v>
      </c>
      <c r="Q540" s="7">
        <f t="shared" si="52"/>
        <v>9926.5</v>
      </c>
      <c r="R540">
        <f t="shared" si="53"/>
        <v>4.1330520944324851</v>
      </c>
    </row>
    <row r="541" spans="1:18" x14ac:dyDescent="0.25">
      <c r="A541" t="s">
        <v>337</v>
      </c>
      <c r="B541" t="s">
        <v>338</v>
      </c>
      <c r="C541" t="s">
        <v>8</v>
      </c>
      <c r="D541">
        <v>60126</v>
      </c>
      <c r="E541" s="1">
        <v>43738</v>
      </c>
      <c r="F541" s="2">
        <f t="shared" si="48"/>
        <v>2019</v>
      </c>
      <c r="G541">
        <v>25</v>
      </c>
      <c r="H541" s="3">
        <v>145795</v>
      </c>
      <c r="I541">
        <v>5707</v>
      </c>
      <c r="J541">
        <v>145795</v>
      </c>
      <c r="K541">
        <v>130045</v>
      </c>
      <c r="L541">
        <v>129926</v>
      </c>
      <c r="M541" t="str">
        <f t="shared" si="49"/>
        <v>Medium</v>
      </c>
      <c r="N541">
        <f>VLOOKUP(C541,Lookup!$A$2:$D$5,MATCH(M541,Lookup!$A$1:$D$1,0),FALSE)</f>
        <v>0.08</v>
      </c>
      <c r="O541">
        <f t="shared" si="50"/>
        <v>10394.08</v>
      </c>
      <c r="P541" s="7">
        <f t="shared" si="51"/>
        <v>0.89197160396447062</v>
      </c>
      <c r="Q541" s="7">
        <f t="shared" si="52"/>
        <v>5831.8</v>
      </c>
      <c r="R541">
        <f t="shared" si="53"/>
        <v>0.54906254329387494</v>
      </c>
    </row>
    <row r="542" spans="1:18" x14ac:dyDescent="0.25">
      <c r="A542" t="s">
        <v>337</v>
      </c>
      <c r="B542" t="s">
        <v>338</v>
      </c>
      <c r="C542" t="s">
        <v>8</v>
      </c>
      <c r="D542">
        <v>60126</v>
      </c>
      <c r="E542" s="1">
        <v>44104</v>
      </c>
      <c r="F542" s="2">
        <f t="shared" si="48"/>
        <v>2020</v>
      </c>
      <c r="G542">
        <v>28</v>
      </c>
      <c r="H542" s="3">
        <v>175924</v>
      </c>
      <c r="I542">
        <v>16129</v>
      </c>
      <c r="J542">
        <v>175924</v>
      </c>
      <c r="K542">
        <v>158463</v>
      </c>
      <c r="L542">
        <v>158306</v>
      </c>
      <c r="M542" t="str">
        <f t="shared" si="49"/>
        <v>Medium</v>
      </c>
      <c r="N542">
        <f>VLOOKUP(C542,Lookup!$A$2:$D$5,MATCH(M542,Lookup!$A$1:$D$1,0),FALSE)</f>
        <v>0.08</v>
      </c>
      <c r="O542">
        <f t="shared" si="50"/>
        <v>12664.48</v>
      </c>
      <c r="P542" s="7">
        <f t="shared" si="51"/>
        <v>0.90074691343989455</v>
      </c>
      <c r="Q542" s="7">
        <f t="shared" si="52"/>
        <v>6283</v>
      </c>
      <c r="R542">
        <f t="shared" si="53"/>
        <v>1.2735619622755929</v>
      </c>
    </row>
    <row r="543" spans="1:18" x14ac:dyDescent="0.25">
      <c r="A543" t="s">
        <v>337</v>
      </c>
      <c r="B543" t="s">
        <v>338</v>
      </c>
      <c r="C543" t="s">
        <v>8</v>
      </c>
      <c r="D543">
        <v>60126</v>
      </c>
      <c r="E543" s="1">
        <v>44469</v>
      </c>
      <c r="F543" s="2">
        <f t="shared" si="48"/>
        <v>2021</v>
      </c>
      <c r="G543">
        <v>29</v>
      </c>
      <c r="H543" s="3">
        <v>188791</v>
      </c>
      <c r="I543">
        <v>5047</v>
      </c>
      <c r="J543">
        <v>188791</v>
      </c>
      <c r="K543">
        <v>172108</v>
      </c>
      <c r="L543">
        <v>171930</v>
      </c>
      <c r="M543" t="str">
        <f t="shared" si="49"/>
        <v>Medium</v>
      </c>
      <c r="N543">
        <f>VLOOKUP(C543,Lookup!$A$2:$D$5,MATCH(M543,Lookup!$A$1:$D$1,0),FALSE)</f>
        <v>0.08</v>
      </c>
      <c r="O543">
        <f t="shared" si="50"/>
        <v>13754.4</v>
      </c>
      <c r="P543" s="7">
        <f t="shared" si="51"/>
        <v>0.91163244010572542</v>
      </c>
      <c r="Q543" s="7">
        <f t="shared" si="52"/>
        <v>6510.0344827586205</v>
      </c>
      <c r="R543">
        <f t="shared" si="53"/>
        <v>0.36693712557436164</v>
      </c>
    </row>
    <row r="544" spans="1:18" x14ac:dyDescent="0.25">
      <c r="A544" t="s">
        <v>339</v>
      </c>
      <c r="B544" t="s">
        <v>340</v>
      </c>
      <c r="C544" t="s">
        <v>5</v>
      </c>
      <c r="D544">
        <v>93455</v>
      </c>
      <c r="E544" s="1">
        <v>43738</v>
      </c>
      <c r="F544" s="2">
        <f t="shared" si="48"/>
        <v>2019</v>
      </c>
      <c r="G544">
        <v>51</v>
      </c>
      <c r="H544" s="3">
        <v>263881</v>
      </c>
      <c r="I544">
        <v>17738</v>
      </c>
      <c r="J544">
        <v>263881</v>
      </c>
      <c r="K544">
        <v>235003</v>
      </c>
      <c r="L544">
        <v>233525</v>
      </c>
      <c r="M544" t="str">
        <f t="shared" si="49"/>
        <v>Medium</v>
      </c>
      <c r="N544">
        <f>VLOOKUP(C544,Lookup!$A$2:$D$5,MATCH(M544,Lookup!$A$1:$D$1,0),FALSE)</f>
        <v>0.09</v>
      </c>
      <c r="O544">
        <f t="shared" si="50"/>
        <v>21017.25</v>
      </c>
      <c r="P544" s="7">
        <f t="shared" si="51"/>
        <v>0.8905643073961369</v>
      </c>
      <c r="Q544" s="7">
        <f t="shared" si="52"/>
        <v>5174.1372549019607</v>
      </c>
      <c r="R544">
        <f t="shared" si="53"/>
        <v>0.84397340280008093</v>
      </c>
    </row>
    <row r="545" spans="1:18" x14ac:dyDescent="0.25">
      <c r="A545" t="s">
        <v>339</v>
      </c>
      <c r="B545" t="s">
        <v>340</v>
      </c>
      <c r="C545" t="s">
        <v>5</v>
      </c>
      <c r="D545">
        <v>93455</v>
      </c>
      <c r="E545" s="1">
        <v>44104</v>
      </c>
      <c r="F545" s="2">
        <f t="shared" si="48"/>
        <v>2020</v>
      </c>
      <c r="G545">
        <v>60</v>
      </c>
      <c r="H545" s="3">
        <v>327457</v>
      </c>
      <c r="I545">
        <v>24024</v>
      </c>
      <c r="J545">
        <v>327457</v>
      </c>
      <c r="K545">
        <v>298299</v>
      </c>
      <c r="L545">
        <v>296783</v>
      </c>
      <c r="M545" t="str">
        <f t="shared" si="49"/>
        <v>Medium</v>
      </c>
      <c r="N545">
        <f>VLOOKUP(C545,Lookup!$A$2:$D$5,MATCH(M545,Lookup!$A$1:$D$1,0),FALSE)</f>
        <v>0.09</v>
      </c>
      <c r="O545">
        <f t="shared" si="50"/>
        <v>26710.469999999998</v>
      </c>
      <c r="P545" s="7">
        <f t="shared" si="51"/>
        <v>0.91095624769053651</v>
      </c>
      <c r="Q545" s="7">
        <f t="shared" si="52"/>
        <v>5457.6166666666668</v>
      </c>
      <c r="R545">
        <f t="shared" si="53"/>
        <v>0.89942258597471336</v>
      </c>
    </row>
    <row r="546" spans="1:18" x14ac:dyDescent="0.25">
      <c r="A546" t="s">
        <v>339</v>
      </c>
      <c r="B546" t="s">
        <v>340</v>
      </c>
      <c r="C546" t="s">
        <v>5</v>
      </c>
      <c r="D546">
        <v>93455</v>
      </c>
      <c r="E546" s="1">
        <v>44469</v>
      </c>
      <c r="F546" s="2">
        <f t="shared" si="48"/>
        <v>2021</v>
      </c>
      <c r="G546">
        <v>59</v>
      </c>
      <c r="H546" s="3">
        <v>402097</v>
      </c>
      <c r="I546">
        <v>68357</v>
      </c>
      <c r="J546">
        <v>402097</v>
      </c>
      <c r="K546">
        <v>370923</v>
      </c>
      <c r="L546">
        <v>367847</v>
      </c>
      <c r="M546" t="str">
        <f t="shared" si="49"/>
        <v>Medium</v>
      </c>
      <c r="N546">
        <f>VLOOKUP(C546,Lookup!$A$2:$D$5,MATCH(M546,Lookup!$A$1:$D$1,0),FALSE)</f>
        <v>0.09</v>
      </c>
      <c r="O546">
        <f t="shared" si="50"/>
        <v>33106.229999999996</v>
      </c>
      <c r="P546" s="7">
        <f t="shared" si="51"/>
        <v>0.92247144345767318</v>
      </c>
      <c r="Q546" s="7">
        <f t="shared" si="52"/>
        <v>6815.2033898305081</v>
      </c>
      <c r="R546">
        <f t="shared" si="53"/>
        <v>2.0647775358293594</v>
      </c>
    </row>
    <row r="547" spans="1:18" x14ac:dyDescent="0.25">
      <c r="A547" t="s">
        <v>341</v>
      </c>
      <c r="B547" t="s">
        <v>185</v>
      </c>
      <c r="C547" t="s">
        <v>5</v>
      </c>
      <c r="D547">
        <v>94612</v>
      </c>
      <c r="E547" s="1">
        <v>43738</v>
      </c>
      <c r="F547" s="2">
        <f t="shared" si="48"/>
        <v>2019</v>
      </c>
      <c r="G547">
        <v>50</v>
      </c>
      <c r="H547" s="3">
        <v>491389</v>
      </c>
      <c r="I547">
        <v>70018</v>
      </c>
      <c r="J547">
        <v>491389</v>
      </c>
      <c r="K547">
        <v>436561</v>
      </c>
      <c r="L547">
        <v>400746</v>
      </c>
      <c r="M547" t="str">
        <f t="shared" si="49"/>
        <v>Medium</v>
      </c>
      <c r="N547">
        <f>VLOOKUP(C547,Lookup!$A$2:$D$5,MATCH(M547,Lookup!$A$1:$D$1,0),FALSE)</f>
        <v>0.09</v>
      </c>
      <c r="O547">
        <f t="shared" si="50"/>
        <v>36067.14</v>
      </c>
      <c r="P547" s="7">
        <f t="shared" si="51"/>
        <v>0.8884224107580756</v>
      </c>
      <c r="Q547" s="7">
        <f t="shared" si="52"/>
        <v>9827.7800000000007</v>
      </c>
      <c r="R547">
        <f t="shared" si="53"/>
        <v>1.9413238754167921</v>
      </c>
    </row>
    <row r="548" spans="1:18" x14ac:dyDescent="0.25">
      <c r="A548" t="s">
        <v>341</v>
      </c>
      <c r="B548" t="s">
        <v>185</v>
      </c>
      <c r="C548" t="s">
        <v>5</v>
      </c>
      <c r="D548">
        <v>94612</v>
      </c>
      <c r="E548" s="1">
        <v>44104</v>
      </c>
      <c r="F548" s="2">
        <f t="shared" si="48"/>
        <v>2020</v>
      </c>
      <c r="G548">
        <v>55</v>
      </c>
      <c r="H548" s="3">
        <v>636346</v>
      </c>
      <c r="I548">
        <v>113811</v>
      </c>
      <c r="J548">
        <v>636346</v>
      </c>
      <c r="K548">
        <v>576309</v>
      </c>
      <c r="L548">
        <v>530610</v>
      </c>
      <c r="M548" t="str">
        <f t="shared" si="49"/>
        <v>Medium</v>
      </c>
      <c r="N548">
        <f>VLOOKUP(C548,Lookup!$A$2:$D$5,MATCH(M548,Lookup!$A$1:$D$1,0),FALSE)</f>
        <v>0.09</v>
      </c>
      <c r="O548">
        <f t="shared" si="50"/>
        <v>47754.9</v>
      </c>
      <c r="P548" s="7">
        <f t="shared" si="51"/>
        <v>0.90565352811206479</v>
      </c>
      <c r="Q548" s="7">
        <f t="shared" si="52"/>
        <v>11569.927272727273</v>
      </c>
      <c r="R548">
        <f t="shared" si="53"/>
        <v>2.3832318777758932</v>
      </c>
    </row>
    <row r="549" spans="1:18" x14ac:dyDescent="0.25">
      <c r="A549" t="s">
        <v>341</v>
      </c>
      <c r="B549" t="s">
        <v>185</v>
      </c>
      <c r="C549" t="s">
        <v>5</v>
      </c>
      <c r="D549">
        <v>94612</v>
      </c>
      <c r="E549" s="1">
        <v>44469</v>
      </c>
      <c r="F549" s="2">
        <f t="shared" si="48"/>
        <v>2021</v>
      </c>
      <c r="G549">
        <v>63</v>
      </c>
      <c r="H549" s="3">
        <v>749914</v>
      </c>
      <c r="I549">
        <v>155969</v>
      </c>
      <c r="J549">
        <v>749914</v>
      </c>
      <c r="K549">
        <v>683350</v>
      </c>
      <c r="L549">
        <v>654863</v>
      </c>
      <c r="M549" t="str">
        <f t="shared" si="49"/>
        <v>Medium</v>
      </c>
      <c r="N549">
        <f>VLOOKUP(C549,Lookup!$A$2:$D$5,MATCH(M549,Lookup!$A$1:$D$1,0),FALSE)</f>
        <v>0.09</v>
      </c>
      <c r="O549">
        <f t="shared" si="50"/>
        <v>58937.67</v>
      </c>
      <c r="P549" s="7">
        <f t="shared" si="51"/>
        <v>0.91123782193691538</v>
      </c>
      <c r="Q549" s="7">
        <f t="shared" si="52"/>
        <v>11903.396825396825</v>
      </c>
      <c r="R549">
        <f t="shared" si="53"/>
        <v>2.6463380720683394</v>
      </c>
    </row>
    <row r="550" spans="1:18" x14ac:dyDescent="0.25">
      <c r="A550" t="s">
        <v>342</v>
      </c>
      <c r="B550" t="s">
        <v>343</v>
      </c>
      <c r="C550" t="s">
        <v>8</v>
      </c>
      <c r="D550">
        <v>62293</v>
      </c>
      <c r="E550" s="1">
        <v>43738</v>
      </c>
      <c r="F550" s="2">
        <f t="shared" si="48"/>
        <v>2019</v>
      </c>
      <c r="G550">
        <v>16</v>
      </c>
      <c r="H550" s="3">
        <v>84534</v>
      </c>
      <c r="I550">
        <v>6710</v>
      </c>
      <c r="J550">
        <v>84535</v>
      </c>
      <c r="K550">
        <v>74607</v>
      </c>
      <c r="L550">
        <v>68454</v>
      </c>
      <c r="M550" t="str">
        <f t="shared" si="49"/>
        <v>Small</v>
      </c>
      <c r="N550">
        <f>VLOOKUP(C550,Lookup!$A$2:$D$5,MATCH(M550,Lookup!$A$1:$D$1,0),FALSE)</f>
        <v>0.09</v>
      </c>
      <c r="O550">
        <f t="shared" si="50"/>
        <v>6160.86</v>
      </c>
      <c r="P550" s="7">
        <f t="shared" si="51"/>
        <v>0.88256796082049827</v>
      </c>
      <c r="Q550" s="7">
        <f t="shared" si="52"/>
        <v>5283.375</v>
      </c>
      <c r="R550">
        <f t="shared" si="53"/>
        <v>1.0891336599111163</v>
      </c>
    </row>
    <row r="551" spans="1:18" x14ac:dyDescent="0.25">
      <c r="A551" t="s">
        <v>342</v>
      </c>
      <c r="B551" t="s">
        <v>343</v>
      </c>
      <c r="C551" t="s">
        <v>8</v>
      </c>
      <c r="D551">
        <v>62293</v>
      </c>
      <c r="E551" s="1">
        <v>44104</v>
      </c>
      <c r="F551" s="2">
        <f t="shared" si="48"/>
        <v>2020</v>
      </c>
      <c r="G551">
        <v>17</v>
      </c>
      <c r="H551" s="3">
        <v>96804</v>
      </c>
      <c r="I551">
        <v>8718</v>
      </c>
      <c r="J551">
        <v>96804</v>
      </c>
      <c r="K551">
        <v>86235</v>
      </c>
      <c r="L551">
        <v>76222</v>
      </c>
      <c r="M551" t="str">
        <f t="shared" si="49"/>
        <v>Small</v>
      </c>
      <c r="N551">
        <f>VLOOKUP(C551,Lookup!$A$2:$D$5,MATCH(M551,Lookup!$A$1:$D$1,0),FALSE)</f>
        <v>0.09</v>
      </c>
      <c r="O551">
        <f t="shared" si="50"/>
        <v>6859.98</v>
      </c>
      <c r="P551" s="7">
        <f t="shared" si="51"/>
        <v>0.89082062724680799</v>
      </c>
      <c r="Q551" s="7">
        <f t="shared" si="52"/>
        <v>5694.3529411764703</v>
      </c>
      <c r="R551">
        <f t="shared" si="53"/>
        <v>1.2708491861492308</v>
      </c>
    </row>
    <row r="552" spans="1:18" x14ac:dyDescent="0.25">
      <c r="A552" t="s">
        <v>342</v>
      </c>
      <c r="B552" t="s">
        <v>343</v>
      </c>
      <c r="C552" t="s">
        <v>8</v>
      </c>
      <c r="D552">
        <v>62293</v>
      </c>
      <c r="E552" s="1">
        <v>44469</v>
      </c>
      <c r="F552" s="2">
        <f t="shared" si="48"/>
        <v>2021</v>
      </c>
      <c r="G552">
        <v>16</v>
      </c>
      <c r="H552" s="3">
        <v>98407</v>
      </c>
      <c r="I552">
        <v>5762</v>
      </c>
      <c r="J552">
        <v>98407</v>
      </c>
      <c r="K552">
        <v>87299</v>
      </c>
      <c r="L552">
        <v>82424</v>
      </c>
      <c r="M552" t="str">
        <f t="shared" si="49"/>
        <v>Small</v>
      </c>
      <c r="N552">
        <f>VLOOKUP(C552,Lookup!$A$2:$D$5,MATCH(M552,Lookup!$A$1:$D$1,0),FALSE)</f>
        <v>0.09</v>
      </c>
      <c r="O552">
        <f t="shared" si="50"/>
        <v>7418.16</v>
      </c>
      <c r="P552" s="7">
        <f t="shared" si="51"/>
        <v>0.88712185108782915</v>
      </c>
      <c r="Q552" s="7">
        <f t="shared" si="52"/>
        <v>6150.4375</v>
      </c>
      <c r="R552">
        <f t="shared" si="53"/>
        <v>0.77674248061513906</v>
      </c>
    </row>
    <row r="553" spans="1:18" x14ac:dyDescent="0.25">
      <c r="A553" t="s">
        <v>344</v>
      </c>
      <c r="B553" t="s">
        <v>245</v>
      </c>
      <c r="C553" t="s">
        <v>17</v>
      </c>
      <c r="D553">
        <v>13617</v>
      </c>
      <c r="E553" s="1">
        <v>43738</v>
      </c>
      <c r="F553" s="2">
        <f t="shared" si="48"/>
        <v>2019</v>
      </c>
      <c r="G553">
        <v>2229</v>
      </c>
      <c r="H553" s="3">
        <v>11391467</v>
      </c>
      <c r="I553">
        <v>1008346</v>
      </c>
      <c r="J553">
        <v>11391467</v>
      </c>
      <c r="K553">
        <v>9824413</v>
      </c>
      <c r="L553">
        <v>9389787</v>
      </c>
      <c r="M553" t="str">
        <f t="shared" si="49"/>
        <v>Large</v>
      </c>
      <c r="N553">
        <f>VLOOKUP(C553,Lookup!$A$2:$D$5,MATCH(M553,Lookup!$A$1:$D$1,0),FALSE)</f>
        <v>0.08</v>
      </c>
      <c r="O553">
        <f t="shared" si="50"/>
        <v>751182.96</v>
      </c>
      <c r="P553" s="7">
        <f t="shared" si="51"/>
        <v>0.86243615506238136</v>
      </c>
      <c r="Q553" s="7">
        <f t="shared" si="52"/>
        <v>5110.5729026469271</v>
      </c>
      <c r="R553">
        <f t="shared" si="53"/>
        <v>1.3423440808614722</v>
      </c>
    </row>
    <row r="554" spans="1:18" x14ac:dyDescent="0.25">
      <c r="A554" t="s">
        <v>344</v>
      </c>
      <c r="B554" t="s">
        <v>245</v>
      </c>
      <c r="C554" t="s">
        <v>17</v>
      </c>
      <c r="D554">
        <v>13617</v>
      </c>
      <c r="E554" s="1">
        <v>44104</v>
      </c>
      <c r="F554" s="2">
        <f t="shared" si="48"/>
        <v>2020</v>
      </c>
      <c r="G554">
        <v>2304</v>
      </c>
      <c r="H554" s="3">
        <v>13647935</v>
      </c>
      <c r="I554">
        <v>1830832</v>
      </c>
      <c r="J554">
        <v>13647935</v>
      </c>
      <c r="K554">
        <v>11872597</v>
      </c>
      <c r="L554">
        <v>11398660</v>
      </c>
      <c r="M554" t="str">
        <f t="shared" si="49"/>
        <v>Large</v>
      </c>
      <c r="N554">
        <f>VLOOKUP(C554,Lookup!$A$2:$D$5,MATCH(M554,Lookup!$A$1:$D$1,0),FALSE)</f>
        <v>0.08</v>
      </c>
      <c r="O554">
        <f t="shared" si="50"/>
        <v>911892.8</v>
      </c>
      <c r="P554" s="7">
        <f t="shared" si="51"/>
        <v>0.86991892912737345</v>
      </c>
      <c r="Q554" s="7">
        <f t="shared" si="52"/>
        <v>5923.5828993055557</v>
      </c>
      <c r="R554">
        <f t="shared" si="53"/>
        <v>2.0077272240772159</v>
      </c>
    </row>
    <row r="555" spans="1:18" x14ac:dyDescent="0.25">
      <c r="A555" t="s">
        <v>344</v>
      </c>
      <c r="B555" t="s">
        <v>245</v>
      </c>
      <c r="C555" t="s">
        <v>17</v>
      </c>
      <c r="D555">
        <v>13617</v>
      </c>
      <c r="E555" s="1">
        <v>44469</v>
      </c>
      <c r="F555" s="2">
        <f t="shared" si="48"/>
        <v>2021</v>
      </c>
      <c r="G555">
        <v>2186</v>
      </c>
      <c r="H555" s="3">
        <v>15096387</v>
      </c>
      <c r="I555">
        <v>2314056</v>
      </c>
      <c r="J555">
        <v>15096387</v>
      </c>
      <c r="K555">
        <v>13438366</v>
      </c>
      <c r="L555">
        <v>12972272</v>
      </c>
      <c r="M555" t="str">
        <f t="shared" si="49"/>
        <v>Large</v>
      </c>
      <c r="N555">
        <f>VLOOKUP(C555,Lookup!$A$2:$D$5,MATCH(M555,Lookup!$A$1:$D$1,0),FALSE)</f>
        <v>0.08</v>
      </c>
      <c r="O555">
        <f t="shared" si="50"/>
        <v>1037781.76</v>
      </c>
      <c r="P555" s="7">
        <f t="shared" si="51"/>
        <v>0.89017100581748465</v>
      </c>
      <c r="Q555" s="7">
        <f t="shared" si="52"/>
        <v>6905.9409881061301</v>
      </c>
      <c r="R555">
        <f t="shared" si="53"/>
        <v>2.2298098590593844</v>
      </c>
    </row>
    <row r="556" spans="1:18" x14ac:dyDescent="0.25">
      <c r="A556" t="s">
        <v>345</v>
      </c>
      <c r="B556" t="s">
        <v>346</v>
      </c>
      <c r="C556" t="s">
        <v>8</v>
      </c>
      <c r="D556">
        <v>62422</v>
      </c>
      <c r="E556" s="1">
        <v>43738</v>
      </c>
      <c r="F556" s="2">
        <f t="shared" si="48"/>
        <v>2019</v>
      </c>
      <c r="G556">
        <v>20</v>
      </c>
      <c r="H556" s="3">
        <v>46437</v>
      </c>
      <c r="I556">
        <v>11037</v>
      </c>
      <c r="J556">
        <v>46437</v>
      </c>
      <c r="K556">
        <v>40873</v>
      </c>
      <c r="L556">
        <v>40806</v>
      </c>
      <c r="M556" t="str">
        <f t="shared" si="49"/>
        <v>Small</v>
      </c>
      <c r="N556">
        <f>VLOOKUP(C556,Lookup!$A$2:$D$5,MATCH(M556,Lookup!$A$1:$D$1,0),FALSE)</f>
        <v>0.09</v>
      </c>
      <c r="O556">
        <f t="shared" si="50"/>
        <v>3672.54</v>
      </c>
      <c r="P556" s="7">
        <f t="shared" si="51"/>
        <v>0.88018175162047507</v>
      </c>
      <c r="Q556" s="7">
        <f t="shared" si="52"/>
        <v>2321.85</v>
      </c>
      <c r="R556">
        <f t="shared" si="53"/>
        <v>3.0052770017481092</v>
      </c>
    </row>
    <row r="557" spans="1:18" x14ac:dyDescent="0.25">
      <c r="A557" t="s">
        <v>345</v>
      </c>
      <c r="B557" t="s">
        <v>346</v>
      </c>
      <c r="C557" t="s">
        <v>8</v>
      </c>
      <c r="D557">
        <v>62422</v>
      </c>
      <c r="E557" s="1">
        <v>44104</v>
      </c>
      <c r="F557" s="2">
        <f t="shared" si="48"/>
        <v>2020</v>
      </c>
      <c r="G557">
        <v>20</v>
      </c>
      <c r="H557" s="3">
        <v>52319</v>
      </c>
      <c r="I557">
        <v>10937</v>
      </c>
      <c r="J557">
        <v>52320</v>
      </c>
      <c r="K557">
        <v>46647</v>
      </c>
      <c r="L557">
        <v>46594</v>
      </c>
      <c r="M557" t="str">
        <f t="shared" si="49"/>
        <v>Small</v>
      </c>
      <c r="N557">
        <f>VLOOKUP(C557,Lookup!$A$2:$D$5,MATCH(M557,Lookup!$A$1:$D$1,0),FALSE)</f>
        <v>0.09</v>
      </c>
      <c r="O557">
        <f t="shared" si="50"/>
        <v>4193.46</v>
      </c>
      <c r="P557" s="7">
        <f t="shared" si="51"/>
        <v>0.89158814197519065</v>
      </c>
      <c r="Q557" s="7">
        <f t="shared" si="52"/>
        <v>2615.9499999999998</v>
      </c>
      <c r="R557">
        <f t="shared" si="53"/>
        <v>2.6081088170627598</v>
      </c>
    </row>
    <row r="558" spans="1:18" x14ac:dyDescent="0.25">
      <c r="A558" t="s">
        <v>345</v>
      </c>
      <c r="B558" t="s">
        <v>346</v>
      </c>
      <c r="C558" t="s">
        <v>8</v>
      </c>
      <c r="D558">
        <v>62422</v>
      </c>
      <c r="E558" s="1">
        <v>44469</v>
      </c>
      <c r="F558" s="2">
        <f t="shared" si="48"/>
        <v>2021</v>
      </c>
      <c r="G558">
        <v>20</v>
      </c>
      <c r="H558" s="3">
        <v>59305</v>
      </c>
      <c r="I558">
        <v>12987</v>
      </c>
      <c r="J558">
        <v>59305</v>
      </c>
      <c r="K558">
        <v>53724</v>
      </c>
      <c r="L558">
        <v>53672</v>
      </c>
      <c r="M558" t="str">
        <f t="shared" si="49"/>
        <v>Small</v>
      </c>
      <c r="N558">
        <f>VLOOKUP(C558,Lookup!$A$2:$D$5,MATCH(M558,Lookup!$A$1:$D$1,0),FALSE)</f>
        <v>0.09</v>
      </c>
      <c r="O558">
        <f t="shared" si="50"/>
        <v>4830.4799999999996</v>
      </c>
      <c r="P558" s="7">
        <f t="shared" si="51"/>
        <v>0.90589326363713008</v>
      </c>
      <c r="Q558" s="7">
        <f t="shared" si="52"/>
        <v>2965.25</v>
      </c>
      <c r="R558">
        <f t="shared" si="53"/>
        <v>2.6885526904158596</v>
      </c>
    </row>
    <row r="559" spans="1:18" x14ac:dyDescent="0.25">
      <c r="A559" t="s">
        <v>347</v>
      </c>
      <c r="B559" t="s">
        <v>348</v>
      </c>
      <c r="C559" t="s">
        <v>5</v>
      </c>
      <c r="D559">
        <v>91711</v>
      </c>
      <c r="E559" s="1">
        <v>43738</v>
      </c>
      <c r="F559" s="2">
        <f t="shared" si="48"/>
        <v>2019</v>
      </c>
      <c r="G559">
        <v>38</v>
      </c>
      <c r="H559" s="3">
        <v>276756</v>
      </c>
      <c r="I559">
        <v>48613</v>
      </c>
      <c r="J559">
        <v>276756</v>
      </c>
      <c r="K559">
        <v>223621</v>
      </c>
      <c r="L559">
        <v>183099</v>
      </c>
      <c r="M559" t="str">
        <f t="shared" si="49"/>
        <v>Medium</v>
      </c>
      <c r="N559">
        <f>VLOOKUP(C559,Lookup!$A$2:$D$5,MATCH(M559,Lookup!$A$1:$D$1,0),FALSE)</f>
        <v>0.09</v>
      </c>
      <c r="O559">
        <f t="shared" si="50"/>
        <v>16478.91</v>
      </c>
      <c r="P559" s="7">
        <f t="shared" si="51"/>
        <v>0.80800777580251193</v>
      </c>
      <c r="Q559" s="7">
        <f t="shared" si="52"/>
        <v>7283.0526315789475</v>
      </c>
      <c r="R559">
        <f t="shared" si="53"/>
        <v>2.950013077321255</v>
      </c>
    </row>
    <row r="560" spans="1:18" x14ac:dyDescent="0.25">
      <c r="A560" t="s">
        <v>347</v>
      </c>
      <c r="B560" t="s">
        <v>348</v>
      </c>
      <c r="C560" t="s">
        <v>5</v>
      </c>
      <c r="D560">
        <v>91711</v>
      </c>
      <c r="E560" s="1">
        <v>44104</v>
      </c>
      <c r="F560" s="2">
        <f t="shared" si="48"/>
        <v>2020</v>
      </c>
      <c r="G560">
        <v>45</v>
      </c>
      <c r="H560" s="3">
        <v>338351</v>
      </c>
      <c r="I560">
        <v>45535</v>
      </c>
      <c r="J560">
        <v>338351</v>
      </c>
      <c r="K560">
        <v>284593</v>
      </c>
      <c r="L560">
        <v>203517</v>
      </c>
      <c r="M560" t="str">
        <f t="shared" si="49"/>
        <v>Medium</v>
      </c>
      <c r="N560">
        <f>VLOOKUP(C560,Lookup!$A$2:$D$5,MATCH(M560,Lookup!$A$1:$D$1,0),FALSE)</f>
        <v>0.09</v>
      </c>
      <c r="O560">
        <f t="shared" si="50"/>
        <v>18316.53</v>
      </c>
      <c r="P560" s="7">
        <f t="shared" si="51"/>
        <v>0.84111765592535559</v>
      </c>
      <c r="Q560" s="7">
        <f t="shared" si="52"/>
        <v>7518.9111111111115</v>
      </c>
      <c r="R560">
        <f t="shared" si="53"/>
        <v>2.48600581005245</v>
      </c>
    </row>
    <row r="561" spans="1:18" x14ac:dyDescent="0.25">
      <c r="A561" t="s">
        <v>347</v>
      </c>
      <c r="B561" t="s">
        <v>348</v>
      </c>
      <c r="C561" t="s">
        <v>5</v>
      </c>
      <c r="D561">
        <v>91711</v>
      </c>
      <c r="E561" s="1">
        <v>44469</v>
      </c>
      <c r="F561" s="2">
        <f t="shared" si="48"/>
        <v>2021</v>
      </c>
      <c r="G561">
        <v>48</v>
      </c>
      <c r="H561" s="3">
        <v>324319</v>
      </c>
      <c r="I561">
        <v>48633</v>
      </c>
      <c r="J561">
        <v>324319</v>
      </c>
      <c r="K561">
        <v>268372</v>
      </c>
      <c r="L561">
        <v>231977</v>
      </c>
      <c r="M561" t="str">
        <f t="shared" si="49"/>
        <v>Medium</v>
      </c>
      <c r="N561">
        <f>VLOOKUP(C561,Lookup!$A$2:$D$5,MATCH(M561,Lookup!$A$1:$D$1,0),FALSE)</f>
        <v>0.09</v>
      </c>
      <c r="O561">
        <f t="shared" si="50"/>
        <v>20877.93</v>
      </c>
      <c r="P561" s="7">
        <f t="shared" si="51"/>
        <v>0.82749391802515426</v>
      </c>
      <c r="Q561" s="7">
        <f t="shared" si="52"/>
        <v>6756.645833333333</v>
      </c>
      <c r="R561">
        <f t="shared" si="53"/>
        <v>2.3293975983251212</v>
      </c>
    </row>
    <row r="562" spans="1:18" x14ac:dyDescent="0.25">
      <c r="A562" t="s">
        <v>349</v>
      </c>
      <c r="B562" t="s">
        <v>350</v>
      </c>
      <c r="C562" t="s">
        <v>17</v>
      </c>
      <c r="D562">
        <v>11421</v>
      </c>
      <c r="E562" s="1">
        <v>43738</v>
      </c>
      <c r="F562" s="2">
        <f t="shared" si="48"/>
        <v>2019</v>
      </c>
      <c r="G562">
        <v>56</v>
      </c>
      <c r="H562" s="3">
        <v>175640</v>
      </c>
      <c r="I562">
        <v>36239</v>
      </c>
      <c r="J562">
        <v>175640</v>
      </c>
      <c r="K562">
        <v>159447</v>
      </c>
      <c r="L562">
        <v>158126</v>
      </c>
      <c r="M562" t="str">
        <f t="shared" si="49"/>
        <v>Medium</v>
      </c>
      <c r="N562">
        <f>VLOOKUP(C562,Lookup!$A$2:$D$5,MATCH(M562,Lookup!$A$1:$D$1,0),FALSE)</f>
        <v>8.5000000000000006E-2</v>
      </c>
      <c r="O562">
        <f t="shared" si="50"/>
        <v>13440.710000000001</v>
      </c>
      <c r="P562" s="7">
        <f t="shared" si="51"/>
        <v>0.90780573901161465</v>
      </c>
      <c r="Q562" s="7">
        <f t="shared" si="52"/>
        <v>3136.4285714285716</v>
      </c>
      <c r="R562">
        <f t="shared" si="53"/>
        <v>2.6962117328623263</v>
      </c>
    </row>
    <row r="563" spans="1:18" x14ac:dyDescent="0.25">
      <c r="A563" t="s">
        <v>349</v>
      </c>
      <c r="B563" t="s">
        <v>350</v>
      </c>
      <c r="C563" t="s">
        <v>17</v>
      </c>
      <c r="D563">
        <v>11421</v>
      </c>
      <c r="E563" s="1">
        <v>44104</v>
      </c>
      <c r="F563" s="2">
        <f t="shared" si="48"/>
        <v>2020</v>
      </c>
      <c r="G563">
        <v>68</v>
      </c>
      <c r="H563" s="3">
        <v>380731</v>
      </c>
      <c r="I563">
        <v>107727</v>
      </c>
      <c r="J563">
        <v>380731</v>
      </c>
      <c r="K563">
        <v>354372</v>
      </c>
      <c r="L563">
        <v>212573</v>
      </c>
      <c r="M563" t="str">
        <f t="shared" si="49"/>
        <v>Medium</v>
      </c>
      <c r="N563">
        <f>VLOOKUP(C563,Lookup!$A$2:$D$5,MATCH(M563,Lookup!$A$1:$D$1,0),FALSE)</f>
        <v>8.5000000000000006E-2</v>
      </c>
      <c r="O563">
        <f t="shared" si="50"/>
        <v>18068.705000000002</v>
      </c>
      <c r="P563" s="7">
        <f t="shared" si="51"/>
        <v>0.93076739220079263</v>
      </c>
      <c r="Q563" s="7">
        <f t="shared" si="52"/>
        <v>5598.9852941176468</v>
      </c>
      <c r="R563">
        <f t="shared" si="53"/>
        <v>5.9620764188689774</v>
      </c>
    </row>
    <row r="564" spans="1:18" x14ac:dyDescent="0.25">
      <c r="A564" t="s">
        <v>349</v>
      </c>
      <c r="B564" t="s">
        <v>350</v>
      </c>
      <c r="C564" t="s">
        <v>17</v>
      </c>
      <c r="D564">
        <v>11421</v>
      </c>
      <c r="E564" s="1">
        <v>44469</v>
      </c>
      <c r="F564" s="2">
        <f t="shared" si="48"/>
        <v>2021</v>
      </c>
      <c r="G564">
        <v>81</v>
      </c>
      <c r="H564" s="3">
        <v>624676</v>
      </c>
      <c r="I564">
        <v>246866</v>
      </c>
      <c r="J564">
        <v>624676</v>
      </c>
      <c r="K564">
        <v>588649</v>
      </c>
      <c r="L564">
        <v>312995</v>
      </c>
      <c r="M564" t="str">
        <f t="shared" si="49"/>
        <v>Medium</v>
      </c>
      <c r="N564">
        <f>VLOOKUP(C564,Lookup!$A$2:$D$5,MATCH(M564,Lookup!$A$1:$D$1,0),FALSE)</f>
        <v>8.5000000000000006E-2</v>
      </c>
      <c r="O564">
        <f t="shared" si="50"/>
        <v>26604.575000000001</v>
      </c>
      <c r="P564" s="7">
        <f t="shared" si="51"/>
        <v>0.9423269022661348</v>
      </c>
      <c r="Q564" s="7">
        <f t="shared" si="52"/>
        <v>7712.049382716049</v>
      </c>
      <c r="R564">
        <f t="shared" si="53"/>
        <v>9.2790807596061953</v>
      </c>
    </row>
    <row r="565" spans="1:18" x14ac:dyDescent="0.25">
      <c r="A565" t="s">
        <v>351</v>
      </c>
      <c r="B565" t="s">
        <v>352</v>
      </c>
      <c r="C565" t="s">
        <v>8</v>
      </c>
      <c r="D565">
        <v>62864</v>
      </c>
      <c r="E565" s="1">
        <v>43738</v>
      </c>
      <c r="F565" s="2">
        <f t="shared" si="48"/>
        <v>2019</v>
      </c>
      <c r="G565">
        <v>46</v>
      </c>
      <c r="H565" s="3">
        <v>203408</v>
      </c>
      <c r="I565">
        <v>9791</v>
      </c>
      <c r="J565">
        <v>203408</v>
      </c>
      <c r="K565">
        <v>183788</v>
      </c>
      <c r="L565">
        <v>181728</v>
      </c>
      <c r="M565" t="str">
        <f t="shared" si="49"/>
        <v>Medium</v>
      </c>
      <c r="N565">
        <f>VLOOKUP(C565,Lookup!$A$2:$D$5,MATCH(M565,Lookup!$A$1:$D$1,0),FALSE)</f>
        <v>0.08</v>
      </c>
      <c r="O565">
        <f t="shared" si="50"/>
        <v>14538.24</v>
      </c>
      <c r="P565" s="7">
        <f t="shared" si="51"/>
        <v>0.9035436167702352</v>
      </c>
      <c r="Q565" s="7">
        <f t="shared" si="52"/>
        <v>4421.913043478261</v>
      </c>
      <c r="R565">
        <f t="shared" si="53"/>
        <v>0.67346528878323653</v>
      </c>
    </row>
    <row r="566" spans="1:18" x14ac:dyDescent="0.25">
      <c r="A566" t="s">
        <v>351</v>
      </c>
      <c r="B566" t="s">
        <v>352</v>
      </c>
      <c r="C566" t="s">
        <v>8</v>
      </c>
      <c r="D566">
        <v>62864</v>
      </c>
      <c r="E566" s="1">
        <v>44104</v>
      </c>
      <c r="F566" s="2">
        <f t="shared" si="48"/>
        <v>2020</v>
      </c>
      <c r="G566">
        <v>44</v>
      </c>
      <c r="H566" s="3">
        <v>251314</v>
      </c>
      <c r="I566">
        <v>9374</v>
      </c>
      <c r="J566">
        <v>251314</v>
      </c>
      <c r="K566">
        <v>227798</v>
      </c>
      <c r="L566">
        <v>217421</v>
      </c>
      <c r="M566" t="str">
        <f t="shared" si="49"/>
        <v>Medium</v>
      </c>
      <c r="N566">
        <f>VLOOKUP(C566,Lookup!$A$2:$D$5,MATCH(M566,Lookup!$A$1:$D$1,0),FALSE)</f>
        <v>0.08</v>
      </c>
      <c r="O566">
        <f t="shared" si="50"/>
        <v>17393.68</v>
      </c>
      <c r="P566" s="7">
        <f t="shared" si="51"/>
        <v>0.90642781540224582</v>
      </c>
      <c r="Q566" s="7">
        <f t="shared" si="52"/>
        <v>5711.681818181818</v>
      </c>
      <c r="R566">
        <f t="shared" si="53"/>
        <v>0.53893138197322243</v>
      </c>
    </row>
    <row r="567" spans="1:18" x14ac:dyDescent="0.25">
      <c r="A567" t="s">
        <v>351</v>
      </c>
      <c r="B567" t="s">
        <v>352</v>
      </c>
      <c r="C567" t="s">
        <v>8</v>
      </c>
      <c r="D567">
        <v>62864</v>
      </c>
      <c r="E567" s="1">
        <v>44469</v>
      </c>
      <c r="F567" s="2">
        <f t="shared" si="48"/>
        <v>2021</v>
      </c>
      <c r="G567">
        <v>43</v>
      </c>
      <c r="H567" s="3">
        <v>242649</v>
      </c>
      <c r="I567">
        <v>37967</v>
      </c>
      <c r="J567">
        <v>242649</v>
      </c>
      <c r="K567">
        <v>216753</v>
      </c>
      <c r="L567">
        <v>207229</v>
      </c>
      <c r="M567" t="str">
        <f t="shared" si="49"/>
        <v>Medium</v>
      </c>
      <c r="N567">
        <f>VLOOKUP(C567,Lookup!$A$2:$D$5,MATCH(M567,Lookup!$A$1:$D$1,0),FALSE)</f>
        <v>0.08</v>
      </c>
      <c r="O567">
        <f t="shared" si="50"/>
        <v>16578.32</v>
      </c>
      <c r="P567" s="7">
        <f t="shared" si="51"/>
        <v>0.89327794468553345</v>
      </c>
      <c r="Q567" s="7">
        <f t="shared" si="52"/>
        <v>5643</v>
      </c>
      <c r="R567">
        <f t="shared" si="53"/>
        <v>2.2901596784233869</v>
      </c>
    </row>
    <row r="568" spans="1:18" x14ac:dyDescent="0.25">
      <c r="A568" t="s">
        <v>353</v>
      </c>
      <c r="B568" t="s">
        <v>354</v>
      </c>
      <c r="C568" t="s">
        <v>8</v>
      </c>
      <c r="D568">
        <v>61462</v>
      </c>
      <c r="E568" s="1">
        <v>43738</v>
      </c>
      <c r="F568" s="2">
        <f t="shared" si="48"/>
        <v>2019</v>
      </c>
      <c r="G568">
        <v>13</v>
      </c>
      <c r="H568" s="3">
        <v>40966</v>
      </c>
      <c r="I568">
        <v>7101</v>
      </c>
      <c r="J568">
        <v>40966</v>
      </c>
      <c r="K568">
        <v>34924</v>
      </c>
      <c r="L568">
        <v>34455</v>
      </c>
      <c r="M568" t="str">
        <f t="shared" si="49"/>
        <v>Small</v>
      </c>
      <c r="N568">
        <f>VLOOKUP(C568,Lookup!$A$2:$D$5,MATCH(M568,Lookup!$A$1:$D$1,0),FALSE)</f>
        <v>0.09</v>
      </c>
      <c r="O568">
        <f t="shared" si="50"/>
        <v>3100.95</v>
      </c>
      <c r="P568" s="7">
        <f t="shared" si="51"/>
        <v>0.85251183908607142</v>
      </c>
      <c r="Q568" s="7">
        <f t="shared" si="52"/>
        <v>3151.2307692307691</v>
      </c>
      <c r="R568">
        <f t="shared" si="53"/>
        <v>2.2899434044405749</v>
      </c>
    </row>
    <row r="569" spans="1:18" x14ac:dyDescent="0.25">
      <c r="A569" t="s">
        <v>353</v>
      </c>
      <c r="B569" t="s">
        <v>354</v>
      </c>
      <c r="C569" t="s">
        <v>8</v>
      </c>
      <c r="D569">
        <v>61462</v>
      </c>
      <c r="E569" s="1">
        <v>44104</v>
      </c>
      <c r="F569" s="2">
        <f t="shared" si="48"/>
        <v>2020</v>
      </c>
      <c r="G569">
        <v>12</v>
      </c>
      <c r="H569" s="3">
        <v>44160</v>
      </c>
      <c r="I569">
        <v>9938</v>
      </c>
      <c r="J569">
        <v>44160</v>
      </c>
      <c r="K569">
        <v>37853</v>
      </c>
      <c r="L569">
        <v>37203</v>
      </c>
      <c r="M569" t="str">
        <f t="shared" si="49"/>
        <v>Small</v>
      </c>
      <c r="N569">
        <f>VLOOKUP(C569,Lookup!$A$2:$D$5,MATCH(M569,Lookup!$A$1:$D$1,0),FALSE)</f>
        <v>0.09</v>
      </c>
      <c r="O569">
        <f t="shared" si="50"/>
        <v>3348.27</v>
      </c>
      <c r="P569" s="7">
        <f t="shared" si="51"/>
        <v>0.85717844202898552</v>
      </c>
      <c r="Q569" s="7">
        <f t="shared" si="52"/>
        <v>3680</v>
      </c>
      <c r="R569">
        <f t="shared" si="53"/>
        <v>2.9680999441502629</v>
      </c>
    </row>
    <row r="570" spans="1:18" x14ac:dyDescent="0.25">
      <c r="A570" t="s">
        <v>353</v>
      </c>
      <c r="B570" t="s">
        <v>354</v>
      </c>
      <c r="C570" t="s">
        <v>8</v>
      </c>
      <c r="D570">
        <v>61462</v>
      </c>
      <c r="E570" s="1">
        <v>44469</v>
      </c>
      <c r="F570" s="2">
        <f t="shared" si="48"/>
        <v>2021</v>
      </c>
      <c r="G570">
        <v>10</v>
      </c>
      <c r="H570" s="3">
        <v>49543</v>
      </c>
      <c r="I570">
        <v>10617</v>
      </c>
      <c r="J570">
        <v>49543</v>
      </c>
      <c r="K570">
        <v>43045</v>
      </c>
      <c r="L570">
        <v>42481</v>
      </c>
      <c r="M570" t="str">
        <f t="shared" si="49"/>
        <v>Small</v>
      </c>
      <c r="N570">
        <f>VLOOKUP(C570,Lookup!$A$2:$D$5,MATCH(M570,Lookup!$A$1:$D$1,0),FALSE)</f>
        <v>0.09</v>
      </c>
      <c r="O570">
        <f t="shared" si="50"/>
        <v>3823.29</v>
      </c>
      <c r="P570" s="7">
        <f t="shared" si="51"/>
        <v>0.86884120864703385</v>
      </c>
      <c r="Q570" s="7">
        <f t="shared" si="52"/>
        <v>4954.3</v>
      </c>
      <c r="R570">
        <f t="shared" si="53"/>
        <v>2.7769277245513679</v>
      </c>
    </row>
    <row r="571" spans="1:18" x14ac:dyDescent="0.25">
      <c r="A571" t="s">
        <v>355</v>
      </c>
      <c r="B571" t="s">
        <v>356</v>
      </c>
      <c r="C571" t="s">
        <v>8</v>
      </c>
      <c r="D571">
        <v>62881</v>
      </c>
      <c r="E571" s="1">
        <v>43738</v>
      </c>
      <c r="F571" s="2">
        <f t="shared" si="48"/>
        <v>2019</v>
      </c>
      <c r="G571">
        <v>50</v>
      </c>
      <c r="H571" s="3">
        <v>202847</v>
      </c>
      <c r="I571">
        <v>25915</v>
      </c>
      <c r="J571">
        <v>202847</v>
      </c>
      <c r="K571">
        <v>179111</v>
      </c>
      <c r="L571">
        <v>167796</v>
      </c>
      <c r="M571" t="str">
        <f t="shared" si="49"/>
        <v>Medium</v>
      </c>
      <c r="N571">
        <f>VLOOKUP(C571,Lookup!$A$2:$D$5,MATCH(M571,Lookup!$A$1:$D$1,0),FALSE)</f>
        <v>0.08</v>
      </c>
      <c r="O571">
        <f t="shared" si="50"/>
        <v>13423.68</v>
      </c>
      <c r="P571" s="7">
        <f t="shared" si="51"/>
        <v>0.88298569858070364</v>
      </c>
      <c r="Q571" s="7">
        <f t="shared" si="52"/>
        <v>4056.94</v>
      </c>
      <c r="R571">
        <f t="shared" si="53"/>
        <v>1.9305436363202937</v>
      </c>
    </row>
    <row r="572" spans="1:18" x14ac:dyDescent="0.25">
      <c r="A572" t="s">
        <v>355</v>
      </c>
      <c r="B572" t="s">
        <v>356</v>
      </c>
      <c r="C572" t="s">
        <v>8</v>
      </c>
      <c r="D572">
        <v>62881</v>
      </c>
      <c r="E572" s="1">
        <v>44104</v>
      </c>
      <c r="F572" s="2">
        <f t="shared" si="48"/>
        <v>2020</v>
      </c>
      <c r="G572">
        <v>53</v>
      </c>
      <c r="H572" s="3">
        <v>223649</v>
      </c>
      <c r="I572">
        <v>20563</v>
      </c>
      <c r="J572">
        <v>223649</v>
      </c>
      <c r="K572">
        <v>198101</v>
      </c>
      <c r="L572">
        <v>178724</v>
      </c>
      <c r="M572" t="str">
        <f t="shared" si="49"/>
        <v>Medium</v>
      </c>
      <c r="N572">
        <f>VLOOKUP(C572,Lookup!$A$2:$D$5,MATCH(M572,Lookup!$A$1:$D$1,0),FALSE)</f>
        <v>0.08</v>
      </c>
      <c r="O572">
        <f t="shared" si="50"/>
        <v>14297.92</v>
      </c>
      <c r="P572" s="7">
        <f t="shared" si="51"/>
        <v>0.88576743021430904</v>
      </c>
      <c r="Q572" s="7">
        <f t="shared" si="52"/>
        <v>4219.7924528301883</v>
      </c>
      <c r="R572">
        <f t="shared" si="53"/>
        <v>1.4381812179673688</v>
      </c>
    </row>
    <row r="573" spans="1:18" x14ac:dyDescent="0.25">
      <c r="A573" t="s">
        <v>355</v>
      </c>
      <c r="B573" t="s">
        <v>356</v>
      </c>
      <c r="C573" t="s">
        <v>8</v>
      </c>
      <c r="D573">
        <v>62881</v>
      </c>
      <c r="E573" s="1">
        <v>44469</v>
      </c>
      <c r="F573" s="2">
        <f t="shared" si="48"/>
        <v>2021</v>
      </c>
      <c r="G573">
        <v>51</v>
      </c>
      <c r="H573" s="3">
        <v>234496</v>
      </c>
      <c r="I573">
        <v>22070</v>
      </c>
      <c r="J573">
        <v>234496</v>
      </c>
      <c r="K573">
        <v>208361</v>
      </c>
      <c r="L573">
        <v>189983</v>
      </c>
      <c r="M573" t="str">
        <f t="shared" si="49"/>
        <v>Medium</v>
      </c>
      <c r="N573">
        <f>VLOOKUP(C573,Lookup!$A$2:$D$5,MATCH(M573,Lookup!$A$1:$D$1,0),FALSE)</f>
        <v>0.08</v>
      </c>
      <c r="O573">
        <f t="shared" si="50"/>
        <v>15198.64</v>
      </c>
      <c r="P573" s="7">
        <f t="shared" si="51"/>
        <v>0.88854820551310043</v>
      </c>
      <c r="Q573" s="7">
        <f t="shared" si="52"/>
        <v>4597.9607843137255</v>
      </c>
      <c r="R573">
        <f t="shared" si="53"/>
        <v>1.4521036092703032</v>
      </c>
    </row>
    <row r="574" spans="1:18" x14ac:dyDescent="0.25">
      <c r="A574" t="s">
        <v>357</v>
      </c>
      <c r="B574" t="s">
        <v>28</v>
      </c>
      <c r="C574" t="s">
        <v>8</v>
      </c>
      <c r="D574">
        <v>60641</v>
      </c>
      <c r="E574" s="1">
        <v>43738</v>
      </c>
      <c r="F574" s="2">
        <f t="shared" si="48"/>
        <v>2019</v>
      </c>
      <c r="G574">
        <v>62</v>
      </c>
      <c r="H574" s="3">
        <v>396440</v>
      </c>
      <c r="I574">
        <v>20495</v>
      </c>
      <c r="J574">
        <v>396440</v>
      </c>
      <c r="K574">
        <v>331009</v>
      </c>
      <c r="L574">
        <v>329111</v>
      </c>
      <c r="M574" t="str">
        <f t="shared" si="49"/>
        <v>Medium</v>
      </c>
      <c r="N574">
        <f>VLOOKUP(C574,Lookup!$A$2:$D$5,MATCH(M574,Lookup!$A$1:$D$1,0),FALSE)</f>
        <v>0.08</v>
      </c>
      <c r="O574">
        <f t="shared" si="50"/>
        <v>26328.880000000001</v>
      </c>
      <c r="P574" s="7">
        <f t="shared" si="51"/>
        <v>0.83495358692362021</v>
      </c>
      <c r="Q574" s="7">
        <f t="shared" si="52"/>
        <v>6394.1935483870966</v>
      </c>
      <c r="R574">
        <f t="shared" si="53"/>
        <v>0.77842278137163445</v>
      </c>
    </row>
    <row r="575" spans="1:18" x14ac:dyDescent="0.25">
      <c r="A575" t="s">
        <v>357</v>
      </c>
      <c r="B575" t="s">
        <v>28</v>
      </c>
      <c r="C575" t="s">
        <v>8</v>
      </c>
      <c r="D575">
        <v>60641</v>
      </c>
      <c r="E575" s="1">
        <v>44104</v>
      </c>
      <c r="F575" s="2">
        <f t="shared" si="48"/>
        <v>2020</v>
      </c>
      <c r="G575">
        <v>60</v>
      </c>
      <c r="H575" s="3">
        <v>425591</v>
      </c>
      <c r="I575">
        <v>31318</v>
      </c>
      <c r="J575">
        <v>425591</v>
      </c>
      <c r="K575">
        <v>358794</v>
      </c>
      <c r="L575">
        <v>352524</v>
      </c>
      <c r="M575" t="str">
        <f t="shared" si="49"/>
        <v>Medium</v>
      </c>
      <c r="N575">
        <f>VLOOKUP(C575,Lookup!$A$2:$D$5,MATCH(M575,Lookup!$A$1:$D$1,0),FALSE)</f>
        <v>0.08</v>
      </c>
      <c r="O575">
        <f t="shared" si="50"/>
        <v>28201.920000000002</v>
      </c>
      <c r="P575" s="7">
        <f t="shared" si="51"/>
        <v>0.84304884266819557</v>
      </c>
      <c r="Q575" s="7">
        <f t="shared" si="52"/>
        <v>7093.1833333333334</v>
      </c>
      <c r="R575">
        <f t="shared" si="53"/>
        <v>1.1104917679363673</v>
      </c>
    </row>
    <row r="576" spans="1:18" x14ac:dyDescent="0.25">
      <c r="A576" t="s">
        <v>357</v>
      </c>
      <c r="B576" t="s">
        <v>28</v>
      </c>
      <c r="C576" t="s">
        <v>8</v>
      </c>
      <c r="D576">
        <v>60641</v>
      </c>
      <c r="E576" s="1">
        <v>44469</v>
      </c>
      <c r="F576" s="2">
        <f t="shared" si="48"/>
        <v>2021</v>
      </c>
      <c r="G576">
        <v>60</v>
      </c>
      <c r="H576" s="3">
        <v>448396</v>
      </c>
      <c r="I576">
        <v>19557</v>
      </c>
      <c r="J576">
        <v>448396</v>
      </c>
      <c r="K576">
        <v>383964</v>
      </c>
      <c r="L576">
        <v>377387</v>
      </c>
      <c r="M576" t="str">
        <f t="shared" si="49"/>
        <v>Medium</v>
      </c>
      <c r="N576">
        <f>VLOOKUP(C576,Lookup!$A$2:$D$5,MATCH(M576,Lookup!$A$1:$D$1,0),FALSE)</f>
        <v>0.08</v>
      </c>
      <c r="O576">
        <f t="shared" si="50"/>
        <v>30190.959999999999</v>
      </c>
      <c r="P576" s="7">
        <f t="shared" si="51"/>
        <v>0.85630558702575399</v>
      </c>
      <c r="Q576" s="7">
        <f t="shared" si="52"/>
        <v>7473.2666666666664</v>
      </c>
      <c r="R576">
        <f t="shared" si="53"/>
        <v>0.64777668547141265</v>
      </c>
    </row>
    <row r="577" spans="1:18" x14ac:dyDescent="0.25">
      <c r="A577" t="s">
        <v>358</v>
      </c>
      <c r="B577" t="s">
        <v>359</v>
      </c>
      <c r="C577" t="s">
        <v>8</v>
      </c>
      <c r="D577">
        <v>61434</v>
      </c>
      <c r="E577" s="1">
        <v>43738</v>
      </c>
      <c r="F577" s="2">
        <f t="shared" si="48"/>
        <v>2019</v>
      </c>
      <c r="G577">
        <v>46</v>
      </c>
      <c r="H577" s="3">
        <v>237261</v>
      </c>
      <c r="I577">
        <v>6652</v>
      </c>
      <c r="J577">
        <v>237261</v>
      </c>
      <c r="K577">
        <v>211352</v>
      </c>
      <c r="L577">
        <v>210369</v>
      </c>
      <c r="M577" t="str">
        <f t="shared" si="49"/>
        <v>Medium</v>
      </c>
      <c r="N577">
        <f>VLOOKUP(C577,Lookup!$A$2:$D$5,MATCH(M577,Lookup!$A$1:$D$1,0),FALSE)</f>
        <v>0.08</v>
      </c>
      <c r="O577">
        <f t="shared" si="50"/>
        <v>16829.52</v>
      </c>
      <c r="P577" s="7">
        <f t="shared" si="51"/>
        <v>0.8907995835809509</v>
      </c>
      <c r="Q577" s="7">
        <f t="shared" si="52"/>
        <v>5157.847826086957</v>
      </c>
      <c r="R577">
        <f t="shared" si="53"/>
        <v>0.3952578564332197</v>
      </c>
    </row>
    <row r="578" spans="1:18" x14ac:dyDescent="0.25">
      <c r="A578" t="s">
        <v>358</v>
      </c>
      <c r="B578" t="s">
        <v>359</v>
      </c>
      <c r="C578" t="s">
        <v>8</v>
      </c>
      <c r="D578">
        <v>61434</v>
      </c>
      <c r="E578" s="1">
        <v>44104</v>
      </c>
      <c r="F578" s="2">
        <f t="shared" ref="F578:F641" si="54">YEAR(E578)</f>
        <v>2020</v>
      </c>
      <c r="G578">
        <v>44</v>
      </c>
      <c r="H578" s="3">
        <v>260736</v>
      </c>
      <c r="I578">
        <v>10597</v>
      </c>
      <c r="J578">
        <v>260736</v>
      </c>
      <c r="K578">
        <v>234222</v>
      </c>
      <c r="L578">
        <v>215194</v>
      </c>
      <c r="M578" t="str">
        <f t="shared" ref="M578:M641" si="55">IF(H578&gt;1000000,"Large",IF(H578&lt;100000,"Small","Medium"))</f>
        <v>Medium</v>
      </c>
      <c r="N578">
        <f>VLOOKUP(C578,Lookup!$A$2:$D$5,MATCH(M578,Lookup!$A$1:$D$1,0),FALSE)</f>
        <v>0.08</v>
      </c>
      <c r="O578">
        <f t="shared" ref="O578:O641" si="56">L578*N578</f>
        <v>17215.52</v>
      </c>
      <c r="P578" s="7">
        <f t="shared" ref="P578:P641" si="57">K578/H578</f>
        <v>0.89831093519882177</v>
      </c>
      <c r="Q578" s="7">
        <f t="shared" ref="Q578:Q641" si="58">H578/G578</f>
        <v>5925.818181818182</v>
      </c>
      <c r="R578">
        <f t="shared" ref="R578:R641" si="59">I578/O578</f>
        <v>0.61554922535014911</v>
      </c>
    </row>
    <row r="579" spans="1:18" x14ac:dyDescent="0.25">
      <c r="A579" t="s">
        <v>358</v>
      </c>
      <c r="B579" t="s">
        <v>359</v>
      </c>
      <c r="C579" t="s">
        <v>8</v>
      </c>
      <c r="D579">
        <v>61434</v>
      </c>
      <c r="E579" s="1">
        <v>44469</v>
      </c>
      <c r="F579" s="2">
        <f t="shared" si="54"/>
        <v>2021</v>
      </c>
      <c r="G579">
        <v>46</v>
      </c>
      <c r="H579" s="3">
        <v>264728</v>
      </c>
      <c r="I579">
        <v>18267</v>
      </c>
      <c r="J579">
        <v>264728</v>
      </c>
      <c r="K579">
        <v>237006</v>
      </c>
      <c r="L579">
        <v>231086</v>
      </c>
      <c r="M579" t="str">
        <f t="shared" si="55"/>
        <v>Medium</v>
      </c>
      <c r="N579">
        <f>VLOOKUP(C579,Lookup!$A$2:$D$5,MATCH(M579,Lookup!$A$1:$D$1,0),FALSE)</f>
        <v>0.08</v>
      </c>
      <c r="O579">
        <f t="shared" si="56"/>
        <v>18486.88</v>
      </c>
      <c r="P579" s="7">
        <f t="shared" si="57"/>
        <v>0.89528119428243325</v>
      </c>
      <c r="Q579" s="7">
        <f t="shared" si="58"/>
        <v>5754.95652173913</v>
      </c>
      <c r="R579">
        <f t="shared" si="59"/>
        <v>0.98810615961157311</v>
      </c>
    </row>
    <row r="580" spans="1:18" x14ac:dyDescent="0.25">
      <c r="A580" t="s">
        <v>360</v>
      </c>
      <c r="B580" t="s">
        <v>361</v>
      </c>
      <c r="C580" t="s">
        <v>8</v>
      </c>
      <c r="D580">
        <v>61071</v>
      </c>
      <c r="E580" s="1">
        <v>43738</v>
      </c>
      <c r="F580" s="2">
        <f t="shared" si="54"/>
        <v>2019</v>
      </c>
      <c r="G580">
        <v>55</v>
      </c>
      <c r="H580" s="3">
        <v>263471</v>
      </c>
      <c r="I580">
        <v>22859</v>
      </c>
      <c r="J580">
        <v>263471</v>
      </c>
      <c r="K580">
        <v>235182</v>
      </c>
      <c r="L580">
        <v>233778</v>
      </c>
      <c r="M580" t="str">
        <f t="shared" si="55"/>
        <v>Medium</v>
      </c>
      <c r="N580">
        <f>VLOOKUP(C580,Lookup!$A$2:$D$5,MATCH(M580,Lookup!$A$1:$D$1,0),FALSE)</f>
        <v>0.08</v>
      </c>
      <c r="O580">
        <f t="shared" si="56"/>
        <v>18702.240000000002</v>
      </c>
      <c r="P580" s="7">
        <f t="shared" si="57"/>
        <v>0.89262954936216887</v>
      </c>
      <c r="Q580" s="7">
        <f t="shared" si="58"/>
        <v>4790.3818181818178</v>
      </c>
      <c r="R580">
        <f t="shared" si="59"/>
        <v>1.2222600073574073</v>
      </c>
    </row>
    <row r="581" spans="1:18" x14ac:dyDescent="0.25">
      <c r="A581" t="s">
        <v>360</v>
      </c>
      <c r="B581" t="s">
        <v>361</v>
      </c>
      <c r="C581" t="s">
        <v>8</v>
      </c>
      <c r="D581">
        <v>61071</v>
      </c>
      <c r="E581" s="1">
        <v>44104</v>
      </c>
      <c r="F581" s="2">
        <f t="shared" si="54"/>
        <v>2020</v>
      </c>
      <c r="G581">
        <v>55</v>
      </c>
      <c r="H581" s="3">
        <v>303272</v>
      </c>
      <c r="I581">
        <v>51147</v>
      </c>
      <c r="J581">
        <v>303272</v>
      </c>
      <c r="K581">
        <v>272603</v>
      </c>
      <c r="L581">
        <v>270737</v>
      </c>
      <c r="M581" t="str">
        <f t="shared" si="55"/>
        <v>Medium</v>
      </c>
      <c r="N581">
        <f>VLOOKUP(C581,Lookup!$A$2:$D$5,MATCH(M581,Lookup!$A$1:$D$1,0),FALSE)</f>
        <v>0.08</v>
      </c>
      <c r="O581">
        <f t="shared" si="56"/>
        <v>21658.959999999999</v>
      </c>
      <c r="P581" s="7">
        <f t="shared" si="57"/>
        <v>0.89887295892795904</v>
      </c>
      <c r="Q581" s="7">
        <f t="shared" si="58"/>
        <v>5514.0363636363636</v>
      </c>
      <c r="R581">
        <f t="shared" si="59"/>
        <v>2.3614707262029202</v>
      </c>
    </row>
    <row r="582" spans="1:18" x14ac:dyDescent="0.25">
      <c r="A582" t="s">
        <v>360</v>
      </c>
      <c r="B582" t="s">
        <v>361</v>
      </c>
      <c r="C582" t="s">
        <v>8</v>
      </c>
      <c r="D582">
        <v>61071</v>
      </c>
      <c r="E582" s="1">
        <v>44469</v>
      </c>
      <c r="F582" s="2">
        <f t="shared" si="54"/>
        <v>2021</v>
      </c>
      <c r="G582">
        <v>44</v>
      </c>
      <c r="H582" s="3">
        <v>328942</v>
      </c>
      <c r="I582">
        <v>33896</v>
      </c>
      <c r="J582">
        <v>328942</v>
      </c>
      <c r="K582">
        <v>296806</v>
      </c>
      <c r="L582">
        <v>295194</v>
      </c>
      <c r="M582" t="str">
        <f t="shared" si="55"/>
        <v>Medium</v>
      </c>
      <c r="N582">
        <f>VLOOKUP(C582,Lookup!$A$2:$D$5,MATCH(M582,Lookup!$A$1:$D$1,0),FALSE)</f>
        <v>0.08</v>
      </c>
      <c r="O582">
        <f t="shared" si="56"/>
        <v>23615.52</v>
      </c>
      <c r="P582" s="7">
        <f t="shared" si="57"/>
        <v>0.90230496561703888</v>
      </c>
      <c r="Q582" s="7">
        <f t="shared" si="58"/>
        <v>7475.954545454545</v>
      </c>
      <c r="R582">
        <f t="shared" si="59"/>
        <v>1.4353272762996538</v>
      </c>
    </row>
    <row r="583" spans="1:18" x14ac:dyDescent="0.25">
      <c r="A583" t="s">
        <v>362</v>
      </c>
      <c r="B583" t="s">
        <v>363</v>
      </c>
      <c r="C583" t="s">
        <v>8</v>
      </c>
      <c r="D583">
        <v>62848</v>
      </c>
      <c r="E583" s="1">
        <v>43738</v>
      </c>
      <c r="F583" s="2">
        <f t="shared" si="54"/>
        <v>2019</v>
      </c>
      <c r="G583">
        <v>23</v>
      </c>
      <c r="H583" s="3">
        <v>78175</v>
      </c>
      <c r="I583">
        <v>12888</v>
      </c>
      <c r="J583">
        <v>78175</v>
      </c>
      <c r="K583">
        <v>66592</v>
      </c>
      <c r="L583">
        <v>65834</v>
      </c>
      <c r="M583" t="str">
        <f t="shared" si="55"/>
        <v>Small</v>
      </c>
      <c r="N583">
        <f>VLOOKUP(C583,Lookup!$A$2:$D$5,MATCH(M583,Lookup!$A$1:$D$1,0),FALSE)</f>
        <v>0.09</v>
      </c>
      <c r="O583">
        <f t="shared" si="56"/>
        <v>5925.0599999999995</v>
      </c>
      <c r="P583" s="7">
        <f t="shared" si="57"/>
        <v>0.85183242724656216</v>
      </c>
      <c r="Q583" s="7">
        <f t="shared" si="58"/>
        <v>3398.913043478261</v>
      </c>
      <c r="R583">
        <f t="shared" si="59"/>
        <v>2.1751678464015556</v>
      </c>
    </row>
    <row r="584" spans="1:18" x14ac:dyDescent="0.25">
      <c r="A584" t="s">
        <v>362</v>
      </c>
      <c r="B584" t="s">
        <v>363</v>
      </c>
      <c r="C584" t="s">
        <v>8</v>
      </c>
      <c r="D584">
        <v>62848</v>
      </c>
      <c r="E584" s="1">
        <v>44104</v>
      </c>
      <c r="F584" s="2">
        <f t="shared" si="54"/>
        <v>2020</v>
      </c>
      <c r="G584">
        <v>22</v>
      </c>
      <c r="H584" s="3">
        <v>86927</v>
      </c>
      <c r="I584">
        <v>8927</v>
      </c>
      <c r="J584">
        <v>86927</v>
      </c>
      <c r="K584">
        <v>74477</v>
      </c>
      <c r="L584">
        <v>70503</v>
      </c>
      <c r="M584" t="str">
        <f t="shared" si="55"/>
        <v>Small</v>
      </c>
      <c r="N584">
        <f>VLOOKUP(C584,Lookup!$A$2:$D$5,MATCH(M584,Lookup!$A$1:$D$1,0),FALSE)</f>
        <v>0.09</v>
      </c>
      <c r="O584">
        <f t="shared" si="56"/>
        <v>6345.2699999999995</v>
      </c>
      <c r="P584" s="7">
        <f t="shared" si="57"/>
        <v>0.85677637557950925</v>
      </c>
      <c r="Q584" s="7">
        <f t="shared" si="58"/>
        <v>3951.2272727272725</v>
      </c>
      <c r="R584">
        <f t="shared" si="59"/>
        <v>1.4068747271589706</v>
      </c>
    </row>
    <row r="585" spans="1:18" x14ac:dyDescent="0.25">
      <c r="A585" t="s">
        <v>362</v>
      </c>
      <c r="B585" t="s">
        <v>363</v>
      </c>
      <c r="C585" t="s">
        <v>8</v>
      </c>
      <c r="D585">
        <v>62848</v>
      </c>
      <c r="E585" s="1">
        <v>44469</v>
      </c>
      <c r="F585" s="2">
        <f t="shared" si="54"/>
        <v>2021</v>
      </c>
      <c r="G585">
        <v>19</v>
      </c>
      <c r="H585" s="3">
        <v>97071</v>
      </c>
      <c r="I585">
        <v>17472</v>
      </c>
      <c r="J585">
        <v>97071</v>
      </c>
      <c r="K585">
        <v>84316</v>
      </c>
      <c r="L585">
        <v>83512</v>
      </c>
      <c r="M585" t="str">
        <f t="shared" si="55"/>
        <v>Small</v>
      </c>
      <c r="N585">
        <f>VLOOKUP(C585,Lookup!$A$2:$D$5,MATCH(M585,Lookup!$A$1:$D$1,0),FALSE)</f>
        <v>0.09</v>
      </c>
      <c r="O585">
        <f t="shared" si="56"/>
        <v>7516.08</v>
      </c>
      <c r="P585" s="7">
        <f t="shared" si="57"/>
        <v>0.86860133304488463</v>
      </c>
      <c r="Q585" s="7">
        <f t="shared" si="58"/>
        <v>5109</v>
      </c>
      <c r="R585">
        <f t="shared" si="59"/>
        <v>2.3246160232461603</v>
      </c>
    </row>
    <row r="586" spans="1:18" x14ac:dyDescent="0.25">
      <c r="A586" t="s">
        <v>364</v>
      </c>
      <c r="B586" t="s">
        <v>365</v>
      </c>
      <c r="C586" t="s">
        <v>5</v>
      </c>
      <c r="D586">
        <v>92244</v>
      </c>
      <c r="E586" s="1">
        <v>43738</v>
      </c>
      <c r="F586" s="2">
        <f t="shared" si="54"/>
        <v>2019</v>
      </c>
      <c r="G586">
        <v>41</v>
      </c>
      <c r="H586" s="3">
        <v>189590</v>
      </c>
      <c r="I586">
        <v>24316</v>
      </c>
      <c r="J586">
        <v>189590</v>
      </c>
      <c r="K586">
        <v>166862</v>
      </c>
      <c r="L586">
        <v>159180</v>
      </c>
      <c r="M586" t="str">
        <f t="shared" si="55"/>
        <v>Medium</v>
      </c>
      <c r="N586">
        <f>VLOOKUP(C586,Lookup!$A$2:$D$5,MATCH(M586,Lookup!$A$1:$D$1,0),FALSE)</f>
        <v>0.09</v>
      </c>
      <c r="O586">
        <f t="shared" si="56"/>
        <v>14326.199999999999</v>
      </c>
      <c r="P586" s="7">
        <f t="shared" si="57"/>
        <v>0.88012025950735795</v>
      </c>
      <c r="Q586" s="7">
        <f t="shared" si="58"/>
        <v>4624.1463414634145</v>
      </c>
      <c r="R586">
        <f t="shared" si="59"/>
        <v>1.6973098239589006</v>
      </c>
    </row>
    <row r="587" spans="1:18" x14ac:dyDescent="0.25">
      <c r="A587" t="s">
        <v>364</v>
      </c>
      <c r="B587" t="s">
        <v>365</v>
      </c>
      <c r="C587" t="s">
        <v>5</v>
      </c>
      <c r="D587">
        <v>92244</v>
      </c>
      <c r="E587" s="1">
        <v>44104</v>
      </c>
      <c r="F587" s="2">
        <f t="shared" si="54"/>
        <v>2020</v>
      </c>
      <c r="G587">
        <v>39</v>
      </c>
      <c r="H587" s="3">
        <v>251789</v>
      </c>
      <c r="I587">
        <v>33093</v>
      </c>
      <c r="J587">
        <v>251789</v>
      </c>
      <c r="K587">
        <v>226856</v>
      </c>
      <c r="L587">
        <v>205540</v>
      </c>
      <c r="M587" t="str">
        <f t="shared" si="55"/>
        <v>Medium</v>
      </c>
      <c r="N587">
        <f>VLOOKUP(C587,Lookup!$A$2:$D$5,MATCH(M587,Lookup!$A$1:$D$1,0),FALSE)</f>
        <v>0.09</v>
      </c>
      <c r="O587">
        <f t="shared" si="56"/>
        <v>18498.599999999999</v>
      </c>
      <c r="P587" s="7">
        <f t="shared" si="57"/>
        <v>0.90097661136904317</v>
      </c>
      <c r="Q587" s="7">
        <f t="shared" si="58"/>
        <v>6456.1282051282051</v>
      </c>
      <c r="R587">
        <f t="shared" si="59"/>
        <v>1.7889461905225261</v>
      </c>
    </row>
    <row r="588" spans="1:18" x14ac:dyDescent="0.25">
      <c r="A588" t="s">
        <v>364</v>
      </c>
      <c r="B588" t="s">
        <v>365</v>
      </c>
      <c r="C588" t="s">
        <v>5</v>
      </c>
      <c r="D588">
        <v>92244</v>
      </c>
      <c r="E588" s="1">
        <v>44469</v>
      </c>
      <c r="F588" s="2">
        <f t="shared" si="54"/>
        <v>2021</v>
      </c>
      <c r="G588">
        <v>41</v>
      </c>
      <c r="H588" s="3">
        <v>270619</v>
      </c>
      <c r="I588">
        <v>53064</v>
      </c>
      <c r="J588">
        <v>270619</v>
      </c>
      <c r="K588">
        <v>241316</v>
      </c>
      <c r="L588">
        <v>233836</v>
      </c>
      <c r="M588" t="str">
        <f t="shared" si="55"/>
        <v>Medium</v>
      </c>
      <c r="N588">
        <f>VLOOKUP(C588,Lookup!$A$2:$D$5,MATCH(M588,Lookup!$A$1:$D$1,0),FALSE)</f>
        <v>0.09</v>
      </c>
      <c r="O588">
        <f t="shared" si="56"/>
        <v>21045.239999999998</v>
      </c>
      <c r="P588" s="7">
        <f t="shared" si="57"/>
        <v>0.8917186154704585</v>
      </c>
      <c r="Q588" s="7">
        <f t="shared" si="58"/>
        <v>6600.4634146341459</v>
      </c>
      <c r="R588">
        <f t="shared" si="59"/>
        <v>2.5214252724131443</v>
      </c>
    </row>
    <row r="589" spans="1:18" x14ac:dyDescent="0.25">
      <c r="A589" t="s">
        <v>366</v>
      </c>
      <c r="B589" t="s">
        <v>367</v>
      </c>
      <c r="C589" t="s">
        <v>5</v>
      </c>
      <c r="D589">
        <v>93117</v>
      </c>
      <c r="E589" s="1">
        <v>43738</v>
      </c>
      <c r="F589" s="2">
        <f t="shared" si="54"/>
        <v>2019</v>
      </c>
      <c r="G589">
        <v>128</v>
      </c>
      <c r="H589" s="3">
        <v>903080</v>
      </c>
      <c r="I589">
        <v>56341</v>
      </c>
      <c r="J589">
        <v>903080</v>
      </c>
      <c r="K589">
        <v>824261</v>
      </c>
      <c r="L589">
        <v>762411</v>
      </c>
      <c r="M589" t="str">
        <f t="shared" si="55"/>
        <v>Medium</v>
      </c>
      <c r="N589">
        <f>VLOOKUP(C589,Lookup!$A$2:$D$5,MATCH(M589,Lookup!$A$1:$D$1,0),FALSE)</f>
        <v>0.09</v>
      </c>
      <c r="O589">
        <f t="shared" si="56"/>
        <v>68616.989999999991</v>
      </c>
      <c r="P589" s="7">
        <f t="shared" si="57"/>
        <v>0.91272201798290298</v>
      </c>
      <c r="Q589" s="7">
        <f t="shared" si="58"/>
        <v>7055.3125</v>
      </c>
      <c r="R589">
        <f t="shared" si="59"/>
        <v>0.82109401767696322</v>
      </c>
    </row>
    <row r="590" spans="1:18" x14ac:dyDescent="0.25">
      <c r="A590" t="s">
        <v>366</v>
      </c>
      <c r="B590" t="s">
        <v>367</v>
      </c>
      <c r="C590" t="s">
        <v>5</v>
      </c>
      <c r="D590">
        <v>93117</v>
      </c>
      <c r="E590" s="1">
        <v>44104</v>
      </c>
      <c r="F590" s="2">
        <f t="shared" si="54"/>
        <v>2020</v>
      </c>
      <c r="G590">
        <v>127</v>
      </c>
      <c r="H590" s="3">
        <v>1041943</v>
      </c>
      <c r="I590">
        <v>129562</v>
      </c>
      <c r="J590">
        <v>1041943</v>
      </c>
      <c r="K590">
        <v>955460</v>
      </c>
      <c r="L590">
        <v>759464</v>
      </c>
      <c r="M590" t="str">
        <f t="shared" si="55"/>
        <v>Large</v>
      </c>
      <c r="N590">
        <f>VLOOKUP(C590,Lookup!$A$2:$D$5,MATCH(M590,Lookup!$A$1:$D$1,0),FALSE)</f>
        <v>0.08</v>
      </c>
      <c r="O590">
        <f t="shared" si="56"/>
        <v>60757.120000000003</v>
      </c>
      <c r="P590" s="7">
        <f t="shared" si="57"/>
        <v>0.91699833868071479</v>
      </c>
      <c r="Q590" s="7">
        <f t="shared" si="58"/>
        <v>8204.2755905511804</v>
      </c>
      <c r="R590">
        <f t="shared" si="59"/>
        <v>2.1324578913549557</v>
      </c>
    </row>
    <row r="591" spans="1:18" x14ac:dyDescent="0.25">
      <c r="A591" t="s">
        <v>366</v>
      </c>
      <c r="B591" t="s">
        <v>367</v>
      </c>
      <c r="C591" t="s">
        <v>5</v>
      </c>
      <c r="D591">
        <v>93117</v>
      </c>
      <c r="E591" s="1">
        <v>44469</v>
      </c>
      <c r="F591" s="2">
        <f t="shared" si="54"/>
        <v>2021</v>
      </c>
      <c r="G591">
        <v>117</v>
      </c>
      <c r="H591" s="3">
        <v>1135454</v>
      </c>
      <c r="I591">
        <v>186933</v>
      </c>
      <c r="J591">
        <v>1135454</v>
      </c>
      <c r="K591">
        <v>1037381</v>
      </c>
      <c r="L591">
        <v>932392</v>
      </c>
      <c r="M591" t="str">
        <f t="shared" si="55"/>
        <v>Large</v>
      </c>
      <c r="N591">
        <f>VLOOKUP(C591,Lookup!$A$2:$D$5,MATCH(M591,Lookup!$A$1:$D$1,0),FALSE)</f>
        <v>0.08</v>
      </c>
      <c r="O591">
        <f t="shared" si="56"/>
        <v>74591.360000000001</v>
      </c>
      <c r="P591" s="7">
        <f t="shared" si="57"/>
        <v>0.91362661983664684</v>
      </c>
      <c r="Q591" s="7">
        <f t="shared" si="58"/>
        <v>9704.735042735043</v>
      </c>
      <c r="R591">
        <f t="shared" si="59"/>
        <v>2.5060945396356895</v>
      </c>
    </row>
    <row r="592" spans="1:18" x14ac:dyDescent="0.25">
      <c r="A592" t="s">
        <v>368</v>
      </c>
      <c r="B592" t="s">
        <v>369</v>
      </c>
      <c r="C592" t="s">
        <v>20</v>
      </c>
      <c r="D592">
        <v>1562</v>
      </c>
      <c r="E592" s="1">
        <v>43738</v>
      </c>
      <c r="F592" s="2">
        <f t="shared" si="54"/>
        <v>2019</v>
      </c>
      <c r="G592">
        <v>168</v>
      </c>
      <c r="H592" s="3">
        <v>1149873</v>
      </c>
      <c r="I592">
        <v>20952</v>
      </c>
      <c r="J592">
        <v>1149873</v>
      </c>
      <c r="K592">
        <v>1031315</v>
      </c>
      <c r="L592">
        <v>889611</v>
      </c>
      <c r="M592" t="str">
        <f t="shared" si="55"/>
        <v>Large</v>
      </c>
      <c r="N592">
        <f>VLOOKUP(C592,Lookup!$A$2:$D$5,MATCH(M592,Lookup!$A$1:$D$1,0),FALSE)</f>
        <v>0.08</v>
      </c>
      <c r="O592">
        <f t="shared" si="56"/>
        <v>71168.88</v>
      </c>
      <c r="P592" s="7">
        <f t="shared" si="57"/>
        <v>0.8968947005451906</v>
      </c>
      <c r="Q592" s="7">
        <f t="shared" si="58"/>
        <v>6844.4821428571431</v>
      </c>
      <c r="R592">
        <f t="shared" si="59"/>
        <v>0.29439833815004535</v>
      </c>
    </row>
    <row r="593" spans="1:18" x14ac:dyDescent="0.25">
      <c r="A593" t="s">
        <v>368</v>
      </c>
      <c r="B593" t="s">
        <v>369</v>
      </c>
      <c r="C593" t="s">
        <v>20</v>
      </c>
      <c r="D593">
        <v>1562</v>
      </c>
      <c r="E593" s="1">
        <v>44104</v>
      </c>
      <c r="F593" s="2">
        <f t="shared" si="54"/>
        <v>2020</v>
      </c>
      <c r="G593">
        <v>167</v>
      </c>
      <c r="H593" s="3">
        <v>1323911</v>
      </c>
      <c r="I593">
        <v>41138</v>
      </c>
      <c r="J593">
        <v>1323911</v>
      </c>
      <c r="K593">
        <v>1208328</v>
      </c>
      <c r="L593">
        <v>1069123</v>
      </c>
      <c r="M593" t="str">
        <f t="shared" si="55"/>
        <v>Large</v>
      </c>
      <c r="N593">
        <f>VLOOKUP(C593,Lookup!$A$2:$D$5,MATCH(M593,Lookup!$A$1:$D$1,0),FALSE)</f>
        <v>0.08</v>
      </c>
      <c r="O593">
        <f t="shared" si="56"/>
        <v>85529.84</v>
      </c>
      <c r="P593" s="7">
        <f t="shared" si="57"/>
        <v>0.91269579299514847</v>
      </c>
      <c r="Q593" s="7">
        <f t="shared" si="58"/>
        <v>7927.6107784431142</v>
      </c>
      <c r="R593">
        <f t="shared" si="59"/>
        <v>0.48097833457890254</v>
      </c>
    </row>
    <row r="594" spans="1:18" x14ac:dyDescent="0.25">
      <c r="A594" t="s">
        <v>368</v>
      </c>
      <c r="B594" t="s">
        <v>369</v>
      </c>
      <c r="C594" t="s">
        <v>20</v>
      </c>
      <c r="D594">
        <v>1562</v>
      </c>
      <c r="E594" s="1">
        <v>44469</v>
      </c>
      <c r="F594" s="2">
        <f t="shared" si="54"/>
        <v>2021</v>
      </c>
      <c r="G594">
        <v>168</v>
      </c>
      <c r="H594" s="3">
        <v>1420128</v>
      </c>
      <c r="I594">
        <v>108636</v>
      </c>
      <c r="J594">
        <v>1420128</v>
      </c>
      <c r="K594">
        <v>1298530</v>
      </c>
      <c r="L594">
        <v>1172490</v>
      </c>
      <c r="M594" t="str">
        <f t="shared" si="55"/>
        <v>Large</v>
      </c>
      <c r="N594">
        <f>VLOOKUP(C594,Lookup!$A$2:$D$5,MATCH(M594,Lookup!$A$1:$D$1,0),FALSE)</f>
        <v>0.08</v>
      </c>
      <c r="O594">
        <f t="shared" si="56"/>
        <v>93799.2</v>
      </c>
      <c r="P594" s="7">
        <f t="shared" si="57"/>
        <v>0.91437532391446408</v>
      </c>
      <c r="Q594" s="7">
        <f t="shared" si="58"/>
        <v>8453.1428571428569</v>
      </c>
      <c r="R594">
        <f t="shared" si="59"/>
        <v>1.1581761891359414</v>
      </c>
    </row>
    <row r="595" spans="1:18" x14ac:dyDescent="0.25">
      <c r="A595" t="s">
        <v>370</v>
      </c>
      <c r="B595" t="s">
        <v>371</v>
      </c>
      <c r="C595" t="s">
        <v>5</v>
      </c>
      <c r="D595">
        <v>96080</v>
      </c>
      <c r="E595" s="1">
        <v>43738</v>
      </c>
      <c r="F595" s="2">
        <f t="shared" si="54"/>
        <v>2019</v>
      </c>
      <c r="G595">
        <v>39</v>
      </c>
      <c r="H595" s="3">
        <v>304489</v>
      </c>
      <c r="I595">
        <v>25051</v>
      </c>
      <c r="J595">
        <v>304489</v>
      </c>
      <c r="K595">
        <v>274897</v>
      </c>
      <c r="L595">
        <v>270341</v>
      </c>
      <c r="M595" t="str">
        <f t="shared" si="55"/>
        <v>Medium</v>
      </c>
      <c r="N595">
        <f>VLOOKUP(C595,Lookup!$A$2:$D$5,MATCH(M595,Lookup!$A$1:$D$1,0),FALSE)</f>
        <v>0.09</v>
      </c>
      <c r="O595">
        <f t="shared" si="56"/>
        <v>24330.69</v>
      </c>
      <c r="P595" s="7">
        <f t="shared" si="57"/>
        <v>0.9028142231739078</v>
      </c>
      <c r="Q595" s="7">
        <f t="shared" si="58"/>
        <v>7807.4102564102568</v>
      </c>
      <c r="R595">
        <f t="shared" si="59"/>
        <v>1.0296049968167775</v>
      </c>
    </row>
    <row r="596" spans="1:18" x14ac:dyDescent="0.25">
      <c r="A596" t="s">
        <v>370</v>
      </c>
      <c r="B596" t="s">
        <v>371</v>
      </c>
      <c r="C596" t="s">
        <v>5</v>
      </c>
      <c r="D596">
        <v>96080</v>
      </c>
      <c r="E596" s="1">
        <v>44104</v>
      </c>
      <c r="F596" s="2">
        <f t="shared" si="54"/>
        <v>2020</v>
      </c>
      <c r="G596">
        <v>42</v>
      </c>
      <c r="H596" s="3">
        <v>485281</v>
      </c>
      <c r="I596">
        <v>67565</v>
      </c>
      <c r="J596">
        <v>485281</v>
      </c>
      <c r="K596">
        <v>451636</v>
      </c>
      <c r="L596">
        <v>371635</v>
      </c>
      <c r="M596" t="str">
        <f t="shared" si="55"/>
        <v>Medium</v>
      </c>
      <c r="N596">
        <f>VLOOKUP(C596,Lookup!$A$2:$D$5,MATCH(M596,Lookup!$A$1:$D$1,0),FALSE)</f>
        <v>0.09</v>
      </c>
      <c r="O596">
        <f t="shared" si="56"/>
        <v>33447.15</v>
      </c>
      <c r="P596" s="7">
        <f t="shared" si="57"/>
        <v>0.93066903505391718</v>
      </c>
      <c r="Q596" s="7">
        <f t="shared" si="58"/>
        <v>11554.309523809523</v>
      </c>
      <c r="R596">
        <f t="shared" si="59"/>
        <v>2.0200525306341497</v>
      </c>
    </row>
    <row r="597" spans="1:18" x14ac:dyDescent="0.25">
      <c r="A597" t="s">
        <v>370</v>
      </c>
      <c r="B597" t="s">
        <v>371</v>
      </c>
      <c r="C597" t="s">
        <v>5</v>
      </c>
      <c r="D597">
        <v>96080</v>
      </c>
      <c r="E597" s="1">
        <v>44469</v>
      </c>
      <c r="F597" s="2">
        <f t="shared" si="54"/>
        <v>2021</v>
      </c>
      <c r="G597">
        <v>42</v>
      </c>
      <c r="H597" s="3">
        <v>554521</v>
      </c>
      <c r="I597">
        <v>29401</v>
      </c>
      <c r="J597">
        <v>554521</v>
      </c>
      <c r="K597">
        <v>507960</v>
      </c>
      <c r="L597">
        <v>500794</v>
      </c>
      <c r="M597" t="str">
        <f t="shared" si="55"/>
        <v>Medium</v>
      </c>
      <c r="N597">
        <f>VLOOKUP(C597,Lookup!$A$2:$D$5,MATCH(M597,Lookup!$A$1:$D$1,0),FALSE)</f>
        <v>0.09</v>
      </c>
      <c r="O597">
        <f t="shared" si="56"/>
        <v>45071.46</v>
      </c>
      <c r="P597" s="7">
        <f t="shared" si="57"/>
        <v>0.91603383821352125</v>
      </c>
      <c r="Q597" s="7">
        <f t="shared" si="58"/>
        <v>13202.880952380952</v>
      </c>
      <c r="R597">
        <f t="shared" si="59"/>
        <v>0.65231967191655205</v>
      </c>
    </row>
    <row r="598" spans="1:18" x14ac:dyDescent="0.25">
      <c r="A598" t="s">
        <v>372</v>
      </c>
      <c r="B598" t="s">
        <v>373</v>
      </c>
      <c r="C598" t="s">
        <v>8</v>
      </c>
      <c r="D598">
        <v>60067</v>
      </c>
      <c r="E598" s="1">
        <v>43738</v>
      </c>
      <c r="F598" s="2">
        <f t="shared" si="54"/>
        <v>2019</v>
      </c>
      <c r="G598">
        <v>89</v>
      </c>
      <c r="H598" s="3">
        <v>637318</v>
      </c>
      <c r="I598">
        <v>85924</v>
      </c>
      <c r="J598">
        <v>637318</v>
      </c>
      <c r="K598">
        <v>583354</v>
      </c>
      <c r="L598">
        <v>573242</v>
      </c>
      <c r="M598" t="str">
        <f t="shared" si="55"/>
        <v>Medium</v>
      </c>
      <c r="N598">
        <f>VLOOKUP(C598,Lookup!$A$2:$D$5,MATCH(M598,Lookup!$A$1:$D$1,0),FALSE)</f>
        <v>0.08</v>
      </c>
      <c r="O598">
        <f t="shared" si="56"/>
        <v>45859.360000000001</v>
      </c>
      <c r="P598" s="7">
        <f t="shared" si="57"/>
        <v>0.9153264147568404</v>
      </c>
      <c r="Q598" s="7">
        <f t="shared" si="58"/>
        <v>7160.8764044943819</v>
      </c>
      <c r="R598">
        <f t="shared" si="59"/>
        <v>1.8736414987038632</v>
      </c>
    </row>
    <row r="599" spans="1:18" x14ac:dyDescent="0.25">
      <c r="A599" t="s">
        <v>372</v>
      </c>
      <c r="B599" t="s">
        <v>373</v>
      </c>
      <c r="C599" t="s">
        <v>8</v>
      </c>
      <c r="D599">
        <v>60067</v>
      </c>
      <c r="E599" s="1">
        <v>44104</v>
      </c>
      <c r="F599" s="2">
        <f t="shared" si="54"/>
        <v>2020</v>
      </c>
      <c r="G599">
        <v>91</v>
      </c>
      <c r="H599" s="3">
        <v>903675</v>
      </c>
      <c r="I599">
        <v>126148</v>
      </c>
      <c r="J599">
        <v>903674</v>
      </c>
      <c r="K599">
        <v>829738</v>
      </c>
      <c r="L599">
        <v>812086</v>
      </c>
      <c r="M599" t="str">
        <f t="shared" si="55"/>
        <v>Medium</v>
      </c>
      <c r="N599">
        <f>VLOOKUP(C599,Lookup!$A$2:$D$5,MATCH(M599,Lookup!$A$1:$D$1,0),FALSE)</f>
        <v>0.08</v>
      </c>
      <c r="O599">
        <f t="shared" si="56"/>
        <v>64966.880000000005</v>
      </c>
      <c r="P599" s="7">
        <f t="shared" si="57"/>
        <v>0.91818186848147842</v>
      </c>
      <c r="Q599" s="7">
        <f t="shared" si="58"/>
        <v>9930.4945054945056</v>
      </c>
      <c r="R599">
        <f t="shared" si="59"/>
        <v>1.9417278465581229</v>
      </c>
    </row>
    <row r="600" spans="1:18" x14ac:dyDescent="0.25">
      <c r="A600" t="s">
        <v>372</v>
      </c>
      <c r="B600" t="s">
        <v>373</v>
      </c>
      <c r="C600" t="s">
        <v>8</v>
      </c>
      <c r="D600">
        <v>60067</v>
      </c>
      <c r="E600" s="1">
        <v>44469</v>
      </c>
      <c r="F600" s="2">
        <f t="shared" si="54"/>
        <v>2021</v>
      </c>
      <c r="G600">
        <v>93</v>
      </c>
      <c r="H600" s="3">
        <v>1001404</v>
      </c>
      <c r="I600">
        <v>294822</v>
      </c>
      <c r="J600">
        <v>1001404</v>
      </c>
      <c r="K600">
        <v>917788</v>
      </c>
      <c r="L600">
        <v>890451</v>
      </c>
      <c r="M600" t="str">
        <f t="shared" si="55"/>
        <v>Large</v>
      </c>
      <c r="N600">
        <f>VLOOKUP(C600,Lookup!$A$2:$D$5,MATCH(M600,Lookup!$A$1:$D$1,0),FALSE)</f>
        <v>7.4999999999999997E-2</v>
      </c>
      <c r="O600">
        <f t="shared" si="56"/>
        <v>66783.824999999997</v>
      </c>
      <c r="P600" s="7">
        <f t="shared" si="57"/>
        <v>0.91650123226989311</v>
      </c>
      <c r="Q600" s="7">
        <f t="shared" si="58"/>
        <v>10767.784946236559</v>
      </c>
      <c r="R600">
        <f t="shared" si="59"/>
        <v>4.4145719416340707</v>
      </c>
    </row>
    <row r="601" spans="1:18" x14ac:dyDescent="0.25">
      <c r="A601" t="s">
        <v>374</v>
      </c>
      <c r="B601" t="s">
        <v>16</v>
      </c>
      <c r="C601" t="s">
        <v>17</v>
      </c>
      <c r="D601">
        <v>10017</v>
      </c>
      <c r="E601" s="1">
        <v>43738</v>
      </c>
      <c r="F601" s="2">
        <f t="shared" si="54"/>
        <v>2019</v>
      </c>
      <c r="G601">
        <v>54</v>
      </c>
      <c r="H601" s="3">
        <v>786321</v>
      </c>
      <c r="I601">
        <v>18318</v>
      </c>
      <c r="J601">
        <v>786321</v>
      </c>
      <c r="K601">
        <v>697464</v>
      </c>
      <c r="L601">
        <v>649109</v>
      </c>
      <c r="M601" t="str">
        <f t="shared" si="55"/>
        <v>Medium</v>
      </c>
      <c r="N601">
        <f>VLOOKUP(C601,Lookup!$A$2:$D$5,MATCH(M601,Lookup!$A$1:$D$1,0),FALSE)</f>
        <v>8.5000000000000006E-2</v>
      </c>
      <c r="O601">
        <f t="shared" si="56"/>
        <v>55174.265000000007</v>
      </c>
      <c r="P601" s="7">
        <f t="shared" si="57"/>
        <v>0.88699653195069195</v>
      </c>
      <c r="Q601" s="7">
        <f t="shared" si="58"/>
        <v>14561.5</v>
      </c>
      <c r="R601">
        <f t="shared" si="59"/>
        <v>0.33200261027491706</v>
      </c>
    </row>
    <row r="602" spans="1:18" x14ac:dyDescent="0.25">
      <c r="A602" t="s">
        <v>375</v>
      </c>
      <c r="B602" t="s">
        <v>376</v>
      </c>
      <c r="C602" t="s">
        <v>20</v>
      </c>
      <c r="D602">
        <v>1082</v>
      </c>
      <c r="E602" s="1">
        <v>43738</v>
      </c>
      <c r="F602" s="2">
        <f t="shared" si="54"/>
        <v>2019</v>
      </c>
      <c r="G602">
        <v>223</v>
      </c>
      <c r="H602" s="3">
        <v>1692907</v>
      </c>
      <c r="I602">
        <v>55424</v>
      </c>
      <c r="J602">
        <v>1692907</v>
      </c>
      <c r="K602">
        <v>1446772</v>
      </c>
      <c r="L602">
        <v>1187340</v>
      </c>
      <c r="M602" t="str">
        <f t="shared" si="55"/>
        <v>Large</v>
      </c>
      <c r="N602">
        <f>VLOOKUP(C602,Lookup!$A$2:$D$5,MATCH(M602,Lookup!$A$1:$D$1,0),FALSE)</f>
        <v>0.08</v>
      </c>
      <c r="O602">
        <f t="shared" si="56"/>
        <v>94987.199999999997</v>
      </c>
      <c r="P602" s="7">
        <f t="shared" si="57"/>
        <v>0.85460807947512774</v>
      </c>
      <c r="Q602" s="7">
        <f t="shared" si="58"/>
        <v>7591.5112107623318</v>
      </c>
      <c r="R602">
        <f t="shared" si="59"/>
        <v>0.58348914380042782</v>
      </c>
    </row>
    <row r="603" spans="1:18" x14ac:dyDescent="0.25">
      <c r="A603" t="s">
        <v>375</v>
      </c>
      <c r="B603" t="s">
        <v>376</v>
      </c>
      <c r="C603" t="s">
        <v>20</v>
      </c>
      <c r="D603">
        <v>1082</v>
      </c>
      <c r="E603" s="1">
        <v>44104</v>
      </c>
      <c r="F603" s="2">
        <f t="shared" si="54"/>
        <v>2020</v>
      </c>
      <c r="G603">
        <v>199</v>
      </c>
      <c r="H603" s="3">
        <v>1736464</v>
      </c>
      <c r="I603">
        <v>89131</v>
      </c>
      <c r="J603">
        <v>1736464</v>
      </c>
      <c r="K603">
        <v>1473762</v>
      </c>
      <c r="L603">
        <v>1306479</v>
      </c>
      <c r="M603" t="str">
        <f t="shared" si="55"/>
        <v>Large</v>
      </c>
      <c r="N603">
        <f>VLOOKUP(C603,Lookup!$A$2:$D$5,MATCH(M603,Lookup!$A$1:$D$1,0),FALSE)</f>
        <v>0.08</v>
      </c>
      <c r="O603">
        <f t="shared" si="56"/>
        <v>104518.32</v>
      </c>
      <c r="P603" s="7">
        <f t="shared" si="57"/>
        <v>0.84871439891641864</v>
      </c>
      <c r="Q603" s="7">
        <f t="shared" si="58"/>
        <v>8725.9497487437184</v>
      </c>
      <c r="R603">
        <f t="shared" si="59"/>
        <v>0.85277872816937728</v>
      </c>
    </row>
    <row r="604" spans="1:18" x14ac:dyDescent="0.25">
      <c r="A604" t="s">
        <v>375</v>
      </c>
      <c r="B604" t="s">
        <v>376</v>
      </c>
      <c r="C604" t="s">
        <v>20</v>
      </c>
      <c r="D604">
        <v>1082</v>
      </c>
      <c r="E604" s="1">
        <v>44469</v>
      </c>
      <c r="F604" s="2">
        <f t="shared" si="54"/>
        <v>2021</v>
      </c>
      <c r="G604">
        <v>204</v>
      </c>
      <c r="H604" s="3">
        <v>1753279</v>
      </c>
      <c r="I604">
        <v>317290</v>
      </c>
      <c r="J604">
        <v>1753279</v>
      </c>
      <c r="K604">
        <v>1485618</v>
      </c>
      <c r="L604">
        <v>1388288</v>
      </c>
      <c r="M604" t="str">
        <f t="shared" si="55"/>
        <v>Large</v>
      </c>
      <c r="N604">
        <f>VLOOKUP(C604,Lookup!$A$2:$D$5,MATCH(M604,Lookup!$A$1:$D$1,0),FALSE)</f>
        <v>0.08</v>
      </c>
      <c r="O604">
        <f t="shared" si="56"/>
        <v>111063.04000000001</v>
      </c>
      <c r="P604" s="7">
        <f t="shared" si="57"/>
        <v>0.84733690416642193</v>
      </c>
      <c r="Q604" s="7">
        <f t="shared" si="58"/>
        <v>8594.504901960785</v>
      </c>
      <c r="R604">
        <f t="shared" si="59"/>
        <v>2.856845985847317</v>
      </c>
    </row>
    <row r="605" spans="1:18" x14ac:dyDescent="0.25">
      <c r="A605" t="s">
        <v>377</v>
      </c>
      <c r="B605" t="s">
        <v>378</v>
      </c>
      <c r="C605" t="s">
        <v>8</v>
      </c>
      <c r="D605">
        <v>61701</v>
      </c>
      <c r="E605" s="1">
        <v>43738</v>
      </c>
      <c r="F605" s="2">
        <f t="shared" si="54"/>
        <v>2019</v>
      </c>
      <c r="G605">
        <v>132</v>
      </c>
      <c r="H605" s="3">
        <v>30878</v>
      </c>
      <c r="I605">
        <v>3</v>
      </c>
      <c r="J605">
        <v>30878</v>
      </c>
      <c r="K605">
        <v>3755</v>
      </c>
      <c r="L605">
        <v>665</v>
      </c>
      <c r="M605" t="str">
        <f t="shared" si="55"/>
        <v>Small</v>
      </c>
      <c r="N605">
        <f>VLOOKUP(C605,Lookup!$A$2:$D$5,MATCH(M605,Lookup!$A$1:$D$1,0),FALSE)</f>
        <v>0.09</v>
      </c>
      <c r="O605">
        <f t="shared" si="56"/>
        <v>59.849999999999994</v>
      </c>
      <c r="P605" s="7">
        <f t="shared" si="57"/>
        <v>0.12160761707364466</v>
      </c>
      <c r="Q605" s="7">
        <f t="shared" si="58"/>
        <v>233.92424242424244</v>
      </c>
      <c r="R605">
        <f t="shared" si="59"/>
        <v>5.0125313283208024E-2</v>
      </c>
    </row>
    <row r="606" spans="1:18" x14ac:dyDescent="0.25">
      <c r="A606" t="s">
        <v>377</v>
      </c>
      <c r="B606" t="s">
        <v>378</v>
      </c>
      <c r="C606" t="s">
        <v>8</v>
      </c>
      <c r="D606">
        <v>61701</v>
      </c>
      <c r="E606" s="1">
        <v>44104</v>
      </c>
      <c r="F606" s="2">
        <f t="shared" si="54"/>
        <v>2020</v>
      </c>
      <c r="G606">
        <v>107</v>
      </c>
      <c r="H606" s="3">
        <v>32590</v>
      </c>
      <c r="I606">
        <v>559</v>
      </c>
      <c r="J606">
        <v>32590</v>
      </c>
      <c r="K606">
        <v>4231</v>
      </c>
      <c r="L606">
        <v>670</v>
      </c>
      <c r="M606" t="str">
        <f t="shared" si="55"/>
        <v>Small</v>
      </c>
      <c r="N606">
        <f>VLOOKUP(C606,Lookup!$A$2:$D$5,MATCH(M606,Lookup!$A$1:$D$1,0),FALSE)</f>
        <v>0.09</v>
      </c>
      <c r="O606">
        <f t="shared" si="56"/>
        <v>60.3</v>
      </c>
      <c r="P606" s="7">
        <f t="shared" si="57"/>
        <v>0.12982509972384168</v>
      </c>
      <c r="Q606" s="7">
        <f t="shared" si="58"/>
        <v>304.57943925233644</v>
      </c>
      <c r="R606">
        <f t="shared" si="59"/>
        <v>9.2703150912106143</v>
      </c>
    </row>
    <row r="607" spans="1:18" x14ac:dyDescent="0.25">
      <c r="A607" t="s">
        <v>377</v>
      </c>
      <c r="B607" t="s">
        <v>378</v>
      </c>
      <c r="C607" t="s">
        <v>8</v>
      </c>
      <c r="D607">
        <v>61701</v>
      </c>
      <c r="E607" s="1">
        <v>44469</v>
      </c>
      <c r="F607" s="2">
        <f t="shared" si="54"/>
        <v>2021</v>
      </c>
      <c r="G607">
        <v>96</v>
      </c>
      <c r="H607" s="3">
        <v>32965</v>
      </c>
      <c r="I607">
        <v>3</v>
      </c>
      <c r="J607">
        <v>32965</v>
      </c>
      <c r="K607">
        <v>4210</v>
      </c>
      <c r="L607">
        <v>670</v>
      </c>
      <c r="M607" t="str">
        <f t="shared" si="55"/>
        <v>Small</v>
      </c>
      <c r="N607">
        <f>VLOOKUP(C607,Lookup!$A$2:$D$5,MATCH(M607,Lookup!$A$1:$D$1,0),FALSE)</f>
        <v>0.09</v>
      </c>
      <c r="O607">
        <f t="shared" si="56"/>
        <v>60.3</v>
      </c>
      <c r="P607" s="7">
        <f t="shared" si="57"/>
        <v>0.12771120885787957</v>
      </c>
      <c r="Q607" s="7">
        <f t="shared" si="58"/>
        <v>343.38541666666669</v>
      </c>
      <c r="R607">
        <f t="shared" si="59"/>
        <v>4.975124378109453E-2</v>
      </c>
    </row>
    <row r="608" spans="1:18" x14ac:dyDescent="0.25">
      <c r="A608" t="s">
        <v>379</v>
      </c>
      <c r="B608" t="s">
        <v>380</v>
      </c>
      <c r="C608" t="s">
        <v>8</v>
      </c>
      <c r="D608">
        <v>60525</v>
      </c>
      <c r="E608" s="1">
        <v>43738</v>
      </c>
      <c r="F608" s="2">
        <f t="shared" si="54"/>
        <v>2019</v>
      </c>
      <c r="G608">
        <v>97</v>
      </c>
      <c r="H608" s="3">
        <v>590684</v>
      </c>
      <c r="I608">
        <v>21704</v>
      </c>
      <c r="J608">
        <v>590684</v>
      </c>
      <c r="K608">
        <v>521168</v>
      </c>
      <c r="L608">
        <v>513150</v>
      </c>
      <c r="M608" t="str">
        <f t="shared" si="55"/>
        <v>Medium</v>
      </c>
      <c r="N608">
        <f>VLOOKUP(C608,Lookup!$A$2:$D$5,MATCH(M608,Lookup!$A$1:$D$1,0),FALSE)</f>
        <v>0.08</v>
      </c>
      <c r="O608">
        <f t="shared" si="56"/>
        <v>41052</v>
      </c>
      <c r="P608" s="7">
        <f t="shared" si="57"/>
        <v>0.8823127086564051</v>
      </c>
      <c r="Q608" s="7">
        <f t="shared" si="58"/>
        <v>6089.5257731958764</v>
      </c>
      <c r="R608">
        <f t="shared" si="59"/>
        <v>0.52869531326122965</v>
      </c>
    </row>
    <row r="609" spans="1:18" x14ac:dyDescent="0.25">
      <c r="A609" t="s">
        <v>381</v>
      </c>
      <c r="B609" t="s">
        <v>382</v>
      </c>
      <c r="C609" t="s">
        <v>17</v>
      </c>
      <c r="D609">
        <v>11379</v>
      </c>
      <c r="E609" s="1">
        <v>43738</v>
      </c>
      <c r="F609" s="2">
        <f t="shared" si="54"/>
        <v>2019</v>
      </c>
      <c r="G609">
        <v>79</v>
      </c>
      <c r="H609" s="3">
        <v>452303</v>
      </c>
      <c r="I609">
        <v>45839</v>
      </c>
      <c r="J609">
        <v>452304</v>
      </c>
      <c r="K609">
        <v>401644</v>
      </c>
      <c r="L609">
        <v>380737</v>
      </c>
      <c r="M609" t="str">
        <f t="shared" si="55"/>
        <v>Medium</v>
      </c>
      <c r="N609">
        <f>VLOOKUP(C609,Lookup!$A$2:$D$5,MATCH(M609,Lookup!$A$1:$D$1,0),FALSE)</f>
        <v>8.5000000000000006E-2</v>
      </c>
      <c r="O609">
        <f t="shared" si="56"/>
        <v>32362.645000000004</v>
      </c>
      <c r="P609" s="7">
        <f t="shared" si="57"/>
        <v>0.88799764759464339</v>
      </c>
      <c r="Q609" s="7">
        <f t="shared" si="58"/>
        <v>5725.3544303797471</v>
      </c>
      <c r="R609">
        <f t="shared" si="59"/>
        <v>1.4164169832224776</v>
      </c>
    </row>
    <row r="610" spans="1:18" x14ac:dyDescent="0.25">
      <c r="A610" t="s">
        <v>381</v>
      </c>
      <c r="B610" t="s">
        <v>382</v>
      </c>
      <c r="C610" t="s">
        <v>17</v>
      </c>
      <c r="D610">
        <v>11379</v>
      </c>
      <c r="E610" s="1">
        <v>44104</v>
      </c>
      <c r="F610" s="2">
        <f t="shared" si="54"/>
        <v>2020</v>
      </c>
      <c r="G610">
        <v>74</v>
      </c>
      <c r="H610" s="3">
        <v>524675</v>
      </c>
      <c r="I610">
        <v>92588</v>
      </c>
      <c r="J610">
        <v>524675</v>
      </c>
      <c r="K610">
        <v>472082</v>
      </c>
      <c r="L610">
        <v>455244</v>
      </c>
      <c r="M610" t="str">
        <f t="shared" si="55"/>
        <v>Medium</v>
      </c>
      <c r="N610">
        <f>VLOOKUP(C610,Lookup!$A$2:$D$5,MATCH(M610,Lookup!$A$1:$D$1,0),FALSE)</f>
        <v>8.5000000000000006E-2</v>
      </c>
      <c r="O610">
        <f t="shared" si="56"/>
        <v>38695.740000000005</v>
      </c>
      <c r="P610" s="7">
        <f t="shared" si="57"/>
        <v>0.89976080430742844</v>
      </c>
      <c r="Q610" s="7">
        <f t="shared" si="58"/>
        <v>7090.2027027027025</v>
      </c>
      <c r="R610">
        <f t="shared" si="59"/>
        <v>2.3927181648419178</v>
      </c>
    </row>
    <row r="611" spans="1:18" x14ac:dyDescent="0.25">
      <c r="A611" t="s">
        <v>381</v>
      </c>
      <c r="B611" t="s">
        <v>382</v>
      </c>
      <c r="C611" t="s">
        <v>17</v>
      </c>
      <c r="D611">
        <v>11379</v>
      </c>
      <c r="E611" s="1">
        <v>44469</v>
      </c>
      <c r="F611" s="2">
        <f t="shared" si="54"/>
        <v>2021</v>
      </c>
      <c r="G611">
        <v>79</v>
      </c>
      <c r="H611" s="3">
        <v>571145</v>
      </c>
      <c r="I611">
        <v>123993</v>
      </c>
      <c r="J611">
        <v>571145</v>
      </c>
      <c r="K611">
        <v>516724</v>
      </c>
      <c r="L611">
        <v>504233</v>
      </c>
      <c r="M611" t="str">
        <f t="shared" si="55"/>
        <v>Medium</v>
      </c>
      <c r="N611">
        <f>VLOOKUP(C611,Lookup!$A$2:$D$5,MATCH(M611,Lookup!$A$1:$D$1,0),FALSE)</f>
        <v>8.5000000000000006E-2</v>
      </c>
      <c r="O611">
        <f t="shared" si="56"/>
        <v>42859.805</v>
      </c>
      <c r="P611" s="7">
        <f t="shared" si="57"/>
        <v>0.90471596529777898</v>
      </c>
      <c r="Q611" s="7">
        <f t="shared" si="58"/>
        <v>7229.6835443037971</v>
      </c>
      <c r="R611">
        <f t="shared" si="59"/>
        <v>2.8929902970860462</v>
      </c>
    </row>
    <row r="612" spans="1:18" x14ac:dyDescent="0.25">
      <c r="A612" t="s">
        <v>383</v>
      </c>
      <c r="B612" t="s">
        <v>384</v>
      </c>
      <c r="C612" t="s">
        <v>8</v>
      </c>
      <c r="D612">
        <v>62401</v>
      </c>
      <c r="E612" s="1">
        <v>43738</v>
      </c>
      <c r="F612" s="2">
        <f t="shared" si="54"/>
        <v>2019</v>
      </c>
      <c r="G612">
        <v>23</v>
      </c>
      <c r="H612" s="3">
        <v>175642</v>
      </c>
      <c r="I612">
        <v>14274</v>
      </c>
      <c r="J612">
        <v>175642</v>
      </c>
      <c r="K612">
        <v>150336</v>
      </c>
      <c r="L612">
        <v>146109</v>
      </c>
      <c r="M612" t="str">
        <f t="shared" si="55"/>
        <v>Medium</v>
      </c>
      <c r="N612">
        <f>VLOOKUP(C612,Lookup!$A$2:$D$5,MATCH(M612,Lookup!$A$1:$D$1,0),FALSE)</f>
        <v>0.08</v>
      </c>
      <c r="O612">
        <f t="shared" si="56"/>
        <v>11688.72</v>
      </c>
      <c r="P612" s="7">
        <f t="shared" si="57"/>
        <v>0.85592284305576116</v>
      </c>
      <c r="Q612" s="7">
        <f t="shared" si="58"/>
        <v>7636.608695652174</v>
      </c>
      <c r="R612">
        <f t="shared" si="59"/>
        <v>1.2211773402049155</v>
      </c>
    </row>
    <row r="613" spans="1:18" x14ac:dyDescent="0.25">
      <c r="A613" t="s">
        <v>383</v>
      </c>
      <c r="B613" t="s">
        <v>384</v>
      </c>
      <c r="C613" t="s">
        <v>8</v>
      </c>
      <c r="D613">
        <v>62401</v>
      </c>
      <c r="E613" s="1">
        <v>44104</v>
      </c>
      <c r="F613" s="2">
        <f t="shared" si="54"/>
        <v>2020</v>
      </c>
      <c r="G613">
        <v>24</v>
      </c>
      <c r="H613" s="3">
        <v>202799</v>
      </c>
      <c r="I613">
        <v>9335</v>
      </c>
      <c r="J613">
        <v>202798</v>
      </c>
      <c r="K613">
        <v>174684</v>
      </c>
      <c r="L613">
        <v>164767</v>
      </c>
      <c r="M613" t="str">
        <f t="shared" si="55"/>
        <v>Medium</v>
      </c>
      <c r="N613">
        <f>VLOOKUP(C613,Lookup!$A$2:$D$5,MATCH(M613,Lookup!$A$1:$D$1,0),FALSE)</f>
        <v>0.08</v>
      </c>
      <c r="O613">
        <f t="shared" si="56"/>
        <v>13181.36</v>
      </c>
      <c r="P613" s="7">
        <f t="shared" si="57"/>
        <v>0.86136519410845225</v>
      </c>
      <c r="Q613" s="7">
        <f t="shared" si="58"/>
        <v>8449.9583333333339</v>
      </c>
      <c r="R613">
        <f t="shared" si="59"/>
        <v>0.70819702974503385</v>
      </c>
    </row>
    <row r="614" spans="1:18" x14ac:dyDescent="0.25">
      <c r="A614" t="s">
        <v>383</v>
      </c>
      <c r="B614" t="s">
        <v>384</v>
      </c>
      <c r="C614" t="s">
        <v>8</v>
      </c>
      <c r="D614">
        <v>62401</v>
      </c>
      <c r="E614" s="1">
        <v>44469</v>
      </c>
      <c r="F614" s="2">
        <f t="shared" si="54"/>
        <v>2021</v>
      </c>
      <c r="G614">
        <v>28</v>
      </c>
      <c r="H614" s="3">
        <v>212586</v>
      </c>
      <c r="I614">
        <v>11647</v>
      </c>
      <c r="J614">
        <v>212586</v>
      </c>
      <c r="K614">
        <v>182557</v>
      </c>
      <c r="L614">
        <v>174818</v>
      </c>
      <c r="M614" t="str">
        <f t="shared" si="55"/>
        <v>Medium</v>
      </c>
      <c r="N614">
        <f>VLOOKUP(C614,Lookup!$A$2:$D$5,MATCH(M614,Lookup!$A$1:$D$1,0),FALSE)</f>
        <v>0.08</v>
      </c>
      <c r="O614">
        <f t="shared" si="56"/>
        <v>13985.44</v>
      </c>
      <c r="P614" s="7">
        <f t="shared" si="57"/>
        <v>0.85874422586623766</v>
      </c>
      <c r="Q614" s="7">
        <f t="shared" si="58"/>
        <v>7592.3571428571431</v>
      </c>
      <c r="R614">
        <f t="shared" si="59"/>
        <v>0.83279467789358075</v>
      </c>
    </row>
    <row r="615" spans="1:18" x14ac:dyDescent="0.25">
      <c r="A615" t="s">
        <v>385</v>
      </c>
      <c r="B615" t="s">
        <v>386</v>
      </c>
      <c r="C615" t="s">
        <v>8</v>
      </c>
      <c r="D615">
        <v>60014</v>
      </c>
      <c r="E615" s="1">
        <v>43738</v>
      </c>
      <c r="F615" s="2">
        <f t="shared" si="54"/>
        <v>2019</v>
      </c>
      <c r="G615">
        <v>59</v>
      </c>
      <c r="H615" s="3">
        <v>1171070</v>
      </c>
      <c r="I615">
        <v>39596</v>
      </c>
      <c r="J615">
        <v>1171070</v>
      </c>
      <c r="K615">
        <v>1055262</v>
      </c>
      <c r="L615">
        <v>1019634</v>
      </c>
      <c r="M615" t="str">
        <f t="shared" si="55"/>
        <v>Large</v>
      </c>
      <c r="N615">
        <f>VLOOKUP(C615,Lookup!$A$2:$D$5,MATCH(M615,Lookup!$A$1:$D$1,0),FALSE)</f>
        <v>7.4999999999999997E-2</v>
      </c>
      <c r="O615">
        <f t="shared" si="56"/>
        <v>76472.55</v>
      </c>
      <c r="P615" s="7">
        <f t="shared" si="57"/>
        <v>0.90110924197528752</v>
      </c>
      <c r="Q615" s="7">
        <f t="shared" si="58"/>
        <v>19848.644067796609</v>
      </c>
      <c r="R615">
        <f t="shared" si="59"/>
        <v>0.51778056309093912</v>
      </c>
    </row>
    <row r="616" spans="1:18" x14ac:dyDescent="0.25">
      <c r="A616" t="s">
        <v>385</v>
      </c>
      <c r="B616" t="s">
        <v>386</v>
      </c>
      <c r="C616" t="s">
        <v>8</v>
      </c>
      <c r="D616">
        <v>60014</v>
      </c>
      <c r="E616" s="1">
        <v>44104</v>
      </c>
      <c r="F616" s="2">
        <f t="shared" si="54"/>
        <v>2020</v>
      </c>
      <c r="G616">
        <v>58</v>
      </c>
      <c r="H616" s="3">
        <v>1287320</v>
      </c>
      <c r="I616">
        <v>106108</v>
      </c>
      <c r="J616">
        <v>1287320</v>
      </c>
      <c r="K616">
        <v>1170415</v>
      </c>
      <c r="L616">
        <v>1073587</v>
      </c>
      <c r="M616" t="str">
        <f t="shared" si="55"/>
        <v>Large</v>
      </c>
      <c r="N616">
        <f>VLOOKUP(C616,Lookup!$A$2:$D$5,MATCH(M616,Lookup!$A$1:$D$1,0),FALSE)</f>
        <v>7.4999999999999997E-2</v>
      </c>
      <c r="O616">
        <f t="shared" si="56"/>
        <v>80519.024999999994</v>
      </c>
      <c r="P616" s="7">
        <f t="shared" si="57"/>
        <v>0.90918730385607305</v>
      </c>
      <c r="Q616" s="7">
        <f t="shared" si="58"/>
        <v>22195.172413793105</v>
      </c>
      <c r="R616">
        <f t="shared" si="59"/>
        <v>1.3178003583625113</v>
      </c>
    </row>
    <row r="617" spans="1:18" x14ac:dyDescent="0.25">
      <c r="A617" t="s">
        <v>385</v>
      </c>
      <c r="B617" t="s">
        <v>386</v>
      </c>
      <c r="C617" t="s">
        <v>8</v>
      </c>
      <c r="D617">
        <v>60014</v>
      </c>
      <c r="E617" s="1">
        <v>44469</v>
      </c>
      <c r="F617" s="2">
        <f t="shared" si="54"/>
        <v>2021</v>
      </c>
      <c r="G617">
        <v>59</v>
      </c>
      <c r="H617" s="3">
        <v>1334012</v>
      </c>
      <c r="I617">
        <v>91272</v>
      </c>
      <c r="J617">
        <v>1334012</v>
      </c>
      <c r="K617">
        <v>1205249</v>
      </c>
      <c r="L617">
        <v>1112521</v>
      </c>
      <c r="M617" t="str">
        <f t="shared" si="55"/>
        <v>Large</v>
      </c>
      <c r="N617">
        <f>VLOOKUP(C617,Lookup!$A$2:$D$5,MATCH(M617,Lookup!$A$1:$D$1,0),FALSE)</f>
        <v>7.4999999999999997E-2</v>
      </c>
      <c r="O617">
        <f t="shared" si="56"/>
        <v>83439.074999999997</v>
      </c>
      <c r="P617" s="7">
        <f t="shared" si="57"/>
        <v>0.90347688026794359</v>
      </c>
      <c r="Q617" s="7">
        <f t="shared" si="58"/>
        <v>22610.372881355932</v>
      </c>
      <c r="R617">
        <f t="shared" si="59"/>
        <v>1.0938759807680034</v>
      </c>
    </row>
    <row r="618" spans="1:18" x14ac:dyDescent="0.25">
      <c r="A618" t="s">
        <v>387</v>
      </c>
      <c r="B618" t="s">
        <v>47</v>
      </c>
      <c r="C618" t="s">
        <v>5</v>
      </c>
      <c r="D618">
        <v>90017</v>
      </c>
      <c r="E618" s="1">
        <v>43738</v>
      </c>
      <c r="F618" s="2">
        <f t="shared" si="54"/>
        <v>2019</v>
      </c>
      <c r="G618">
        <v>335</v>
      </c>
      <c r="H618" s="3">
        <v>3563017</v>
      </c>
      <c r="I618">
        <v>170476</v>
      </c>
      <c r="J618">
        <v>3563017</v>
      </c>
      <c r="K618">
        <v>3045105</v>
      </c>
      <c r="L618">
        <v>3007490</v>
      </c>
      <c r="M618" t="str">
        <f t="shared" si="55"/>
        <v>Large</v>
      </c>
      <c r="N618">
        <f>VLOOKUP(C618,Lookup!$A$2:$D$5,MATCH(M618,Lookup!$A$1:$D$1,0),FALSE)</f>
        <v>0.08</v>
      </c>
      <c r="O618">
        <f t="shared" si="56"/>
        <v>240599.2</v>
      </c>
      <c r="P618" s="7">
        <f t="shared" si="57"/>
        <v>0.85464228770168649</v>
      </c>
      <c r="Q618" s="7">
        <f t="shared" si="58"/>
        <v>10635.871641791045</v>
      </c>
      <c r="R618">
        <f t="shared" si="59"/>
        <v>0.70854765934383823</v>
      </c>
    </row>
    <row r="619" spans="1:18" x14ac:dyDescent="0.25">
      <c r="A619" t="s">
        <v>387</v>
      </c>
      <c r="B619" t="s">
        <v>47</v>
      </c>
      <c r="C619" t="s">
        <v>5</v>
      </c>
      <c r="D619">
        <v>90017</v>
      </c>
      <c r="E619" s="1">
        <v>44104</v>
      </c>
      <c r="F619" s="2">
        <f t="shared" si="54"/>
        <v>2020</v>
      </c>
      <c r="G619">
        <v>334</v>
      </c>
      <c r="H619" s="3">
        <v>4181256</v>
      </c>
      <c r="I619">
        <v>680568</v>
      </c>
      <c r="J619">
        <v>4181256</v>
      </c>
      <c r="K619">
        <v>3634986</v>
      </c>
      <c r="L619">
        <v>3495850</v>
      </c>
      <c r="M619" t="str">
        <f t="shared" si="55"/>
        <v>Large</v>
      </c>
      <c r="N619">
        <f>VLOOKUP(C619,Lookup!$A$2:$D$5,MATCH(M619,Lookup!$A$1:$D$1,0),FALSE)</f>
        <v>0.08</v>
      </c>
      <c r="O619">
        <f t="shared" si="56"/>
        <v>279668</v>
      </c>
      <c r="P619" s="7">
        <f t="shared" si="57"/>
        <v>0.8693526538437254</v>
      </c>
      <c r="Q619" s="7">
        <f t="shared" si="58"/>
        <v>12518.730538922156</v>
      </c>
      <c r="R619">
        <f t="shared" si="59"/>
        <v>2.4334854184247035</v>
      </c>
    </row>
    <row r="620" spans="1:18" x14ac:dyDescent="0.25">
      <c r="A620" t="s">
        <v>387</v>
      </c>
      <c r="B620" t="s">
        <v>47</v>
      </c>
      <c r="C620" t="s">
        <v>5</v>
      </c>
      <c r="D620">
        <v>90017</v>
      </c>
      <c r="E620" s="1">
        <v>44469</v>
      </c>
      <c r="F620" s="2">
        <f t="shared" si="54"/>
        <v>2021</v>
      </c>
      <c r="G620">
        <v>345</v>
      </c>
      <c r="H620" s="3">
        <v>4193834</v>
      </c>
      <c r="I620">
        <v>469385</v>
      </c>
      <c r="J620">
        <v>4193834</v>
      </c>
      <c r="K620">
        <v>3602663</v>
      </c>
      <c r="L620">
        <v>3566997</v>
      </c>
      <c r="M620" t="str">
        <f t="shared" si="55"/>
        <v>Large</v>
      </c>
      <c r="N620">
        <f>VLOOKUP(C620,Lookup!$A$2:$D$5,MATCH(M620,Lookup!$A$1:$D$1,0),FALSE)</f>
        <v>0.08</v>
      </c>
      <c r="O620">
        <f t="shared" si="56"/>
        <v>285359.76</v>
      </c>
      <c r="P620" s="7">
        <f t="shared" si="57"/>
        <v>0.85903805443896919</v>
      </c>
      <c r="Q620" s="7">
        <f t="shared" si="58"/>
        <v>12156.040579710145</v>
      </c>
      <c r="R620">
        <f t="shared" si="59"/>
        <v>1.6448885435003169</v>
      </c>
    </row>
    <row r="621" spans="1:18" x14ac:dyDescent="0.25">
      <c r="A621" t="s">
        <v>388</v>
      </c>
      <c r="B621" t="s">
        <v>316</v>
      </c>
      <c r="C621" t="s">
        <v>8</v>
      </c>
      <c r="D621">
        <v>61727</v>
      </c>
      <c r="E621" s="1">
        <v>43738</v>
      </c>
      <c r="F621" s="2">
        <f t="shared" si="54"/>
        <v>2019</v>
      </c>
      <c r="G621">
        <v>23</v>
      </c>
      <c r="H621" s="3">
        <v>117392</v>
      </c>
      <c r="I621">
        <v>15535</v>
      </c>
      <c r="J621">
        <v>117392</v>
      </c>
      <c r="K621">
        <v>102154</v>
      </c>
      <c r="L621">
        <v>96825</v>
      </c>
      <c r="M621" t="str">
        <f t="shared" si="55"/>
        <v>Medium</v>
      </c>
      <c r="N621">
        <f>VLOOKUP(C621,Lookup!$A$2:$D$5,MATCH(M621,Lookup!$A$1:$D$1,0),FALSE)</f>
        <v>0.08</v>
      </c>
      <c r="O621">
        <f t="shared" si="56"/>
        <v>7746</v>
      </c>
      <c r="P621" s="7">
        <f t="shared" si="57"/>
        <v>0.8701955840261687</v>
      </c>
      <c r="Q621" s="7">
        <f t="shared" si="58"/>
        <v>5104</v>
      </c>
      <c r="R621">
        <f t="shared" si="59"/>
        <v>2.0055512522592305</v>
      </c>
    </row>
    <row r="622" spans="1:18" x14ac:dyDescent="0.25">
      <c r="A622" t="s">
        <v>388</v>
      </c>
      <c r="B622" t="s">
        <v>316</v>
      </c>
      <c r="C622" t="s">
        <v>8</v>
      </c>
      <c r="D622">
        <v>61727</v>
      </c>
      <c r="E622" s="1">
        <v>44104</v>
      </c>
      <c r="F622" s="2">
        <f t="shared" si="54"/>
        <v>2020</v>
      </c>
      <c r="G622">
        <v>25</v>
      </c>
      <c r="H622" s="3">
        <v>132032</v>
      </c>
      <c r="I622">
        <v>22326</v>
      </c>
      <c r="J622">
        <v>132032</v>
      </c>
      <c r="K622">
        <v>115537</v>
      </c>
      <c r="L622">
        <v>106871</v>
      </c>
      <c r="M622" t="str">
        <f t="shared" si="55"/>
        <v>Medium</v>
      </c>
      <c r="N622">
        <f>VLOOKUP(C622,Lookup!$A$2:$D$5,MATCH(M622,Lookup!$A$1:$D$1,0),FALSE)</f>
        <v>0.08</v>
      </c>
      <c r="O622">
        <f t="shared" si="56"/>
        <v>8549.68</v>
      </c>
      <c r="P622" s="7">
        <f t="shared" si="57"/>
        <v>0.87506816529326226</v>
      </c>
      <c r="Q622" s="7">
        <f t="shared" si="58"/>
        <v>5281.28</v>
      </c>
      <c r="R622">
        <f t="shared" si="59"/>
        <v>2.6113258040066998</v>
      </c>
    </row>
    <row r="623" spans="1:18" x14ac:dyDescent="0.25">
      <c r="A623" t="s">
        <v>388</v>
      </c>
      <c r="B623" t="s">
        <v>316</v>
      </c>
      <c r="C623" t="s">
        <v>8</v>
      </c>
      <c r="D623">
        <v>61727</v>
      </c>
      <c r="E623" s="1">
        <v>44469</v>
      </c>
      <c r="F623" s="2">
        <f t="shared" si="54"/>
        <v>2021</v>
      </c>
      <c r="G623">
        <v>26</v>
      </c>
      <c r="H623" s="3">
        <v>132848</v>
      </c>
      <c r="I623">
        <v>9170</v>
      </c>
      <c r="J623">
        <v>132848</v>
      </c>
      <c r="K623">
        <v>115698</v>
      </c>
      <c r="L623">
        <v>103232</v>
      </c>
      <c r="M623" t="str">
        <f t="shared" si="55"/>
        <v>Medium</v>
      </c>
      <c r="N623">
        <f>VLOOKUP(C623,Lookup!$A$2:$D$5,MATCH(M623,Lookup!$A$1:$D$1,0),FALSE)</f>
        <v>0.08</v>
      </c>
      <c r="O623">
        <f t="shared" si="56"/>
        <v>8258.56</v>
      </c>
      <c r="P623" s="7">
        <f t="shared" si="57"/>
        <v>0.87090509454414067</v>
      </c>
      <c r="Q623" s="7">
        <f t="shared" si="58"/>
        <v>5109.5384615384619</v>
      </c>
      <c r="R623">
        <f t="shared" si="59"/>
        <v>1.110363065716057</v>
      </c>
    </row>
    <row r="624" spans="1:18" x14ac:dyDescent="0.25">
      <c r="A624" t="s">
        <v>389</v>
      </c>
      <c r="B624" t="s">
        <v>390</v>
      </c>
      <c r="C624" t="s">
        <v>20</v>
      </c>
      <c r="D624">
        <v>2038</v>
      </c>
      <c r="E624" s="1">
        <v>43738</v>
      </c>
      <c r="F624" s="2">
        <f t="shared" si="54"/>
        <v>2019</v>
      </c>
      <c r="G624">
        <v>69</v>
      </c>
      <c r="H624" s="3">
        <v>331362</v>
      </c>
      <c r="I624">
        <v>8217</v>
      </c>
      <c r="J624">
        <v>331362</v>
      </c>
      <c r="K624">
        <v>301965</v>
      </c>
      <c r="L624">
        <v>279598</v>
      </c>
      <c r="M624" t="str">
        <f t="shared" si="55"/>
        <v>Medium</v>
      </c>
      <c r="N624">
        <f>VLOOKUP(C624,Lookup!$A$2:$D$5,MATCH(M624,Lookup!$A$1:$D$1,0),FALSE)</f>
        <v>8.5000000000000006E-2</v>
      </c>
      <c r="O624">
        <f t="shared" si="56"/>
        <v>23765.83</v>
      </c>
      <c r="P624" s="7">
        <f t="shared" si="57"/>
        <v>0.91128433556050481</v>
      </c>
      <c r="Q624" s="7">
        <f t="shared" si="58"/>
        <v>4802.347826086957</v>
      </c>
      <c r="R624">
        <f t="shared" si="59"/>
        <v>0.34574849689659481</v>
      </c>
    </row>
    <row r="625" spans="1:18" x14ac:dyDescent="0.25">
      <c r="A625" t="s">
        <v>389</v>
      </c>
      <c r="B625" t="s">
        <v>390</v>
      </c>
      <c r="C625" t="s">
        <v>20</v>
      </c>
      <c r="D625">
        <v>2038</v>
      </c>
      <c r="E625" s="1">
        <v>44104</v>
      </c>
      <c r="F625" s="2">
        <f t="shared" si="54"/>
        <v>2020</v>
      </c>
      <c r="G625">
        <v>67</v>
      </c>
      <c r="H625" s="3">
        <v>368646</v>
      </c>
      <c r="I625">
        <v>30498</v>
      </c>
      <c r="J625">
        <v>368645</v>
      </c>
      <c r="K625">
        <v>336101</v>
      </c>
      <c r="L625">
        <v>331680</v>
      </c>
      <c r="M625" t="str">
        <f t="shared" si="55"/>
        <v>Medium</v>
      </c>
      <c r="N625">
        <f>VLOOKUP(C625,Lookup!$A$2:$D$5,MATCH(M625,Lookup!$A$1:$D$1,0),FALSE)</f>
        <v>8.5000000000000006E-2</v>
      </c>
      <c r="O625">
        <f t="shared" si="56"/>
        <v>28192.800000000003</v>
      </c>
      <c r="P625" s="7">
        <f t="shared" si="57"/>
        <v>0.91171747421645699</v>
      </c>
      <c r="Q625" s="7">
        <f t="shared" si="58"/>
        <v>5502.1791044776119</v>
      </c>
      <c r="R625">
        <f t="shared" si="59"/>
        <v>1.081765557163531</v>
      </c>
    </row>
    <row r="626" spans="1:18" x14ac:dyDescent="0.25">
      <c r="A626" t="s">
        <v>389</v>
      </c>
      <c r="B626" t="s">
        <v>390</v>
      </c>
      <c r="C626" t="s">
        <v>20</v>
      </c>
      <c r="D626">
        <v>2038</v>
      </c>
      <c r="E626" s="1">
        <v>44469</v>
      </c>
      <c r="F626" s="2">
        <f t="shared" si="54"/>
        <v>2021</v>
      </c>
      <c r="G626">
        <v>71</v>
      </c>
      <c r="H626" s="3">
        <v>424759</v>
      </c>
      <c r="I626">
        <v>20568</v>
      </c>
      <c r="J626">
        <v>424759</v>
      </c>
      <c r="K626">
        <v>390940</v>
      </c>
      <c r="L626">
        <v>384717</v>
      </c>
      <c r="M626" t="str">
        <f t="shared" si="55"/>
        <v>Medium</v>
      </c>
      <c r="N626">
        <f>VLOOKUP(C626,Lookup!$A$2:$D$5,MATCH(M626,Lookup!$A$1:$D$1,0),FALSE)</f>
        <v>8.5000000000000006E-2</v>
      </c>
      <c r="O626">
        <f t="shared" si="56"/>
        <v>32700.945000000003</v>
      </c>
      <c r="P626" s="7">
        <f t="shared" si="57"/>
        <v>0.9203807335453752</v>
      </c>
      <c r="Q626" s="7">
        <f t="shared" si="58"/>
        <v>5982.5211267605637</v>
      </c>
      <c r="R626">
        <f t="shared" si="59"/>
        <v>0.6289726489555576</v>
      </c>
    </row>
    <row r="627" spans="1:18" x14ac:dyDescent="0.25">
      <c r="A627" t="s">
        <v>391</v>
      </c>
      <c r="B627" t="s">
        <v>392</v>
      </c>
      <c r="C627" t="s">
        <v>20</v>
      </c>
      <c r="D627">
        <v>2026</v>
      </c>
      <c r="E627" s="1">
        <v>43738</v>
      </c>
      <c r="F627" s="2">
        <f t="shared" si="54"/>
        <v>2019</v>
      </c>
      <c r="G627">
        <v>205</v>
      </c>
      <c r="H627" s="3">
        <v>1525262</v>
      </c>
      <c r="I627">
        <v>11465</v>
      </c>
      <c r="J627">
        <v>1525262</v>
      </c>
      <c r="K627">
        <v>1342145</v>
      </c>
      <c r="L627">
        <v>1290118</v>
      </c>
      <c r="M627" t="str">
        <f t="shared" si="55"/>
        <v>Large</v>
      </c>
      <c r="N627">
        <f>VLOOKUP(C627,Lookup!$A$2:$D$5,MATCH(M627,Lookup!$A$1:$D$1,0),FALSE)</f>
        <v>0.08</v>
      </c>
      <c r="O627">
        <f t="shared" si="56"/>
        <v>103209.44</v>
      </c>
      <c r="P627" s="7">
        <f t="shared" si="57"/>
        <v>0.87994390471932038</v>
      </c>
      <c r="Q627" s="7">
        <f t="shared" si="58"/>
        <v>7440.30243902439</v>
      </c>
      <c r="R627">
        <f t="shared" si="59"/>
        <v>0.11108479999503922</v>
      </c>
    </row>
    <row r="628" spans="1:18" x14ac:dyDescent="0.25">
      <c r="A628" t="s">
        <v>391</v>
      </c>
      <c r="B628" t="s">
        <v>392</v>
      </c>
      <c r="C628" t="s">
        <v>20</v>
      </c>
      <c r="D628">
        <v>2026</v>
      </c>
      <c r="E628" s="1">
        <v>44104</v>
      </c>
      <c r="F628" s="2">
        <f t="shared" si="54"/>
        <v>2020</v>
      </c>
      <c r="G628">
        <v>209</v>
      </c>
      <c r="H628" s="3">
        <v>1720220</v>
      </c>
      <c r="I628">
        <v>11665</v>
      </c>
      <c r="J628">
        <v>1720220</v>
      </c>
      <c r="K628">
        <v>1523245</v>
      </c>
      <c r="L628">
        <v>1471596</v>
      </c>
      <c r="M628" t="str">
        <f t="shared" si="55"/>
        <v>Large</v>
      </c>
      <c r="N628">
        <f>VLOOKUP(C628,Lookup!$A$2:$D$5,MATCH(M628,Lookup!$A$1:$D$1,0),FALSE)</f>
        <v>0.08</v>
      </c>
      <c r="O628">
        <f t="shared" si="56"/>
        <v>117727.68000000001</v>
      </c>
      <c r="P628" s="7">
        <f t="shared" si="57"/>
        <v>0.88549429724105055</v>
      </c>
      <c r="Q628" s="7">
        <f t="shared" si="58"/>
        <v>8230.7177033492826</v>
      </c>
      <c r="R628">
        <f t="shared" si="59"/>
        <v>9.9084599305787724E-2</v>
      </c>
    </row>
    <row r="629" spans="1:18" x14ac:dyDescent="0.25">
      <c r="A629" t="s">
        <v>391</v>
      </c>
      <c r="B629" t="s">
        <v>392</v>
      </c>
      <c r="C629" t="s">
        <v>20</v>
      </c>
      <c r="D629">
        <v>2026</v>
      </c>
      <c r="E629" s="1">
        <v>44469</v>
      </c>
      <c r="F629" s="2">
        <f t="shared" si="54"/>
        <v>2021</v>
      </c>
      <c r="G629">
        <v>211</v>
      </c>
      <c r="H629" s="3">
        <v>1851016</v>
      </c>
      <c r="I629">
        <v>53959</v>
      </c>
      <c r="J629">
        <v>1851016</v>
      </c>
      <c r="K629">
        <v>1642728</v>
      </c>
      <c r="L629">
        <v>1598441</v>
      </c>
      <c r="M629" t="str">
        <f t="shared" si="55"/>
        <v>Large</v>
      </c>
      <c r="N629">
        <f>VLOOKUP(C629,Lookup!$A$2:$D$5,MATCH(M629,Lookup!$A$1:$D$1,0),FALSE)</f>
        <v>0.08</v>
      </c>
      <c r="O629">
        <f t="shared" si="56"/>
        <v>127875.28</v>
      </c>
      <c r="P629" s="7">
        <f t="shared" si="57"/>
        <v>0.88747369012477473</v>
      </c>
      <c r="Q629" s="7">
        <f t="shared" si="58"/>
        <v>8772.5876777251178</v>
      </c>
      <c r="R629">
        <f t="shared" si="59"/>
        <v>0.42196584046580388</v>
      </c>
    </row>
    <row r="630" spans="1:18" x14ac:dyDescent="0.25">
      <c r="A630" t="s">
        <v>393</v>
      </c>
      <c r="B630" t="s">
        <v>16</v>
      </c>
      <c r="C630" t="s">
        <v>17</v>
      </c>
      <c r="D630">
        <v>10019</v>
      </c>
      <c r="E630" s="1">
        <v>43738</v>
      </c>
      <c r="F630" s="2">
        <f t="shared" si="54"/>
        <v>2019</v>
      </c>
      <c r="G630">
        <v>61</v>
      </c>
      <c r="H630" s="3">
        <v>409044</v>
      </c>
      <c r="I630">
        <v>205567</v>
      </c>
      <c r="J630">
        <v>409044</v>
      </c>
      <c r="K630">
        <v>354373</v>
      </c>
      <c r="L630">
        <v>281812</v>
      </c>
      <c r="M630" t="str">
        <f t="shared" si="55"/>
        <v>Medium</v>
      </c>
      <c r="N630">
        <f>VLOOKUP(C630,Lookup!$A$2:$D$5,MATCH(M630,Lookup!$A$1:$D$1,0),FALSE)</f>
        <v>8.5000000000000006E-2</v>
      </c>
      <c r="O630">
        <f t="shared" si="56"/>
        <v>23954.02</v>
      </c>
      <c r="P630" s="7">
        <f t="shared" si="57"/>
        <v>0.86634445194160037</v>
      </c>
      <c r="Q630" s="7">
        <f t="shared" si="58"/>
        <v>6705.6393442622948</v>
      </c>
      <c r="R630">
        <f t="shared" si="59"/>
        <v>8.5817328364925807</v>
      </c>
    </row>
    <row r="631" spans="1:18" x14ac:dyDescent="0.25">
      <c r="A631" t="s">
        <v>393</v>
      </c>
      <c r="B631" t="s">
        <v>16</v>
      </c>
      <c r="C631" t="s">
        <v>17</v>
      </c>
      <c r="D631">
        <v>10019</v>
      </c>
      <c r="E631" s="1">
        <v>44104</v>
      </c>
      <c r="F631" s="2">
        <f t="shared" si="54"/>
        <v>2020</v>
      </c>
      <c r="G631">
        <v>62</v>
      </c>
      <c r="H631" s="3">
        <v>330155</v>
      </c>
      <c r="I631">
        <v>107746</v>
      </c>
      <c r="J631">
        <v>330155</v>
      </c>
      <c r="K631">
        <v>276600</v>
      </c>
      <c r="L631">
        <v>258920</v>
      </c>
      <c r="M631" t="str">
        <f t="shared" si="55"/>
        <v>Medium</v>
      </c>
      <c r="N631">
        <f>VLOOKUP(C631,Lookup!$A$2:$D$5,MATCH(M631,Lookup!$A$1:$D$1,0),FALSE)</f>
        <v>8.5000000000000006E-2</v>
      </c>
      <c r="O631">
        <f t="shared" si="56"/>
        <v>22008.2</v>
      </c>
      <c r="P631" s="7">
        <f t="shared" si="57"/>
        <v>0.83778831155063527</v>
      </c>
      <c r="Q631" s="7">
        <f t="shared" si="58"/>
        <v>5325.0806451612907</v>
      </c>
      <c r="R631">
        <f t="shared" si="59"/>
        <v>4.8957206859261548</v>
      </c>
    </row>
    <row r="632" spans="1:18" x14ac:dyDescent="0.25">
      <c r="A632" t="s">
        <v>393</v>
      </c>
      <c r="B632" t="s">
        <v>16</v>
      </c>
      <c r="C632" t="s">
        <v>17</v>
      </c>
      <c r="D632">
        <v>10019</v>
      </c>
      <c r="E632" s="1">
        <v>44469</v>
      </c>
      <c r="F632" s="2">
        <f t="shared" si="54"/>
        <v>2021</v>
      </c>
      <c r="G632">
        <v>59</v>
      </c>
      <c r="H632" s="3">
        <v>334863</v>
      </c>
      <c r="I632">
        <v>143847</v>
      </c>
      <c r="J632">
        <v>334863</v>
      </c>
      <c r="K632">
        <v>283354</v>
      </c>
      <c r="L632">
        <v>249518</v>
      </c>
      <c r="M632" t="str">
        <f t="shared" si="55"/>
        <v>Medium</v>
      </c>
      <c r="N632">
        <f>VLOOKUP(C632,Lookup!$A$2:$D$5,MATCH(M632,Lookup!$A$1:$D$1,0),FALSE)</f>
        <v>8.5000000000000006E-2</v>
      </c>
      <c r="O632">
        <f t="shared" si="56"/>
        <v>21209.030000000002</v>
      </c>
      <c r="P632" s="7">
        <f t="shared" si="57"/>
        <v>0.84617888509629313</v>
      </c>
      <c r="Q632" s="7">
        <f t="shared" si="58"/>
        <v>5675.6440677966102</v>
      </c>
      <c r="R632">
        <f t="shared" si="59"/>
        <v>6.7823469531609879</v>
      </c>
    </row>
    <row r="633" spans="1:18" x14ac:dyDescent="0.25">
      <c r="A633" t="s">
        <v>394</v>
      </c>
      <c r="B633" t="s">
        <v>16</v>
      </c>
      <c r="C633" t="s">
        <v>17</v>
      </c>
      <c r="D633">
        <v>10005</v>
      </c>
      <c r="E633" s="1">
        <v>43738</v>
      </c>
      <c r="F633" s="2">
        <f t="shared" si="54"/>
        <v>2019</v>
      </c>
      <c r="G633">
        <v>548</v>
      </c>
      <c r="H633" s="3">
        <v>40272000</v>
      </c>
      <c r="I633">
        <v>14717000</v>
      </c>
      <c r="J633">
        <v>40272000</v>
      </c>
      <c r="K633">
        <v>30759000</v>
      </c>
      <c r="L633">
        <v>27156000</v>
      </c>
      <c r="M633" t="str">
        <f t="shared" si="55"/>
        <v>Large</v>
      </c>
      <c r="N633">
        <f>VLOOKUP(C633,Lookup!$A$2:$D$5,MATCH(M633,Lookup!$A$1:$D$1,0),FALSE)</f>
        <v>0.08</v>
      </c>
      <c r="O633">
        <f t="shared" si="56"/>
        <v>2172480</v>
      </c>
      <c r="P633" s="7">
        <f t="shared" si="57"/>
        <v>0.76378128724672234</v>
      </c>
      <c r="Q633" s="7">
        <f t="shared" si="58"/>
        <v>73489.051094890514</v>
      </c>
      <c r="R633">
        <f t="shared" si="59"/>
        <v>6.7742856090735009</v>
      </c>
    </row>
    <row r="634" spans="1:18" x14ac:dyDescent="0.25">
      <c r="A634" t="s">
        <v>394</v>
      </c>
      <c r="B634" t="s">
        <v>16</v>
      </c>
      <c r="C634" t="s">
        <v>17</v>
      </c>
      <c r="D634">
        <v>10005</v>
      </c>
      <c r="E634" s="1">
        <v>44104</v>
      </c>
      <c r="F634" s="2">
        <f t="shared" si="54"/>
        <v>2020</v>
      </c>
      <c r="G634">
        <v>469</v>
      </c>
      <c r="H634" s="3">
        <v>46336000</v>
      </c>
      <c r="I634">
        <v>15918000</v>
      </c>
      <c r="J634">
        <v>46336000</v>
      </c>
      <c r="K634">
        <v>37053000</v>
      </c>
      <c r="L634">
        <v>32074000</v>
      </c>
      <c r="M634" t="str">
        <f t="shared" si="55"/>
        <v>Large</v>
      </c>
      <c r="N634">
        <f>VLOOKUP(C634,Lookup!$A$2:$D$5,MATCH(M634,Lookup!$A$1:$D$1,0),FALSE)</f>
        <v>0.08</v>
      </c>
      <c r="O634">
        <f t="shared" si="56"/>
        <v>2565920</v>
      </c>
      <c r="P634" s="7">
        <f t="shared" si="57"/>
        <v>0.79965901243093918</v>
      </c>
      <c r="Q634" s="7">
        <f t="shared" si="58"/>
        <v>98797.441364605547</v>
      </c>
      <c r="R634">
        <f t="shared" si="59"/>
        <v>6.2036228721082498</v>
      </c>
    </row>
    <row r="635" spans="1:18" x14ac:dyDescent="0.25">
      <c r="A635" t="s">
        <v>394</v>
      </c>
      <c r="B635" t="s">
        <v>16</v>
      </c>
      <c r="C635" t="s">
        <v>17</v>
      </c>
      <c r="D635">
        <v>10019</v>
      </c>
      <c r="E635" s="1">
        <v>44469</v>
      </c>
      <c r="F635" s="2">
        <f t="shared" si="54"/>
        <v>2021</v>
      </c>
      <c r="G635">
        <v>435</v>
      </c>
      <c r="H635" s="3">
        <v>44620000</v>
      </c>
      <c r="I635">
        <v>23285000</v>
      </c>
      <c r="J635">
        <v>44620000</v>
      </c>
      <c r="K635">
        <v>35290000</v>
      </c>
      <c r="L635">
        <v>32743000</v>
      </c>
      <c r="M635" t="str">
        <f t="shared" si="55"/>
        <v>Large</v>
      </c>
      <c r="N635">
        <f>VLOOKUP(C635,Lookup!$A$2:$D$5,MATCH(M635,Lookup!$A$1:$D$1,0),FALSE)</f>
        <v>0.08</v>
      </c>
      <c r="O635">
        <f t="shared" si="56"/>
        <v>2619440</v>
      </c>
      <c r="P635" s="7">
        <f t="shared" si="57"/>
        <v>0.79090094128193633</v>
      </c>
      <c r="Q635" s="7">
        <f t="shared" si="58"/>
        <v>102574.71264367815</v>
      </c>
      <c r="R635">
        <f t="shared" si="59"/>
        <v>8.8893045841859326</v>
      </c>
    </row>
    <row r="636" spans="1:18" x14ac:dyDescent="0.25">
      <c r="A636" t="s">
        <v>395</v>
      </c>
      <c r="B636" t="s">
        <v>28</v>
      </c>
      <c r="C636" t="s">
        <v>8</v>
      </c>
      <c r="D636">
        <v>60645</v>
      </c>
      <c r="E636" s="1">
        <v>43738</v>
      </c>
      <c r="F636" s="2">
        <f t="shared" si="54"/>
        <v>2019</v>
      </c>
      <c r="G636">
        <v>101</v>
      </c>
      <c r="H636" s="3">
        <v>288837</v>
      </c>
      <c r="I636">
        <v>20349</v>
      </c>
      <c r="J636">
        <v>288837</v>
      </c>
      <c r="K636">
        <v>262292</v>
      </c>
      <c r="L636">
        <v>260779</v>
      </c>
      <c r="M636" t="str">
        <f t="shared" si="55"/>
        <v>Medium</v>
      </c>
      <c r="N636">
        <f>VLOOKUP(C636,Lookup!$A$2:$D$5,MATCH(M636,Lookup!$A$1:$D$1,0),FALSE)</f>
        <v>0.08</v>
      </c>
      <c r="O636">
        <f t="shared" si="56"/>
        <v>20862.32</v>
      </c>
      <c r="P636" s="7">
        <f t="shared" si="57"/>
        <v>0.90809695433756754</v>
      </c>
      <c r="Q636" s="7">
        <f t="shared" si="58"/>
        <v>2859.772277227723</v>
      </c>
      <c r="R636">
        <f t="shared" si="59"/>
        <v>0.97539487458729424</v>
      </c>
    </row>
    <row r="637" spans="1:18" x14ac:dyDescent="0.25">
      <c r="A637" t="s">
        <v>395</v>
      </c>
      <c r="B637" t="s">
        <v>28</v>
      </c>
      <c r="C637" t="s">
        <v>8</v>
      </c>
      <c r="D637">
        <v>60645</v>
      </c>
      <c r="E637" s="1">
        <v>44104</v>
      </c>
      <c r="F637" s="2">
        <f t="shared" si="54"/>
        <v>2020</v>
      </c>
      <c r="G637">
        <v>116</v>
      </c>
      <c r="H637" s="3">
        <v>372390</v>
      </c>
      <c r="I637">
        <v>12003</v>
      </c>
      <c r="J637">
        <v>372390</v>
      </c>
      <c r="K637">
        <v>343169</v>
      </c>
      <c r="L637">
        <v>272665</v>
      </c>
      <c r="M637" t="str">
        <f t="shared" si="55"/>
        <v>Medium</v>
      </c>
      <c r="N637">
        <f>VLOOKUP(C637,Lookup!$A$2:$D$5,MATCH(M637,Lookup!$A$1:$D$1,0),FALSE)</f>
        <v>0.08</v>
      </c>
      <c r="O637">
        <f t="shared" si="56"/>
        <v>21813.200000000001</v>
      </c>
      <c r="P637" s="7">
        <f t="shared" si="57"/>
        <v>0.92153119041864717</v>
      </c>
      <c r="Q637" s="7">
        <f t="shared" si="58"/>
        <v>3210.2586206896553</v>
      </c>
      <c r="R637">
        <f t="shared" si="59"/>
        <v>0.55026314341774707</v>
      </c>
    </row>
    <row r="638" spans="1:18" x14ac:dyDescent="0.25">
      <c r="A638" t="s">
        <v>395</v>
      </c>
      <c r="B638" t="s">
        <v>28</v>
      </c>
      <c r="C638" t="s">
        <v>8</v>
      </c>
      <c r="D638">
        <v>60645</v>
      </c>
      <c r="E638" s="1">
        <v>44469</v>
      </c>
      <c r="F638" s="2">
        <f t="shared" si="54"/>
        <v>2021</v>
      </c>
      <c r="G638">
        <v>136</v>
      </c>
      <c r="H638" s="3">
        <v>448995</v>
      </c>
      <c r="I638">
        <v>12705</v>
      </c>
      <c r="J638">
        <v>448995</v>
      </c>
      <c r="K638">
        <v>418937</v>
      </c>
      <c r="L638">
        <v>339742</v>
      </c>
      <c r="M638" t="str">
        <f t="shared" si="55"/>
        <v>Medium</v>
      </c>
      <c r="N638">
        <f>VLOOKUP(C638,Lookup!$A$2:$D$5,MATCH(M638,Lookup!$A$1:$D$1,0),FALSE)</f>
        <v>0.08</v>
      </c>
      <c r="O638">
        <f t="shared" si="56"/>
        <v>27179.360000000001</v>
      </c>
      <c r="P638" s="7">
        <f t="shared" si="57"/>
        <v>0.93305493379659021</v>
      </c>
      <c r="Q638" s="7">
        <f t="shared" si="58"/>
        <v>3301.4338235294117</v>
      </c>
      <c r="R638">
        <f t="shared" si="59"/>
        <v>0.46745030052216091</v>
      </c>
    </row>
    <row r="639" spans="1:18" x14ac:dyDescent="0.25">
      <c r="A639" t="s">
        <v>396</v>
      </c>
      <c r="B639" t="s">
        <v>397</v>
      </c>
      <c r="C639" t="s">
        <v>8</v>
      </c>
      <c r="D639">
        <v>61840</v>
      </c>
      <c r="E639" s="1">
        <v>43738</v>
      </c>
      <c r="F639" s="2">
        <f t="shared" si="54"/>
        <v>2019</v>
      </c>
      <c r="G639">
        <v>9</v>
      </c>
      <c r="H639" s="3">
        <v>21861</v>
      </c>
      <c r="I639">
        <v>981</v>
      </c>
      <c r="J639">
        <v>21861</v>
      </c>
      <c r="K639">
        <v>18955</v>
      </c>
      <c r="L639">
        <v>18912</v>
      </c>
      <c r="M639" t="str">
        <f t="shared" si="55"/>
        <v>Small</v>
      </c>
      <c r="N639">
        <f>VLOOKUP(C639,Lookup!$A$2:$D$5,MATCH(M639,Lookup!$A$1:$D$1,0),FALSE)</f>
        <v>0.09</v>
      </c>
      <c r="O639">
        <f t="shared" si="56"/>
        <v>1702.08</v>
      </c>
      <c r="P639" s="7">
        <f t="shared" si="57"/>
        <v>0.8670692100086913</v>
      </c>
      <c r="Q639" s="7">
        <f t="shared" si="58"/>
        <v>2429</v>
      </c>
      <c r="R639">
        <f t="shared" si="59"/>
        <v>0.57635363790186123</v>
      </c>
    </row>
    <row r="640" spans="1:18" x14ac:dyDescent="0.25">
      <c r="A640" t="s">
        <v>396</v>
      </c>
      <c r="B640" t="s">
        <v>397</v>
      </c>
      <c r="C640" t="s">
        <v>8</v>
      </c>
      <c r="D640">
        <v>61840</v>
      </c>
      <c r="E640" s="1">
        <v>44104</v>
      </c>
      <c r="F640" s="2">
        <f t="shared" si="54"/>
        <v>2020</v>
      </c>
      <c r="G640">
        <v>7</v>
      </c>
      <c r="H640" s="3">
        <v>27433</v>
      </c>
      <c r="I640">
        <v>5785</v>
      </c>
      <c r="J640">
        <v>27433</v>
      </c>
      <c r="K640">
        <v>24395</v>
      </c>
      <c r="L640">
        <v>22349</v>
      </c>
      <c r="M640" t="str">
        <f t="shared" si="55"/>
        <v>Small</v>
      </c>
      <c r="N640">
        <f>VLOOKUP(C640,Lookup!$A$2:$D$5,MATCH(M640,Lookup!$A$1:$D$1,0),FALSE)</f>
        <v>0.09</v>
      </c>
      <c r="O640">
        <f t="shared" si="56"/>
        <v>2011.4099999999999</v>
      </c>
      <c r="P640" s="7">
        <f t="shared" si="57"/>
        <v>0.8892574636386833</v>
      </c>
      <c r="Q640" s="7">
        <f t="shared" si="58"/>
        <v>3919</v>
      </c>
      <c r="R640">
        <f t="shared" si="59"/>
        <v>2.8760918957348331</v>
      </c>
    </row>
    <row r="641" spans="1:18" x14ac:dyDescent="0.25">
      <c r="A641" t="s">
        <v>396</v>
      </c>
      <c r="B641" t="s">
        <v>397</v>
      </c>
      <c r="C641" t="s">
        <v>8</v>
      </c>
      <c r="D641">
        <v>61840</v>
      </c>
      <c r="E641" s="1">
        <v>44469</v>
      </c>
      <c r="F641" s="2">
        <f t="shared" si="54"/>
        <v>2021</v>
      </c>
      <c r="G641">
        <v>7</v>
      </c>
      <c r="H641" s="3">
        <v>27412</v>
      </c>
      <c r="I641">
        <v>3799</v>
      </c>
      <c r="J641">
        <v>27412</v>
      </c>
      <c r="K641">
        <v>24321</v>
      </c>
      <c r="L641">
        <v>24291</v>
      </c>
      <c r="M641" t="str">
        <f t="shared" si="55"/>
        <v>Small</v>
      </c>
      <c r="N641">
        <f>VLOOKUP(C641,Lookup!$A$2:$D$5,MATCH(M641,Lookup!$A$1:$D$1,0),FALSE)</f>
        <v>0.09</v>
      </c>
      <c r="O641">
        <f t="shared" si="56"/>
        <v>2186.19</v>
      </c>
      <c r="P641" s="7">
        <f t="shared" si="57"/>
        <v>0.887239165329053</v>
      </c>
      <c r="Q641" s="7">
        <f t="shared" si="58"/>
        <v>3916</v>
      </c>
      <c r="R641">
        <f t="shared" si="59"/>
        <v>1.7377263641312053</v>
      </c>
    </row>
    <row r="642" spans="1:18" x14ac:dyDescent="0.25">
      <c r="A642" t="s">
        <v>398</v>
      </c>
      <c r="B642" t="s">
        <v>384</v>
      </c>
      <c r="C642" t="s">
        <v>8</v>
      </c>
      <c r="D642">
        <v>62401</v>
      </c>
      <c r="E642" s="1">
        <v>43738</v>
      </c>
      <c r="F642" s="2">
        <f t="shared" ref="F642:F705" si="60">YEAR(E642)</f>
        <v>2019</v>
      </c>
      <c r="G642">
        <v>123</v>
      </c>
      <c r="H642" s="3">
        <v>709133</v>
      </c>
      <c r="I642">
        <v>20341</v>
      </c>
      <c r="J642">
        <v>709133</v>
      </c>
      <c r="K642">
        <v>636438</v>
      </c>
      <c r="L642">
        <v>567703</v>
      </c>
      <c r="M642" t="str">
        <f t="shared" ref="M642:M705" si="61">IF(H642&gt;1000000,"Large",IF(H642&lt;100000,"Small","Medium"))</f>
        <v>Medium</v>
      </c>
      <c r="N642">
        <f>VLOOKUP(C642,Lookup!$A$2:$D$5,MATCH(M642,Lookup!$A$1:$D$1,0),FALSE)</f>
        <v>0.08</v>
      </c>
      <c r="O642">
        <f t="shared" ref="O642:O705" si="62">L642*N642</f>
        <v>45416.24</v>
      </c>
      <c r="P642" s="7">
        <f t="shared" ref="P642:P705" si="63">K642/H642</f>
        <v>0.89748749529354865</v>
      </c>
      <c r="Q642" s="7">
        <f t="shared" ref="Q642:Q705" si="64">H642/G642</f>
        <v>5765.3089430894306</v>
      </c>
      <c r="R642">
        <f t="shared" ref="R642:R705" si="65">I642/O642</f>
        <v>0.4478794369591142</v>
      </c>
    </row>
    <row r="643" spans="1:18" x14ac:dyDescent="0.25">
      <c r="A643" t="s">
        <v>398</v>
      </c>
      <c r="B643" t="s">
        <v>384</v>
      </c>
      <c r="C643" t="s">
        <v>8</v>
      </c>
      <c r="D643">
        <v>62401</v>
      </c>
      <c r="E643" s="1">
        <v>44104</v>
      </c>
      <c r="F643" s="2">
        <f t="shared" si="60"/>
        <v>2020</v>
      </c>
      <c r="G643">
        <v>164</v>
      </c>
      <c r="H643" s="3">
        <v>1090781</v>
      </c>
      <c r="I643">
        <v>149959</v>
      </c>
      <c r="J643">
        <v>1090781</v>
      </c>
      <c r="K643">
        <v>979309</v>
      </c>
      <c r="L643">
        <v>911072</v>
      </c>
      <c r="M643" t="str">
        <f t="shared" si="61"/>
        <v>Large</v>
      </c>
      <c r="N643">
        <f>VLOOKUP(C643,Lookup!$A$2:$D$5,MATCH(M643,Lookup!$A$1:$D$1,0),FALSE)</f>
        <v>7.4999999999999997E-2</v>
      </c>
      <c r="O643">
        <f t="shared" si="62"/>
        <v>68330.399999999994</v>
      </c>
      <c r="P643" s="7">
        <f t="shared" si="63"/>
        <v>0.89780533397629769</v>
      </c>
      <c r="Q643" s="7">
        <f t="shared" si="64"/>
        <v>6651.1036585365855</v>
      </c>
      <c r="R643">
        <f t="shared" si="65"/>
        <v>2.1946161591326847</v>
      </c>
    </row>
    <row r="644" spans="1:18" x14ac:dyDescent="0.25">
      <c r="A644" t="s">
        <v>398</v>
      </c>
      <c r="B644" t="s">
        <v>384</v>
      </c>
      <c r="C644" t="s">
        <v>8</v>
      </c>
      <c r="D644">
        <v>62401</v>
      </c>
      <c r="E644" s="1">
        <v>44469</v>
      </c>
      <c r="F644" s="2">
        <f t="shared" si="60"/>
        <v>2021</v>
      </c>
      <c r="G644">
        <v>170</v>
      </c>
      <c r="H644" s="3">
        <v>1275264</v>
      </c>
      <c r="I644">
        <v>152243</v>
      </c>
      <c r="J644">
        <v>1275264</v>
      </c>
      <c r="K644">
        <v>1153974</v>
      </c>
      <c r="L644">
        <v>1063995</v>
      </c>
      <c r="M644" t="str">
        <f t="shared" si="61"/>
        <v>Large</v>
      </c>
      <c r="N644">
        <f>VLOOKUP(C644,Lookup!$A$2:$D$5,MATCH(M644,Lookup!$A$1:$D$1,0),FALSE)</f>
        <v>7.4999999999999997E-2</v>
      </c>
      <c r="O644">
        <f t="shared" si="62"/>
        <v>79799.625</v>
      </c>
      <c r="P644" s="7">
        <f t="shared" si="63"/>
        <v>0.90489028154170426</v>
      </c>
      <c r="Q644" s="7">
        <f t="shared" si="64"/>
        <v>7501.552941176471</v>
      </c>
      <c r="R644">
        <f t="shared" si="65"/>
        <v>1.9078159828445309</v>
      </c>
    </row>
    <row r="645" spans="1:18" x14ac:dyDescent="0.25">
      <c r="A645" t="s">
        <v>399</v>
      </c>
      <c r="B645" t="s">
        <v>400</v>
      </c>
      <c r="C645" t="s">
        <v>17</v>
      </c>
      <c r="D645">
        <v>11249</v>
      </c>
      <c r="E645" s="1">
        <v>43738</v>
      </c>
      <c r="F645" s="2">
        <f t="shared" si="60"/>
        <v>2019</v>
      </c>
      <c r="G645">
        <v>426</v>
      </c>
      <c r="H645" s="3">
        <v>6417504</v>
      </c>
      <c r="I645">
        <v>112541</v>
      </c>
      <c r="J645">
        <v>6417504</v>
      </c>
      <c r="K645">
        <v>5744326</v>
      </c>
      <c r="L645">
        <v>4545297</v>
      </c>
      <c r="M645" t="str">
        <f t="shared" si="61"/>
        <v>Large</v>
      </c>
      <c r="N645">
        <f>VLOOKUP(C645,Lookup!$A$2:$D$5,MATCH(M645,Lookup!$A$1:$D$1,0),FALSE)</f>
        <v>0.08</v>
      </c>
      <c r="O645">
        <f t="shared" si="62"/>
        <v>363623.76</v>
      </c>
      <c r="P645" s="7">
        <f t="shared" si="63"/>
        <v>0.89510283125651346</v>
      </c>
      <c r="Q645" s="7">
        <f t="shared" si="64"/>
        <v>15064.56338028169</v>
      </c>
      <c r="R645">
        <f t="shared" si="65"/>
        <v>0.30949847721722035</v>
      </c>
    </row>
    <row r="646" spans="1:18" x14ac:dyDescent="0.25">
      <c r="A646" t="s">
        <v>399</v>
      </c>
      <c r="B646" t="s">
        <v>400</v>
      </c>
      <c r="C646" t="s">
        <v>17</v>
      </c>
      <c r="D646">
        <v>11249</v>
      </c>
      <c r="E646" s="1">
        <v>44104</v>
      </c>
      <c r="F646" s="2">
        <f t="shared" si="60"/>
        <v>2020</v>
      </c>
      <c r="G646">
        <v>417</v>
      </c>
      <c r="H646" s="3">
        <v>6612107</v>
      </c>
      <c r="I646">
        <v>147283</v>
      </c>
      <c r="J646">
        <v>6612107</v>
      </c>
      <c r="K646">
        <v>5925596</v>
      </c>
      <c r="L646">
        <v>4608592</v>
      </c>
      <c r="M646" t="str">
        <f t="shared" si="61"/>
        <v>Large</v>
      </c>
      <c r="N646">
        <f>VLOOKUP(C646,Lookup!$A$2:$D$5,MATCH(M646,Lookup!$A$1:$D$1,0),FALSE)</f>
        <v>0.08</v>
      </c>
      <c r="O646">
        <f t="shared" si="62"/>
        <v>368687.35999999999</v>
      </c>
      <c r="P646" s="7">
        <f t="shared" si="63"/>
        <v>0.89617364026323232</v>
      </c>
      <c r="Q646" s="7">
        <f t="shared" si="64"/>
        <v>15856.371702637889</v>
      </c>
      <c r="R646">
        <f t="shared" si="65"/>
        <v>0.39947938546089568</v>
      </c>
    </row>
    <row r="647" spans="1:18" x14ac:dyDescent="0.25">
      <c r="A647" t="s">
        <v>399</v>
      </c>
      <c r="B647" t="s">
        <v>1389</v>
      </c>
      <c r="C647" t="s">
        <v>17</v>
      </c>
      <c r="D647">
        <v>11788</v>
      </c>
      <c r="E647" s="1">
        <v>44469</v>
      </c>
      <c r="F647" s="2">
        <f t="shared" si="60"/>
        <v>2021</v>
      </c>
      <c r="G647">
        <v>787</v>
      </c>
      <c r="H647" s="3">
        <v>12350102</v>
      </c>
      <c r="I647">
        <v>623764</v>
      </c>
      <c r="J647">
        <v>12350102</v>
      </c>
      <c r="K647">
        <v>11006898</v>
      </c>
      <c r="L647">
        <v>10728041</v>
      </c>
      <c r="M647" t="str">
        <f t="shared" si="61"/>
        <v>Large</v>
      </c>
      <c r="N647">
        <f>VLOOKUP(C647,Lookup!$A$2:$D$5,MATCH(M647,Lookup!$A$1:$D$1,0),FALSE)</f>
        <v>0.08</v>
      </c>
      <c r="O647">
        <f t="shared" si="62"/>
        <v>858243.28</v>
      </c>
      <c r="P647" s="7">
        <f t="shared" si="63"/>
        <v>0.89123944077546891</v>
      </c>
      <c r="Q647" s="7">
        <f t="shared" si="64"/>
        <v>15692.632782719187</v>
      </c>
      <c r="R647">
        <f t="shared" si="65"/>
        <v>0.72679159223944056</v>
      </c>
    </row>
    <row r="648" spans="1:18" x14ac:dyDescent="0.25">
      <c r="A648" t="s">
        <v>401</v>
      </c>
      <c r="B648" t="s">
        <v>402</v>
      </c>
      <c r="C648" t="s">
        <v>8</v>
      </c>
      <c r="D648">
        <v>62832</v>
      </c>
      <c r="E648" s="1">
        <v>43738</v>
      </c>
      <c r="F648" s="2">
        <f t="shared" si="60"/>
        <v>2019</v>
      </c>
      <c r="G648">
        <v>19</v>
      </c>
      <c r="H648" s="3">
        <v>108365</v>
      </c>
      <c r="I648">
        <v>4373</v>
      </c>
      <c r="J648">
        <v>108365</v>
      </c>
      <c r="K648">
        <v>93492</v>
      </c>
      <c r="L648">
        <v>83328</v>
      </c>
      <c r="M648" t="str">
        <f t="shared" si="61"/>
        <v>Medium</v>
      </c>
      <c r="N648">
        <f>VLOOKUP(C648,Lookup!$A$2:$D$5,MATCH(M648,Lookup!$A$1:$D$1,0),FALSE)</f>
        <v>0.08</v>
      </c>
      <c r="O648">
        <f t="shared" si="62"/>
        <v>6666.24</v>
      </c>
      <c r="P648" s="7">
        <f t="shared" si="63"/>
        <v>0.86275088820191026</v>
      </c>
      <c r="Q648" s="7">
        <f t="shared" si="64"/>
        <v>5703.4210526315792</v>
      </c>
      <c r="R648">
        <f t="shared" si="65"/>
        <v>0.65599198348694321</v>
      </c>
    </row>
    <row r="649" spans="1:18" x14ac:dyDescent="0.25">
      <c r="A649" t="s">
        <v>401</v>
      </c>
      <c r="B649" t="s">
        <v>402</v>
      </c>
      <c r="C649" t="s">
        <v>8</v>
      </c>
      <c r="D649">
        <v>62832</v>
      </c>
      <c r="E649" s="1">
        <v>44104</v>
      </c>
      <c r="F649" s="2">
        <f t="shared" si="60"/>
        <v>2020</v>
      </c>
      <c r="G649">
        <v>19</v>
      </c>
      <c r="H649" s="3">
        <v>119776</v>
      </c>
      <c r="I649">
        <v>1065</v>
      </c>
      <c r="J649">
        <v>119776</v>
      </c>
      <c r="K649">
        <v>100852</v>
      </c>
      <c r="L649">
        <v>88237</v>
      </c>
      <c r="M649" t="str">
        <f t="shared" si="61"/>
        <v>Medium</v>
      </c>
      <c r="N649">
        <f>VLOOKUP(C649,Lookup!$A$2:$D$5,MATCH(M649,Lookup!$A$1:$D$1,0),FALSE)</f>
        <v>0.08</v>
      </c>
      <c r="O649">
        <f t="shared" si="62"/>
        <v>7058.96</v>
      </c>
      <c r="P649" s="7">
        <f t="shared" si="63"/>
        <v>0.84200507614213194</v>
      </c>
      <c r="Q649" s="7">
        <f t="shared" si="64"/>
        <v>6304</v>
      </c>
      <c r="R649">
        <f t="shared" si="65"/>
        <v>0.15087208313972597</v>
      </c>
    </row>
    <row r="650" spans="1:18" x14ac:dyDescent="0.25">
      <c r="A650" t="s">
        <v>401</v>
      </c>
      <c r="B650" t="s">
        <v>402</v>
      </c>
      <c r="C650" t="s">
        <v>8</v>
      </c>
      <c r="D650">
        <v>62832</v>
      </c>
      <c r="E650" s="1">
        <v>44469</v>
      </c>
      <c r="F650" s="2">
        <f t="shared" si="60"/>
        <v>2021</v>
      </c>
      <c r="G650">
        <v>17</v>
      </c>
      <c r="H650" s="3">
        <v>132295</v>
      </c>
      <c r="I650">
        <v>2374</v>
      </c>
      <c r="J650">
        <v>132295</v>
      </c>
      <c r="K650">
        <v>113962</v>
      </c>
      <c r="L650">
        <v>102753</v>
      </c>
      <c r="M650" t="str">
        <f t="shared" si="61"/>
        <v>Medium</v>
      </c>
      <c r="N650">
        <f>VLOOKUP(C650,Lookup!$A$2:$D$5,MATCH(M650,Lookup!$A$1:$D$1,0),FALSE)</f>
        <v>0.08</v>
      </c>
      <c r="O650">
        <f t="shared" si="62"/>
        <v>8220.24</v>
      </c>
      <c r="P650" s="7">
        <f t="shared" si="63"/>
        <v>0.8614233342152009</v>
      </c>
      <c r="Q650" s="7">
        <f t="shared" si="64"/>
        <v>7782.0588235294117</v>
      </c>
      <c r="R650">
        <f t="shared" si="65"/>
        <v>0.28879935379015698</v>
      </c>
    </row>
    <row r="651" spans="1:18" x14ac:dyDescent="0.25">
      <c r="A651" t="s">
        <v>403</v>
      </c>
      <c r="B651" t="s">
        <v>404</v>
      </c>
      <c r="C651" t="s">
        <v>8</v>
      </c>
      <c r="D651">
        <v>61024</v>
      </c>
      <c r="E651" s="1">
        <v>43738</v>
      </c>
      <c r="F651" s="2">
        <f t="shared" si="60"/>
        <v>2019</v>
      </c>
      <c r="G651">
        <v>21</v>
      </c>
      <c r="H651" s="3">
        <v>105849</v>
      </c>
      <c r="I651">
        <v>12082</v>
      </c>
      <c r="J651">
        <v>105849</v>
      </c>
      <c r="K651">
        <v>93770</v>
      </c>
      <c r="L651">
        <v>93257</v>
      </c>
      <c r="M651" t="str">
        <f t="shared" si="61"/>
        <v>Medium</v>
      </c>
      <c r="N651">
        <f>VLOOKUP(C651,Lookup!$A$2:$D$5,MATCH(M651,Lookup!$A$1:$D$1,0),FALSE)</f>
        <v>0.08</v>
      </c>
      <c r="O651">
        <f t="shared" si="62"/>
        <v>7460.56</v>
      </c>
      <c r="P651" s="7">
        <f t="shared" si="63"/>
        <v>0.88588460920745593</v>
      </c>
      <c r="Q651" s="7">
        <f t="shared" si="64"/>
        <v>5040.4285714285716</v>
      </c>
      <c r="R651">
        <f t="shared" si="65"/>
        <v>1.6194494783233429</v>
      </c>
    </row>
    <row r="652" spans="1:18" x14ac:dyDescent="0.25">
      <c r="A652" t="s">
        <v>403</v>
      </c>
      <c r="B652" t="s">
        <v>404</v>
      </c>
      <c r="C652" t="s">
        <v>8</v>
      </c>
      <c r="D652">
        <v>61024</v>
      </c>
      <c r="E652" s="1">
        <v>44104</v>
      </c>
      <c r="F652" s="2">
        <f t="shared" si="60"/>
        <v>2020</v>
      </c>
      <c r="G652">
        <v>20</v>
      </c>
      <c r="H652" s="3">
        <v>118450</v>
      </c>
      <c r="I652">
        <v>27559</v>
      </c>
      <c r="J652">
        <v>118450</v>
      </c>
      <c r="K652">
        <v>105389</v>
      </c>
      <c r="L652">
        <v>104717</v>
      </c>
      <c r="M652" t="str">
        <f t="shared" si="61"/>
        <v>Medium</v>
      </c>
      <c r="N652">
        <f>VLOOKUP(C652,Lookup!$A$2:$D$5,MATCH(M652,Lookup!$A$1:$D$1,0),FALSE)</f>
        <v>0.08</v>
      </c>
      <c r="O652">
        <f t="shared" si="62"/>
        <v>8377.36</v>
      </c>
      <c r="P652" s="7">
        <f t="shared" si="63"/>
        <v>0.88973406500633179</v>
      </c>
      <c r="Q652" s="7">
        <f t="shared" si="64"/>
        <v>5922.5</v>
      </c>
      <c r="R652">
        <f t="shared" si="65"/>
        <v>3.2896998577117373</v>
      </c>
    </row>
    <row r="653" spans="1:18" x14ac:dyDescent="0.25">
      <c r="A653" t="s">
        <v>403</v>
      </c>
      <c r="B653" t="s">
        <v>404</v>
      </c>
      <c r="C653" t="s">
        <v>8</v>
      </c>
      <c r="D653">
        <v>61024</v>
      </c>
      <c r="E653" s="1">
        <v>44469</v>
      </c>
      <c r="F653" s="2">
        <f t="shared" si="60"/>
        <v>2021</v>
      </c>
      <c r="G653">
        <v>20</v>
      </c>
      <c r="H653" s="3">
        <v>138670</v>
      </c>
      <c r="I653">
        <v>32128</v>
      </c>
      <c r="J653">
        <v>138670</v>
      </c>
      <c r="K653">
        <v>122043</v>
      </c>
      <c r="L653">
        <v>121420</v>
      </c>
      <c r="M653" t="str">
        <f t="shared" si="61"/>
        <v>Medium</v>
      </c>
      <c r="N653">
        <f>VLOOKUP(C653,Lookup!$A$2:$D$5,MATCH(M653,Lookup!$A$1:$D$1,0),FALSE)</f>
        <v>0.08</v>
      </c>
      <c r="O653">
        <f t="shared" si="62"/>
        <v>9713.6</v>
      </c>
      <c r="P653" s="7">
        <f t="shared" si="63"/>
        <v>0.88009663229249302</v>
      </c>
      <c r="Q653" s="7">
        <f t="shared" si="64"/>
        <v>6933.5</v>
      </c>
      <c r="R653">
        <f t="shared" si="65"/>
        <v>3.3075275901828363</v>
      </c>
    </row>
    <row r="654" spans="1:18" x14ac:dyDescent="0.25">
      <c r="A654" t="s">
        <v>405</v>
      </c>
      <c r="B654" t="s">
        <v>406</v>
      </c>
      <c r="C654" t="s">
        <v>20</v>
      </c>
      <c r="D654">
        <v>2149</v>
      </c>
      <c r="E654" s="1">
        <v>43738</v>
      </c>
      <c r="F654" s="2">
        <f t="shared" si="60"/>
        <v>2019</v>
      </c>
      <c r="G654">
        <v>74</v>
      </c>
      <c r="H654" s="3">
        <v>459745</v>
      </c>
      <c r="I654">
        <v>20246</v>
      </c>
      <c r="J654">
        <v>459745</v>
      </c>
      <c r="K654">
        <v>405721</v>
      </c>
      <c r="L654">
        <v>401206</v>
      </c>
      <c r="M654" t="str">
        <f t="shared" si="61"/>
        <v>Medium</v>
      </c>
      <c r="N654">
        <f>VLOOKUP(C654,Lookup!$A$2:$D$5,MATCH(M654,Lookup!$A$1:$D$1,0),FALSE)</f>
        <v>8.5000000000000006E-2</v>
      </c>
      <c r="O654">
        <f t="shared" si="62"/>
        <v>34102.51</v>
      </c>
      <c r="P654" s="7">
        <f t="shared" si="63"/>
        <v>0.88249138109169212</v>
      </c>
      <c r="Q654" s="7">
        <f t="shared" si="64"/>
        <v>6212.77027027027</v>
      </c>
      <c r="R654">
        <f t="shared" si="65"/>
        <v>0.5936806411023704</v>
      </c>
    </row>
    <row r="655" spans="1:18" x14ac:dyDescent="0.25">
      <c r="A655" t="s">
        <v>405</v>
      </c>
      <c r="B655" t="s">
        <v>406</v>
      </c>
      <c r="C655" t="s">
        <v>20</v>
      </c>
      <c r="D655">
        <v>2149</v>
      </c>
      <c r="E655" s="1">
        <v>44104</v>
      </c>
      <c r="F655" s="2">
        <f t="shared" si="60"/>
        <v>2020</v>
      </c>
      <c r="G655">
        <v>75</v>
      </c>
      <c r="H655" s="3">
        <v>501398</v>
      </c>
      <c r="I655">
        <v>46834</v>
      </c>
      <c r="J655">
        <v>501398</v>
      </c>
      <c r="K655">
        <v>444369</v>
      </c>
      <c r="L655">
        <v>440040</v>
      </c>
      <c r="M655" t="str">
        <f t="shared" si="61"/>
        <v>Medium</v>
      </c>
      <c r="N655">
        <f>VLOOKUP(C655,Lookup!$A$2:$D$5,MATCH(M655,Lookup!$A$1:$D$1,0),FALSE)</f>
        <v>8.5000000000000006E-2</v>
      </c>
      <c r="O655">
        <f t="shared" si="62"/>
        <v>37403.4</v>
      </c>
      <c r="P655" s="7">
        <f t="shared" si="63"/>
        <v>0.88626001699248902</v>
      </c>
      <c r="Q655" s="7">
        <f t="shared" si="64"/>
        <v>6685.3066666666664</v>
      </c>
      <c r="R655">
        <f t="shared" si="65"/>
        <v>1.2521321591085302</v>
      </c>
    </row>
    <row r="656" spans="1:18" x14ac:dyDescent="0.25">
      <c r="A656" t="s">
        <v>405</v>
      </c>
      <c r="B656" t="s">
        <v>406</v>
      </c>
      <c r="C656" t="s">
        <v>20</v>
      </c>
      <c r="D656">
        <v>2149</v>
      </c>
      <c r="E656" s="1">
        <v>44469</v>
      </c>
      <c r="F656" s="2">
        <f t="shared" si="60"/>
        <v>2021</v>
      </c>
      <c r="G656">
        <v>74</v>
      </c>
      <c r="H656" s="3">
        <v>543608</v>
      </c>
      <c r="I656">
        <v>32947</v>
      </c>
      <c r="J656">
        <v>543608</v>
      </c>
      <c r="K656">
        <v>484017</v>
      </c>
      <c r="L656">
        <v>480094</v>
      </c>
      <c r="M656" t="str">
        <f t="shared" si="61"/>
        <v>Medium</v>
      </c>
      <c r="N656">
        <f>VLOOKUP(C656,Lookup!$A$2:$D$5,MATCH(M656,Lookup!$A$1:$D$1,0),FALSE)</f>
        <v>8.5000000000000006E-2</v>
      </c>
      <c r="O656">
        <f t="shared" si="62"/>
        <v>40807.990000000005</v>
      </c>
      <c r="P656" s="7">
        <f t="shared" si="63"/>
        <v>0.89037872878986324</v>
      </c>
      <c r="Q656" s="7">
        <f t="shared" si="64"/>
        <v>7346.0540540540542</v>
      </c>
      <c r="R656">
        <f t="shared" si="65"/>
        <v>0.80736640055048037</v>
      </c>
    </row>
    <row r="657" spans="1:18" x14ac:dyDescent="0.25">
      <c r="A657" t="s">
        <v>407</v>
      </c>
      <c r="B657" t="s">
        <v>26</v>
      </c>
      <c r="C657" t="s">
        <v>20</v>
      </c>
      <c r="D657">
        <v>2128</v>
      </c>
      <c r="E657" s="1">
        <v>43738</v>
      </c>
      <c r="F657" s="2">
        <f t="shared" si="60"/>
        <v>2019</v>
      </c>
      <c r="G657">
        <v>514</v>
      </c>
      <c r="H657" s="3">
        <v>6352561</v>
      </c>
      <c r="I657">
        <v>417818</v>
      </c>
      <c r="J657">
        <v>6352561</v>
      </c>
      <c r="K657">
        <v>5687789</v>
      </c>
      <c r="L657">
        <v>4976379</v>
      </c>
      <c r="M657" t="str">
        <f t="shared" si="61"/>
        <v>Large</v>
      </c>
      <c r="N657">
        <f>VLOOKUP(C657,Lookup!$A$2:$D$5,MATCH(M657,Lookup!$A$1:$D$1,0),FALSE)</f>
        <v>0.08</v>
      </c>
      <c r="O657">
        <f t="shared" si="62"/>
        <v>398110.32</v>
      </c>
      <c r="P657" s="7">
        <f t="shared" si="63"/>
        <v>0.89535370065710507</v>
      </c>
      <c r="Q657" s="7">
        <f t="shared" si="64"/>
        <v>12359.068093385215</v>
      </c>
      <c r="R657">
        <f t="shared" si="65"/>
        <v>1.0495030623672352</v>
      </c>
    </row>
    <row r="658" spans="1:18" x14ac:dyDescent="0.25">
      <c r="A658" t="s">
        <v>407</v>
      </c>
      <c r="B658" t="s">
        <v>26</v>
      </c>
      <c r="C658" t="s">
        <v>20</v>
      </c>
      <c r="D658">
        <v>2128</v>
      </c>
      <c r="E658" s="1">
        <v>44104</v>
      </c>
      <c r="F658" s="2">
        <f t="shared" si="60"/>
        <v>2020</v>
      </c>
      <c r="G658">
        <v>472</v>
      </c>
      <c r="H658" s="3">
        <v>6566449</v>
      </c>
      <c r="I658">
        <v>702138</v>
      </c>
      <c r="J658">
        <v>6566449</v>
      </c>
      <c r="K658">
        <v>5849715</v>
      </c>
      <c r="L658">
        <v>4967844</v>
      </c>
      <c r="M658" t="str">
        <f t="shared" si="61"/>
        <v>Large</v>
      </c>
      <c r="N658">
        <f>VLOOKUP(C658,Lookup!$A$2:$D$5,MATCH(M658,Lookup!$A$1:$D$1,0),FALSE)</f>
        <v>0.08</v>
      </c>
      <c r="O658">
        <f t="shared" si="62"/>
        <v>397427.52</v>
      </c>
      <c r="P658" s="7">
        <f t="shared" si="63"/>
        <v>0.89084907230681298</v>
      </c>
      <c r="Q658" s="7">
        <f t="shared" si="64"/>
        <v>13911.968220338984</v>
      </c>
      <c r="R658">
        <f t="shared" si="65"/>
        <v>1.766707046356528</v>
      </c>
    </row>
    <row r="659" spans="1:18" x14ac:dyDescent="0.25">
      <c r="A659" t="s">
        <v>407</v>
      </c>
      <c r="B659" t="s">
        <v>26</v>
      </c>
      <c r="C659" t="s">
        <v>20</v>
      </c>
      <c r="D659">
        <v>2128</v>
      </c>
      <c r="E659" s="1">
        <v>44469</v>
      </c>
      <c r="F659" s="2">
        <f t="shared" si="60"/>
        <v>2021</v>
      </c>
      <c r="G659">
        <v>427</v>
      </c>
      <c r="H659" s="3">
        <v>6127605</v>
      </c>
      <c r="I659">
        <v>1052553</v>
      </c>
      <c r="J659">
        <v>6127605</v>
      </c>
      <c r="K659">
        <v>5364824</v>
      </c>
      <c r="L659">
        <v>4730515</v>
      </c>
      <c r="M659" t="str">
        <f t="shared" si="61"/>
        <v>Large</v>
      </c>
      <c r="N659">
        <f>VLOOKUP(C659,Lookup!$A$2:$D$5,MATCH(M659,Lookup!$A$1:$D$1,0),FALSE)</f>
        <v>0.08</v>
      </c>
      <c r="O659">
        <f t="shared" si="62"/>
        <v>378441.2</v>
      </c>
      <c r="P659" s="7">
        <f t="shared" si="63"/>
        <v>0.87551726979790634</v>
      </c>
      <c r="Q659" s="7">
        <f t="shared" si="64"/>
        <v>14350.36299765808</v>
      </c>
      <c r="R659">
        <f t="shared" si="65"/>
        <v>2.7812854414371375</v>
      </c>
    </row>
    <row r="660" spans="1:18" x14ac:dyDescent="0.25">
      <c r="A660" t="s">
        <v>408</v>
      </c>
      <c r="B660" t="s">
        <v>238</v>
      </c>
      <c r="C660" t="s">
        <v>20</v>
      </c>
      <c r="D660">
        <v>2141</v>
      </c>
      <c r="E660" s="1">
        <v>43738</v>
      </c>
      <c r="F660" s="2">
        <f t="shared" si="60"/>
        <v>2019</v>
      </c>
      <c r="G660">
        <v>146</v>
      </c>
      <c r="H660" s="3">
        <v>1136811</v>
      </c>
      <c r="I660">
        <v>90648</v>
      </c>
      <c r="J660">
        <v>1136811</v>
      </c>
      <c r="K660">
        <v>1021806</v>
      </c>
      <c r="L660">
        <v>942991</v>
      </c>
      <c r="M660" t="str">
        <f t="shared" si="61"/>
        <v>Large</v>
      </c>
      <c r="N660">
        <f>VLOOKUP(C660,Lookup!$A$2:$D$5,MATCH(M660,Lookup!$A$1:$D$1,0),FALSE)</f>
        <v>0.08</v>
      </c>
      <c r="O660">
        <f t="shared" si="62"/>
        <v>75439.28</v>
      </c>
      <c r="P660" s="7">
        <f t="shared" si="63"/>
        <v>0.89883542646930759</v>
      </c>
      <c r="Q660" s="7">
        <f t="shared" si="64"/>
        <v>7786.3767123287671</v>
      </c>
      <c r="R660">
        <f t="shared" si="65"/>
        <v>1.2016021361815754</v>
      </c>
    </row>
    <row r="661" spans="1:18" x14ac:dyDescent="0.25">
      <c r="A661" t="s">
        <v>408</v>
      </c>
      <c r="B661" t="s">
        <v>238</v>
      </c>
      <c r="C661" t="s">
        <v>20</v>
      </c>
      <c r="D661">
        <v>2141</v>
      </c>
      <c r="E661" s="1">
        <v>44104</v>
      </c>
      <c r="F661" s="2">
        <f t="shared" si="60"/>
        <v>2020</v>
      </c>
      <c r="G661">
        <v>148</v>
      </c>
      <c r="H661" s="3">
        <v>1199451</v>
      </c>
      <c r="I661">
        <v>106204</v>
      </c>
      <c r="J661">
        <v>1199451</v>
      </c>
      <c r="K661">
        <v>1080440</v>
      </c>
      <c r="L661">
        <v>1031137</v>
      </c>
      <c r="M661" t="str">
        <f t="shared" si="61"/>
        <v>Large</v>
      </c>
      <c r="N661">
        <f>VLOOKUP(C661,Lookup!$A$2:$D$5,MATCH(M661,Lookup!$A$1:$D$1,0),FALSE)</f>
        <v>0.08</v>
      </c>
      <c r="O661">
        <f t="shared" si="62"/>
        <v>82490.960000000006</v>
      </c>
      <c r="P661" s="7">
        <f t="shared" si="63"/>
        <v>0.90077877295529374</v>
      </c>
      <c r="Q661" s="7">
        <f t="shared" si="64"/>
        <v>8104.3986486486483</v>
      </c>
      <c r="R661">
        <f t="shared" si="65"/>
        <v>1.2874622867766359</v>
      </c>
    </row>
    <row r="662" spans="1:18" x14ac:dyDescent="0.25">
      <c r="A662" t="s">
        <v>408</v>
      </c>
      <c r="B662" t="s">
        <v>238</v>
      </c>
      <c r="C662" t="s">
        <v>20</v>
      </c>
      <c r="D662">
        <v>2141</v>
      </c>
      <c r="E662" s="1">
        <v>44469</v>
      </c>
      <c r="F662" s="2">
        <f t="shared" si="60"/>
        <v>2021</v>
      </c>
      <c r="G662">
        <v>151</v>
      </c>
      <c r="H662" s="3">
        <v>1285805</v>
      </c>
      <c r="I662">
        <v>69313</v>
      </c>
      <c r="J662">
        <v>1285805</v>
      </c>
      <c r="K662">
        <v>1156883</v>
      </c>
      <c r="L662">
        <v>1132378</v>
      </c>
      <c r="M662" t="str">
        <f t="shared" si="61"/>
        <v>Large</v>
      </c>
      <c r="N662">
        <f>VLOOKUP(C662,Lookup!$A$2:$D$5,MATCH(M662,Lookup!$A$1:$D$1,0),FALSE)</f>
        <v>0.08</v>
      </c>
      <c r="O662">
        <f t="shared" si="62"/>
        <v>90590.24</v>
      </c>
      <c r="P662" s="7">
        <f t="shared" si="63"/>
        <v>0.89973440762790624</v>
      </c>
      <c r="Q662" s="7">
        <f t="shared" si="64"/>
        <v>8515.2649006622523</v>
      </c>
      <c r="R662">
        <f t="shared" si="65"/>
        <v>0.76512657434178333</v>
      </c>
    </row>
    <row r="663" spans="1:18" x14ac:dyDescent="0.25">
      <c r="A663" t="s">
        <v>409</v>
      </c>
      <c r="B663" t="s">
        <v>293</v>
      </c>
      <c r="C663" t="s">
        <v>5</v>
      </c>
      <c r="D663">
        <v>91101</v>
      </c>
      <c r="E663" s="1">
        <v>43738</v>
      </c>
      <c r="F663" s="2">
        <f t="shared" si="60"/>
        <v>2019</v>
      </c>
      <c r="G663">
        <v>3282</v>
      </c>
      <c r="H663" s="3">
        <v>43243487</v>
      </c>
      <c r="I663">
        <v>3199088</v>
      </c>
      <c r="J663">
        <v>43243487</v>
      </c>
      <c r="K663">
        <v>38383877</v>
      </c>
      <c r="L663">
        <v>36856012</v>
      </c>
      <c r="M663" t="str">
        <f t="shared" si="61"/>
        <v>Large</v>
      </c>
      <c r="N663">
        <f>VLOOKUP(C663,Lookup!$A$2:$D$5,MATCH(M663,Lookup!$A$1:$D$1,0),FALSE)</f>
        <v>0.08</v>
      </c>
      <c r="O663">
        <f t="shared" si="62"/>
        <v>2948480.96</v>
      </c>
      <c r="P663" s="7">
        <f t="shared" si="63"/>
        <v>0.88762215220988072</v>
      </c>
      <c r="Q663" s="7">
        <f t="shared" si="64"/>
        <v>13175.955819622182</v>
      </c>
      <c r="R663">
        <f t="shared" si="65"/>
        <v>1.0849953055148778</v>
      </c>
    </row>
    <row r="664" spans="1:18" x14ac:dyDescent="0.25">
      <c r="A664" t="s">
        <v>409</v>
      </c>
      <c r="B664" t="s">
        <v>293</v>
      </c>
      <c r="C664" t="s">
        <v>5</v>
      </c>
      <c r="D664">
        <v>91101</v>
      </c>
      <c r="E664" s="1">
        <v>44104</v>
      </c>
      <c r="F664" s="2">
        <f t="shared" si="60"/>
        <v>2020</v>
      </c>
      <c r="G664">
        <v>3208</v>
      </c>
      <c r="H664" s="3">
        <v>50396229</v>
      </c>
      <c r="I664">
        <v>5205637</v>
      </c>
      <c r="J664">
        <v>50396229</v>
      </c>
      <c r="K664">
        <v>45530709</v>
      </c>
      <c r="L664">
        <v>42169284</v>
      </c>
      <c r="M664" t="str">
        <f t="shared" si="61"/>
        <v>Large</v>
      </c>
      <c r="N664">
        <f>VLOOKUP(C664,Lookup!$A$2:$D$5,MATCH(M664,Lookup!$A$1:$D$1,0),FALSE)</f>
        <v>0.08</v>
      </c>
      <c r="O664">
        <f t="shared" si="62"/>
        <v>3373542.72</v>
      </c>
      <c r="P664" s="7">
        <f t="shared" si="63"/>
        <v>0.90345468110322302</v>
      </c>
      <c r="Q664" s="7">
        <f t="shared" si="64"/>
        <v>15709.547693266833</v>
      </c>
      <c r="R664">
        <f t="shared" si="65"/>
        <v>1.5430772431421884</v>
      </c>
    </row>
    <row r="665" spans="1:18" x14ac:dyDescent="0.25">
      <c r="A665" t="s">
        <v>409</v>
      </c>
      <c r="B665" t="s">
        <v>293</v>
      </c>
      <c r="C665" t="s">
        <v>5</v>
      </c>
      <c r="D665">
        <v>91101</v>
      </c>
      <c r="E665" s="1">
        <v>44469</v>
      </c>
      <c r="F665" s="2">
        <f t="shared" si="60"/>
        <v>2021</v>
      </c>
      <c r="G665">
        <v>3085</v>
      </c>
      <c r="H665" s="3">
        <v>60941947</v>
      </c>
      <c r="I665">
        <v>5707586</v>
      </c>
      <c r="J665">
        <v>60941947</v>
      </c>
      <c r="K665">
        <v>55459943</v>
      </c>
      <c r="L665">
        <v>53774332</v>
      </c>
      <c r="M665" t="str">
        <f t="shared" si="61"/>
        <v>Large</v>
      </c>
      <c r="N665">
        <f>VLOOKUP(C665,Lookup!$A$2:$D$5,MATCH(M665,Lookup!$A$1:$D$1,0),FALSE)</f>
        <v>0.08</v>
      </c>
      <c r="O665">
        <f t="shared" si="62"/>
        <v>4301946.5600000005</v>
      </c>
      <c r="P665" s="7">
        <f t="shared" si="63"/>
        <v>0.91004547327639529</v>
      </c>
      <c r="Q665" s="7">
        <f t="shared" si="64"/>
        <v>19754.27779578606</v>
      </c>
      <c r="R665">
        <f t="shared" si="65"/>
        <v>1.3267449793704549</v>
      </c>
    </row>
    <row r="666" spans="1:18" x14ac:dyDescent="0.25">
      <c r="A666" t="s">
        <v>410</v>
      </c>
      <c r="B666" t="s">
        <v>16</v>
      </c>
      <c r="C666" t="s">
        <v>17</v>
      </c>
      <c r="D666">
        <v>10013</v>
      </c>
      <c r="E666" s="1">
        <v>43738</v>
      </c>
      <c r="F666" s="2">
        <f t="shared" si="60"/>
        <v>2019</v>
      </c>
      <c r="G666">
        <v>33</v>
      </c>
      <c r="H666" s="3">
        <v>177851</v>
      </c>
      <c r="I666">
        <v>21951</v>
      </c>
      <c r="J666">
        <v>177851</v>
      </c>
      <c r="K666">
        <v>144137</v>
      </c>
      <c r="L666">
        <v>138824</v>
      </c>
      <c r="M666" t="str">
        <f t="shared" si="61"/>
        <v>Medium</v>
      </c>
      <c r="N666">
        <f>VLOOKUP(C666,Lookup!$A$2:$D$5,MATCH(M666,Lookup!$A$1:$D$1,0),FALSE)</f>
        <v>8.5000000000000006E-2</v>
      </c>
      <c r="O666">
        <f t="shared" si="62"/>
        <v>11800.04</v>
      </c>
      <c r="P666" s="7">
        <f t="shared" si="63"/>
        <v>0.81043682633215441</v>
      </c>
      <c r="Q666" s="7">
        <f t="shared" si="64"/>
        <v>5389.424242424242</v>
      </c>
      <c r="R666">
        <f t="shared" si="65"/>
        <v>1.8602479313629443</v>
      </c>
    </row>
    <row r="667" spans="1:18" x14ac:dyDescent="0.25">
      <c r="A667" t="s">
        <v>410</v>
      </c>
      <c r="B667" t="s">
        <v>16</v>
      </c>
      <c r="C667" t="s">
        <v>17</v>
      </c>
      <c r="D667">
        <v>10013</v>
      </c>
      <c r="E667" s="1">
        <v>44104</v>
      </c>
      <c r="F667" s="2">
        <f t="shared" si="60"/>
        <v>2020</v>
      </c>
      <c r="G667">
        <v>30</v>
      </c>
      <c r="H667" s="3">
        <v>158611</v>
      </c>
      <c r="I667">
        <v>26806</v>
      </c>
      <c r="J667">
        <v>158611</v>
      </c>
      <c r="K667">
        <v>124348</v>
      </c>
      <c r="L667">
        <v>120510</v>
      </c>
      <c r="M667" t="str">
        <f t="shared" si="61"/>
        <v>Medium</v>
      </c>
      <c r="N667">
        <f>VLOOKUP(C667,Lookup!$A$2:$D$5,MATCH(M667,Lookup!$A$1:$D$1,0),FALSE)</f>
        <v>8.5000000000000006E-2</v>
      </c>
      <c r="O667">
        <f t="shared" si="62"/>
        <v>10243.35</v>
      </c>
      <c r="P667" s="7">
        <f t="shared" si="63"/>
        <v>0.78398093448751982</v>
      </c>
      <c r="Q667" s="7">
        <f t="shared" si="64"/>
        <v>5287.0333333333338</v>
      </c>
      <c r="R667">
        <f t="shared" si="65"/>
        <v>2.6169173170886477</v>
      </c>
    </row>
    <row r="668" spans="1:18" x14ac:dyDescent="0.25">
      <c r="A668" t="s">
        <v>410</v>
      </c>
      <c r="B668" t="s">
        <v>16</v>
      </c>
      <c r="C668" t="s">
        <v>17</v>
      </c>
      <c r="D668">
        <v>10013</v>
      </c>
      <c r="E668" s="1">
        <v>44469</v>
      </c>
      <c r="F668" s="2">
        <f t="shared" si="60"/>
        <v>2021</v>
      </c>
      <c r="G668">
        <v>29</v>
      </c>
      <c r="H668" s="3">
        <v>167328</v>
      </c>
      <c r="I668">
        <v>24097</v>
      </c>
      <c r="J668">
        <v>167328</v>
      </c>
      <c r="K668">
        <v>133268</v>
      </c>
      <c r="L668">
        <v>130611</v>
      </c>
      <c r="M668" t="str">
        <f t="shared" si="61"/>
        <v>Medium</v>
      </c>
      <c r="N668">
        <f>VLOOKUP(C668,Lookup!$A$2:$D$5,MATCH(M668,Lookup!$A$1:$D$1,0),FALSE)</f>
        <v>8.5000000000000006E-2</v>
      </c>
      <c r="O668">
        <f t="shared" si="62"/>
        <v>11101.935000000001</v>
      </c>
      <c r="P668" s="7">
        <f t="shared" si="63"/>
        <v>0.79644769554408112</v>
      </c>
      <c r="Q668" s="7">
        <f t="shared" si="64"/>
        <v>5769.9310344827591</v>
      </c>
      <c r="R668">
        <f t="shared" si="65"/>
        <v>2.1705225260281202</v>
      </c>
    </row>
    <row r="669" spans="1:18" x14ac:dyDescent="0.25">
      <c r="A669" t="s">
        <v>411</v>
      </c>
      <c r="B669" t="s">
        <v>26</v>
      </c>
      <c r="C669" t="s">
        <v>20</v>
      </c>
      <c r="D669">
        <v>2110</v>
      </c>
      <c r="E669" s="1">
        <v>43738</v>
      </c>
      <c r="F669" s="2">
        <f t="shared" si="60"/>
        <v>2019</v>
      </c>
      <c r="G669">
        <v>1784</v>
      </c>
      <c r="H669" s="3">
        <v>11506995</v>
      </c>
      <c r="I669">
        <v>353640</v>
      </c>
      <c r="J669">
        <v>11506995</v>
      </c>
      <c r="K669">
        <v>9915233</v>
      </c>
      <c r="L669">
        <v>9434817</v>
      </c>
      <c r="M669" t="str">
        <f t="shared" si="61"/>
        <v>Large</v>
      </c>
      <c r="N669">
        <f>VLOOKUP(C669,Lookup!$A$2:$D$5,MATCH(M669,Lookup!$A$1:$D$1,0),FALSE)</f>
        <v>0.08</v>
      </c>
      <c r="O669">
        <f t="shared" si="62"/>
        <v>754785.36</v>
      </c>
      <c r="P669" s="7">
        <f t="shared" si="63"/>
        <v>0.86167005373687922</v>
      </c>
      <c r="Q669" s="7">
        <f t="shared" si="64"/>
        <v>6450.1093049327355</v>
      </c>
      <c r="R669">
        <f t="shared" si="65"/>
        <v>0.46853055019509121</v>
      </c>
    </row>
    <row r="670" spans="1:18" x14ac:dyDescent="0.25">
      <c r="A670" t="s">
        <v>411</v>
      </c>
      <c r="B670" t="s">
        <v>26</v>
      </c>
      <c r="C670" t="s">
        <v>20</v>
      </c>
      <c r="D670">
        <v>2110</v>
      </c>
      <c r="E670" s="1">
        <v>44104</v>
      </c>
      <c r="F670" s="2">
        <f t="shared" si="60"/>
        <v>2020</v>
      </c>
      <c r="G670">
        <v>1811</v>
      </c>
      <c r="H670" s="3">
        <v>15453689</v>
      </c>
      <c r="I670">
        <v>2329941</v>
      </c>
      <c r="J670">
        <v>15453689</v>
      </c>
      <c r="K670">
        <v>13746123</v>
      </c>
      <c r="L670">
        <v>13348964</v>
      </c>
      <c r="M670" t="str">
        <f t="shared" si="61"/>
        <v>Large</v>
      </c>
      <c r="N670">
        <f>VLOOKUP(C670,Lookup!$A$2:$D$5,MATCH(M670,Lookup!$A$1:$D$1,0),FALSE)</f>
        <v>0.08</v>
      </c>
      <c r="O670">
        <f t="shared" si="62"/>
        <v>1067917.1200000001</v>
      </c>
      <c r="P670" s="7">
        <f t="shared" si="63"/>
        <v>0.88950431188307211</v>
      </c>
      <c r="Q670" s="7">
        <f t="shared" si="64"/>
        <v>8533.2352291551633</v>
      </c>
      <c r="R670">
        <f t="shared" si="65"/>
        <v>2.1817620078981408</v>
      </c>
    </row>
    <row r="671" spans="1:18" x14ac:dyDescent="0.25">
      <c r="A671" t="s">
        <v>411</v>
      </c>
      <c r="B671" t="s">
        <v>26</v>
      </c>
      <c r="C671" t="s">
        <v>20</v>
      </c>
      <c r="D671">
        <v>2110</v>
      </c>
      <c r="E671" s="1">
        <v>44469</v>
      </c>
      <c r="F671" s="2">
        <f t="shared" si="60"/>
        <v>2021</v>
      </c>
      <c r="G671">
        <v>1761</v>
      </c>
      <c r="H671" s="3">
        <v>17449547</v>
      </c>
      <c r="I671">
        <v>1248560</v>
      </c>
      <c r="J671">
        <v>17449547</v>
      </c>
      <c r="K671">
        <v>14804404</v>
      </c>
      <c r="L671">
        <v>14438350</v>
      </c>
      <c r="M671" t="str">
        <f t="shared" si="61"/>
        <v>Large</v>
      </c>
      <c r="N671">
        <f>VLOOKUP(C671,Lookup!$A$2:$D$5,MATCH(M671,Lookup!$A$1:$D$1,0),FALSE)</f>
        <v>0.08</v>
      </c>
      <c r="O671">
        <f t="shared" si="62"/>
        <v>1155068</v>
      </c>
      <c r="P671" s="7">
        <f t="shared" si="63"/>
        <v>0.84841193871680454</v>
      </c>
      <c r="Q671" s="7">
        <f t="shared" si="64"/>
        <v>9908.8852924474722</v>
      </c>
      <c r="R671">
        <f t="shared" si="65"/>
        <v>1.0809406892061766</v>
      </c>
    </row>
    <row r="672" spans="1:18" x14ac:dyDescent="0.25">
      <c r="A672" t="s">
        <v>412</v>
      </c>
      <c r="B672" t="s">
        <v>47</v>
      </c>
      <c r="C672" t="s">
        <v>5</v>
      </c>
      <c r="D672">
        <v>90012</v>
      </c>
      <c r="E672" s="1">
        <v>43738</v>
      </c>
      <c r="F672" s="2">
        <f t="shared" si="60"/>
        <v>2019</v>
      </c>
      <c r="G672">
        <v>28</v>
      </c>
      <c r="H672" s="3">
        <v>122882</v>
      </c>
      <c r="I672">
        <v>27413</v>
      </c>
      <c r="J672">
        <v>122882</v>
      </c>
      <c r="K672">
        <v>102574</v>
      </c>
      <c r="L672">
        <v>102464</v>
      </c>
      <c r="M672" t="str">
        <f t="shared" si="61"/>
        <v>Medium</v>
      </c>
      <c r="N672">
        <f>VLOOKUP(C672,Lookup!$A$2:$D$5,MATCH(M672,Lookup!$A$1:$D$1,0),FALSE)</f>
        <v>0.09</v>
      </c>
      <c r="O672">
        <f t="shared" si="62"/>
        <v>9221.76</v>
      </c>
      <c r="P672" s="7">
        <f t="shared" si="63"/>
        <v>0.83473576276427797</v>
      </c>
      <c r="Q672" s="7">
        <f t="shared" si="64"/>
        <v>4388.6428571428569</v>
      </c>
      <c r="R672">
        <f t="shared" si="65"/>
        <v>2.9726429662016796</v>
      </c>
    </row>
    <row r="673" spans="1:18" x14ac:dyDescent="0.25">
      <c r="A673" t="s">
        <v>412</v>
      </c>
      <c r="B673" t="s">
        <v>47</v>
      </c>
      <c r="C673" t="s">
        <v>5</v>
      </c>
      <c r="D673">
        <v>90012</v>
      </c>
      <c r="E673" s="1">
        <v>44104</v>
      </c>
      <c r="F673" s="2">
        <f t="shared" si="60"/>
        <v>2020</v>
      </c>
      <c r="G673">
        <v>25</v>
      </c>
      <c r="H673" s="3">
        <v>146554</v>
      </c>
      <c r="I673">
        <v>33766</v>
      </c>
      <c r="J673">
        <v>146554</v>
      </c>
      <c r="K673">
        <v>126083</v>
      </c>
      <c r="L673">
        <v>115888</v>
      </c>
      <c r="M673" t="str">
        <f t="shared" si="61"/>
        <v>Medium</v>
      </c>
      <c r="N673">
        <f>VLOOKUP(C673,Lookup!$A$2:$D$5,MATCH(M673,Lookup!$A$1:$D$1,0),FALSE)</f>
        <v>0.09</v>
      </c>
      <c r="O673">
        <f t="shared" si="62"/>
        <v>10429.92</v>
      </c>
      <c r="P673" s="7">
        <f t="shared" si="63"/>
        <v>0.86031769859573948</v>
      </c>
      <c r="Q673" s="7">
        <f t="shared" si="64"/>
        <v>5862.16</v>
      </c>
      <c r="R673">
        <f t="shared" si="65"/>
        <v>3.2374169696411861</v>
      </c>
    </row>
    <row r="674" spans="1:18" x14ac:dyDescent="0.25">
      <c r="A674" t="s">
        <v>412</v>
      </c>
      <c r="B674" t="s">
        <v>47</v>
      </c>
      <c r="C674" t="s">
        <v>5</v>
      </c>
      <c r="D674">
        <v>90012</v>
      </c>
      <c r="E674" s="1">
        <v>44469</v>
      </c>
      <c r="F674" s="2">
        <f t="shared" si="60"/>
        <v>2021</v>
      </c>
      <c r="G674">
        <v>25</v>
      </c>
      <c r="H674" s="3">
        <v>138254</v>
      </c>
      <c r="I674">
        <v>22381</v>
      </c>
      <c r="J674">
        <v>138254</v>
      </c>
      <c r="K674">
        <v>117781</v>
      </c>
      <c r="L674">
        <v>117645</v>
      </c>
      <c r="M674" t="str">
        <f t="shared" si="61"/>
        <v>Medium</v>
      </c>
      <c r="N674">
        <f>VLOOKUP(C674,Lookup!$A$2:$D$5,MATCH(M674,Lookup!$A$1:$D$1,0),FALSE)</f>
        <v>0.09</v>
      </c>
      <c r="O674">
        <f t="shared" si="62"/>
        <v>10588.05</v>
      </c>
      <c r="P674" s="7">
        <f t="shared" si="63"/>
        <v>0.85191748520838462</v>
      </c>
      <c r="Q674" s="7">
        <f t="shared" si="64"/>
        <v>5530.16</v>
      </c>
      <c r="R674">
        <f t="shared" si="65"/>
        <v>2.1137981025779062</v>
      </c>
    </row>
    <row r="675" spans="1:18" x14ac:dyDescent="0.25">
      <c r="A675" t="s">
        <v>413</v>
      </c>
      <c r="B675" t="s">
        <v>414</v>
      </c>
      <c r="C675" t="s">
        <v>20</v>
      </c>
      <c r="D675">
        <v>1027</v>
      </c>
      <c r="E675" s="1">
        <v>43738</v>
      </c>
      <c r="F675" s="2">
        <f t="shared" si="60"/>
        <v>2019</v>
      </c>
      <c r="G675">
        <v>202</v>
      </c>
      <c r="H675" s="3">
        <v>1421080</v>
      </c>
      <c r="I675">
        <v>77803</v>
      </c>
      <c r="J675">
        <v>1421080</v>
      </c>
      <c r="K675">
        <v>1299562</v>
      </c>
      <c r="L675">
        <v>1139156</v>
      </c>
      <c r="M675" t="str">
        <f t="shared" si="61"/>
        <v>Large</v>
      </c>
      <c r="N675">
        <f>VLOOKUP(C675,Lookup!$A$2:$D$5,MATCH(M675,Lookup!$A$1:$D$1,0),FALSE)</f>
        <v>0.08</v>
      </c>
      <c r="O675">
        <f t="shared" si="62"/>
        <v>91132.479999999996</v>
      </c>
      <c r="P675" s="7">
        <f t="shared" si="63"/>
        <v>0.9144889802122329</v>
      </c>
      <c r="Q675" s="7">
        <f t="shared" si="64"/>
        <v>7035.0495049504952</v>
      </c>
      <c r="R675">
        <f t="shared" si="65"/>
        <v>0.85373513373058652</v>
      </c>
    </row>
    <row r="676" spans="1:18" x14ac:dyDescent="0.25">
      <c r="A676" t="s">
        <v>413</v>
      </c>
      <c r="B676" t="s">
        <v>414</v>
      </c>
      <c r="C676" t="s">
        <v>20</v>
      </c>
      <c r="D676">
        <v>1027</v>
      </c>
      <c r="E676" s="1">
        <v>44104</v>
      </c>
      <c r="F676" s="2">
        <f t="shared" si="60"/>
        <v>2020</v>
      </c>
      <c r="G676">
        <v>203</v>
      </c>
      <c r="H676" s="3">
        <v>1640596</v>
      </c>
      <c r="I676">
        <v>214417</v>
      </c>
      <c r="J676">
        <v>1640596</v>
      </c>
      <c r="K676">
        <v>1499393</v>
      </c>
      <c r="L676">
        <v>1324443</v>
      </c>
      <c r="M676" t="str">
        <f t="shared" si="61"/>
        <v>Large</v>
      </c>
      <c r="N676">
        <f>VLOOKUP(C676,Lookup!$A$2:$D$5,MATCH(M676,Lookup!$A$1:$D$1,0),FALSE)</f>
        <v>0.08</v>
      </c>
      <c r="O676">
        <f t="shared" si="62"/>
        <v>105955.44</v>
      </c>
      <c r="P676" s="7">
        <f t="shared" si="63"/>
        <v>0.91393188816747084</v>
      </c>
      <c r="Q676" s="7">
        <f t="shared" si="64"/>
        <v>8081.7536945812808</v>
      </c>
      <c r="R676">
        <f t="shared" si="65"/>
        <v>2.0236525845204363</v>
      </c>
    </row>
    <row r="677" spans="1:18" x14ac:dyDescent="0.25">
      <c r="A677" t="s">
        <v>413</v>
      </c>
      <c r="B677" t="s">
        <v>414</v>
      </c>
      <c r="C677" t="s">
        <v>20</v>
      </c>
      <c r="D677">
        <v>1027</v>
      </c>
      <c r="E677" s="1">
        <v>44469</v>
      </c>
      <c r="F677" s="2">
        <f t="shared" si="60"/>
        <v>2021</v>
      </c>
      <c r="G677">
        <v>193</v>
      </c>
      <c r="H677" s="3">
        <v>1674734</v>
      </c>
      <c r="I677">
        <v>200805</v>
      </c>
      <c r="J677">
        <v>1674734</v>
      </c>
      <c r="K677">
        <v>1521031</v>
      </c>
      <c r="L677">
        <v>1422651</v>
      </c>
      <c r="M677" t="str">
        <f t="shared" si="61"/>
        <v>Large</v>
      </c>
      <c r="N677">
        <f>VLOOKUP(C677,Lookup!$A$2:$D$5,MATCH(M677,Lookup!$A$1:$D$1,0),FALSE)</f>
        <v>0.08</v>
      </c>
      <c r="O677">
        <f t="shared" si="62"/>
        <v>113812.08</v>
      </c>
      <c r="P677" s="7">
        <f t="shared" si="63"/>
        <v>0.90822244010093545</v>
      </c>
      <c r="Q677" s="7">
        <f t="shared" si="64"/>
        <v>8677.3782383419693</v>
      </c>
      <c r="R677">
        <f t="shared" si="65"/>
        <v>1.7643557696160197</v>
      </c>
    </row>
    <row r="678" spans="1:18" x14ac:dyDescent="0.25">
      <c r="A678" t="s">
        <v>415</v>
      </c>
      <c r="B678" t="s">
        <v>416</v>
      </c>
      <c r="C678" t="s">
        <v>5</v>
      </c>
      <c r="D678">
        <v>90211</v>
      </c>
      <c r="E678" s="1">
        <v>43738</v>
      </c>
      <c r="F678" s="2">
        <f t="shared" si="60"/>
        <v>2019</v>
      </c>
      <c r="G678">
        <v>40</v>
      </c>
      <c r="H678" s="3">
        <v>236951</v>
      </c>
      <c r="I678">
        <v>14871</v>
      </c>
      <c r="J678">
        <v>236951</v>
      </c>
      <c r="K678">
        <v>199018</v>
      </c>
      <c r="L678">
        <v>153676</v>
      </c>
      <c r="M678" t="str">
        <f t="shared" si="61"/>
        <v>Medium</v>
      </c>
      <c r="N678">
        <f>VLOOKUP(C678,Lookup!$A$2:$D$5,MATCH(M678,Lookup!$A$1:$D$1,0),FALSE)</f>
        <v>0.09</v>
      </c>
      <c r="O678">
        <f t="shared" si="62"/>
        <v>13830.84</v>
      </c>
      <c r="P678" s="7">
        <f t="shared" si="63"/>
        <v>0.83991204932665409</v>
      </c>
      <c r="Q678" s="7">
        <f t="shared" si="64"/>
        <v>5923.7749999999996</v>
      </c>
      <c r="R678">
        <f t="shared" si="65"/>
        <v>1.0752058443304962</v>
      </c>
    </row>
    <row r="679" spans="1:18" x14ac:dyDescent="0.25">
      <c r="A679" t="s">
        <v>415</v>
      </c>
      <c r="B679" t="s">
        <v>416</v>
      </c>
      <c r="C679" t="s">
        <v>5</v>
      </c>
      <c r="D679">
        <v>90211</v>
      </c>
      <c r="E679" s="1">
        <v>44104</v>
      </c>
      <c r="F679" s="2">
        <f t="shared" si="60"/>
        <v>2020</v>
      </c>
      <c r="G679">
        <v>44</v>
      </c>
      <c r="H679" s="3">
        <v>281764</v>
      </c>
      <c r="I679">
        <v>28745</v>
      </c>
      <c r="J679">
        <v>281764</v>
      </c>
      <c r="K679">
        <v>243941</v>
      </c>
      <c r="L679">
        <v>225937</v>
      </c>
      <c r="M679" t="str">
        <f t="shared" si="61"/>
        <v>Medium</v>
      </c>
      <c r="N679">
        <f>VLOOKUP(C679,Lookup!$A$2:$D$5,MATCH(M679,Lookup!$A$1:$D$1,0),FALSE)</f>
        <v>0.09</v>
      </c>
      <c r="O679">
        <f t="shared" si="62"/>
        <v>20334.329999999998</v>
      </c>
      <c r="P679" s="7">
        <f t="shared" si="63"/>
        <v>0.86576354679802958</v>
      </c>
      <c r="Q679" s="7">
        <f t="shared" si="64"/>
        <v>6403.727272727273</v>
      </c>
      <c r="R679">
        <f t="shared" si="65"/>
        <v>1.4136192340736087</v>
      </c>
    </row>
    <row r="680" spans="1:18" x14ac:dyDescent="0.25">
      <c r="A680" t="s">
        <v>415</v>
      </c>
      <c r="B680" t="s">
        <v>416</v>
      </c>
      <c r="C680" t="s">
        <v>5</v>
      </c>
      <c r="D680">
        <v>90211</v>
      </c>
      <c r="E680" s="1">
        <v>44469</v>
      </c>
      <c r="F680" s="2">
        <f t="shared" si="60"/>
        <v>2021</v>
      </c>
      <c r="G680">
        <v>43</v>
      </c>
      <c r="H680" s="3">
        <v>298939</v>
      </c>
      <c r="I680">
        <v>34316</v>
      </c>
      <c r="J680">
        <v>298939</v>
      </c>
      <c r="K680">
        <v>260029</v>
      </c>
      <c r="L680">
        <v>239359</v>
      </c>
      <c r="M680" t="str">
        <f t="shared" si="61"/>
        <v>Medium</v>
      </c>
      <c r="N680">
        <f>VLOOKUP(C680,Lookup!$A$2:$D$5,MATCH(M680,Lookup!$A$1:$D$1,0),FALSE)</f>
        <v>0.09</v>
      </c>
      <c r="O680">
        <f t="shared" si="62"/>
        <v>21542.309999999998</v>
      </c>
      <c r="P680" s="7">
        <f t="shared" si="63"/>
        <v>0.86983966628643306</v>
      </c>
      <c r="Q680" s="7">
        <f t="shared" si="64"/>
        <v>6952.0697674418607</v>
      </c>
      <c r="R680">
        <f t="shared" si="65"/>
        <v>1.5929582296420395</v>
      </c>
    </row>
    <row r="681" spans="1:18" x14ac:dyDescent="0.25">
      <c r="A681" t="s">
        <v>417</v>
      </c>
      <c r="B681" t="s">
        <v>418</v>
      </c>
      <c r="C681" t="s">
        <v>5</v>
      </c>
      <c r="D681">
        <v>95667</v>
      </c>
      <c r="E681" s="1">
        <v>43738</v>
      </c>
      <c r="F681" s="2">
        <f t="shared" si="60"/>
        <v>2019</v>
      </c>
      <c r="G681">
        <v>283</v>
      </c>
      <c r="H681" s="3">
        <v>2161211</v>
      </c>
      <c r="I681">
        <v>329790</v>
      </c>
      <c r="J681">
        <v>2161211</v>
      </c>
      <c r="K681">
        <v>1913636</v>
      </c>
      <c r="L681">
        <v>1901789</v>
      </c>
      <c r="M681" t="str">
        <f t="shared" si="61"/>
        <v>Large</v>
      </c>
      <c r="N681">
        <f>VLOOKUP(C681,Lookup!$A$2:$D$5,MATCH(M681,Lookup!$A$1:$D$1,0),FALSE)</f>
        <v>0.08</v>
      </c>
      <c r="O681">
        <f t="shared" si="62"/>
        <v>152143.12</v>
      </c>
      <c r="P681" s="7">
        <f t="shared" si="63"/>
        <v>0.88544616883774885</v>
      </c>
      <c r="Q681" s="7">
        <f t="shared" si="64"/>
        <v>7636.7879858657243</v>
      </c>
      <c r="R681">
        <f t="shared" si="65"/>
        <v>2.1676300578034682</v>
      </c>
    </row>
    <row r="682" spans="1:18" x14ac:dyDescent="0.25">
      <c r="A682" t="s">
        <v>417</v>
      </c>
      <c r="B682" t="s">
        <v>418</v>
      </c>
      <c r="C682" t="s">
        <v>5</v>
      </c>
      <c r="D682">
        <v>95667</v>
      </c>
      <c r="E682" s="1">
        <v>44104</v>
      </c>
      <c r="F682" s="2">
        <f t="shared" si="60"/>
        <v>2020</v>
      </c>
      <c r="G682">
        <v>265</v>
      </c>
      <c r="H682" s="3">
        <v>2448387</v>
      </c>
      <c r="I682">
        <v>382804</v>
      </c>
      <c r="J682">
        <v>2448387</v>
      </c>
      <c r="K682">
        <v>2191508</v>
      </c>
      <c r="L682">
        <v>2178984</v>
      </c>
      <c r="M682" t="str">
        <f t="shared" si="61"/>
        <v>Large</v>
      </c>
      <c r="N682">
        <f>VLOOKUP(C682,Lookup!$A$2:$D$5,MATCH(M682,Lookup!$A$1:$D$1,0),FALSE)</f>
        <v>0.08</v>
      </c>
      <c r="O682">
        <f t="shared" si="62"/>
        <v>174318.72</v>
      </c>
      <c r="P682" s="7">
        <f t="shared" si="63"/>
        <v>0.89508235421932891</v>
      </c>
      <c r="Q682" s="7">
        <f t="shared" si="64"/>
        <v>9239.1962264150952</v>
      </c>
      <c r="R682">
        <f t="shared" si="65"/>
        <v>2.1960005213438922</v>
      </c>
    </row>
    <row r="683" spans="1:18" x14ac:dyDescent="0.25">
      <c r="A683" t="s">
        <v>417</v>
      </c>
      <c r="B683" t="s">
        <v>418</v>
      </c>
      <c r="C683" t="s">
        <v>5</v>
      </c>
      <c r="D683">
        <v>95667</v>
      </c>
      <c r="E683" s="1">
        <v>44469</v>
      </c>
      <c r="F683" s="2">
        <f t="shared" si="60"/>
        <v>2021</v>
      </c>
      <c r="G683">
        <v>266</v>
      </c>
      <c r="H683" s="3">
        <v>2765296</v>
      </c>
      <c r="I683">
        <v>705271</v>
      </c>
      <c r="J683">
        <v>2765296</v>
      </c>
      <c r="K683">
        <v>2503007</v>
      </c>
      <c r="L683">
        <v>2490907</v>
      </c>
      <c r="M683" t="str">
        <f t="shared" si="61"/>
        <v>Large</v>
      </c>
      <c r="N683">
        <f>VLOOKUP(C683,Lookup!$A$2:$D$5,MATCH(M683,Lookup!$A$1:$D$1,0),FALSE)</f>
        <v>0.08</v>
      </c>
      <c r="O683">
        <f t="shared" si="62"/>
        <v>199272.56</v>
      </c>
      <c r="P683" s="7">
        <f t="shared" si="63"/>
        <v>0.90514975612014048</v>
      </c>
      <c r="Q683" s="7">
        <f t="shared" si="64"/>
        <v>10395.849624060151</v>
      </c>
      <c r="R683">
        <f t="shared" si="65"/>
        <v>3.5392278796438408</v>
      </c>
    </row>
    <row r="684" spans="1:18" x14ac:dyDescent="0.25">
      <c r="A684" t="s">
        <v>419</v>
      </c>
      <c r="B684" t="s">
        <v>284</v>
      </c>
      <c r="C684" t="s">
        <v>17</v>
      </c>
      <c r="D684">
        <v>14901</v>
      </c>
      <c r="E684" s="1">
        <v>43738</v>
      </c>
      <c r="F684" s="2">
        <f t="shared" si="60"/>
        <v>2019</v>
      </c>
      <c r="G684">
        <v>127</v>
      </c>
      <c r="H684" s="3">
        <v>615868</v>
      </c>
      <c r="I684">
        <v>18608</v>
      </c>
      <c r="J684">
        <v>615869</v>
      </c>
      <c r="K684">
        <v>557447</v>
      </c>
      <c r="L684">
        <v>522520</v>
      </c>
      <c r="M684" t="str">
        <f t="shared" si="61"/>
        <v>Medium</v>
      </c>
      <c r="N684">
        <f>VLOOKUP(C684,Lookup!$A$2:$D$5,MATCH(M684,Lookup!$A$1:$D$1,0),FALSE)</f>
        <v>8.5000000000000006E-2</v>
      </c>
      <c r="O684">
        <f t="shared" si="62"/>
        <v>44414.200000000004</v>
      </c>
      <c r="P684" s="7">
        <f t="shared" si="63"/>
        <v>0.90514038722583412</v>
      </c>
      <c r="Q684" s="7">
        <f t="shared" si="64"/>
        <v>4849.3543307086611</v>
      </c>
      <c r="R684">
        <f t="shared" si="65"/>
        <v>0.41896510575446588</v>
      </c>
    </row>
    <row r="685" spans="1:18" x14ac:dyDescent="0.25">
      <c r="A685" t="s">
        <v>419</v>
      </c>
      <c r="B685" t="s">
        <v>284</v>
      </c>
      <c r="C685" t="s">
        <v>17</v>
      </c>
      <c r="D685">
        <v>14901</v>
      </c>
      <c r="E685" s="1">
        <v>44104</v>
      </c>
      <c r="F685" s="2">
        <f t="shared" si="60"/>
        <v>2020</v>
      </c>
      <c r="G685">
        <v>115</v>
      </c>
      <c r="H685" s="3">
        <v>674281</v>
      </c>
      <c r="I685">
        <v>85381</v>
      </c>
      <c r="J685">
        <v>674281</v>
      </c>
      <c r="K685">
        <v>614321</v>
      </c>
      <c r="L685">
        <v>552674</v>
      </c>
      <c r="M685" t="str">
        <f t="shared" si="61"/>
        <v>Medium</v>
      </c>
      <c r="N685">
        <f>VLOOKUP(C685,Lookup!$A$2:$D$5,MATCH(M685,Lookup!$A$1:$D$1,0),FALSE)</f>
        <v>8.5000000000000006E-2</v>
      </c>
      <c r="O685">
        <f t="shared" si="62"/>
        <v>46977.29</v>
      </c>
      <c r="P685" s="7">
        <f t="shared" si="63"/>
        <v>0.91107564946958319</v>
      </c>
      <c r="Q685" s="7">
        <f t="shared" si="64"/>
        <v>5863.3130434782606</v>
      </c>
      <c r="R685">
        <f t="shared" si="65"/>
        <v>1.8174952194986129</v>
      </c>
    </row>
    <row r="686" spans="1:18" x14ac:dyDescent="0.25">
      <c r="A686" t="s">
        <v>419</v>
      </c>
      <c r="B686" t="s">
        <v>284</v>
      </c>
      <c r="C686" t="s">
        <v>17</v>
      </c>
      <c r="D686">
        <v>14901</v>
      </c>
      <c r="E686" s="1">
        <v>44469</v>
      </c>
      <c r="F686" s="2">
        <f t="shared" si="60"/>
        <v>2021</v>
      </c>
      <c r="G686">
        <v>115</v>
      </c>
      <c r="H686" s="3">
        <v>643804</v>
      </c>
      <c r="I686">
        <v>111522</v>
      </c>
      <c r="J686">
        <v>643804</v>
      </c>
      <c r="K686">
        <v>580408</v>
      </c>
      <c r="L686">
        <v>547694</v>
      </c>
      <c r="M686" t="str">
        <f t="shared" si="61"/>
        <v>Medium</v>
      </c>
      <c r="N686">
        <f>VLOOKUP(C686,Lookup!$A$2:$D$5,MATCH(M686,Lookup!$A$1:$D$1,0),FALSE)</f>
        <v>8.5000000000000006E-2</v>
      </c>
      <c r="O686">
        <f t="shared" si="62"/>
        <v>46553.990000000005</v>
      </c>
      <c r="P686" s="7">
        <f t="shared" si="63"/>
        <v>0.90152903678759377</v>
      </c>
      <c r="Q686" s="7">
        <f t="shared" si="64"/>
        <v>5598.2956521739134</v>
      </c>
      <c r="R686">
        <f t="shared" si="65"/>
        <v>2.3955411770290791</v>
      </c>
    </row>
    <row r="687" spans="1:18" x14ac:dyDescent="0.25">
      <c r="A687" t="s">
        <v>420</v>
      </c>
      <c r="B687" t="s">
        <v>16</v>
      </c>
      <c r="C687" t="s">
        <v>17</v>
      </c>
      <c r="D687">
        <v>10017</v>
      </c>
      <c r="E687" s="1">
        <v>43738</v>
      </c>
      <c r="F687" s="2">
        <f t="shared" si="60"/>
        <v>2019</v>
      </c>
      <c r="G687">
        <v>488</v>
      </c>
      <c r="H687" s="3">
        <v>5661961</v>
      </c>
      <c r="I687">
        <v>213713</v>
      </c>
      <c r="J687">
        <v>5661961</v>
      </c>
      <c r="K687">
        <v>4440363</v>
      </c>
      <c r="L687">
        <v>4353165</v>
      </c>
      <c r="M687" t="str">
        <f t="shared" si="61"/>
        <v>Large</v>
      </c>
      <c r="N687">
        <f>VLOOKUP(C687,Lookup!$A$2:$D$5,MATCH(M687,Lookup!$A$1:$D$1,0),FALSE)</f>
        <v>0.08</v>
      </c>
      <c r="O687">
        <f t="shared" si="62"/>
        <v>348253.2</v>
      </c>
      <c r="P687" s="7">
        <f t="shared" si="63"/>
        <v>0.78424471662733108</v>
      </c>
      <c r="Q687" s="7">
        <f t="shared" si="64"/>
        <v>11602.379098360656</v>
      </c>
      <c r="R687">
        <f t="shared" si="65"/>
        <v>0.61367131730591418</v>
      </c>
    </row>
    <row r="688" spans="1:18" x14ac:dyDescent="0.25">
      <c r="A688" t="s">
        <v>420</v>
      </c>
      <c r="B688" t="s">
        <v>16</v>
      </c>
      <c r="C688" t="s">
        <v>17</v>
      </c>
      <c r="D688">
        <v>10017</v>
      </c>
      <c r="E688" s="1">
        <v>44104</v>
      </c>
      <c r="F688" s="2">
        <f t="shared" si="60"/>
        <v>2020</v>
      </c>
      <c r="G688">
        <v>473</v>
      </c>
      <c r="H688" s="3">
        <v>6380573</v>
      </c>
      <c r="I688">
        <v>919022</v>
      </c>
      <c r="J688">
        <v>6380573</v>
      </c>
      <c r="K688">
        <v>5147259</v>
      </c>
      <c r="L688">
        <v>4865703</v>
      </c>
      <c r="M688" t="str">
        <f t="shared" si="61"/>
        <v>Large</v>
      </c>
      <c r="N688">
        <f>VLOOKUP(C688,Lookup!$A$2:$D$5,MATCH(M688,Lookup!$A$1:$D$1,0),FALSE)</f>
        <v>0.08</v>
      </c>
      <c r="O688">
        <f t="shared" si="62"/>
        <v>389256.24</v>
      </c>
      <c r="P688" s="7">
        <f t="shared" si="63"/>
        <v>0.80670795553941632</v>
      </c>
      <c r="Q688" s="7">
        <f t="shared" si="64"/>
        <v>13489.583509513743</v>
      </c>
      <c r="R688">
        <f t="shared" si="65"/>
        <v>2.3609692165756933</v>
      </c>
    </row>
    <row r="689" spans="1:18" x14ac:dyDescent="0.25">
      <c r="A689" t="s">
        <v>420</v>
      </c>
      <c r="B689" t="s">
        <v>16</v>
      </c>
      <c r="C689" t="s">
        <v>17</v>
      </c>
      <c r="D689">
        <v>10017</v>
      </c>
      <c r="E689" s="1">
        <v>44469</v>
      </c>
      <c r="F689" s="2">
        <f t="shared" si="60"/>
        <v>2021</v>
      </c>
      <c r="G689">
        <v>459</v>
      </c>
      <c r="H689" s="3">
        <v>5739920</v>
      </c>
      <c r="I689">
        <v>401662</v>
      </c>
      <c r="J689">
        <v>5739920</v>
      </c>
      <c r="K689">
        <v>4450326</v>
      </c>
      <c r="L689">
        <v>4237708</v>
      </c>
      <c r="M689" t="str">
        <f t="shared" si="61"/>
        <v>Large</v>
      </c>
      <c r="N689">
        <f>VLOOKUP(C689,Lookup!$A$2:$D$5,MATCH(M689,Lookup!$A$1:$D$1,0),FALSE)</f>
        <v>0.08</v>
      </c>
      <c r="O689">
        <f t="shared" si="62"/>
        <v>339016.64</v>
      </c>
      <c r="P689" s="7">
        <f t="shared" si="63"/>
        <v>0.77532892444493995</v>
      </c>
      <c r="Q689" s="7">
        <f t="shared" si="64"/>
        <v>12505.272331154683</v>
      </c>
      <c r="R689">
        <f t="shared" si="65"/>
        <v>1.1847855019741804</v>
      </c>
    </row>
    <row r="690" spans="1:18" x14ac:dyDescent="0.25">
      <c r="A690" t="s">
        <v>421</v>
      </c>
      <c r="B690" t="s">
        <v>16</v>
      </c>
      <c r="C690" t="s">
        <v>17</v>
      </c>
      <c r="D690">
        <v>10017</v>
      </c>
      <c r="E690" s="1">
        <v>43738</v>
      </c>
      <c r="F690" s="2">
        <f t="shared" si="60"/>
        <v>2019</v>
      </c>
      <c r="G690">
        <v>5</v>
      </c>
      <c r="H690" s="3">
        <v>3443</v>
      </c>
      <c r="I690">
        <v>3443</v>
      </c>
      <c r="J690">
        <v>3443</v>
      </c>
      <c r="K690">
        <v>507</v>
      </c>
      <c r="L690">
        <v>500</v>
      </c>
      <c r="M690" t="str">
        <f t="shared" si="61"/>
        <v>Small</v>
      </c>
      <c r="N690">
        <f>VLOOKUP(C690,Lookup!$A$2:$D$5,MATCH(M690,Lookup!$A$1:$D$1,0),FALSE)</f>
        <v>0.09</v>
      </c>
      <c r="O690">
        <f t="shared" si="62"/>
        <v>45</v>
      </c>
      <c r="P690" s="7">
        <f t="shared" si="63"/>
        <v>0.14725530060993319</v>
      </c>
      <c r="Q690" s="7">
        <f t="shared" si="64"/>
        <v>688.6</v>
      </c>
      <c r="R690">
        <f t="shared" si="65"/>
        <v>76.511111111111106</v>
      </c>
    </row>
    <row r="691" spans="1:18" x14ac:dyDescent="0.25">
      <c r="A691" t="s">
        <v>421</v>
      </c>
      <c r="B691" t="s">
        <v>16</v>
      </c>
      <c r="C691" t="s">
        <v>17</v>
      </c>
      <c r="D691">
        <v>10017</v>
      </c>
      <c r="E691" s="1">
        <v>44104</v>
      </c>
      <c r="F691" s="2">
        <f t="shared" si="60"/>
        <v>2020</v>
      </c>
      <c r="G691">
        <v>5</v>
      </c>
      <c r="H691" s="3">
        <v>3421</v>
      </c>
      <c r="I691">
        <v>3415</v>
      </c>
      <c r="J691">
        <v>3421</v>
      </c>
      <c r="K691">
        <v>504</v>
      </c>
      <c r="L691">
        <v>500</v>
      </c>
      <c r="M691" t="str">
        <f t="shared" si="61"/>
        <v>Small</v>
      </c>
      <c r="N691">
        <f>VLOOKUP(C691,Lookup!$A$2:$D$5,MATCH(M691,Lookup!$A$1:$D$1,0),FALSE)</f>
        <v>0.09</v>
      </c>
      <c r="O691">
        <f t="shared" si="62"/>
        <v>45</v>
      </c>
      <c r="P691" s="7">
        <f t="shared" si="63"/>
        <v>0.14732534346682258</v>
      </c>
      <c r="Q691" s="7">
        <f t="shared" si="64"/>
        <v>684.2</v>
      </c>
      <c r="R691">
        <f t="shared" si="65"/>
        <v>75.888888888888886</v>
      </c>
    </row>
    <row r="692" spans="1:18" x14ac:dyDescent="0.25">
      <c r="A692" t="s">
        <v>421</v>
      </c>
      <c r="B692" t="s">
        <v>16</v>
      </c>
      <c r="C692" t="s">
        <v>17</v>
      </c>
      <c r="D692">
        <v>10017</v>
      </c>
      <c r="E692" s="1">
        <v>44469</v>
      </c>
      <c r="F692" s="2">
        <f t="shared" si="60"/>
        <v>2021</v>
      </c>
      <c r="G692">
        <v>7</v>
      </c>
      <c r="H692" s="3">
        <v>3397</v>
      </c>
      <c r="I692">
        <v>3391</v>
      </c>
      <c r="J692">
        <v>3397</v>
      </c>
      <c r="K692">
        <v>505</v>
      </c>
      <c r="L692">
        <v>500</v>
      </c>
      <c r="M692" t="str">
        <f t="shared" si="61"/>
        <v>Small</v>
      </c>
      <c r="N692">
        <f>VLOOKUP(C692,Lookup!$A$2:$D$5,MATCH(M692,Lookup!$A$1:$D$1,0),FALSE)</f>
        <v>0.09</v>
      </c>
      <c r="O692">
        <f t="shared" si="62"/>
        <v>45</v>
      </c>
      <c r="P692" s="7">
        <f t="shared" si="63"/>
        <v>0.1486605828672358</v>
      </c>
      <c r="Q692" s="7">
        <f t="shared" si="64"/>
        <v>485.28571428571428</v>
      </c>
      <c r="R692">
        <f t="shared" si="65"/>
        <v>75.355555555555554</v>
      </c>
    </row>
    <row r="693" spans="1:18" x14ac:dyDescent="0.25">
      <c r="A693" t="s">
        <v>422</v>
      </c>
      <c r="B693" t="s">
        <v>423</v>
      </c>
      <c r="C693" t="s">
        <v>17</v>
      </c>
      <c r="D693">
        <v>11749</v>
      </c>
      <c r="E693" s="1">
        <v>43738</v>
      </c>
      <c r="F693" s="2">
        <f t="shared" si="60"/>
        <v>2019</v>
      </c>
      <c r="G693">
        <v>74</v>
      </c>
      <c r="H693" s="3">
        <v>1012533</v>
      </c>
      <c r="I693">
        <v>48984</v>
      </c>
      <c r="J693">
        <v>1012533</v>
      </c>
      <c r="K693">
        <v>918867</v>
      </c>
      <c r="L693">
        <v>902325</v>
      </c>
      <c r="M693" t="str">
        <f t="shared" si="61"/>
        <v>Large</v>
      </c>
      <c r="N693">
        <f>VLOOKUP(C693,Lookup!$A$2:$D$5,MATCH(M693,Lookup!$A$1:$D$1,0),FALSE)</f>
        <v>0.08</v>
      </c>
      <c r="O693">
        <f t="shared" si="62"/>
        <v>72186</v>
      </c>
      <c r="P693" s="7">
        <f t="shared" si="63"/>
        <v>0.90749338540077207</v>
      </c>
      <c r="Q693" s="7">
        <f t="shared" si="64"/>
        <v>13682.878378378378</v>
      </c>
      <c r="R693">
        <f t="shared" si="65"/>
        <v>0.67858033413681318</v>
      </c>
    </row>
    <row r="694" spans="1:18" x14ac:dyDescent="0.25">
      <c r="A694" t="s">
        <v>422</v>
      </c>
      <c r="B694" t="s">
        <v>423</v>
      </c>
      <c r="C694" t="s">
        <v>17</v>
      </c>
      <c r="D694">
        <v>11749</v>
      </c>
      <c r="E694" s="1">
        <v>44104</v>
      </c>
      <c r="F694" s="2">
        <f t="shared" si="60"/>
        <v>2020</v>
      </c>
      <c r="G694">
        <v>61</v>
      </c>
      <c r="H694" s="3">
        <v>920864</v>
      </c>
      <c r="I694">
        <v>48924</v>
      </c>
      <c r="J694">
        <v>920864</v>
      </c>
      <c r="K694">
        <v>818158</v>
      </c>
      <c r="L694">
        <v>802963</v>
      </c>
      <c r="M694" t="str">
        <f t="shared" si="61"/>
        <v>Medium</v>
      </c>
      <c r="N694">
        <f>VLOOKUP(C694,Lookup!$A$2:$D$5,MATCH(M694,Lookup!$A$1:$D$1,0),FALSE)</f>
        <v>8.5000000000000006E-2</v>
      </c>
      <c r="O694">
        <f t="shared" si="62"/>
        <v>68251.85500000001</v>
      </c>
      <c r="P694" s="7">
        <f t="shared" si="63"/>
        <v>0.88846778677415994</v>
      </c>
      <c r="Q694" s="7">
        <f t="shared" si="64"/>
        <v>15096.131147540984</v>
      </c>
      <c r="R694">
        <f t="shared" si="65"/>
        <v>0.71681568215252156</v>
      </c>
    </row>
    <row r="695" spans="1:18" x14ac:dyDescent="0.25">
      <c r="A695" t="s">
        <v>424</v>
      </c>
      <c r="B695" t="s">
        <v>425</v>
      </c>
      <c r="C695" t="s">
        <v>17</v>
      </c>
      <c r="D695">
        <v>12550</v>
      </c>
      <c r="E695" s="1">
        <v>43738</v>
      </c>
      <c r="F695" s="2">
        <f t="shared" si="60"/>
        <v>2019</v>
      </c>
      <c r="G695">
        <v>55</v>
      </c>
      <c r="H695" s="3">
        <v>421821</v>
      </c>
      <c r="I695">
        <v>24722</v>
      </c>
      <c r="J695">
        <v>421821</v>
      </c>
      <c r="K695">
        <v>391249</v>
      </c>
      <c r="L695">
        <v>328311</v>
      </c>
      <c r="M695" t="str">
        <f t="shared" si="61"/>
        <v>Medium</v>
      </c>
      <c r="N695">
        <f>VLOOKUP(C695,Lookup!$A$2:$D$5,MATCH(M695,Lookup!$A$1:$D$1,0),FALSE)</f>
        <v>8.5000000000000006E-2</v>
      </c>
      <c r="O695">
        <f t="shared" si="62"/>
        <v>27906.435000000001</v>
      </c>
      <c r="P695" s="7">
        <f t="shared" si="63"/>
        <v>0.92752376007832704</v>
      </c>
      <c r="Q695" s="7">
        <f t="shared" si="64"/>
        <v>7669.4727272727268</v>
      </c>
      <c r="R695">
        <f t="shared" si="65"/>
        <v>0.88588886398423872</v>
      </c>
    </row>
    <row r="696" spans="1:18" x14ac:dyDescent="0.25">
      <c r="A696" t="s">
        <v>424</v>
      </c>
      <c r="B696" t="s">
        <v>425</v>
      </c>
      <c r="C696" t="s">
        <v>17</v>
      </c>
      <c r="D696">
        <v>12550</v>
      </c>
      <c r="E696" s="1">
        <v>44104</v>
      </c>
      <c r="F696" s="2">
        <f t="shared" si="60"/>
        <v>2020</v>
      </c>
      <c r="G696">
        <v>54</v>
      </c>
      <c r="H696" s="3">
        <v>495398</v>
      </c>
      <c r="I696">
        <v>47246</v>
      </c>
      <c r="J696">
        <v>495398</v>
      </c>
      <c r="K696">
        <v>454560</v>
      </c>
      <c r="L696">
        <v>357907</v>
      </c>
      <c r="M696" t="str">
        <f t="shared" si="61"/>
        <v>Medium</v>
      </c>
      <c r="N696">
        <f>VLOOKUP(C696,Lookup!$A$2:$D$5,MATCH(M696,Lookup!$A$1:$D$1,0),FALSE)</f>
        <v>8.5000000000000006E-2</v>
      </c>
      <c r="O696">
        <f t="shared" si="62"/>
        <v>30422.095000000001</v>
      </c>
      <c r="P696" s="7">
        <f t="shared" si="63"/>
        <v>0.91756527075200145</v>
      </c>
      <c r="Q696" s="7">
        <f t="shared" si="64"/>
        <v>9174.0370370370365</v>
      </c>
      <c r="R696">
        <f t="shared" si="65"/>
        <v>1.5530159905161034</v>
      </c>
    </row>
    <row r="697" spans="1:18" x14ac:dyDescent="0.25">
      <c r="A697" t="s">
        <v>424</v>
      </c>
      <c r="B697" t="s">
        <v>425</v>
      </c>
      <c r="C697" t="s">
        <v>17</v>
      </c>
      <c r="D697">
        <v>12550</v>
      </c>
      <c r="E697" s="1">
        <v>44469</v>
      </c>
      <c r="F697" s="2">
        <f t="shared" si="60"/>
        <v>2021</v>
      </c>
      <c r="G697">
        <v>63</v>
      </c>
      <c r="H697" s="3">
        <v>504046</v>
      </c>
      <c r="I697">
        <v>46108</v>
      </c>
      <c r="J697">
        <v>504046</v>
      </c>
      <c r="K697">
        <v>454695</v>
      </c>
      <c r="L697">
        <v>424193</v>
      </c>
      <c r="M697" t="str">
        <f t="shared" si="61"/>
        <v>Medium</v>
      </c>
      <c r="N697">
        <f>VLOOKUP(C697,Lookup!$A$2:$D$5,MATCH(M697,Lookup!$A$1:$D$1,0),FALSE)</f>
        <v>8.5000000000000006E-2</v>
      </c>
      <c r="O697">
        <f t="shared" si="62"/>
        <v>36056.405000000006</v>
      </c>
      <c r="P697" s="7">
        <f t="shared" si="63"/>
        <v>0.90209028541045855</v>
      </c>
      <c r="Q697" s="7">
        <f t="shared" si="64"/>
        <v>8000.730158730159</v>
      </c>
      <c r="R697">
        <f t="shared" si="65"/>
        <v>1.2787741872768512</v>
      </c>
    </row>
    <row r="698" spans="1:18" x14ac:dyDescent="0.25">
      <c r="A698" t="s">
        <v>426</v>
      </c>
      <c r="B698" t="s">
        <v>85</v>
      </c>
      <c r="C698" t="s">
        <v>5</v>
      </c>
      <c r="D698">
        <v>92101</v>
      </c>
      <c r="E698" s="1">
        <v>43738</v>
      </c>
      <c r="F698" s="2">
        <f t="shared" si="60"/>
        <v>2019</v>
      </c>
      <c r="G698">
        <v>25</v>
      </c>
      <c r="H698" s="3">
        <v>115943</v>
      </c>
      <c r="I698">
        <v>31813</v>
      </c>
      <c r="J698">
        <v>115943</v>
      </c>
      <c r="K698">
        <v>97671</v>
      </c>
      <c r="L698">
        <v>96595</v>
      </c>
      <c r="M698" t="str">
        <f t="shared" si="61"/>
        <v>Medium</v>
      </c>
      <c r="N698">
        <f>VLOOKUP(C698,Lookup!$A$2:$D$5,MATCH(M698,Lookup!$A$1:$D$1,0),FALSE)</f>
        <v>0.09</v>
      </c>
      <c r="O698">
        <f t="shared" si="62"/>
        <v>8693.5499999999993</v>
      </c>
      <c r="P698" s="7">
        <f t="shared" si="63"/>
        <v>0.8424053198554462</v>
      </c>
      <c r="Q698" s="7">
        <f t="shared" si="64"/>
        <v>4637.72</v>
      </c>
      <c r="R698">
        <f t="shared" si="65"/>
        <v>3.659379655031604</v>
      </c>
    </row>
    <row r="699" spans="1:18" x14ac:dyDescent="0.25">
      <c r="A699" t="s">
        <v>426</v>
      </c>
      <c r="B699" t="s">
        <v>85</v>
      </c>
      <c r="C699" t="s">
        <v>5</v>
      </c>
      <c r="D699">
        <v>92101</v>
      </c>
      <c r="E699" s="1">
        <v>44104</v>
      </c>
      <c r="F699" s="2">
        <f t="shared" si="60"/>
        <v>2020</v>
      </c>
      <c r="G699">
        <v>31</v>
      </c>
      <c r="H699" s="3">
        <v>360949</v>
      </c>
      <c r="I699">
        <v>59040</v>
      </c>
      <c r="J699">
        <v>360949</v>
      </c>
      <c r="K699">
        <v>335306</v>
      </c>
      <c r="L699">
        <v>188832</v>
      </c>
      <c r="M699" t="str">
        <f t="shared" si="61"/>
        <v>Medium</v>
      </c>
      <c r="N699">
        <f>VLOOKUP(C699,Lookup!$A$2:$D$5,MATCH(M699,Lookup!$A$1:$D$1,0),FALSE)</f>
        <v>0.09</v>
      </c>
      <c r="O699">
        <f t="shared" si="62"/>
        <v>16994.88</v>
      </c>
      <c r="P699" s="7">
        <f t="shared" si="63"/>
        <v>0.92895672241784855</v>
      </c>
      <c r="Q699" s="7">
        <f t="shared" si="64"/>
        <v>11643.516129032258</v>
      </c>
      <c r="R699">
        <f t="shared" si="65"/>
        <v>3.4739874597525842</v>
      </c>
    </row>
    <row r="700" spans="1:18" x14ac:dyDescent="0.25">
      <c r="A700" t="s">
        <v>426</v>
      </c>
      <c r="B700" t="s">
        <v>85</v>
      </c>
      <c r="C700" t="s">
        <v>5</v>
      </c>
      <c r="D700">
        <v>92101</v>
      </c>
      <c r="E700" s="1">
        <v>44469</v>
      </c>
      <c r="F700" s="2">
        <f t="shared" si="60"/>
        <v>2021</v>
      </c>
      <c r="G700">
        <v>40</v>
      </c>
      <c r="H700" s="3">
        <v>439853</v>
      </c>
      <c r="I700">
        <v>88456</v>
      </c>
      <c r="J700">
        <v>439853</v>
      </c>
      <c r="K700">
        <v>408631</v>
      </c>
      <c r="L700">
        <v>299812</v>
      </c>
      <c r="M700" t="str">
        <f t="shared" si="61"/>
        <v>Medium</v>
      </c>
      <c r="N700">
        <f>VLOOKUP(C700,Lookup!$A$2:$D$5,MATCH(M700,Lookup!$A$1:$D$1,0),FALSE)</f>
        <v>0.09</v>
      </c>
      <c r="O700">
        <f t="shared" si="62"/>
        <v>26983.079999999998</v>
      </c>
      <c r="P700" s="7">
        <f t="shared" si="63"/>
        <v>0.92901719438084995</v>
      </c>
      <c r="Q700" s="7">
        <f t="shared" si="64"/>
        <v>10996.325000000001</v>
      </c>
      <c r="R700">
        <f t="shared" si="65"/>
        <v>3.278202488374196</v>
      </c>
    </row>
    <row r="701" spans="1:18" x14ac:dyDescent="0.25">
      <c r="A701" t="s">
        <v>427</v>
      </c>
      <c r="B701" t="s">
        <v>428</v>
      </c>
      <c r="C701" t="s">
        <v>20</v>
      </c>
      <c r="D701">
        <v>1852</v>
      </c>
      <c r="E701" s="1">
        <v>43738</v>
      </c>
      <c r="F701" s="2">
        <f t="shared" si="60"/>
        <v>2019</v>
      </c>
      <c r="G701">
        <v>519</v>
      </c>
      <c r="H701" s="3">
        <v>3138724</v>
      </c>
      <c r="I701">
        <v>82864</v>
      </c>
      <c r="J701">
        <v>3138724</v>
      </c>
      <c r="K701">
        <v>2833537</v>
      </c>
      <c r="L701">
        <v>2784707</v>
      </c>
      <c r="M701" t="str">
        <f t="shared" si="61"/>
        <v>Large</v>
      </c>
      <c r="N701">
        <f>VLOOKUP(C701,Lookup!$A$2:$D$5,MATCH(M701,Lookup!$A$1:$D$1,0),FALSE)</f>
        <v>0.08</v>
      </c>
      <c r="O701">
        <f t="shared" si="62"/>
        <v>222776.56</v>
      </c>
      <c r="P701" s="7">
        <f t="shared" si="63"/>
        <v>0.90276717545091567</v>
      </c>
      <c r="Q701" s="7">
        <f t="shared" si="64"/>
        <v>6047.6377649325623</v>
      </c>
      <c r="R701">
        <f t="shared" si="65"/>
        <v>0.3719601379965648</v>
      </c>
    </row>
    <row r="702" spans="1:18" x14ac:dyDescent="0.25">
      <c r="A702" t="s">
        <v>427</v>
      </c>
      <c r="B702" t="s">
        <v>428</v>
      </c>
      <c r="C702" t="s">
        <v>20</v>
      </c>
      <c r="D702">
        <v>1852</v>
      </c>
      <c r="E702" s="1">
        <v>44104</v>
      </c>
      <c r="F702" s="2">
        <f t="shared" si="60"/>
        <v>2020</v>
      </c>
      <c r="G702">
        <v>523</v>
      </c>
      <c r="H702" s="3">
        <v>4060547</v>
      </c>
      <c r="I702">
        <v>308364</v>
      </c>
      <c r="J702">
        <v>4060547</v>
      </c>
      <c r="K702">
        <v>3664969</v>
      </c>
      <c r="L702">
        <v>3614672</v>
      </c>
      <c r="M702" t="str">
        <f t="shared" si="61"/>
        <v>Large</v>
      </c>
      <c r="N702">
        <f>VLOOKUP(C702,Lookup!$A$2:$D$5,MATCH(M702,Lookup!$A$1:$D$1,0),FALSE)</f>
        <v>0.08</v>
      </c>
      <c r="O702">
        <f t="shared" si="62"/>
        <v>289173.76000000001</v>
      </c>
      <c r="P702" s="7">
        <f t="shared" si="63"/>
        <v>0.90258012036309399</v>
      </c>
      <c r="Q702" s="7">
        <f t="shared" si="64"/>
        <v>7763.9521988527722</v>
      </c>
      <c r="R702">
        <f t="shared" si="65"/>
        <v>1.0663623144783261</v>
      </c>
    </row>
    <row r="703" spans="1:18" x14ac:dyDescent="0.25">
      <c r="A703" t="s">
        <v>427</v>
      </c>
      <c r="B703" t="s">
        <v>428</v>
      </c>
      <c r="C703" t="s">
        <v>20</v>
      </c>
      <c r="D703">
        <v>1852</v>
      </c>
      <c r="E703" s="1">
        <v>44469</v>
      </c>
      <c r="F703" s="2">
        <f t="shared" si="60"/>
        <v>2021</v>
      </c>
      <c r="G703">
        <v>537</v>
      </c>
      <c r="H703" s="3">
        <v>4451433</v>
      </c>
      <c r="I703">
        <v>644376</v>
      </c>
      <c r="J703">
        <v>4451433</v>
      </c>
      <c r="K703">
        <v>4046082</v>
      </c>
      <c r="L703">
        <v>3971314</v>
      </c>
      <c r="M703" t="str">
        <f t="shared" si="61"/>
        <v>Large</v>
      </c>
      <c r="N703">
        <f>VLOOKUP(C703,Lookup!$A$2:$D$5,MATCH(M703,Lookup!$A$1:$D$1,0),FALSE)</f>
        <v>0.08</v>
      </c>
      <c r="O703">
        <f t="shared" si="62"/>
        <v>317705.12</v>
      </c>
      <c r="P703" s="7">
        <f t="shared" si="63"/>
        <v>0.90893921126073329</v>
      </c>
      <c r="Q703" s="7">
        <f t="shared" si="64"/>
        <v>8289.4469273743016</v>
      </c>
      <c r="R703">
        <f t="shared" si="65"/>
        <v>2.0282203824729046</v>
      </c>
    </row>
    <row r="704" spans="1:18" x14ac:dyDescent="0.25">
      <c r="A704" t="s">
        <v>429</v>
      </c>
      <c r="B704" t="s">
        <v>430</v>
      </c>
      <c r="C704" t="s">
        <v>20</v>
      </c>
      <c r="D704">
        <v>2368</v>
      </c>
      <c r="E704" s="1">
        <v>43738</v>
      </c>
      <c r="F704" s="2">
        <f t="shared" si="60"/>
        <v>2019</v>
      </c>
      <c r="G704">
        <v>206</v>
      </c>
      <c r="H704" s="3">
        <v>641763</v>
      </c>
      <c r="I704">
        <v>9717</v>
      </c>
      <c r="J704">
        <v>641763</v>
      </c>
      <c r="K704">
        <v>569707</v>
      </c>
      <c r="L704">
        <v>500868</v>
      </c>
      <c r="M704" t="str">
        <f t="shared" si="61"/>
        <v>Medium</v>
      </c>
      <c r="N704">
        <f>VLOOKUP(C704,Lookup!$A$2:$D$5,MATCH(M704,Lookup!$A$1:$D$1,0),FALSE)</f>
        <v>8.5000000000000006E-2</v>
      </c>
      <c r="O704">
        <f t="shared" si="62"/>
        <v>42573.780000000006</v>
      </c>
      <c r="P704" s="7">
        <f t="shared" si="63"/>
        <v>0.88772179137781393</v>
      </c>
      <c r="Q704" s="7">
        <f t="shared" si="64"/>
        <v>3115.3543689320391</v>
      </c>
      <c r="R704">
        <f t="shared" si="65"/>
        <v>0.22823907109023439</v>
      </c>
    </row>
    <row r="705" spans="1:18" x14ac:dyDescent="0.25">
      <c r="A705" t="s">
        <v>429</v>
      </c>
      <c r="B705" t="s">
        <v>430</v>
      </c>
      <c r="C705" t="s">
        <v>20</v>
      </c>
      <c r="D705">
        <v>2368</v>
      </c>
      <c r="E705" s="1">
        <v>44104</v>
      </c>
      <c r="F705" s="2">
        <f t="shared" si="60"/>
        <v>2020</v>
      </c>
      <c r="G705">
        <v>199</v>
      </c>
      <c r="H705" s="3">
        <v>725171</v>
      </c>
      <c r="I705">
        <v>49091</v>
      </c>
      <c r="J705">
        <v>725172</v>
      </c>
      <c r="K705">
        <v>639611</v>
      </c>
      <c r="L705">
        <v>529731</v>
      </c>
      <c r="M705" t="str">
        <f t="shared" si="61"/>
        <v>Medium</v>
      </c>
      <c r="N705">
        <f>VLOOKUP(C705,Lookup!$A$2:$D$5,MATCH(M705,Lookup!$A$1:$D$1,0),FALSE)</f>
        <v>8.5000000000000006E-2</v>
      </c>
      <c r="O705">
        <f t="shared" si="62"/>
        <v>45027.135000000002</v>
      </c>
      <c r="P705" s="7">
        <f t="shared" si="63"/>
        <v>0.88201403531029232</v>
      </c>
      <c r="Q705" s="7">
        <f t="shared" si="64"/>
        <v>3644.075376884422</v>
      </c>
      <c r="R705">
        <f t="shared" si="65"/>
        <v>1.0902536881371643</v>
      </c>
    </row>
    <row r="706" spans="1:18" x14ac:dyDescent="0.25">
      <c r="A706" t="s">
        <v>429</v>
      </c>
      <c r="B706" t="s">
        <v>430</v>
      </c>
      <c r="C706" t="s">
        <v>20</v>
      </c>
      <c r="D706">
        <v>2368</v>
      </c>
      <c r="E706" s="1">
        <v>44469</v>
      </c>
      <c r="F706" s="2">
        <f t="shared" ref="F706:F769" si="66">YEAR(E706)</f>
        <v>2021</v>
      </c>
      <c r="G706">
        <v>184</v>
      </c>
      <c r="H706" s="3">
        <v>751052</v>
      </c>
      <c r="I706">
        <v>12974</v>
      </c>
      <c r="J706">
        <v>751052</v>
      </c>
      <c r="K706">
        <v>655899</v>
      </c>
      <c r="L706">
        <v>576555</v>
      </c>
      <c r="M706" t="str">
        <f t="shared" ref="M706:M769" si="67">IF(H706&gt;1000000,"Large",IF(H706&lt;100000,"Small","Medium"))</f>
        <v>Medium</v>
      </c>
      <c r="N706">
        <f>VLOOKUP(C706,Lookup!$A$2:$D$5,MATCH(M706,Lookup!$A$1:$D$1,0),FALSE)</f>
        <v>8.5000000000000006E-2</v>
      </c>
      <c r="O706">
        <f t="shared" ref="O706:O769" si="68">L706*N706</f>
        <v>49007.175000000003</v>
      </c>
      <c r="P706" s="7">
        <f t="shared" ref="P706:P769" si="69">K706/H706</f>
        <v>0.87330704132337045</v>
      </c>
      <c r="Q706" s="7">
        <f t="shared" ref="Q706:Q769" si="70">H706/G706</f>
        <v>4081.804347826087</v>
      </c>
      <c r="R706">
        <f t="shared" ref="R706:R769" si="71">I706/O706</f>
        <v>0.26473674518068013</v>
      </c>
    </row>
    <row r="707" spans="1:18" x14ac:dyDescent="0.25">
      <c r="A707" t="s">
        <v>431</v>
      </c>
      <c r="B707" t="s">
        <v>432</v>
      </c>
      <c r="C707" t="s">
        <v>17</v>
      </c>
      <c r="D707">
        <v>11753</v>
      </c>
      <c r="E707" s="1">
        <v>43738</v>
      </c>
      <c r="F707" s="2">
        <f t="shared" si="66"/>
        <v>2019</v>
      </c>
      <c r="G707">
        <v>79</v>
      </c>
      <c r="H707" s="3">
        <v>756642</v>
      </c>
      <c r="I707">
        <v>61676</v>
      </c>
      <c r="J707">
        <v>756641</v>
      </c>
      <c r="K707">
        <v>659443</v>
      </c>
      <c r="L707">
        <v>649993</v>
      </c>
      <c r="M707" t="str">
        <f t="shared" si="67"/>
        <v>Medium</v>
      </c>
      <c r="N707">
        <f>VLOOKUP(C707,Lookup!$A$2:$D$5,MATCH(M707,Lookup!$A$1:$D$1,0),FALSE)</f>
        <v>8.5000000000000006E-2</v>
      </c>
      <c r="O707">
        <f t="shared" si="68"/>
        <v>55249.405000000006</v>
      </c>
      <c r="P707" s="7">
        <f t="shared" si="69"/>
        <v>0.87153898409023023</v>
      </c>
      <c r="Q707" s="7">
        <f t="shared" si="70"/>
        <v>9577.7468354430384</v>
      </c>
      <c r="R707">
        <f t="shared" si="71"/>
        <v>1.1163197142123067</v>
      </c>
    </row>
    <row r="708" spans="1:18" x14ac:dyDescent="0.25">
      <c r="A708" t="s">
        <v>431</v>
      </c>
      <c r="B708" t="s">
        <v>432</v>
      </c>
      <c r="C708" t="s">
        <v>17</v>
      </c>
      <c r="D708">
        <v>11753</v>
      </c>
      <c r="E708" s="1">
        <v>44104</v>
      </c>
      <c r="F708" s="2">
        <f t="shared" si="66"/>
        <v>2020</v>
      </c>
      <c r="G708">
        <v>93</v>
      </c>
      <c r="H708" s="3">
        <v>869519</v>
      </c>
      <c r="I708">
        <v>104390</v>
      </c>
      <c r="J708">
        <v>869519</v>
      </c>
      <c r="K708">
        <v>761954</v>
      </c>
      <c r="L708">
        <v>747797</v>
      </c>
      <c r="M708" t="str">
        <f t="shared" si="67"/>
        <v>Medium</v>
      </c>
      <c r="N708">
        <f>VLOOKUP(C708,Lookup!$A$2:$D$5,MATCH(M708,Lookup!$A$1:$D$1,0),FALSE)</f>
        <v>8.5000000000000006E-2</v>
      </c>
      <c r="O708">
        <f t="shared" si="68"/>
        <v>63562.745000000003</v>
      </c>
      <c r="P708" s="7">
        <f t="shared" si="69"/>
        <v>0.87629367500882671</v>
      </c>
      <c r="Q708" s="7">
        <f t="shared" si="70"/>
        <v>9349.6666666666661</v>
      </c>
      <c r="R708">
        <f t="shared" si="71"/>
        <v>1.642314220381766</v>
      </c>
    </row>
    <row r="709" spans="1:18" x14ac:dyDescent="0.25">
      <c r="A709" t="s">
        <v>431</v>
      </c>
      <c r="B709" t="s">
        <v>432</v>
      </c>
      <c r="C709" t="s">
        <v>17</v>
      </c>
      <c r="D709">
        <v>11753</v>
      </c>
      <c r="E709" s="1">
        <v>44469</v>
      </c>
      <c r="F709" s="2">
        <f t="shared" si="66"/>
        <v>2021</v>
      </c>
      <c r="G709">
        <v>108</v>
      </c>
      <c r="H709" s="3">
        <v>1101618</v>
      </c>
      <c r="I709">
        <v>138053</v>
      </c>
      <c r="J709">
        <v>1101618</v>
      </c>
      <c r="K709">
        <v>986820</v>
      </c>
      <c r="L709">
        <v>977445</v>
      </c>
      <c r="M709" t="str">
        <f t="shared" si="67"/>
        <v>Large</v>
      </c>
      <c r="N709">
        <f>VLOOKUP(C709,Lookup!$A$2:$D$5,MATCH(M709,Lookup!$A$1:$D$1,0),FALSE)</f>
        <v>0.08</v>
      </c>
      <c r="O709">
        <f t="shared" si="68"/>
        <v>78195.600000000006</v>
      </c>
      <c r="P709" s="7">
        <f t="shared" si="69"/>
        <v>0.89579146310245472</v>
      </c>
      <c r="Q709" s="7">
        <f t="shared" si="70"/>
        <v>10200.166666666666</v>
      </c>
      <c r="R709">
        <f t="shared" si="71"/>
        <v>1.7654829683511604</v>
      </c>
    </row>
    <row r="710" spans="1:18" x14ac:dyDescent="0.25">
      <c r="A710" t="s">
        <v>1369</v>
      </c>
      <c r="B710" t="s">
        <v>26</v>
      </c>
      <c r="C710" t="s">
        <v>20</v>
      </c>
      <c r="D710">
        <v>2110</v>
      </c>
      <c r="E710" s="1">
        <v>44104</v>
      </c>
      <c r="F710" s="2">
        <f t="shared" si="66"/>
        <v>2020</v>
      </c>
      <c r="G710">
        <v>45</v>
      </c>
      <c r="H710" s="3">
        <v>270134</v>
      </c>
      <c r="I710">
        <v>40923</v>
      </c>
      <c r="J710">
        <v>270134</v>
      </c>
      <c r="K710">
        <v>244069</v>
      </c>
      <c r="L710">
        <v>241206</v>
      </c>
      <c r="M710" t="str">
        <f t="shared" si="67"/>
        <v>Medium</v>
      </c>
      <c r="N710">
        <f>VLOOKUP(C710,Lookup!$A$2:$D$5,MATCH(M710,Lookup!$A$1:$D$1,0),FALSE)</f>
        <v>8.5000000000000006E-2</v>
      </c>
      <c r="O710">
        <f t="shared" si="68"/>
        <v>20502.510000000002</v>
      </c>
      <c r="P710" s="7">
        <f t="shared" si="69"/>
        <v>0.90351085017065602</v>
      </c>
      <c r="Q710" s="7">
        <f t="shared" si="70"/>
        <v>6002.9777777777781</v>
      </c>
      <c r="R710">
        <f t="shared" si="71"/>
        <v>1.9959995142058213</v>
      </c>
    </row>
    <row r="711" spans="1:18" x14ac:dyDescent="0.25">
      <c r="A711" t="s">
        <v>1390</v>
      </c>
      <c r="B711" t="s">
        <v>26</v>
      </c>
      <c r="C711" t="s">
        <v>20</v>
      </c>
      <c r="D711">
        <v>2110</v>
      </c>
      <c r="E711" s="1">
        <v>44469</v>
      </c>
      <c r="F711" s="2">
        <f t="shared" si="66"/>
        <v>2021</v>
      </c>
      <c r="G711">
        <v>28</v>
      </c>
      <c r="H711" s="3">
        <v>239305</v>
      </c>
      <c r="I711">
        <v>45352</v>
      </c>
      <c r="J711">
        <v>239305</v>
      </c>
      <c r="K711">
        <v>213681</v>
      </c>
      <c r="L711">
        <v>211759</v>
      </c>
      <c r="M711" t="str">
        <f t="shared" si="67"/>
        <v>Medium</v>
      </c>
      <c r="N711">
        <f>VLOOKUP(C711,Lookup!$A$2:$D$5,MATCH(M711,Lookup!$A$1:$D$1,0),FALSE)</f>
        <v>8.5000000000000006E-2</v>
      </c>
      <c r="O711">
        <f t="shared" si="68"/>
        <v>17999.515000000003</v>
      </c>
      <c r="P711" s="7">
        <f t="shared" si="69"/>
        <v>0.89292325693153085</v>
      </c>
      <c r="Q711" s="7">
        <f t="shared" si="70"/>
        <v>8546.6071428571431</v>
      </c>
      <c r="R711">
        <f t="shared" si="71"/>
        <v>2.519623445409501</v>
      </c>
    </row>
    <row r="712" spans="1:18" x14ac:dyDescent="0.25">
      <c r="A712" t="s">
        <v>433</v>
      </c>
      <c r="B712" t="s">
        <v>434</v>
      </c>
      <c r="C712" t="s">
        <v>8</v>
      </c>
      <c r="D712">
        <v>61301</v>
      </c>
      <c r="E712" s="1">
        <v>43738</v>
      </c>
      <c r="F712" s="2">
        <f t="shared" si="66"/>
        <v>2019</v>
      </c>
      <c r="G712">
        <v>51</v>
      </c>
      <c r="H712" s="3">
        <v>316029</v>
      </c>
      <c r="I712">
        <v>25096</v>
      </c>
      <c r="J712">
        <v>316029</v>
      </c>
      <c r="K712">
        <v>238864</v>
      </c>
      <c r="L712">
        <v>238080</v>
      </c>
      <c r="M712" t="str">
        <f t="shared" si="67"/>
        <v>Medium</v>
      </c>
      <c r="N712">
        <f>VLOOKUP(C712,Lookup!$A$2:$D$5,MATCH(M712,Lookup!$A$1:$D$1,0),FALSE)</f>
        <v>0.08</v>
      </c>
      <c r="O712">
        <f t="shared" si="68"/>
        <v>19046.400000000001</v>
      </c>
      <c r="P712" s="7">
        <f t="shared" si="69"/>
        <v>0.75582937008945383</v>
      </c>
      <c r="Q712" s="7">
        <f t="shared" si="70"/>
        <v>6196.6470588235297</v>
      </c>
      <c r="R712">
        <f t="shared" si="71"/>
        <v>1.3176243279569892</v>
      </c>
    </row>
    <row r="713" spans="1:18" x14ac:dyDescent="0.25">
      <c r="A713" t="s">
        <v>433</v>
      </c>
      <c r="B713" t="s">
        <v>434</v>
      </c>
      <c r="C713" t="s">
        <v>8</v>
      </c>
      <c r="D713">
        <v>61301</v>
      </c>
      <c r="E713" s="1">
        <v>44104</v>
      </c>
      <c r="F713" s="2">
        <f t="shared" si="66"/>
        <v>2020</v>
      </c>
      <c r="G713">
        <v>49</v>
      </c>
      <c r="H713" s="3">
        <v>360336</v>
      </c>
      <c r="I713">
        <v>28330</v>
      </c>
      <c r="J713">
        <v>360336</v>
      </c>
      <c r="K713">
        <v>277433</v>
      </c>
      <c r="L713">
        <v>257435</v>
      </c>
      <c r="M713" t="str">
        <f t="shared" si="67"/>
        <v>Medium</v>
      </c>
      <c r="N713">
        <f>VLOOKUP(C713,Lookup!$A$2:$D$5,MATCH(M713,Lookup!$A$1:$D$1,0),FALSE)</f>
        <v>0.08</v>
      </c>
      <c r="O713">
        <f t="shared" si="68"/>
        <v>20594.8</v>
      </c>
      <c r="P713" s="7">
        <f t="shared" si="69"/>
        <v>0.76992862217485902</v>
      </c>
      <c r="Q713" s="7">
        <f t="shared" si="70"/>
        <v>7353.7959183673465</v>
      </c>
      <c r="R713">
        <f t="shared" si="71"/>
        <v>1.3755899547458583</v>
      </c>
    </row>
    <row r="714" spans="1:18" x14ac:dyDescent="0.25">
      <c r="A714" t="s">
        <v>433</v>
      </c>
      <c r="B714" t="s">
        <v>434</v>
      </c>
      <c r="C714" t="s">
        <v>8</v>
      </c>
      <c r="D714">
        <v>61301</v>
      </c>
      <c r="E714" s="1">
        <v>44469</v>
      </c>
      <c r="F714" s="2">
        <f t="shared" si="66"/>
        <v>2021</v>
      </c>
      <c r="G714">
        <v>51</v>
      </c>
      <c r="H714" s="3">
        <v>417772</v>
      </c>
      <c r="I714">
        <v>27649</v>
      </c>
      <c r="J714">
        <v>417772</v>
      </c>
      <c r="K714">
        <v>333583</v>
      </c>
      <c r="L714">
        <v>315138</v>
      </c>
      <c r="M714" t="str">
        <f t="shared" si="67"/>
        <v>Medium</v>
      </c>
      <c r="N714">
        <f>VLOOKUP(C714,Lookup!$A$2:$D$5,MATCH(M714,Lookup!$A$1:$D$1,0),FALSE)</f>
        <v>0.08</v>
      </c>
      <c r="O714">
        <f t="shared" si="68"/>
        <v>25211.040000000001</v>
      </c>
      <c r="P714" s="7">
        <f t="shared" si="69"/>
        <v>0.79848098963070768</v>
      </c>
      <c r="Q714" s="7">
        <f t="shared" si="70"/>
        <v>8191.6078431372553</v>
      </c>
      <c r="R714">
        <f t="shared" si="71"/>
        <v>1.0967020797238034</v>
      </c>
    </row>
    <row r="715" spans="1:18" x14ac:dyDescent="0.25">
      <c r="A715" t="s">
        <v>435</v>
      </c>
      <c r="B715" t="s">
        <v>436</v>
      </c>
      <c r="C715" t="s">
        <v>17</v>
      </c>
      <c r="D715">
        <v>14006</v>
      </c>
      <c r="E715" s="1">
        <v>43738</v>
      </c>
      <c r="F715" s="2">
        <f t="shared" si="66"/>
        <v>2019</v>
      </c>
      <c r="G715">
        <v>242</v>
      </c>
      <c r="H715" s="3">
        <v>1439855</v>
      </c>
      <c r="I715">
        <v>34308</v>
      </c>
      <c r="J715">
        <v>1439855</v>
      </c>
      <c r="K715">
        <v>1298469</v>
      </c>
      <c r="L715">
        <v>1263458</v>
      </c>
      <c r="M715" t="str">
        <f t="shared" si="67"/>
        <v>Large</v>
      </c>
      <c r="N715">
        <f>VLOOKUP(C715,Lookup!$A$2:$D$5,MATCH(M715,Lookup!$A$1:$D$1,0),FALSE)</f>
        <v>0.08</v>
      </c>
      <c r="O715">
        <f t="shared" si="68"/>
        <v>101076.64</v>
      </c>
      <c r="P715" s="7">
        <f t="shared" si="69"/>
        <v>0.90180539012608907</v>
      </c>
      <c r="Q715" s="7">
        <f t="shared" si="70"/>
        <v>5949.8140495867765</v>
      </c>
      <c r="R715">
        <f t="shared" si="71"/>
        <v>0.33942560813260114</v>
      </c>
    </row>
    <row r="716" spans="1:18" x14ac:dyDescent="0.25">
      <c r="A716" t="s">
        <v>435</v>
      </c>
      <c r="B716" t="s">
        <v>436</v>
      </c>
      <c r="C716" t="s">
        <v>17</v>
      </c>
      <c r="D716">
        <v>14006</v>
      </c>
      <c r="E716" s="1">
        <v>44104</v>
      </c>
      <c r="F716" s="2">
        <f t="shared" si="66"/>
        <v>2020</v>
      </c>
      <c r="G716">
        <v>291</v>
      </c>
      <c r="H716" s="3">
        <v>2040299</v>
      </c>
      <c r="I716">
        <v>103601</v>
      </c>
      <c r="J716">
        <v>2040299</v>
      </c>
      <c r="K716">
        <v>1863418</v>
      </c>
      <c r="L716">
        <v>1788248</v>
      </c>
      <c r="M716" t="str">
        <f t="shared" si="67"/>
        <v>Large</v>
      </c>
      <c r="N716">
        <f>VLOOKUP(C716,Lookup!$A$2:$D$5,MATCH(M716,Lookup!$A$1:$D$1,0),FALSE)</f>
        <v>0.08</v>
      </c>
      <c r="O716">
        <f t="shared" si="68"/>
        <v>143059.84</v>
      </c>
      <c r="P716" s="7">
        <f t="shared" si="69"/>
        <v>0.91330633402261141</v>
      </c>
      <c r="Q716" s="7">
        <f t="shared" si="70"/>
        <v>7011.3367697594504</v>
      </c>
      <c r="R716">
        <f t="shared" si="71"/>
        <v>0.72417947622477419</v>
      </c>
    </row>
    <row r="717" spans="1:18" x14ac:dyDescent="0.25">
      <c r="A717" t="s">
        <v>435</v>
      </c>
      <c r="B717" t="s">
        <v>436</v>
      </c>
      <c r="C717" t="s">
        <v>17</v>
      </c>
      <c r="D717">
        <v>14006</v>
      </c>
      <c r="E717" s="1">
        <v>44469</v>
      </c>
      <c r="F717" s="2">
        <f t="shared" si="66"/>
        <v>2021</v>
      </c>
      <c r="G717">
        <v>305</v>
      </c>
      <c r="H717" s="3">
        <v>2134915</v>
      </c>
      <c r="I717">
        <v>191727</v>
      </c>
      <c r="J717">
        <v>2134915</v>
      </c>
      <c r="K717">
        <v>1938910</v>
      </c>
      <c r="L717">
        <v>1878409</v>
      </c>
      <c r="M717" t="str">
        <f t="shared" si="67"/>
        <v>Large</v>
      </c>
      <c r="N717">
        <f>VLOOKUP(C717,Lookup!$A$2:$D$5,MATCH(M717,Lookup!$A$1:$D$1,0),FALSE)</f>
        <v>0.08</v>
      </c>
      <c r="O717">
        <f t="shared" si="68"/>
        <v>150272.72</v>
      </c>
      <c r="P717" s="7">
        <f t="shared" si="69"/>
        <v>0.90819072422087066</v>
      </c>
      <c r="Q717" s="7">
        <f t="shared" si="70"/>
        <v>6999.7213114754095</v>
      </c>
      <c r="R717">
        <f t="shared" si="71"/>
        <v>1.2758603158311101</v>
      </c>
    </row>
    <row r="718" spans="1:18" x14ac:dyDescent="0.25">
      <c r="A718" t="s">
        <v>437</v>
      </c>
      <c r="B718" t="s">
        <v>406</v>
      </c>
      <c r="C718" t="s">
        <v>20</v>
      </c>
      <c r="D718">
        <v>2149</v>
      </c>
      <c r="E718" s="1">
        <v>43738</v>
      </c>
      <c r="F718" s="2">
        <f t="shared" si="66"/>
        <v>2019</v>
      </c>
      <c r="G718">
        <v>45</v>
      </c>
      <c r="H718" s="3">
        <v>513780</v>
      </c>
      <c r="I718">
        <v>11366</v>
      </c>
      <c r="J718">
        <v>513780</v>
      </c>
      <c r="K718">
        <v>446576</v>
      </c>
      <c r="L718">
        <v>421237</v>
      </c>
      <c r="M718" t="str">
        <f t="shared" si="67"/>
        <v>Medium</v>
      </c>
      <c r="N718">
        <f>VLOOKUP(C718,Lookup!$A$2:$D$5,MATCH(M718,Lookup!$A$1:$D$1,0),FALSE)</f>
        <v>8.5000000000000006E-2</v>
      </c>
      <c r="O718">
        <f t="shared" si="68"/>
        <v>35805.145000000004</v>
      </c>
      <c r="P718" s="7">
        <f t="shared" si="69"/>
        <v>0.86919693253921915</v>
      </c>
      <c r="Q718" s="7">
        <f t="shared" si="70"/>
        <v>11417.333333333334</v>
      </c>
      <c r="R718">
        <f t="shared" si="71"/>
        <v>0.31744041254406313</v>
      </c>
    </row>
    <row r="719" spans="1:18" x14ac:dyDescent="0.25">
      <c r="A719" t="s">
        <v>437</v>
      </c>
      <c r="B719" t="s">
        <v>406</v>
      </c>
      <c r="C719" t="s">
        <v>20</v>
      </c>
      <c r="D719">
        <v>2149</v>
      </c>
      <c r="E719" s="1">
        <v>44104</v>
      </c>
      <c r="F719" s="2">
        <f t="shared" si="66"/>
        <v>2020</v>
      </c>
      <c r="G719">
        <v>46</v>
      </c>
      <c r="H719" s="3">
        <v>562099</v>
      </c>
      <c r="I719">
        <v>38731</v>
      </c>
      <c r="J719">
        <v>562099</v>
      </c>
      <c r="K719">
        <v>490120</v>
      </c>
      <c r="L719">
        <v>464845</v>
      </c>
      <c r="M719" t="str">
        <f t="shared" si="67"/>
        <v>Medium</v>
      </c>
      <c r="N719">
        <f>VLOOKUP(C719,Lookup!$A$2:$D$5,MATCH(M719,Lookup!$A$1:$D$1,0),FALSE)</f>
        <v>8.5000000000000006E-2</v>
      </c>
      <c r="O719">
        <f t="shared" si="68"/>
        <v>39511.825000000004</v>
      </c>
      <c r="P719" s="7">
        <f t="shared" si="69"/>
        <v>0.87194604509170093</v>
      </c>
      <c r="Q719" s="7">
        <f t="shared" si="70"/>
        <v>12219.54347826087</v>
      </c>
      <c r="R719">
        <f t="shared" si="71"/>
        <v>0.98023819451518612</v>
      </c>
    </row>
    <row r="720" spans="1:18" x14ac:dyDescent="0.25">
      <c r="A720" t="s">
        <v>437</v>
      </c>
      <c r="B720" t="s">
        <v>406</v>
      </c>
      <c r="C720" t="s">
        <v>20</v>
      </c>
      <c r="D720">
        <v>2149</v>
      </c>
      <c r="E720" s="1">
        <v>44469</v>
      </c>
      <c r="F720" s="2">
        <f t="shared" si="66"/>
        <v>2021</v>
      </c>
      <c r="G720">
        <v>51</v>
      </c>
      <c r="H720" s="3">
        <v>644538</v>
      </c>
      <c r="I720">
        <v>61060</v>
      </c>
      <c r="J720">
        <v>644538</v>
      </c>
      <c r="K720">
        <v>567460</v>
      </c>
      <c r="L720">
        <v>553090</v>
      </c>
      <c r="M720" t="str">
        <f t="shared" si="67"/>
        <v>Medium</v>
      </c>
      <c r="N720">
        <f>VLOOKUP(C720,Lookup!$A$2:$D$5,MATCH(M720,Lookup!$A$1:$D$1,0),FALSE)</f>
        <v>8.5000000000000006E-2</v>
      </c>
      <c r="O720">
        <f t="shared" si="68"/>
        <v>47012.65</v>
      </c>
      <c r="P720" s="7">
        <f t="shared" si="69"/>
        <v>0.88041356754760769</v>
      </c>
      <c r="Q720" s="7">
        <f t="shared" si="70"/>
        <v>12638</v>
      </c>
      <c r="R720">
        <f t="shared" si="71"/>
        <v>1.2987993657026353</v>
      </c>
    </row>
    <row r="721" spans="1:18" x14ac:dyDescent="0.25">
      <c r="A721" t="s">
        <v>438</v>
      </c>
      <c r="B721" t="s">
        <v>439</v>
      </c>
      <c r="C721" t="s">
        <v>8</v>
      </c>
      <c r="D721">
        <v>60523</v>
      </c>
      <c r="E721" s="1">
        <v>43738</v>
      </c>
      <c r="F721" s="2">
        <f t="shared" si="66"/>
        <v>2019</v>
      </c>
      <c r="G721">
        <v>145</v>
      </c>
      <c r="H721" s="3">
        <v>1071091</v>
      </c>
      <c r="I721">
        <v>81438</v>
      </c>
      <c r="J721">
        <v>1071091</v>
      </c>
      <c r="K721">
        <v>953741</v>
      </c>
      <c r="L721">
        <v>917526</v>
      </c>
      <c r="M721" t="str">
        <f t="shared" si="67"/>
        <v>Large</v>
      </c>
      <c r="N721">
        <f>VLOOKUP(C721,Lookup!$A$2:$D$5,MATCH(M721,Lookup!$A$1:$D$1,0),FALSE)</f>
        <v>7.4999999999999997E-2</v>
      </c>
      <c r="O721">
        <f t="shared" si="68"/>
        <v>68814.45</v>
      </c>
      <c r="P721" s="7">
        <f t="shared" si="69"/>
        <v>0.89043881425574489</v>
      </c>
      <c r="Q721" s="7">
        <f t="shared" si="70"/>
        <v>7386.8344827586207</v>
      </c>
      <c r="R721">
        <f t="shared" si="71"/>
        <v>1.1834433029690712</v>
      </c>
    </row>
    <row r="722" spans="1:18" x14ac:dyDescent="0.25">
      <c r="A722" t="s">
        <v>438</v>
      </c>
      <c r="B722" t="s">
        <v>439</v>
      </c>
      <c r="C722" t="s">
        <v>8</v>
      </c>
      <c r="D722">
        <v>60523</v>
      </c>
      <c r="E722" s="1">
        <v>44104</v>
      </c>
      <c r="F722" s="2">
        <f t="shared" si="66"/>
        <v>2020</v>
      </c>
      <c r="G722">
        <v>159</v>
      </c>
      <c r="H722" s="3">
        <v>1261193</v>
      </c>
      <c r="I722">
        <v>125103</v>
      </c>
      <c r="J722">
        <v>1261193</v>
      </c>
      <c r="K722">
        <v>1127044</v>
      </c>
      <c r="L722">
        <v>1072166</v>
      </c>
      <c r="M722" t="str">
        <f t="shared" si="67"/>
        <v>Large</v>
      </c>
      <c r="N722">
        <f>VLOOKUP(C722,Lookup!$A$2:$D$5,MATCH(M722,Lookup!$A$1:$D$1,0),FALSE)</f>
        <v>7.4999999999999997E-2</v>
      </c>
      <c r="O722">
        <f t="shared" si="68"/>
        <v>80412.45</v>
      </c>
      <c r="P722" s="7">
        <f t="shared" si="69"/>
        <v>0.89363325042241748</v>
      </c>
      <c r="Q722" s="7">
        <f t="shared" si="70"/>
        <v>7932.0314465408801</v>
      </c>
      <c r="R722">
        <f t="shared" si="71"/>
        <v>1.5557665510751135</v>
      </c>
    </row>
    <row r="723" spans="1:18" x14ac:dyDescent="0.25">
      <c r="A723" t="s">
        <v>438</v>
      </c>
      <c r="B723" t="s">
        <v>439</v>
      </c>
      <c r="C723" t="s">
        <v>8</v>
      </c>
      <c r="D723">
        <v>60523</v>
      </c>
      <c r="E723" s="1">
        <v>44469</v>
      </c>
      <c r="F723" s="2">
        <f t="shared" si="66"/>
        <v>2021</v>
      </c>
      <c r="G723">
        <v>169</v>
      </c>
      <c r="H723" s="3">
        <v>1215250</v>
      </c>
      <c r="I723">
        <v>120594</v>
      </c>
      <c r="J723">
        <v>1215250</v>
      </c>
      <c r="K723">
        <v>1059388</v>
      </c>
      <c r="L723">
        <v>1020135</v>
      </c>
      <c r="M723" t="str">
        <f t="shared" si="67"/>
        <v>Large</v>
      </c>
      <c r="N723">
        <f>VLOOKUP(C723,Lookup!$A$2:$D$5,MATCH(M723,Lookup!$A$1:$D$1,0),FALSE)</f>
        <v>7.4999999999999997E-2</v>
      </c>
      <c r="O723">
        <f t="shared" si="68"/>
        <v>76510.125</v>
      </c>
      <c r="P723" s="7">
        <f t="shared" si="69"/>
        <v>0.87174490845505037</v>
      </c>
      <c r="Q723" s="7">
        <f t="shared" si="70"/>
        <v>7190.8284023668639</v>
      </c>
      <c r="R723">
        <f t="shared" si="71"/>
        <v>1.5761835443348184</v>
      </c>
    </row>
    <row r="724" spans="1:18" x14ac:dyDescent="0.25">
      <c r="A724" t="s">
        <v>440</v>
      </c>
      <c r="B724" t="s">
        <v>293</v>
      </c>
      <c r="C724" t="s">
        <v>5</v>
      </c>
      <c r="D724">
        <v>91101</v>
      </c>
      <c r="E724" s="1">
        <v>43738</v>
      </c>
      <c r="F724" s="2">
        <f t="shared" si="66"/>
        <v>2019</v>
      </c>
      <c r="G724">
        <v>102</v>
      </c>
      <c r="H724" s="3">
        <v>933426</v>
      </c>
      <c r="I724">
        <v>84478</v>
      </c>
      <c r="J724">
        <v>933426</v>
      </c>
      <c r="K724">
        <v>746099</v>
      </c>
      <c r="L724">
        <v>734921</v>
      </c>
      <c r="M724" t="str">
        <f t="shared" si="67"/>
        <v>Medium</v>
      </c>
      <c r="N724">
        <f>VLOOKUP(C724,Lookup!$A$2:$D$5,MATCH(M724,Lookup!$A$1:$D$1,0),FALSE)</f>
        <v>0.09</v>
      </c>
      <c r="O724">
        <f t="shared" si="68"/>
        <v>66142.89</v>
      </c>
      <c r="P724" s="7">
        <f t="shared" si="69"/>
        <v>0.79931242540919156</v>
      </c>
      <c r="Q724" s="7">
        <f t="shared" si="70"/>
        <v>9151.2352941176468</v>
      </c>
      <c r="R724">
        <f t="shared" si="71"/>
        <v>1.2772045491208504</v>
      </c>
    </row>
    <row r="725" spans="1:18" x14ac:dyDescent="0.25">
      <c r="A725" t="s">
        <v>440</v>
      </c>
      <c r="B725" t="s">
        <v>293</v>
      </c>
      <c r="C725" t="s">
        <v>5</v>
      </c>
      <c r="D725">
        <v>91101</v>
      </c>
      <c r="E725" s="1">
        <v>44104</v>
      </c>
      <c r="F725" s="2">
        <f t="shared" si="66"/>
        <v>2020</v>
      </c>
      <c r="G725">
        <v>97</v>
      </c>
      <c r="H725" s="3">
        <v>983879</v>
      </c>
      <c r="I725">
        <v>182477</v>
      </c>
      <c r="J725">
        <v>983879</v>
      </c>
      <c r="K725">
        <v>786604</v>
      </c>
      <c r="L725">
        <v>738140</v>
      </c>
      <c r="M725" t="str">
        <f t="shared" si="67"/>
        <v>Medium</v>
      </c>
      <c r="N725">
        <f>VLOOKUP(C725,Lookup!$A$2:$D$5,MATCH(M725,Lookup!$A$1:$D$1,0),FALSE)</f>
        <v>0.09</v>
      </c>
      <c r="O725">
        <f t="shared" si="68"/>
        <v>66432.599999999991</v>
      </c>
      <c r="P725" s="7">
        <f t="shared" si="69"/>
        <v>0.79949262053565529</v>
      </c>
      <c r="Q725" s="7">
        <f t="shared" si="70"/>
        <v>10143.082474226803</v>
      </c>
      <c r="R725">
        <f t="shared" si="71"/>
        <v>2.7467990113287759</v>
      </c>
    </row>
    <row r="726" spans="1:18" x14ac:dyDescent="0.25">
      <c r="A726" t="s">
        <v>440</v>
      </c>
      <c r="B726" t="s">
        <v>293</v>
      </c>
      <c r="C726" t="s">
        <v>5</v>
      </c>
      <c r="D726">
        <v>91101</v>
      </c>
      <c r="E726" s="1">
        <v>44469</v>
      </c>
      <c r="F726" s="2">
        <f t="shared" si="66"/>
        <v>2021</v>
      </c>
      <c r="G726">
        <v>92</v>
      </c>
      <c r="H726" s="3">
        <v>1026418</v>
      </c>
      <c r="I726">
        <v>231241</v>
      </c>
      <c r="J726">
        <v>1026418</v>
      </c>
      <c r="K726">
        <v>817390</v>
      </c>
      <c r="L726">
        <v>778795</v>
      </c>
      <c r="M726" t="str">
        <f t="shared" si="67"/>
        <v>Large</v>
      </c>
      <c r="N726">
        <f>VLOOKUP(C726,Lookup!$A$2:$D$5,MATCH(M726,Lookup!$A$1:$D$1,0),FALSE)</f>
        <v>0.08</v>
      </c>
      <c r="O726">
        <f t="shared" si="68"/>
        <v>62303.6</v>
      </c>
      <c r="P726" s="7">
        <f t="shared" si="69"/>
        <v>0.79635197356242782</v>
      </c>
      <c r="Q726" s="7">
        <f t="shared" si="70"/>
        <v>11156.717391304348</v>
      </c>
      <c r="R726">
        <f t="shared" si="71"/>
        <v>3.711519077549291</v>
      </c>
    </row>
    <row r="727" spans="1:18" x14ac:dyDescent="0.25">
      <c r="A727" t="s">
        <v>441</v>
      </c>
      <c r="B727" t="s">
        <v>41</v>
      </c>
      <c r="C727" t="s">
        <v>5</v>
      </c>
      <c r="D727">
        <v>95401</v>
      </c>
      <c r="E727" s="1">
        <v>43738</v>
      </c>
      <c r="F727" s="2">
        <f t="shared" si="66"/>
        <v>2019</v>
      </c>
      <c r="G727">
        <v>415</v>
      </c>
      <c r="H727" s="3">
        <v>2607873</v>
      </c>
      <c r="I727">
        <v>204894</v>
      </c>
      <c r="J727">
        <v>2607873</v>
      </c>
      <c r="K727">
        <v>2345812</v>
      </c>
      <c r="L727">
        <v>2296083</v>
      </c>
      <c r="M727" t="str">
        <f t="shared" si="67"/>
        <v>Large</v>
      </c>
      <c r="N727">
        <f>VLOOKUP(C727,Lookup!$A$2:$D$5,MATCH(M727,Lookup!$A$1:$D$1,0),FALSE)</f>
        <v>0.08</v>
      </c>
      <c r="O727">
        <f t="shared" si="68"/>
        <v>183686.64</v>
      </c>
      <c r="P727" s="7">
        <f t="shared" si="69"/>
        <v>0.89951159431460048</v>
      </c>
      <c r="Q727" s="7">
        <f t="shared" si="70"/>
        <v>6284.0313253012046</v>
      </c>
      <c r="R727">
        <f t="shared" si="71"/>
        <v>1.1154540145107994</v>
      </c>
    </row>
    <row r="728" spans="1:18" x14ac:dyDescent="0.25">
      <c r="A728" t="s">
        <v>441</v>
      </c>
      <c r="B728" t="s">
        <v>41</v>
      </c>
      <c r="C728" t="s">
        <v>5</v>
      </c>
      <c r="D728">
        <v>95401</v>
      </c>
      <c r="E728" s="1">
        <v>44104</v>
      </c>
      <c r="F728" s="2">
        <f t="shared" si="66"/>
        <v>2020</v>
      </c>
      <c r="G728">
        <v>388</v>
      </c>
      <c r="H728" s="3">
        <v>3038464</v>
      </c>
      <c r="I728">
        <v>296339</v>
      </c>
      <c r="J728">
        <v>3038464</v>
      </c>
      <c r="K728">
        <v>2740386</v>
      </c>
      <c r="L728">
        <v>2685030</v>
      </c>
      <c r="M728" t="str">
        <f t="shared" si="67"/>
        <v>Large</v>
      </c>
      <c r="N728">
        <f>VLOOKUP(C728,Lookup!$A$2:$D$5,MATCH(M728,Lookup!$A$1:$D$1,0),FALSE)</f>
        <v>0.08</v>
      </c>
      <c r="O728">
        <f t="shared" si="68"/>
        <v>214802.4</v>
      </c>
      <c r="P728" s="7">
        <f t="shared" si="69"/>
        <v>0.90189845922150136</v>
      </c>
      <c r="Q728" s="7">
        <f t="shared" si="70"/>
        <v>7831.0927835051543</v>
      </c>
      <c r="R728">
        <f t="shared" si="71"/>
        <v>1.3795888686532367</v>
      </c>
    </row>
    <row r="729" spans="1:18" x14ac:dyDescent="0.25">
      <c r="A729" t="s">
        <v>441</v>
      </c>
      <c r="B729" t="s">
        <v>41</v>
      </c>
      <c r="C729" t="s">
        <v>5</v>
      </c>
      <c r="D729">
        <v>95401</v>
      </c>
      <c r="E729" s="1">
        <v>44469</v>
      </c>
      <c r="F729" s="2">
        <f t="shared" si="66"/>
        <v>2021</v>
      </c>
      <c r="G729">
        <v>372</v>
      </c>
      <c r="H729" s="3">
        <v>3535757</v>
      </c>
      <c r="I729">
        <v>572709</v>
      </c>
      <c r="J729">
        <v>3535757</v>
      </c>
      <c r="K729">
        <v>3219699</v>
      </c>
      <c r="L729">
        <v>3171846</v>
      </c>
      <c r="M729" t="str">
        <f t="shared" si="67"/>
        <v>Large</v>
      </c>
      <c r="N729">
        <f>VLOOKUP(C729,Lookup!$A$2:$D$5,MATCH(M729,Lookup!$A$1:$D$1,0),FALSE)</f>
        <v>0.08</v>
      </c>
      <c r="O729">
        <f t="shared" si="68"/>
        <v>253747.68</v>
      </c>
      <c r="P729" s="7">
        <f t="shared" si="69"/>
        <v>0.91061093847795538</v>
      </c>
      <c r="Q729" s="7">
        <f t="shared" si="70"/>
        <v>9504.7231182795695</v>
      </c>
      <c r="R729">
        <f t="shared" si="71"/>
        <v>2.2570019162342687</v>
      </c>
    </row>
    <row r="730" spans="1:18" x14ac:dyDescent="0.25">
      <c r="A730" t="s">
        <v>442</v>
      </c>
      <c r="B730" t="s">
        <v>443</v>
      </c>
      <c r="C730" t="s">
        <v>8</v>
      </c>
      <c r="D730">
        <v>61046</v>
      </c>
      <c r="E730" s="1">
        <v>43738</v>
      </c>
      <c r="F730" s="2">
        <f t="shared" si="66"/>
        <v>2019</v>
      </c>
      <c r="G730">
        <v>14</v>
      </c>
      <c r="H730" s="3">
        <v>91489</v>
      </c>
      <c r="I730">
        <v>5266</v>
      </c>
      <c r="J730">
        <v>91489</v>
      </c>
      <c r="K730">
        <v>79630</v>
      </c>
      <c r="L730">
        <v>77571</v>
      </c>
      <c r="M730" t="str">
        <f t="shared" si="67"/>
        <v>Small</v>
      </c>
      <c r="N730">
        <f>VLOOKUP(C730,Lookup!$A$2:$D$5,MATCH(M730,Lookup!$A$1:$D$1,0),FALSE)</f>
        <v>0.09</v>
      </c>
      <c r="O730">
        <f t="shared" si="68"/>
        <v>6981.3899999999994</v>
      </c>
      <c r="P730" s="7">
        <f t="shared" si="69"/>
        <v>0.87037785963339853</v>
      </c>
      <c r="Q730" s="7">
        <f t="shared" si="70"/>
        <v>6534.9285714285716</v>
      </c>
      <c r="R730">
        <f t="shared" si="71"/>
        <v>0.75429105092252413</v>
      </c>
    </row>
    <row r="731" spans="1:18" x14ac:dyDescent="0.25">
      <c r="A731" t="s">
        <v>442</v>
      </c>
      <c r="B731" t="s">
        <v>443</v>
      </c>
      <c r="C731" t="s">
        <v>8</v>
      </c>
      <c r="D731">
        <v>61046</v>
      </c>
      <c r="E731" s="1">
        <v>44104</v>
      </c>
      <c r="F731" s="2">
        <f t="shared" si="66"/>
        <v>2020</v>
      </c>
      <c r="G731">
        <v>15</v>
      </c>
      <c r="H731" s="3">
        <v>101816</v>
      </c>
      <c r="I731">
        <v>5431</v>
      </c>
      <c r="J731">
        <v>101816</v>
      </c>
      <c r="K731">
        <v>87873</v>
      </c>
      <c r="L731">
        <v>81899</v>
      </c>
      <c r="M731" t="str">
        <f t="shared" si="67"/>
        <v>Medium</v>
      </c>
      <c r="N731">
        <f>VLOOKUP(C731,Lookup!$A$2:$D$5,MATCH(M731,Lookup!$A$1:$D$1,0),FALSE)</f>
        <v>0.08</v>
      </c>
      <c r="O731">
        <f t="shared" si="68"/>
        <v>6551.92</v>
      </c>
      <c r="P731" s="7">
        <f t="shared" si="69"/>
        <v>0.86305688693329141</v>
      </c>
      <c r="Q731" s="7">
        <f t="shared" si="70"/>
        <v>6787.7333333333336</v>
      </c>
      <c r="R731">
        <f t="shared" si="71"/>
        <v>0.82891732499786319</v>
      </c>
    </row>
    <row r="732" spans="1:18" x14ac:dyDescent="0.25">
      <c r="A732" t="s">
        <v>442</v>
      </c>
      <c r="B732" t="s">
        <v>443</v>
      </c>
      <c r="C732" t="s">
        <v>8</v>
      </c>
      <c r="D732">
        <v>61046</v>
      </c>
      <c r="E732" s="1">
        <v>44469</v>
      </c>
      <c r="F732" s="2">
        <f t="shared" si="66"/>
        <v>2021</v>
      </c>
      <c r="G732">
        <v>14</v>
      </c>
      <c r="H732" s="3">
        <v>106911</v>
      </c>
      <c r="I732">
        <v>5591</v>
      </c>
      <c r="J732">
        <v>106911</v>
      </c>
      <c r="K732">
        <v>93600</v>
      </c>
      <c r="L732">
        <v>86688</v>
      </c>
      <c r="M732" t="str">
        <f t="shared" si="67"/>
        <v>Medium</v>
      </c>
      <c r="N732">
        <f>VLOOKUP(C732,Lookup!$A$2:$D$5,MATCH(M732,Lookup!$A$1:$D$1,0),FALSE)</f>
        <v>0.08</v>
      </c>
      <c r="O732">
        <f t="shared" si="68"/>
        <v>6935.04</v>
      </c>
      <c r="P732" s="7">
        <f t="shared" si="69"/>
        <v>0.87549457025002109</v>
      </c>
      <c r="Q732" s="7">
        <f t="shared" si="70"/>
        <v>7636.5</v>
      </c>
      <c r="R732">
        <f t="shared" si="71"/>
        <v>0.80619578257659652</v>
      </c>
    </row>
    <row r="733" spans="1:18" x14ac:dyDescent="0.25">
      <c r="A733" t="s">
        <v>444</v>
      </c>
      <c r="B733" t="s">
        <v>445</v>
      </c>
      <c r="C733" t="s">
        <v>17</v>
      </c>
      <c r="D733">
        <v>14450</v>
      </c>
      <c r="E733" s="1">
        <v>43738</v>
      </c>
      <c r="F733" s="2">
        <f t="shared" si="66"/>
        <v>2019</v>
      </c>
      <c r="G733">
        <v>70</v>
      </c>
      <c r="H733" s="3">
        <v>323122</v>
      </c>
      <c r="I733">
        <v>3752</v>
      </c>
      <c r="J733">
        <v>323122</v>
      </c>
      <c r="K733">
        <v>292974</v>
      </c>
      <c r="L733">
        <v>232896</v>
      </c>
      <c r="M733" t="str">
        <f t="shared" si="67"/>
        <v>Medium</v>
      </c>
      <c r="N733">
        <f>VLOOKUP(C733,Lookup!$A$2:$D$5,MATCH(M733,Lookup!$A$1:$D$1,0),FALSE)</f>
        <v>8.5000000000000006E-2</v>
      </c>
      <c r="O733">
        <f t="shared" si="68"/>
        <v>19796.16</v>
      </c>
      <c r="P733" s="7">
        <f t="shared" si="69"/>
        <v>0.90669777978596322</v>
      </c>
      <c r="Q733" s="7">
        <f t="shared" si="70"/>
        <v>4616.028571428571</v>
      </c>
      <c r="R733">
        <f t="shared" si="71"/>
        <v>0.18953170715936829</v>
      </c>
    </row>
    <row r="734" spans="1:18" x14ac:dyDescent="0.25">
      <c r="A734" t="s">
        <v>446</v>
      </c>
      <c r="B734" t="s">
        <v>447</v>
      </c>
      <c r="C734" t="s">
        <v>8</v>
      </c>
      <c r="D734">
        <v>61432</v>
      </c>
      <c r="E734" s="1">
        <v>43738</v>
      </c>
      <c r="F734" s="2">
        <f t="shared" si="66"/>
        <v>2019</v>
      </c>
      <c r="G734">
        <v>6</v>
      </c>
      <c r="H734" s="3">
        <v>28885</v>
      </c>
      <c r="I734">
        <v>4633</v>
      </c>
      <c r="J734">
        <v>28885</v>
      </c>
      <c r="K734">
        <v>24979</v>
      </c>
      <c r="L734">
        <v>24291</v>
      </c>
      <c r="M734" t="str">
        <f t="shared" si="67"/>
        <v>Small</v>
      </c>
      <c r="N734">
        <f>VLOOKUP(C734,Lookup!$A$2:$D$5,MATCH(M734,Lookup!$A$1:$D$1,0),FALSE)</f>
        <v>0.09</v>
      </c>
      <c r="O734">
        <f t="shared" si="68"/>
        <v>2186.19</v>
      </c>
      <c r="P734" s="7">
        <f t="shared" si="69"/>
        <v>0.86477410420633549</v>
      </c>
      <c r="Q734" s="7">
        <f t="shared" si="70"/>
        <v>4814.166666666667</v>
      </c>
      <c r="R734">
        <f t="shared" si="71"/>
        <v>2.1192119623637469</v>
      </c>
    </row>
    <row r="735" spans="1:18" x14ac:dyDescent="0.25">
      <c r="A735" t="s">
        <v>446</v>
      </c>
      <c r="B735" t="s">
        <v>447</v>
      </c>
      <c r="C735" t="s">
        <v>8</v>
      </c>
      <c r="D735">
        <v>61432</v>
      </c>
      <c r="E735" s="1">
        <v>44104</v>
      </c>
      <c r="F735" s="2">
        <f t="shared" si="66"/>
        <v>2020</v>
      </c>
      <c r="G735">
        <v>6</v>
      </c>
      <c r="H735" s="3">
        <v>31338</v>
      </c>
      <c r="I735">
        <v>3892</v>
      </c>
      <c r="J735">
        <v>31338</v>
      </c>
      <c r="K735">
        <v>27352</v>
      </c>
      <c r="L735">
        <v>26653</v>
      </c>
      <c r="M735" t="str">
        <f t="shared" si="67"/>
        <v>Small</v>
      </c>
      <c r="N735">
        <f>VLOOKUP(C735,Lookup!$A$2:$D$5,MATCH(M735,Lookup!$A$1:$D$1,0),FALSE)</f>
        <v>0.09</v>
      </c>
      <c r="O735">
        <f t="shared" si="68"/>
        <v>2398.77</v>
      </c>
      <c r="P735" s="7">
        <f t="shared" si="69"/>
        <v>0.87280617780330594</v>
      </c>
      <c r="Q735" s="7">
        <f t="shared" si="70"/>
        <v>5223</v>
      </c>
      <c r="R735">
        <f t="shared" si="71"/>
        <v>1.6224981969926253</v>
      </c>
    </row>
    <row r="736" spans="1:18" x14ac:dyDescent="0.25">
      <c r="A736" t="s">
        <v>446</v>
      </c>
      <c r="B736" t="s">
        <v>447</v>
      </c>
      <c r="C736" t="s">
        <v>8</v>
      </c>
      <c r="D736">
        <v>61432</v>
      </c>
      <c r="E736" s="1">
        <v>44469</v>
      </c>
      <c r="F736" s="2">
        <f t="shared" si="66"/>
        <v>2021</v>
      </c>
      <c r="G736">
        <v>6</v>
      </c>
      <c r="H736" s="3">
        <v>35845</v>
      </c>
      <c r="I736">
        <v>5917</v>
      </c>
      <c r="J736">
        <v>35845</v>
      </c>
      <c r="K736">
        <v>31541</v>
      </c>
      <c r="L736">
        <v>30770</v>
      </c>
      <c r="M736" t="str">
        <f t="shared" si="67"/>
        <v>Small</v>
      </c>
      <c r="N736">
        <f>VLOOKUP(C736,Lookup!$A$2:$D$5,MATCH(M736,Lookup!$A$1:$D$1,0),FALSE)</f>
        <v>0.09</v>
      </c>
      <c r="O736">
        <f t="shared" si="68"/>
        <v>2769.2999999999997</v>
      </c>
      <c r="P736" s="7">
        <f t="shared" si="69"/>
        <v>0.87992746547635659</v>
      </c>
      <c r="Q736" s="7">
        <f t="shared" si="70"/>
        <v>5974.166666666667</v>
      </c>
      <c r="R736">
        <f t="shared" si="71"/>
        <v>2.136641028418734</v>
      </c>
    </row>
    <row r="737" spans="1:18" x14ac:dyDescent="0.25">
      <c r="A737" t="s">
        <v>448</v>
      </c>
      <c r="B737" t="s">
        <v>449</v>
      </c>
      <c r="C737" t="s">
        <v>20</v>
      </c>
      <c r="D737">
        <v>2720</v>
      </c>
      <c r="E737" s="1">
        <v>43738</v>
      </c>
      <c r="F737" s="2">
        <f t="shared" si="66"/>
        <v>2019</v>
      </c>
      <c r="G737">
        <v>203</v>
      </c>
      <c r="H737" s="3">
        <v>1065470</v>
      </c>
      <c r="I737">
        <v>23697</v>
      </c>
      <c r="J737">
        <v>1065470</v>
      </c>
      <c r="K737">
        <v>974217</v>
      </c>
      <c r="L737">
        <v>919228</v>
      </c>
      <c r="M737" t="str">
        <f t="shared" si="67"/>
        <v>Large</v>
      </c>
      <c r="N737">
        <f>VLOOKUP(C737,Lookup!$A$2:$D$5,MATCH(M737,Lookup!$A$1:$D$1,0),FALSE)</f>
        <v>0.08</v>
      </c>
      <c r="O737">
        <f t="shared" si="68"/>
        <v>73538.240000000005</v>
      </c>
      <c r="P737" s="7">
        <f t="shared" si="69"/>
        <v>0.91435422865026705</v>
      </c>
      <c r="Q737" s="7">
        <f t="shared" si="70"/>
        <v>5248.6206896551721</v>
      </c>
      <c r="R737">
        <f t="shared" si="71"/>
        <v>0.32224051051534547</v>
      </c>
    </row>
    <row r="738" spans="1:18" x14ac:dyDescent="0.25">
      <c r="A738" t="s">
        <v>448</v>
      </c>
      <c r="B738" t="s">
        <v>449</v>
      </c>
      <c r="C738" t="s">
        <v>20</v>
      </c>
      <c r="D738">
        <v>2720</v>
      </c>
      <c r="E738" s="1">
        <v>44104</v>
      </c>
      <c r="F738" s="2">
        <f t="shared" si="66"/>
        <v>2020</v>
      </c>
      <c r="G738">
        <v>204</v>
      </c>
      <c r="H738" s="3">
        <v>1216888</v>
      </c>
      <c r="I738">
        <v>61669</v>
      </c>
      <c r="J738">
        <v>1216888</v>
      </c>
      <c r="K738">
        <v>1117600</v>
      </c>
      <c r="L738">
        <v>1063528</v>
      </c>
      <c r="M738" t="str">
        <f t="shared" si="67"/>
        <v>Large</v>
      </c>
      <c r="N738">
        <f>VLOOKUP(C738,Lookup!$A$2:$D$5,MATCH(M738,Lookup!$A$1:$D$1,0),FALSE)</f>
        <v>0.08</v>
      </c>
      <c r="O738">
        <f t="shared" si="68"/>
        <v>85082.240000000005</v>
      </c>
      <c r="P738" s="7">
        <f t="shared" si="69"/>
        <v>0.91840826764665273</v>
      </c>
      <c r="Q738" s="7">
        <f t="shared" si="70"/>
        <v>5965.1372549019607</v>
      </c>
      <c r="R738">
        <f t="shared" si="71"/>
        <v>0.72481636590668042</v>
      </c>
    </row>
    <row r="739" spans="1:18" x14ac:dyDescent="0.25">
      <c r="A739" t="s">
        <v>448</v>
      </c>
      <c r="B739" t="s">
        <v>449</v>
      </c>
      <c r="C739" t="s">
        <v>20</v>
      </c>
      <c r="D739">
        <v>2720</v>
      </c>
      <c r="E739" s="1">
        <v>44469</v>
      </c>
      <c r="F739" s="2">
        <f t="shared" si="66"/>
        <v>2021</v>
      </c>
      <c r="G739">
        <v>220</v>
      </c>
      <c r="H739" s="3">
        <v>1340639</v>
      </c>
      <c r="I739">
        <v>26030</v>
      </c>
      <c r="J739">
        <v>1340639</v>
      </c>
      <c r="K739">
        <v>1215393</v>
      </c>
      <c r="L739">
        <v>1169986</v>
      </c>
      <c r="M739" t="str">
        <f t="shared" si="67"/>
        <v>Large</v>
      </c>
      <c r="N739">
        <f>VLOOKUP(C739,Lookup!$A$2:$D$5,MATCH(M739,Lookup!$A$1:$D$1,0),FALSE)</f>
        <v>0.08</v>
      </c>
      <c r="O739">
        <f t="shared" si="68"/>
        <v>93598.88</v>
      </c>
      <c r="P739" s="7">
        <f t="shared" si="69"/>
        <v>0.90657738585853465</v>
      </c>
      <c r="Q739" s="7">
        <f t="shared" si="70"/>
        <v>6093.8136363636368</v>
      </c>
      <c r="R739">
        <f t="shared" si="71"/>
        <v>0.27810161830996266</v>
      </c>
    </row>
    <row r="740" spans="1:18" x14ac:dyDescent="0.25">
      <c r="A740" t="s">
        <v>450</v>
      </c>
      <c r="B740" t="s">
        <v>451</v>
      </c>
      <c r="C740" t="s">
        <v>20</v>
      </c>
      <c r="D740">
        <v>1420</v>
      </c>
      <c r="E740" s="1">
        <v>43738</v>
      </c>
      <c r="F740" s="2">
        <f t="shared" si="66"/>
        <v>2019</v>
      </c>
      <c r="G740">
        <v>18</v>
      </c>
      <c r="H740" s="3">
        <v>95703</v>
      </c>
      <c r="I740">
        <v>4564</v>
      </c>
      <c r="J740">
        <v>95703</v>
      </c>
      <c r="K740">
        <v>84463</v>
      </c>
      <c r="L740">
        <v>82861</v>
      </c>
      <c r="M740" t="str">
        <f t="shared" si="67"/>
        <v>Small</v>
      </c>
      <c r="N740">
        <f>VLOOKUP(C740,Lookup!$A$2:$D$5,MATCH(M740,Lookup!$A$1:$D$1,0),FALSE)</f>
        <v>9.5000000000000001E-2</v>
      </c>
      <c r="O740">
        <f t="shared" si="68"/>
        <v>7871.7950000000001</v>
      </c>
      <c r="P740" s="7">
        <f t="shared" si="69"/>
        <v>0.88255331598800457</v>
      </c>
      <c r="Q740" s="7">
        <f t="shared" si="70"/>
        <v>5316.833333333333</v>
      </c>
      <c r="R740">
        <f t="shared" si="71"/>
        <v>0.57979152150176672</v>
      </c>
    </row>
    <row r="741" spans="1:18" x14ac:dyDescent="0.25">
      <c r="A741" t="s">
        <v>452</v>
      </c>
      <c r="B741" t="s">
        <v>453</v>
      </c>
      <c r="C741" t="s">
        <v>8</v>
      </c>
      <c r="D741">
        <v>61401</v>
      </c>
      <c r="E741" s="1">
        <v>43738</v>
      </c>
      <c r="F741" s="2">
        <f t="shared" si="66"/>
        <v>2019</v>
      </c>
      <c r="G741">
        <v>70</v>
      </c>
      <c r="H741" s="3">
        <v>369674</v>
      </c>
      <c r="I741">
        <v>5940</v>
      </c>
      <c r="J741">
        <v>369674</v>
      </c>
      <c r="K741">
        <v>318252</v>
      </c>
      <c r="L741">
        <v>302495</v>
      </c>
      <c r="M741" t="str">
        <f t="shared" si="67"/>
        <v>Medium</v>
      </c>
      <c r="N741">
        <f>VLOOKUP(C741,Lookup!$A$2:$D$5,MATCH(M741,Lookup!$A$1:$D$1,0),FALSE)</f>
        <v>0.08</v>
      </c>
      <c r="O741">
        <f t="shared" si="68"/>
        <v>24199.600000000002</v>
      </c>
      <c r="P741" s="7">
        <f t="shared" si="69"/>
        <v>0.86089906241715675</v>
      </c>
      <c r="Q741" s="7">
        <f t="shared" si="70"/>
        <v>5281.0571428571429</v>
      </c>
      <c r="R741">
        <f t="shared" si="71"/>
        <v>0.24545860262153091</v>
      </c>
    </row>
    <row r="742" spans="1:18" x14ac:dyDescent="0.25">
      <c r="A742" t="s">
        <v>452</v>
      </c>
      <c r="B742" t="s">
        <v>453</v>
      </c>
      <c r="C742" t="s">
        <v>8</v>
      </c>
      <c r="D742">
        <v>61401</v>
      </c>
      <c r="E742" s="1">
        <v>44104</v>
      </c>
      <c r="F742" s="2">
        <f t="shared" si="66"/>
        <v>2020</v>
      </c>
      <c r="G742">
        <v>66</v>
      </c>
      <c r="H742" s="3">
        <v>402990</v>
      </c>
      <c r="I742">
        <v>9029</v>
      </c>
      <c r="J742">
        <v>402990</v>
      </c>
      <c r="K742">
        <v>353069</v>
      </c>
      <c r="L742">
        <v>332868</v>
      </c>
      <c r="M742" t="str">
        <f t="shared" si="67"/>
        <v>Medium</v>
      </c>
      <c r="N742">
        <f>VLOOKUP(C742,Lookup!$A$2:$D$5,MATCH(M742,Lookup!$A$1:$D$1,0),FALSE)</f>
        <v>0.08</v>
      </c>
      <c r="O742">
        <f t="shared" si="68"/>
        <v>26629.440000000002</v>
      </c>
      <c r="P742" s="7">
        <f t="shared" si="69"/>
        <v>0.87612347700935511</v>
      </c>
      <c r="Q742" s="7">
        <f t="shared" si="70"/>
        <v>6105.909090909091</v>
      </c>
      <c r="R742">
        <f t="shared" si="71"/>
        <v>0.33906082891716832</v>
      </c>
    </row>
    <row r="743" spans="1:18" x14ac:dyDescent="0.25">
      <c r="A743" t="s">
        <v>454</v>
      </c>
      <c r="B743" t="s">
        <v>455</v>
      </c>
      <c r="C743" t="s">
        <v>5</v>
      </c>
      <c r="D743">
        <v>95240</v>
      </c>
      <c r="E743" s="1">
        <v>43738</v>
      </c>
      <c r="F743" s="2">
        <f t="shared" si="66"/>
        <v>2019</v>
      </c>
      <c r="G743">
        <v>368</v>
      </c>
      <c r="H743" s="3">
        <v>3569064</v>
      </c>
      <c r="I743">
        <v>224814</v>
      </c>
      <c r="J743">
        <v>3569064</v>
      </c>
      <c r="K743">
        <v>3204219</v>
      </c>
      <c r="L743">
        <v>3141089</v>
      </c>
      <c r="M743" t="str">
        <f t="shared" si="67"/>
        <v>Large</v>
      </c>
      <c r="N743">
        <f>VLOOKUP(C743,Lookup!$A$2:$D$5,MATCH(M743,Lookup!$A$1:$D$1,0),FALSE)</f>
        <v>0.08</v>
      </c>
      <c r="O743">
        <f t="shared" si="68"/>
        <v>251287.12</v>
      </c>
      <c r="P743" s="7">
        <f t="shared" si="69"/>
        <v>0.89777571934826605</v>
      </c>
      <c r="Q743" s="7">
        <f t="shared" si="70"/>
        <v>9698.54347826087</v>
      </c>
      <c r="R743">
        <f t="shared" si="71"/>
        <v>0.89464991281686068</v>
      </c>
    </row>
    <row r="744" spans="1:18" x14ac:dyDescent="0.25">
      <c r="A744" t="s">
        <v>454</v>
      </c>
      <c r="B744" t="s">
        <v>455</v>
      </c>
      <c r="C744" t="s">
        <v>5</v>
      </c>
      <c r="D744">
        <v>95240</v>
      </c>
      <c r="E744" s="1">
        <v>44104</v>
      </c>
      <c r="F744" s="2">
        <f t="shared" si="66"/>
        <v>2020</v>
      </c>
      <c r="G744">
        <v>360</v>
      </c>
      <c r="H744" s="3">
        <v>4301259</v>
      </c>
      <c r="I744">
        <v>359185</v>
      </c>
      <c r="J744">
        <v>4301259</v>
      </c>
      <c r="K744">
        <v>3874823</v>
      </c>
      <c r="L744">
        <v>3815755</v>
      </c>
      <c r="M744" t="str">
        <f t="shared" si="67"/>
        <v>Large</v>
      </c>
      <c r="N744">
        <f>VLOOKUP(C744,Lookup!$A$2:$D$5,MATCH(M744,Lookup!$A$1:$D$1,0),FALSE)</f>
        <v>0.08</v>
      </c>
      <c r="O744">
        <f t="shared" si="68"/>
        <v>305260.40000000002</v>
      </c>
      <c r="P744" s="7">
        <f t="shared" si="69"/>
        <v>0.90085786510414745</v>
      </c>
      <c r="Q744" s="7">
        <f t="shared" si="70"/>
        <v>11947.941666666668</v>
      </c>
      <c r="R744">
        <f t="shared" si="71"/>
        <v>1.1766511476758859</v>
      </c>
    </row>
    <row r="745" spans="1:18" x14ac:dyDescent="0.25">
      <c r="A745" t="s">
        <v>454</v>
      </c>
      <c r="B745" t="s">
        <v>455</v>
      </c>
      <c r="C745" t="s">
        <v>5</v>
      </c>
      <c r="D745">
        <v>95240</v>
      </c>
      <c r="E745" s="1">
        <v>44469</v>
      </c>
      <c r="F745" s="2">
        <f t="shared" si="66"/>
        <v>2021</v>
      </c>
      <c r="G745">
        <v>360</v>
      </c>
      <c r="H745" s="3">
        <v>5103549</v>
      </c>
      <c r="I745">
        <v>872211</v>
      </c>
      <c r="J745">
        <v>5103549</v>
      </c>
      <c r="K745">
        <v>4639366</v>
      </c>
      <c r="L745">
        <v>4570375</v>
      </c>
      <c r="M745" t="str">
        <f t="shared" si="67"/>
        <v>Large</v>
      </c>
      <c r="N745">
        <f>VLOOKUP(C745,Lookup!$A$2:$D$5,MATCH(M745,Lookup!$A$1:$D$1,0),FALSE)</f>
        <v>0.08</v>
      </c>
      <c r="O745">
        <f t="shared" si="68"/>
        <v>365630</v>
      </c>
      <c r="P745" s="7">
        <f t="shared" si="69"/>
        <v>0.90904701806527188</v>
      </c>
      <c r="Q745" s="7">
        <f t="shared" si="70"/>
        <v>14176.525</v>
      </c>
      <c r="R745">
        <f t="shared" si="71"/>
        <v>2.3855017367283868</v>
      </c>
    </row>
    <row r="746" spans="1:18" x14ac:dyDescent="0.25">
      <c r="A746" t="s">
        <v>456</v>
      </c>
      <c r="B746" t="s">
        <v>457</v>
      </c>
      <c r="C746" t="s">
        <v>8</v>
      </c>
      <c r="D746">
        <v>62433</v>
      </c>
      <c r="E746" s="1">
        <v>43738</v>
      </c>
      <c r="F746" s="2">
        <f t="shared" si="66"/>
        <v>2019</v>
      </c>
      <c r="G746">
        <v>6</v>
      </c>
      <c r="H746" s="3">
        <v>45591</v>
      </c>
      <c r="I746">
        <v>8557</v>
      </c>
      <c r="J746">
        <v>45591</v>
      </c>
      <c r="K746">
        <v>37196</v>
      </c>
      <c r="L746">
        <v>37150</v>
      </c>
      <c r="M746" t="str">
        <f t="shared" si="67"/>
        <v>Small</v>
      </c>
      <c r="N746">
        <f>VLOOKUP(C746,Lookup!$A$2:$D$5,MATCH(M746,Lookup!$A$1:$D$1,0),FALSE)</f>
        <v>0.09</v>
      </c>
      <c r="O746">
        <f t="shared" si="68"/>
        <v>3343.5</v>
      </c>
      <c r="P746" s="7">
        <f t="shared" si="69"/>
        <v>0.81586277993463618</v>
      </c>
      <c r="Q746" s="7">
        <f t="shared" si="70"/>
        <v>7598.5</v>
      </c>
      <c r="R746">
        <f t="shared" si="71"/>
        <v>2.5592941528338566</v>
      </c>
    </row>
    <row r="747" spans="1:18" x14ac:dyDescent="0.25">
      <c r="A747" t="s">
        <v>456</v>
      </c>
      <c r="B747" t="s">
        <v>457</v>
      </c>
      <c r="C747" t="s">
        <v>8</v>
      </c>
      <c r="D747">
        <v>62433</v>
      </c>
      <c r="E747" s="1">
        <v>44104</v>
      </c>
      <c r="F747" s="2">
        <f t="shared" si="66"/>
        <v>2020</v>
      </c>
      <c r="G747">
        <v>7</v>
      </c>
      <c r="H747" s="3">
        <v>46350</v>
      </c>
      <c r="I747">
        <v>10053</v>
      </c>
      <c r="J747">
        <v>46350</v>
      </c>
      <c r="K747">
        <v>37730</v>
      </c>
      <c r="L747">
        <v>37692</v>
      </c>
      <c r="M747" t="str">
        <f t="shared" si="67"/>
        <v>Small</v>
      </c>
      <c r="N747">
        <f>VLOOKUP(C747,Lookup!$A$2:$D$5,MATCH(M747,Lookup!$A$1:$D$1,0),FALSE)</f>
        <v>0.09</v>
      </c>
      <c r="O747">
        <f t="shared" si="68"/>
        <v>3392.2799999999997</v>
      </c>
      <c r="P747" s="7">
        <f t="shared" si="69"/>
        <v>0.81402373247033444</v>
      </c>
      <c r="Q747" s="7">
        <f t="shared" si="70"/>
        <v>6621.4285714285716</v>
      </c>
      <c r="R747">
        <f t="shared" si="71"/>
        <v>2.963493579539425</v>
      </c>
    </row>
    <row r="748" spans="1:18" x14ac:dyDescent="0.25">
      <c r="A748" t="s">
        <v>456</v>
      </c>
      <c r="B748" t="s">
        <v>457</v>
      </c>
      <c r="C748" t="s">
        <v>8</v>
      </c>
      <c r="D748">
        <v>62433</v>
      </c>
      <c r="E748" s="1">
        <v>44469</v>
      </c>
      <c r="F748" s="2">
        <f t="shared" si="66"/>
        <v>2021</v>
      </c>
      <c r="G748">
        <v>7</v>
      </c>
      <c r="H748" s="3">
        <v>50542</v>
      </c>
      <c r="I748">
        <v>4404</v>
      </c>
      <c r="J748">
        <v>50542</v>
      </c>
      <c r="K748">
        <v>41691</v>
      </c>
      <c r="L748">
        <v>41655</v>
      </c>
      <c r="M748" t="str">
        <f t="shared" si="67"/>
        <v>Small</v>
      </c>
      <c r="N748">
        <f>VLOOKUP(C748,Lookup!$A$2:$D$5,MATCH(M748,Lookup!$A$1:$D$1,0),FALSE)</f>
        <v>0.09</v>
      </c>
      <c r="O748">
        <f t="shared" si="68"/>
        <v>3748.95</v>
      </c>
      <c r="P748" s="7">
        <f t="shared" si="69"/>
        <v>0.82487831902180364</v>
      </c>
      <c r="Q748" s="7">
        <f t="shared" si="70"/>
        <v>7220.2857142857147</v>
      </c>
      <c r="R748">
        <f t="shared" si="71"/>
        <v>1.1747289240987477</v>
      </c>
    </row>
    <row r="749" spans="1:18" x14ac:dyDescent="0.25">
      <c r="A749" t="s">
        <v>458</v>
      </c>
      <c r="B749" t="s">
        <v>459</v>
      </c>
      <c r="C749" t="s">
        <v>5</v>
      </c>
      <c r="D749">
        <v>90802</v>
      </c>
      <c r="E749" s="1">
        <v>43738</v>
      </c>
      <c r="F749" s="2">
        <f t="shared" si="66"/>
        <v>2019</v>
      </c>
      <c r="G749">
        <v>762</v>
      </c>
      <c r="H749" s="3">
        <v>7597080</v>
      </c>
      <c r="I749">
        <v>159351</v>
      </c>
      <c r="J749">
        <v>7597080</v>
      </c>
      <c r="K749">
        <v>6528854</v>
      </c>
      <c r="L749">
        <v>5849283</v>
      </c>
      <c r="M749" t="str">
        <f t="shared" si="67"/>
        <v>Large</v>
      </c>
      <c r="N749">
        <f>VLOOKUP(C749,Lookup!$A$2:$D$5,MATCH(M749,Lookup!$A$1:$D$1,0),FALSE)</f>
        <v>0.08</v>
      </c>
      <c r="O749">
        <f t="shared" si="68"/>
        <v>467942.64</v>
      </c>
      <c r="P749" s="7">
        <f t="shared" si="69"/>
        <v>0.85938992349692245</v>
      </c>
      <c r="Q749" s="7">
        <f t="shared" si="70"/>
        <v>9969.9212598425202</v>
      </c>
      <c r="R749">
        <f t="shared" si="71"/>
        <v>0.34053532715035328</v>
      </c>
    </row>
    <row r="750" spans="1:18" x14ac:dyDescent="0.25">
      <c r="A750" t="s">
        <v>458</v>
      </c>
      <c r="B750" t="s">
        <v>459</v>
      </c>
      <c r="C750" t="s">
        <v>5</v>
      </c>
      <c r="D750">
        <v>90802</v>
      </c>
      <c r="E750" s="1">
        <v>44104</v>
      </c>
      <c r="F750" s="2">
        <f t="shared" si="66"/>
        <v>2020</v>
      </c>
      <c r="G750">
        <v>764</v>
      </c>
      <c r="H750" s="3">
        <v>9682905</v>
      </c>
      <c r="I750">
        <v>920062</v>
      </c>
      <c r="J750">
        <v>9682905</v>
      </c>
      <c r="K750">
        <v>8550037</v>
      </c>
      <c r="L750">
        <v>7421329</v>
      </c>
      <c r="M750" t="str">
        <f t="shared" si="67"/>
        <v>Large</v>
      </c>
      <c r="N750">
        <f>VLOOKUP(C750,Lookup!$A$2:$D$5,MATCH(M750,Lookup!$A$1:$D$1,0),FALSE)</f>
        <v>0.08</v>
      </c>
      <c r="O750">
        <f t="shared" si="68"/>
        <v>593706.32000000007</v>
      </c>
      <c r="P750" s="7">
        <f t="shared" si="69"/>
        <v>0.88300329291674351</v>
      </c>
      <c r="Q750" s="7">
        <f t="shared" si="70"/>
        <v>12673.959424083771</v>
      </c>
      <c r="R750">
        <f t="shared" si="71"/>
        <v>1.549692110402328</v>
      </c>
    </row>
    <row r="751" spans="1:18" x14ac:dyDescent="0.25">
      <c r="A751" t="s">
        <v>458</v>
      </c>
      <c r="B751" t="s">
        <v>459</v>
      </c>
      <c r="C751" t="s">
        <v>5</v>
      </c>
      <c r="D751">
        <v>90802</v>
      </c>
      <c r="E751" s="1">
        <v>44469</v>
      </c>
      <c r="F751" s="2">
        <f t="shared" si="66"/>
        <v>2021</v>
      </c>
      <c r="G751">
        <v>749</v>
      </c>
      <c r="H751" s="3">
        <v>11286280</v>
      </c>
      <c r="I751">
        <v>1491538</v>
      </c>
      <c r="J751">
        <v>11286280</v>
      </c>
      <c r="K751">
        <v>10070270</v>
      </c>
      <c r="L751">
        <v>8947240</v>
      </c>
      <c r="M751" t="str">
        <f t="shared" si="67"/>
        <v>Large</v>
      </c>
      <c r="N751">
        <f>VLOOKUP(C751,Lookup!$A$2:$D$5,MATCH(M751,Lookup!$A$1:$D$1,0),FALSE)</f>
        <v>0.08</v>
      </c>
      <c r="O751">
        <f t="shared" si="68"/>
        <v>715779.20000000007</v>
      </c>
      <c r="P751" s="7">
        <f t="shared" si="69"/>
        <v>0.89225767923531929</v>
      </c>
      <c r="Q751" s="7">
        <f t="shared" si="70"/>
        <v>15068.464619492657</v>
      </c>
      <c r="R751">
        <f t="shared" si="71"/>
        <v>2.083796232134155</v>
      </c>
    </row>
    <row r="752" spans="1:18" x14ac:dyDescent="0.25">
      <c r="A752" t="s">
        <v>460</v>
      </c>
      <c r="B752" t="s">
        <v>461</v>
      </c>
      <c r="C752" t="s">
        <v>8</v>
      </c>
      <c r="D752">
        <v>61422</v>
      </c>
      <c r="E752" s="1">
        <v>43738</v>
      </c>
      <c r="F752" s="2">
        <f t="shared" si="66"/>
        <v>2019</v>
      </c>
      <c r="G752">
        <v>22</v>
      </c>
      <c r="H752" s="3">
        <v>69490</v>
      </c>
      <c r="I752">
        <v>17449</v>
      </c>
      <c r="J752">
        <v>69490</v>
      </c>
      <c r="K752">
        <v>62734</v>
      </c>
      <c r="L752">
        <v>62641</v>
      </c>
      <c r="M752" t="str">
        <f t="shared" si="67"/>
        <v>Small</v>
      </c>
      <c r="N752">
        <f>VLOOKUP(C752,Lookup!$A$2:$D$5,MATCH(M752,Lookup!$A$1:$D$1,0),FALSE)</f>
        <v>0.09</v>
      </c>
      <c r="O752">
        <f t="shared" si="68"/>
        <v>5637.69</v>
      </c>
      <c r="P752" s="7">
        <f t="shared" si="69"/>
        <v>0.9027773780400058</v>
      </c>
      <c r="Q752" s="7">
        <f t="shared" si="70"/>
        <v>3158.6363636363635</v>
      </c>
      <c r="R752">
        <f t="shared" si="71"/>
        <v>3.0950619846071707</v>
      </c>
    </row>
    <row r="753" spans="1:18" x14ac:dyDescent="0.25">
      <c r="A753" t="s">
        <v>460</v>
      </c>
      <c r="B753" t="s">
        <v>461</v>
      </c>
      <c r="C753" t="s">
        <v>8</v>
      </c>
      <c r="D753">
        <v>61422</v>
      </c>
      <c r="E753" s="1">
        <v>44104</v>
      </c>
      <c r="F753" s="2">
        <f t="shared" si="66"/>
        <v>2020</v>
      </c>
      <c r="G753">
        <v>21</v>
      </c>
      <c r="H753" s="3">
        <v>78311</v>
      </c>
      <c r="I753">
        <v>23663</v>
      </c>
      <c r="J753">
        <v>78311</v>
      </c>
      <c r="K753">
        <v>71185</v>
      </c>
      <c r="L753">
        <v>70930</v>
      </c>
      <c r="M753" t="str">
        <f t="shared" si="67"/>
        <v>Small</v>
      </c>
      <c r="N753">
        <f>VLOOKUP(C753,Lookup!$A$2:$D$5,MATCH(M753,Lookup!$A$1:$D$1,0),FALSE)</f>
        <v>0.09</v>
      </c>
      <c r="O753">
        <f t="shared" si="68"/>
        <v>6383.7</v>
      </c>
      <c r="P753" s="7">
        <f t="shared" si="69"/>
        <v>0.90900384364904041</v>
      </c>
      <c r="Q753" s="7">
        <f t="shared" si="70"/>
        <v>3729.0952380952381</v>
      </c>
      <c r="R753">
        <f t="shared" si="71"/>
        <v>3.7067844666885978</v>
      </c>
    </row>
    <row r="754" spans="1:18" x14ac:dyDescent="0.25">
      <c r="A754" t="s">
        <v>460</v>
      </c>
      <c r="B754" t="s">
        <v>461</v>
      </c>
      <c r="C754" t="s">
        <v>8</v>
      </c>
      <c r="D754">
        <v>61422</v>
      </c>
      <c r="E754" s="1">
        <v>44469</v>
      </c>
      <c r="F754" s="2">
        <f t="shared" si="66"/>
        <v>2021</v>
      </c>
      <c r="G754">
        <v>20</v>
      </c>
      <c r="H754" s="3">
        <v>86513</v>
      </c>
      <c r="I754">
        <v>22746</v>
      </c>
      <c r="J754">
        <v>86513</v>
      </c>
      <c r="K754">
        <v>79637</v>
      </c>
      <c r="L754">
        <v>79593</v>
      </c>
      <c r="M754" t="str">
        <f t="shared" si="67"/>
        <v>Small</v>
      </c>
      <c r="N754">
        <f>VLOOKUP(C754,Lookup!$A$2:$D$5,MATCH(M754,Lookup!$A$1:$D$1,0),FALSE)</f>
        <v>0.09</v>
      </c>
      <c r="O754">
        <f t="shared" si="68"/>
        <v>7163.37</v>
      </c>
      <c r="P754" s="7">
        <f t="shared" si="69"/>
        <v>0.92052061539884178</v>
      </c>
      <c r="Q754" s="7">
        <f t="shared" si="70"/>
        <v>4325.6499999999996</v>
      </c>
      <c r="R754">
        <f t="shared" si="71"/>
        <v>3.17532111282818</v>
      </c>
    </row>
    <row r="755" spans="1:18" x14ac:dyDescent="0.25">
      <c r="A755" t="s">
        <v>1370</v>
      </c>
      <c r="B755" t="s">
        <v>1176</v>
      </c>
      <c r="C755" t="s">
        <v>8</v>
      </c>
      <c r="D755">
        <v>61277</v>
      </c>
      <c r="E755" s="1">
        <v>44104</v>
      </c>
      <c r="F755" s="2">
        <f t="shared" si="66"/>
        <v>2020</v>
      </c>
      <c r="G755">
        <v>55</v>
      </c>
      <c r="H755" s="3">
        <v>782493</v>
      </c>
      <c r="I755">
        <v>29219</v>
      </c>
      <c r="J755">
        <v>782492</v>
      </c>
      <c r="K755">
        <v>669781</v>
      </c>
      <c r="L755">
        <v>522962</v>
      </c>
      <c r="M755" t="str">
        <f t="shared" si="67"/>
        <v>Medium</v>
      </c>
      <c r="N755">
        <f>VLOOKUP(C755,Lookup!$A$2:$D$5,MATCH(M755,Lookup!$A$1:$D$1,0),FALSE)</f>
        <v>0.08</v>
      </c>
      <c r="O755">
        <f t="shared" si="68"/>
        <v>41836.959999999999</v>
      </c>
      <c r="P755" s="7">
        <f t="shared" si="69"/>
        <v>0.85595781687503913</v>
      </c>
      <c r="Q755" s="7">
        <f t="shared" si="70"/>
        <v>14227.145454545454</v>
      </c>
      <c r="R755">
        <f t="shared" si="71"/>
        <v>0.69840160470550439</v>
      </c>
    </row>
    <row r="756" spans="1:18" x14ac:dyDescent="0.25">
      <c r="A756" t="s">
        <v>1370</v>
      </c>
      <c r="B756" t="s">
        <v>1176</v>
      </c>
      <c r="C756" t="s">
        <v>8</v>
      </c>
      <c r="D756">
        <v>61277</v>
      </c>
      <c r="E756" s="1">
        <v>44469</v>
      </c>
      <c r="F756" s="2">
        <f t="shared" si="66"/>
        <v>2021</v>
      </c>
      <c r="G756">
        <v>56</v>
      </c>
      <c r="H756" s="3">
        <v>857869</v>
      </c>
      <c r="I756">
        <v>25190</v>
      </c>
      <c r="J756">
        <v>857869</v>
      </c>
      <c r="K756">
        <v>736380</v>
      </c>
      <c r="L756">
        <v>596698</v>
      </c>
      <c r="M756" t="str">
        <f t="shared" si="67"/>
        <v>Medium</v>
      </c>
      <c r="N756">
        <f>VLOOKUP(C756,Lookup!$A$2:$D$5,MATCH(M756,Lookup!$A$1:$D$1,0),FALSE)</f>
        <v>0.08</v>
      </c>
      <c r="O756">
        <f t="shared" si="68"/>
        <v>47735.840000000004</v>
      </c>
      <c r="P756" s="7">
        <f t="shared" si="69"/>
        <v>0.85838280669892486</v>
      </c>
      <c r="Q756" s="7">
        <f t="shared" si="70"/>
        <v>15319.089285714286</v>
      </c>
      <c r="R756">
        <f t="shared" si="71"/>
        <v>0.52769575229010313</v>
      </c>
    </row>
    <row r="757" spans="1:18" x14ac:dyDescent="0.25">
      <c r="A757" t="s">
        <v>462</v>
      </c>
      <c r="B757" t="s">
        <v>463</v>
      </c>
      <c r="C757" t="s">
        <v>8</v>
      </c>
      <c r="D757">
        <v>62340</v>
      </c>
      <c r="E757" s="1">
        <v>43738</v>
      </c>
      <c r="F757" s="2">
        <f t="shared" si="66"/>
        <v>2019</v>
      </c>
      <c r="G757">
        <v>23</v>
      </c>
      <c r="H757" s="3">
        <v>91258</v>
      </c>
      <c r="I757">
        <v>10669</v>
      </c>
      <c r="J757">
        <v>91259</v>
      </c>
      <c r="K757">
        <v>81102</v>
      </c>
      <c r="L757">
        <v>79491</v>
      </c>
      <c r="M757" t="str">
        <f t="shared" si="67"/>
        <v>Small</v>
      </c>
      <c r="N757">
        <f>VLOOKUP(C757,Lookup!$A$2:$D$5,MATCH(M757,Lookup!$A$1:$D$1,0),FALSE)</f>
        <v>0.09</v>
      </c>
      <c r="O757">
        <f t="shared" si="68"/>
        <v>7154.19</v>
      </c>
      <c r="P757" s="7">
        <f t="shared" si="69"/>
        <v>0.8887111266957417</v>
      </c>
      <c r="Q757" s="7">
        <f t="shared" si="70"/>
        <v>3967.7391304347825</v>
      </c>
      <c r="R757">
        <f t="shared" si="71"/>
        <v>1.4912939130775114</v>
      </c>
    </row>
    <row r="758" spans="1:18" x14ac:dyDescent="0.25">
      <c r="A758" t="s">
        <v>462</v>
      </c>
      <c r="B758" t="s">
        <v>463</v>
      </c>
      <c r="C758" t="s">
        <v>8</v>
      </c>
      <c r="D758">
        <v>62340</v>
      </c>
      <c r="E758" s="1">
        <v>44104</v>
      </c>
      <c r="F758" s="2">
        <f t="shared" si="66"/>
        <v>2020</v>
      </c>
      <c r="G758">
        <v>22</v>
      </c>
      <c r="H758" s="3">
        <v>106436</v>
      </c>
      <c r="I758">
        <v>11898</v>
      </c>
      <c r="J758">
        <v>106436</v>
      </c>
      <c r="K758">
        <v>95239</v>
      </c>
      <c r="L758">
        <v>89654</v>
      </c>
      <c r="M758" t="str">
        <f t="shared" si="67"/>
        <v>Medium</v>
      </c>
      <c r="N758">
        <f>VLOOKUP(C758,Lookup!$A$2:$D$5,MATCH(M758,Lookup!$A$1:$D$1,0),FALSE)</f>
        <v>0.08</v>
      </c>
      <c r="O758">
        <f t="shared" si="68"/>
        <v>7172.32</v>
      </c>
      <c r="P758" s="7">
        <f t="shared" si="69"/>
        <v>0.8948006313653275</v>
      </c>
      <c r="Q758" s="7">
        <f t="shared" si="70"/>
        <v>4838</v>
      </c>
      <c r="R758">
        <f t="shared" si="71"/>
        <v>1.658877462243737</v>
      </c>
    </row>
    <row r="759" spans="1:18" x14ac:dyDescent="0.25">
      <c r="A759" t="s">
        <v>462</v>
      </c>
      <c r="B759" t="s">
        <v>463</v>
      </c>
      <c r="C759" t="s">
        <v>8</v>
      </c>
      <c r="D759">
        <v>62340</v>
      </c>
      <c r="E759" s="1">
        <v>44469</v>
      </c>
      <c r="F759" s="2">
        <f t="shared" si="66"/>
        <v>2021</v>
      </c>
      <c r="G759">
        <v>24</v>
      </c>
      <c r="H759" s="3">
        <v>123971</v>
      </c>
      <c r="I759">
        <v>19706</v>
      </c>
      <c r="J759">
        <v>123971</v>
      </c>
      <c r="K759">
        <v>111504</v>
      </c>
      <c r="L759">
        <v>104871</v>
      </c>
      <c r="M759" t="str">
        <f t="shared" si="67"/>
        <v>Medium</v>
      </c>
      <c r="N759">
        <f>VLOOKUP(C759,Lookup!$A$2:$D$5,MATCH(M759,Lookup!$A$1:$D$1,0),FALSE)</f>
        <v>0.08</v>
      </c>
      <c r="O759">
        <f t="shared" si="68"/>
        <v>8389.68</v>
      </c>
      <c r="P759" s="7">
        <f t="shared" si="69"/>
        <v>0.89943615845641323</v>
      </c>
      <c r="Q759" s="7">
        <f t="shared" si="70"/>
        <v>5165.458333333333</v>
      </c>
      <c r="R759">
        <f t="shared" si="71"/>
        <v>2.3488380963278694</v>
      </c>
    </row>
    <row r="760" spans="1:18" x14ac:dyDescent="0.25">
      <c r="A760" t="s">
        <v>464</v>
      </c>
      <c r="B760" t="s">
        <v>187</v>
      </c>
      <c r="C760" t="s">
        <v>8</v>
      </c>
      <c r="D760">
        <v>62363</v>
      </c>
      <c r="E760" s="1">
        <v>43738</v>
      </c>
      <c r="F760" s="2">
        <f t="shared" si="66"/>
        <v>2019</v>
      </c>
      <c r="G760">
        <v>51</v>
      </c>
      <c r="H760" s="3">
        <v>252522</v>
      </c>
      <c r="I760">
        <v>11258</v>
      </c>
      <c r="J760">
        <v>252522</v>
      </c>
      <c r="K760">
        <v>217540</v>
      </c>
      <c r="L760">
        <v>215738</v>
      </c>
      <c r="M760" t="str">
        <f t="shared" si="67"/>
        <v>Medium</v>
      </c>
      <c r="N760">
        <f>VLOOKUP(C760,Lookup!$A$2:$D$5,MATCH(M760,Lookup!$A$1:$D$1,0),FALSE)</f>
        <v>0.08</v>
      </c>
      <c r="O760">
        <f t="shared" si="68"/>
        <v>17259.04</v>
      </c>
      <c r="P760" s="7">
        <f t="shared" si="69"/>
        <v>0.86146949572710496</v>
      </c>
      <c r="Q760" s="7">
        <f t="shared" si="70"/>
        <v>4951.411764705882</v>
      </c>
      <c r="R760">
        <f t="shared" si="71"/>
        <v>0.65229584032483845</v>
      </c>
    </row>
    <row r="761" spans="1:18" x14ac:dyDescent="0.25">
      <c r="A761" t="s">
        <v>464</v>
      </c>
      <c r="B761" t="s">
        <v>465</v>
      </c>
      <c r="C761" t="s">
        <v>8</v>
      </c>
      <c r="D761">
        <v>61529</v>
      </c>
      <c r="E761" s="1">
        <v>43738</v>
      </c>
      <c r="F761" s="2">
        <f t="shared" si="66"/>
        <v>2019</v>
      </c>
      <c r="G761">
        <v>14</v>
      </c>
      <c r="H761" s="3">
        <v>55345</v>
      </c>
      <c r="I761">
        <v>4616</v>
      </c>
      <c r="J761">
        <v>55345</v>
      </c>
      <c r="K761">
        <v>50449</v>
      </c>
      <c r="L761">
        <v>48911</v>
      </c>
      <c r="M761" t="str">
        <f t="shared" si="67"/>
        <v>Small</v>
      </c>
      <c r="N761">
        <f>VLOOKUP(C761,Lookup!$A$2:$D$5,MATCH(M761,Lookup!$A$1:$D$1,0),FALSE)</f>
        <v>0.09</v>
      </c>
      <c r="O761">
        <f t="shared" si="68"/>
        <v>4401.99</v>
      </c>
      <c r="P761" s="7">
        <f t="shared" si="69"/>
        <v>0.91153672418465981</v>
      </c>
      <c r="Q761" s="7">
        <f t="shared" si="70"/>
        <v>3953.2142857142858</v>
      </c>
      <c r="R761">
        <f t="shared" si="71"/>
        <v>1.048616648379483</v>
      </c>
    </row>
    <row r="762" spans="1:18" x14ac:dyDescent="0.25">
      <c r="A762" t="s">
        <v>464</v>
      </c>
      <c r="B762" t="s">
        <v>187</v>
      </c>
      <c r="C762" t="s">
        <v>8</v>
      </c>
      <c r="D762">
        <v>62363</v>
      </c>
      <c r="E762" s="1">
        <v>44104</v>
      </c>
      <c r="F762" s="2">
        <f t="shared" si="66"/>
        <v>2020</v>
      </c>
      <c r="G762">
        <v>50</v>
      </c>
      <c r="H762" s="3">
        <v>285665</v>
      </c>
      <c r="I762">
        <v>5917</v>
      </c>
      <c r="J762">
        <v>285665</v>
      </c>
      <c r="K762">
        <v>247701</v>
      </c>
      <c r="L762">
        <v>241937</v>
      </c>
      <c r="M762" t="str">
        <f t="shared" si="67"/>
        <v>Medium</v>
      </c>
      <c r="N762">
        <f>VLOOKUP(C762,Lookup!$A$2:$D$5,MATCH(M762,Lookup!$A$1:$D$1,0),FALSE)</f>
        <v>0.08</v>
      </c>
      <c r="O762">
        <f t="shared" si="68"/>
        <v>19354.96</v>
      </c>
      <c r="P762" s="7">
        <f t="shared" si="69"/>
        <v>0.86710307528048591</v>
      </c>
      <c r="Q762" s="7">
        <f t="shared" si="70"/>
        <v>5713.3</v>
      </c>
      <c r="R762">
        <f t="shared" si="71"/>
        <v>0.30570975088556113</v>
      </c>
    </row>
    <row r="763" spans="1:18" x14ac:dyDescent="0.25">
      <c r="A763" t="s">
        <v>464</v>
      </c>
      <c r="B763" t="s">
        <v>465</v>
      </c>
      <c r="C763" t="s">
        <v>8</v>
      </c>
      <c r="D763">
        <v>61529</v>
      </c>
      <c r="E763" s="1">
        <v>44104</v>
      </c>
      <c r="F763" s="2">
        <f t="shared" si="66"/>
        <v>2020</v>
      </c>
      <c r="G763">
        <v>13</v>
      </c>
      <c r="H763" s="3">
        <v>59525</v>
      </c>
      <c r="I763">
        <v>7343</v>
      </c>
      <c r="J763">
        <v>59524</v>
      </c>
      <c r="K763">
        <v>53918</v>
      </c>
      <c r="L763">
        <v>52402</v>
      </c>
      <c r="M763" t="str">
        <f t="shared" si="67"/>
        <v>Small</v>
      </c>
      <c r="N763">
        <f>VLOOKUP(C763,Lookup!$A$2:$D$5,MATCH(M763,Lookup!$A$1:$D$1,0),FALSE)</f>
        <v>0.09</v>
      </c>
      <c r="O763">
        <f t="shared" si="68"/>
        <v>4716.1799999999994</v>
      </c>
      <c r="P763" s="7">
        <f t="shared" si="69"/>
        <v>0.90580428391432166</v>
      </c>
      <c r="Q763" s="7">
        <f t="shared" si="70"/>
        <v>4578.8461538461543</v>
      </c>
      <c r="R763">
        <f t="shared" si="71"/>
        <v>1.5569804375575149</v>
      </c>
    </row>
    <row r="764" spans="1:18" x14ac:dyDescent="0.25">
      <c r="A764" t="s">
        <v>464</v>
      </c>
      <c r="B764" t="s">
        <v>187</v>
      </c>
      <c r="C764" t="s">
        <v>8</v>
      </c>
      <c r="D764">
        <v>62363</v>
      </c>
      <c r="E764" s="1">
        <v>44469</v>
      </c>
      <c r="F764" s="2">
        <f t="shared" si="66"/>
        <v>2021</v>
      </c>
      <c r="G764">
        <v>46</v>
      </c>
      <c r="H764" s="3">
        <v>309325</v>
      </c>
      <c r="I764">
        <v>4603</v>
      </c>
      <c r="J764">
        <v>309325</v>
      </c>
      <c r="K764">
        <v>268952</v>
      </c>
      <c r="L764">
        <v>267287</v>
      </c>
      <c r="M764" t="str">
        <f t="shared" si="67"/>
        <v>Medium</v>
      </c>
      <c r="N764">
        <f>VLOOKUP(C764,Lookup!$A$2:$D$5,MATCH(M764,Lookup!$A$1:$D$1,0),FALSE)</f>
        <v>0.08</v>
      </c>
      <c r="O764">
        <f t="shared" si="68"/>
        <v>21382.959999999999</v>
      </c>
      <c r="P764" s="7">
        <f t="shared" si="69"/>
        <v>0.86948032005172549</v>
      </c>
      <c r="Q764" s="7">
        <f t="shared" si="70"/>
        <v>6724.45652173913</v>
      </c>
      <c r="R764">
        <f t="shared" si="71"/>
        <v>0.21526486510754358</v>
      </c>
    </row>
    <row r="765" spans="1:18" x14ac:dyDescent="0.25">
      <c r="A765" t="s">
        <v>464</v>
      </c>
      <c r="B765" t="s">
        <v>465</v>
      </c>
      <c r="C765" t="s">
        <v>8</v>
      </c>
      <c r="D765">
        <v>61529</v>
      </c>
      <c r="E765" s="1">
        <v>44469</v>
      </c>
      <c r="F765" s="2">
        <f t="shared" si="66"/>
        <v>2021</v>
      </c>
      <c r="G765">
        <v>11</v>
      </c>
      <c r="H765" s="3">
        <v>65923</v>
      </c>
      <c r="I765">
        <v>5435</v>
      </c>
      <c r="J765">
        <v>65923</v>
      </c>
      <c r="K765">
        <v>60405</v>
      </c>
      <c r="L765">
        <v>57434</v>
      </c>
      <c r="M765" t="str">
        <f t="shared" si="67"/>
        <v>Small</v>
      </c>
      <c r="N765">
        <f>VLOOKUP(C765,Lookup!$A$2:$D$5,MATCH(M765,Lookup!$A$1:$D$1,0),FALSE)</f>
        <v>0.09</v>
      </c>
      <c r="O765">
        <f t="shared" si="68"/>
        <v>5169.0599999999995</v>
      </c>
      <c r="P765" s="7">
        <f t="shared" si="69"/>
        <v>0.91629628505984251</v>
      </c>
      <c r="Q765" s="7">
        <f t="shared" si="70"/>
        <v>5993</v>
      </c>
      <c r="R765">
        <f t="shared" si="71"/>
        <v>1.0514484258259724</v>
      </c>
    </row>
    <row r="766" spans="1:18" x14ac:dyDescent="0.25">
      <c r="A766" t="s">
        <v>466</v>
      </c>
      <c r="B766" t="s">
        <v>467</v>
      </c>
      <c r="C766" t="s">
        <v>8</v>
      </c>
      <c r="D766">
        <v>62353</v>
      </c>
      <c r="E766" s="1">
        <v>43738</v>
      </c>
      <c r="F766" s="2">
        <f t="shared" si="66"/>
        <v>2019</v>
      </c>
      <c r="G766">
        <v>16</v>
      </c>
      <c r="H766" s="3">
        <v>97011</v>
      </c>
      <c r="I766">
        <v>8912</v>
      </c>
      <c r="J766">
        <v>97011</v>
      </c>
      <c r="K766">
        <v>88270</v>
      </c>
      <c r="L766">
        <v>86815</v>
      </c>
      <c r="M766" t="str">
        <f t="shared" si="67"/>
        <v>Small</v>
      </c>
      <c r="N766">
        <f>VLOOKUP(C766,Lookup!$A$2:$D$5,MATCH(M766,Lookup!$A$1:$D$1,0),FALSE)</f>
        <v>0.09</v>
      </c>
      <c r="O766">
        <f t="shared" si="68"/>
        <v>7813.3499999999995</v>
      </c>
      <c r="P766" s="7">
        <f t="shared" si="69"/>
        <v>0.90989681582500959</v>
      </c>
      <c r="Q766" s="7">
        <f t="shared" si="70"/>
        <v>6063.1875</v>
      </c>
      <c r="R766">
        <f t="shared" si="71"/>
        <v>1.140611901425125</v>
      </c>
    </row>
    <row r="767" spans="1:18" x14ac:dyDescent="0.25">
      <c r="A767" t="s">
        <v>466</v>
      </c>
      <c r="B767" t="s">
        <v>467</v>
      </c>
      <c r="C767" t="s">
        <v>8</v>
      </c>
      <c r="D767">
        <v>62353</v>
      </c>
      <c r="E767" s="1">
        <v>44104</v>
      </c>
      <c r="F767" s="2">
        <f t="shared" si="66"/>
        <v>2020</v>
      </c>
      <c r="G767">
        <v>16</v>
      </c>
      <c r="H767" s="3">
        <v>120051</v>
      </c>
      <c r="I767">
        <v>10203</v>
      </c>
      <c r="J767">
        <v>120051</v>
      </c>
      <c r="K767">
        <v>110545</v>
      </c>
      <c r="L767">
        <v>105178</v>
      </c>
      <c r="M767" t="str">
        <f t="shared" si="67"/>
        <v>Medium</v>
      </c>
      <c r="N767">
        <f>VLOOKUP(C767,Lookup!$A$2:$D$5,MATCH(M767,Lookup!$A$1:$D$1,0),FALSE)</f>
        <v>0.08</v>
      </c>
      <c r="O767">
        <f t="shared" si="68"/>
        <v>8414.24</v>
      </c>
      <c r="P767" s="7">
        <f t="shared" si="69"/>
        <v>0.92081698611423479</v>
      </c>
      <c r="Q767" s="7">
        <f t="shared" si="70"/>
        <v>7503.1875</v>
      </c>
      <c r="R767">
        <f t="shared" si="71"/>
        <v>1.212587233071555</v>
      </c>
    </row>
    <row r="768" spans="1:18" x14ac:dyDescent="0.25">
      <c r="A768" t="s">
        <v>466</v>
      </c>
      <c r="B768" t="s">
        <v>467</v>
      </c>
      <c r="C768" t="s">
        <v>8</v>
      </c>
      <c r="D768">
        <v>62353</v>
      </c>
      <c r="E768" s="1">
        <v>44469</v>
      </c>
      <c r="F768" s="2">
        <f t="shared" si="66"/>
        <v>2021</v>
      </c>
      <c r="G768">
        <v>15</v>
      </c>
      <c r="H768" s="3">
        <v>119542</v>
      </c>
      <c r="I768">
        <v>23917</v>
      </c>
      <c r="J768">
        <v>119542</v>
      </c>
      <c r="K768">
        <v>109613</v>
      </c>
      <c r="L768">
        <v>108385</v>
      </c>
      <c r="M768" t="str">
        <f t="shared" si="67"/>
        <v>Medium</v>
      </c>
      <c r="N768">
        <f>VLOOKUP(C768,Lookup!$A$2:$D$5,MATCH(M768,Lookup!$A$1:$D$1,0),FALSE)</f>
        <v>0.08</v>
      </c>
      <c r="O768">
        <f t="shared" si="68"/>
        <v>8670.7999999999993</v>
      </c>
      <c r="P768" s="7">
        <f t="shared" si="69"/>
        <v>0.91694132606113332</v>
      </c>
      <c r="Q768" s="7">
        <f t="shared" si="70"/>
        <v>7969.4666666666662</v>
      </c>
      <c r="R768">
        <f t="shared" si="71"/>
        <v>2.7583383309498548</v>
      </c>
    </row>
    <row r="769" spans="1:18" x14ac:dyDescent="0.25">
      <c r="A769" t="s">
        <v>468</v>
      </c>
      <c r="B769" t="s">
        <v>469</v>
      </c>
      <c r="C769" t="s">
        <v>8</v>
      </c>
      <c r="D769">
        <v>62905</v>
      </c>
      <c r="E769" s="1">
        <v>43738</v>
      </c>
      <c r="F769" s="2">
        <f t="shared" si="66"/>
        <v>2019</v>
      </c>
      <c r="G769">
        <v>55</v>
      </c>
      <c r="H769" s="3">
        <v>234753</v>
      </c>
      <c r="I769">
        <v>5791</v>
      </c>
      <c r="J769">
        <v>234753</v>
      </c>
      <c r="K769">
        <v>214116</v>
      </c>
      <c r="L769">
        <v>213454</v>
      </c>
      <c r="M769" t="str">
        <f t="shared" si="67"/>
        <v>Medium</v>
      </c>
      <c r="N769">
        <f>VLOOKUP(C769,Lookup!$A$2:$D$5,MATCH(M769,Lookup!$A$1:$D$1,0),FALSE)</f>
        <v>0.08</v>
      </c>
      <c r="O769">
        <f t="shared" si="68"/>
        <v>17076.32</v>
      </c>
      <c r="P769" s="7">
        <f t="shared" si="69"/>
        <v>0.91209058031207269</v>
      </c>
      <c r="Q769" s="7">
        <f t="shared" si="70"/>
        <v>4268.2363636363634</v>
      </c>
      <c r="R769">
        <f t="shared" si="71"/>
        <v>0.33912458890440095</v>
      </c>
    </row>
    <row r="770" spans="1:18" x14ac:dyDescent="0.25">
      <c r="A770" t="s">
        <v>468</v>
      </c>
      <c r="B770" t="s">
        <v>469</v>
      </c>
      <c r="C770" t="s">
        <v>8</v>
      </c>
      <c r="D770">
        <v>62905</v>
      </c>
      <c r="E770" s="1">
        <v>44104</v>
      </c>
      <c r="F770" s="2">
        <f t="shared" ref="F770:F833" si="72">YEAR(E770)</f>
        <v>2020</v>
      </c>
      <c r="G770">
        <v>56</v>
      </c>
      <c r="H770" s="3">
        <v>318062</v>
      </c>
      <c r="I770">
        <v>18958</v>
      </c>
      <c r="J770">
        <v>318062</v>
      </c>
      <c r="K770">
        <v>295369</v>
      </c>
      <c r="L770">
        <v>238478</v>
      </c>
      <c r="M770" t="str">
        <f t="shared" ref="M770:M833" si="73">IF(H770&gt;1000000,"Large",IF(H770&lt;100000,"Small","Medium"))</f>
        <v>Medium</v>
      </c>
      <c r="N770">
        <f>VLOOKUP(C770,Lookup!$A$2:$D$5,MATCH(M770,Lookup!$A$1:$D$1,0),FALSE)</f>
        <v>0.08</v>
      </c>
      <c r="O770">
        <f t="shared" ref="O770:O833" si="74">L770*N770</f>
        <v>19078.240000000002</v>
      </c>
      <c r="P770" s="7">
        <f t="shared" ref="P770:P833" si="75">K770/H770</f>
        <v>0.92865227534254324</v>
      </c>
      <c r="Q770" s="7">
        <f t="shared" ref="Q770:Q833" si="76">H770/G770</f>
        <v>5679.6785714285716</v>
      </c>
      <c r="R770">
        <f t="shared" ref="R770:R833" si="77">I770/O770</f>
        <v>0.99369753184780141</v>
      </c>
    </row>
    <row r="771" spans="1:18" x14ac:dyDescent="0.25">
      <c r="A771" t="s">
        <v>468</v>
      </c>
      <c r="B771" t="s">
        <v>469</v>
      </c>
      <c r="C771" t="s">
        <v>8</v>
      </c>
      <c r="D771">
        <v>62905</v>
      </c>
      <c r="E771" s="1">
        <v>44469</v>
      </c>
      <c r="F771" s="2">
        <f t="shared" si="72"/>
        <v>2021</v>
      </c>
      <c r="G771">
        <v>61</v>
      </c>
      <c r="H771" s="3">
        <v>293185</v>
      </c>
      <c r="I771">
        <v>11310</v>
      </c>
      <c r="J771">
        <v>293185</v>
      </c>
      <c r="K771">
        <v>267262</v>
      </c>
      <c r="L771">
        <v>265126</v>
      </c>
      <c r="M771" t="str">
        <f t="shared" si="73"/>
        <v>Medium</v>
      </c>
      <c r="N771">
        <f>VLOOKUP(C771,Lookup!$A$2:$D$5,MATCH(M771,Lookup!$A$1:$D$1,0),FALSE)</f>
        <v>0.08</v>
      </c>
      <c r="O771">
        <f t="shared" si="74"/>
        <v>21210.080000000002</v>
      </c>
      <c r="P771" s="7">
        <f t="shared" si="75"/>
        <v>0.91158142469771641</v>
      </c>
      <c r="Q771" s="7">
        <f t="shared" si="76"/>
        <v>4806.311475409836</v>
      </c>
      <c r="R771">
        <f t="shared" si="77"/>
        <v>0.53323702692304786</v>
      </c>
    </row>
    <row r="772" spans="1:18" x14ac:dyDescent="0.25">
      <c r="A772" t="s">
        <v>470</v>
      </c>
      <c r="B772" t="s">
        <v>471</v>
      </c>
      <c r="C772" t="s">
        <v>8</v>
      </c>
      <c r="D772">
        <v>60930</v>
      </c>
      <c r="E772" s="1">
        <v>43738</v>
      </c>
      <c r="F772" s="2">
        <f t="shared" si="72"/>
        <v>2019</v>
      </c>
      <c r="G772">
        <v>17</v>
      </c>
      <c r="H772" s="3">
        <v>59631</v>
      </c>
      <c r="I772">
        <v>2348</v>
      </c>
      <c r="J772">
        <v>59631</v>
      </c>
      <c r="K772">
        <v>51835</v>
      </c>
      <c r="L772">
        <v>51346</v>
      </c>
      <c r="M772" t="str">
        <f t="shared" si="73"/>
        <v>Small</v>
      </c>
      <c r="N772">
        <f>VLOOKUP(C772,Lookup!$A$2:$D$5,MATCH(M772,Lookup!$A$1:$D$1,0),FALSE)</f>
        <v>0.09</v>
      </c>
      <c r="O772">
        <f t="shared" si="74"/>
        <v>4621.1399999999994</v>
      </c>
      <c r="P772" s="7">
        <f t="shared" si="75"/>
        <v>0.86926263185255992</v>
      </c>
      <c r="Q772" s="7">
        <f t="shared" si="76"/>
        <v>3507.705882352941</v>
      </c>
      <c r="R772">
        <f t="shared" si="77"/>
        <v>0.50809973296632438</v>
      </c>
    </row>
    <row r="773" spans="1:18" x14ac:dyDescent="0.25">
      <c r="A773" t="s">
        <v>472</v>
      </c>
      <c r="B773" t="s">
        <v>473</v>
      </c>
      <c r="C773" t="s">
        <v>8</v>
      </c>
      <c r="D773">
        <v>62635</v>
      </c>
      <c r="E773" s="1">
        <v>43738</v>
      </c>
      <c r="F773" s="2">
        <f t="shared" si="72"/>
        <v>2019</v>
      </c>
      <c r="G773">
        <v>6</v>
      </c>
      <c r="H773" s="3">
        <v>35019</v>
      </c>
      <c r="I773">
        <v>1121</v>
      </c>
      <c r="J773">
        <v>35019</v>
      </c>
      <c r="K773">
        <v>25392</v>
      </c>
      <c r="L773">
        <v>25215</v>
      </c>
      <c r="M773" t="str">
        <f t="shared" si="73"/>
        <v>Small</v>
      </c>
      <c r="N773">
        <f>VLOOKUP(C773,Lookup!$A$2:$D$5,MATCH(M773,Lookup!$A$1:$D$1,0),FALSE)</f>
        <v>0.09</v>
      </c>
      <c r="O773">
        <f t="shared" si="74"/>
        <v>2269.35</v>
      </c>
      <c r="P773" s="7">
        <f t="shared" si="75"/>
        <v>0.72509209286387388</v>
      </c>
      <c r="Q773" s="7">
        <f t="shared" si="76"/>
        <v>5836.5</v>
      </c>
      <c r="R773">
        <f t="shared" si="77"/>
        <v>0.49397404543151124</v>
      </c>
    </row>
    <row r="774" spans="1:18" x14ac:dyDescent="0.25">
      <c r="A774" t="s">
        <v>472</v>
      </c>
      <c r="B774" t="s">
        <v>473</v>
      </c>
      <c r="C774" t="s">
        <v>8</v>
      </c>
      <c r="D774">
        <v>62635</v>
      </c>
      <c r="E774" s="1">
        <v>44104</v>
      </c>
      <c r="F774" s="2">
        <f t="shared" si="72"/>
        <v>2020</v>
      </c>
      <c r="G774">
        <v>6</v>
      </c>
      <c r="H774" s="3">
        <v>37622</v>
      </c>
      <c r="I774">
        <v>835</v>
      </c>
      <c r="J774">
        <v>37622</v>
      </c>
      <c r="K774">
        <v>27846</v>
      </c>
      <c r="L774">
        <v>27699</v>
      </c>
      <c r="M774" t="str">
        <f t="shared" si="73"/>
        <v>Small</v>
      </c>
      <c r="N774">
        <f>VLOOKUP(C774,Lookup!$A$2:$D$5,MATCH(M774,Lookup!$A$1:$D$1,0),FALSE)</f>
        <v>0.09</v>
      </c>
      <c r="O774">
        <f t="shared" si="74"/>
        <v>2492.91</v>
      </c>
      <c r="P774" s="7">
        <f t="shared" si="75"/>
        <v>0.74015203870076018</v>
      </c>
      <c r="Q774" s="7">
        <f t="shared" si="76"/>
        <v>6270.333333333333</v>
      </c>
      <c r="R774">
        <f t="shared" si="77"/>
        <v>0.33494991796735546</v>
      </c>
    </row>
    <row r="775" spans="1:18" x14ac:dyDescent="0.25">
      <c r="A775" t="s">
        <v>472</v>
      </c>
      <c r="B775" t="s">
        <v>473</v>
      </c>
      <c r="C775" t="s">
        <v>8</v>
      </c>
      <c r="D775">
        <v>62635</v>
      </c>
      <c r="E775" s="1">
        <v>44469</v>
      </c>
      <c r="F775" s="2">
        <f t="shared" si="72"/>
        <v>2021</v>
      </c>
      <c r="G775">
        <v>5</v>
      </c>
      <c r="H775" s="3">
        <v>39891</v>
      </c>
      <c r="I775">
        <v>847</v>
      </c>
      <c r="J775">
        <v>39891</v>
      </c>
      <c r="K775">
        <v>29992</v>
      </c>
      <c r="L775">
        <v>29847</v>
      </c>
      <c r="M775" t="str">
        <f t="shared" si="73"/>
        <v>Small</v>
      </c>
      <c r="N775">
        <f>VLOOKUP(C775,Lookup!$A$2:$D$5,MATCH(M775,Lookup!$A$1:$D$1,0),FALSE)</f>
        <v>0.09</v>
      </c>
      <c r="O775">
        <f t="shared" si="74"/>
        <v>2686.23</v>
      </c>
      <c r="P775" s="7">
        <f t="shared" si="75"/>
        <v>0.75184878794715604</v>
      </c>
      <c r="Q775" s="7">
        <f t="shared" si="76"/>
        <v>7978.2</v>
      </c>
      <c r="R775">
        <f t="shared" si="77"/>
        <v>0.3153117938523507</v>
      </c>
    </row>
    <row r="776" spans="1:18" x14ac:dyDescent="0.25">
      <c r="A776" t="s">
        <v>474</v>
      </c>
      <c r="B776" t="s">
        <v>475</v>
      </c>
      <c r="C776" t="s">
        <v>8</v>
      </c>
      <c r="D776">
        <v>62250</v>
      </c>
      <c r="E776" s="1">
        <v>43738</v>
      </c>
      <c r="F776" s="2">
        <f t="shared" si="72"/>
        <v>2019</v>
      </c>
      <c r="G776">
        <v>34</v>
      </c>
      <c r="H776" s="3">
        <v>152128</v>
      </c>
      <c r="I776">
        <v>10369</v>
      </c>
      <c r="J776">
        <v>152128</v>
      </c>
      <c r="K776">
        <v>127990</v>
      </c>
      <c r="L776">
        <v>125827</v>
      </c>
      <c r="M776" t="str">
        <f t="shared" si="73"/>
        <v>Medium</v>
      </c>
      <c r="N776">
        <f>VLOOKUP(C776,Lookup!$A$2:$D$5,MATCH(M776,Lookup!$A$1:$D$1,0),FALSE)</f>
        <v>0.08</v>
      </c>
      <c r="O776">
        <f t="shared" si="74"/>
        <v>10066.16</v>
      </c>
      <c r="P776" s="7">
        <f t="shared" si="75"/>
        <v>0.84133098443416066</v>
      </c>
      <c r="Q776" s="7">
        <f t="shared" si="76"/>
        <v>4474.3529411764703</v>
      </c>
      <c r="R776">
        <f t="shared" si="77"/>
        <v>1.0300849579184117</v>
      </c>
    </row>
    <row r="777" spans="1:18" x14ac:dyDescent="0.25">
      <c r="A777" t="s">
        <v>474</v>
      </c>
      <c r="B777" t="s">
        <v>475</v>
      </c>
      <c r="C777" t="s">
        <v>8</v>
      </c>
      <c r="D777">
        <v>62250</v>
      </c>
      <c r="E777" s="1">
        <v>44104</v>
      </c>
      <c r="F777" s="2">
        <f t="shared" si="72"/>
        <v>2020</v>
      </c>
      <c r="G777">
        <v>32</v>
      </c>
      <c r="H777" s="3">
        <v>163279</v>
      </c>
      <c r="I777">
        <v>16533</v>
      </c>
      <c r="J777">
        <v>163279</v>
      </c>
      <c r="K777">
        <v>137750</v>
      </c>
      <c r="L777">
        <v>131643</v>
      </c>
      <c r="M777" t="str">
        <f t="shared" si="73"/>
        <v>Medium</v>
      </c>
      <c r="N777">
        <f>VLOOKUP(C777,Lookup!$A$2:$D$5,MATCH(M777,Lookup!$A$1:$D$1,0),FALSE)</f>
        <v>0.08</v>
      </c>
      <c r="O777">
        <f t="shared" si="74"/>
        <v>10531.44</v>
      </c>
      <c r="P777" s="7">
        <f t="shared" si="75"/>
        <v>0.84364798902492055</v>
      </c>
      <c r="Q777" s="7">
        <f t="shared" si="76"/>
        <v>5102.46875</v>
      </c>
      <c r="R777">
        <f t="shared" si="77"/>
        <v>1.5698707869009365</v>
      </c>
    </row>
    <row r="778" spans="1:18" x14ac:dyDescent="0.25">
      <c r="A778" t="s">
        <v>474</v>
      </c>
      <c r="B778" t="s">
        <v>475</v>
      </c>
      <c r="C778" t="s">
        <v>8</v>
      </c>
      <c r="D778">
        <v>62250</v>
      </c>
      <c r="E778" s="1">
        <v>44469</v>
      </c>
      <c r="F778" s="2">
        <f t="shared" si="72"/>
        <v>2021</v>
      </c>
      <c r="G778">
        <v>35</v>
      </c>
      <c r="H778" s="3">
        <v>186945</v>
      </c>
      <c r="I778">
        <v>12445</v>
      </c>
      <c r="J778">
        <v>186945</v>
      </c>
      <c r="K778">
        <v>162007</v>
      </c>
      <c r="L778">
        <v>151009</v>
      </c>
      <c r="M778" t="str">
        <f t="shared" si="73"/>
        <v>Medium</v>
      </c>
      <c r="N778">
        <f>VLOOKUP(C778,Lookup!$A$2:$D$5,MATCH(M778,Lookup!$A$1:$D$1,0),FALSE)</f>
        <v>0.08</v>
      </c>
      <c r="O778">
        <f t="shared" si="74"/>
        <v>12080.72</v>
      </c>
      <c r="P778" s="7">
        <f t="shared" si="75"/>
        <v>0.86660247666425949</v>
      </c>
      <c r="Q778" s="7">
        <f t="shared" si="76"/>
        <v>5341.2857142857147</v>
      </c>
      <c r="R778">
        <f t="shared" si="77"/>
        <v>1.0301538318908146</v>
      </c>
    </row>
    <row r="779" spans="1:18" x14ac:dyDescent="0.25">
      <c r="A779" t="s">
        <v>476</v>
      </c>
      <c r="B779" t="s">
        <v>477</v>
      </c>
      <c r="C779" t="s">
        <v>8</v>
      </c>
      <c r="D779">
        <v>62063</v>
      </c>
      <c r="E779" s="1">
        <v>43738</v>
      </c>
      <c r="F779" s="2">
        <f t="shared" si="72"/>
        <v>2019</v>
      </c>
      <c r="G779">
        <v>5</v>
      </c>
      <c r="H779" s="3">
        <v>19581</v>
      </c>
      <c r="I779">
        <v>3113</v>
      </c>
      <c r="J779">
        <v>19581</v>
      </c>
      <c r="K779">
        <v>16227</v>
      </c>
      <c r="L779">
        <v>16164</v>
      </c>
      <c r="M779" t="str">
        <f t="shared" si="73"/>
        <v>Small</v>
      </c>
      <c r="N779">
        <f>VLOOKUP(C779,Lookup!$A$2:$D$5,MATCH(M779,Lookup!$A$1:$D$1,0),FALSE)</f>
        <v>0.09</v>
      </c>
      <c r="O779">
        <f t="shared" si="74"/>
        <v>1454.76</v>
      </c>
      <c r="P779" s="7">
        <f t="shared" si="75"/>
        <v>0.8287115060517849</v>
      </c>
      <c r="Q779" s="7">
        <f t="shared" si="76"/>
        <v>3916.2</v>
      </c>
      <c r="R779">
        <f t="shared" si="77"/>
        <v>2.1398718688993372</v>
      </c>
    </row>
    <row r="780" spans="1:18" x14ac:dyDescent="0.25">
      <c r="A780" t="s">
        <v>476</v>
      </c>
      <c r="B780" t="s">
        <v>477</v>
      </c>
      <c r="C780" t="s">
        <v>8</v>
      </c>
      <c r="D780">
        <v>62063</v>
      </c>
      <c r="E780" s="1">
        <v>44104</v>
      </c>
      <c r="F780" s="2">
        <f t="shared" si="72"/>
        <v>2020</v>
      </c>
      <c r="G780">
        <v>5</v>
      </c>
      <c r="H780" s="3">
        <v>22810</v>
      </c>
      <c r="I780">
        <v>2361</v>
      </c>
      <c r="J780">
        <v>22810</v>
      </c>
      <c r="K780">
        <v>19362</v>
      </c>
      <c r="L780">
        <v>19253</v>
      </c>
      <c r="M780" t="str">
        <f t="shared" si="73"/>
        <v>Small</v>
      </c>
      <c r="N780">
        <f>VLOOKUP(C780,Lookup!$A$2:$D$5,MATCH(M780,Lookup!$A$1:$D$1,0),FALSE)</f>
        <v>0.09</v>
      </c>
      <c r="O780">
        <f t="shared" si="74"/>
        <v>1732.77</v>
      </c>
      <c r="P780" s="7">
        <f t="shared" si="75"/>
        <v>0.84883822884699689</v>
      </c>
      <c r="Q780" s="7">
        <f t="shared" si="76"/>
        <v>4562</v>
      </c>
      <c r="R780">
        <f t="shared" si="77"/>
        <v>1.3625582160355962</v>
      </c>
    </row>
    <row r="781" spans="1:18" x14ac:dyDescent="0.25">
      <c r="A781" t="s">
        <v>476</v>
      </c>
      <c r="B781" t="s">
        <v>477</v>
      </c>
      <c r="C781" t="s">
        <v>8</v>
      </c>
      <c r="D781">
        <v>62063</v>
      </c>
      <c r="E781" s="1">
        <v>44469</v>
      </c>
      <c r="F781" s="2">
        <f t="shared" si="72"/>
        <v>2021</v>
      </c>
      <c r="G781">
        <v>5</v>
      </c>
      <c r="H781" s="3">
        <v>24830</v>
      </c>
      <c r="I781">
        <v>2176</v>
      </c>
      <c r="J781">
        <v>24830</v>
      </c>
      <c r="K781">
        <v>21586</v>
      </c>
      <c r="L781">
        <v>21497</v>
      </c>
      <c r="M781" t="str">
        <f t="shared" si="73"/>
        <v>Small</v>
      </c>
      <c r="N781">
        <f>VLOOKUP(C781,Lookup!$A$2:$D$5,MATCH(M781,Lookup!$A$1:$D$1,0),FALSE)</f>
        <v>0.09</v>
      </c>
      <c r="O781">
        <f t="shared" si="74"/>
        <v>1934.73</v>
      </c>
      <c r="P781" s="7">
        <f t="shared" si="75"/>
        <v>0.86935159081755942</v>
      </c>
      <c r="Q781" s="7">
        <f t="shared" si="76"/>
        <v>4966</v>
      </c>
      <c r="R781">
        <f t="shared" si="77"/>
        <v>1.1247047391625704</v>
      </c>
    </row>
    <row r="782" spans="1:18" x14ac:dyDescent="0.25">
      <c r="A782" t="s">
        <v>478</v>
      </c>
      <c r="B782" t="s">
        <v>479</v>
      </c>
      <c r="C782" t="s">
        <v>8</v>
      </c>
      <c r="D782">
        <v>61413</v>
      </c>
      <c r="E782" s="1">
        <v>43738</v>
      </c>
      <c r="F782" s="2">
        <f t="shared" si="72"/>
        <v>2019</v>
      </c>
      <c r="G782">
        <v>40</v>
      </c>
      <c r="H782" s="3">
        <v>144443</v>
      </c>
      <c r="I782">
        <v>28223</v>
      </c>
      <c r="J782">
        <v>144443</v>
      </c>
      <c r="K782">
        <v>126342</v>
      </c>
      <c r="L782">
        <v>123717</v>
      </c>
      <c r="M782" t="str">
        <f t="shared" si="73"/>
        <v>Medium</v>
      </c>
      <c r="N782">
        <f>VLOOKUP(C782,Lookup!$A$2:$D$5,MATCH(M782,Lookup!$A$1:$D$1,0),FALSE)</f>
        <v>0.08</v>
      </c>
      <c r="O782">
        <f t="shared" si="74"/>
        <v>9897.36</v>
      </c>
      <c r="P782" s="7">
        <f t="shared" si="75"/>
        <v>0.87468413145669921</v>
      </c>
      <c r="Q782" s="7">
        <f t="shared" si="76"/>
        <v>3611.0749999999998</v>
      </c>
      <c r="R782">
        <f t="shared" si="77"/>
        <v>2.8515684990745007</v>
      </c>
    </row>
    <row r="783" spans="1:18" x14ac:dyDescent="0.25">
      <c r="A783" t="s">
        <v>478</v>
      </c>
      <c r="B783" t="s">
        <v>479</v>
      </c>
      <c r="C783" t="s">
        <v>8</v>
      </c>
      <c r="D783">
        <v>61413</v>
      </c>
      <c r="E783" s="1">
        <v>44104</v>
      </c>
      <c r="F783" s="2">
        <f t="shared" si="72"/>
        <v>2020</v>
      </c>
      <c r="G783">
        <v>40</v>
      </c>
      <c r="H783" s="3">
        <v>152495</v>
      </c>
      <c r="I783">
        <v>36513</v>
      </c>
      <c r="J783">
        <v>152495</v>
      </c>
      <c r="K783">
        <v>132922</v>
      </c>
      <c r="L783">
        <v>130144</v>
      </c>
      <c r="M783" t="str">
        <f t="shared" si="73"/>
        <v>Medium</v>
      </c>
      <c r="N783">
        <f>VLOOKUP(C783,Lookup!$A$2:$D$5,MATCH(M783,Lookup!$A$1:$D$1,0),FALSE)</f>
        <v>0.08</v>
      </c>
      <c r="O783">
        <f t="shared" si="74"/>
        <v>10411.52</v>
      </c>
      <c r="P783" s="7">
        <f t="shared" si="75"/>
        <v>0.87164825076232011</v>
      </c>
      <c r="Q783" s="7">
        <f t="shared" si="76"/>
        <v>3812.375</v>
      </c>
      <c r="R783">
        <f t="shared" si="77"/>
        <v>3.5069807290386033</v>
      </c>
    </row>
    <row r="784" spans="1:18" x14ac:dyDescent="0.25">
      <c r="A784" t="s">
        <v>478</v>
      </c>
      <c r="B784" t="s">
        <v>479</v>
      </c>
      <c r="C784" t="s">
        <v>8</v>
      </c>
      <c r="D784">
        <v>61413</v>
      </c>
      <c r="E784" s="1">
        <v>44469</v>
      </c>
      <c r="F784" s="2">
        <f t="shared" si="72"/>
        <v>2021</v>
      </c>
      <c r="G784">
        <v>39</v>
      </c>
      <c r="H784" s="3">
        <v>172674</v>
      </c>
      <c r="I784">
        <v>38322</v>
      </c>
      <c r="J784">
        <v>172674</v>
      </c>
      <c r="K784">
        <v>153305</v>
      </c>
      <c r="L784">
        <v>150280</v>
      </c>
      <c r="M784" t="str">
        <f t="shared" si="73"/>
        <v>Medium</v>
      </c>
      <c r="N784">
        <f>VLOOKUP(C784,Lookup!$A$2:$D$5,MATCH(M784,Lookup!$A$1:$D$1,0),FALSE)</f>
        <v>0.08</v>
      </c>
      <c r="O784">
        <f t="shared" si="74"/>
        <v>12022.4</v>
      </c>
      <c r="P784" s="7">
        <f t="shared" si="75"/>
        <v>0.8878290883398775</v>
      </c>
      <c r="Q784" s="7">
        <f t="shared" si="76"/>
        <v>4427.5384615384619</v>
      </c>
      <c r="R784">
        <f t="shared" si="77"/>
        <v>3.1875499068405642</v>
      </c>
    </row>
    <row r="785" spans="1:18" x14ac:dyDescent="0.25">
      <c r="A785" t="s">
        <v>480</v>
      </c>
      <c r="B785" t="s">
        <v>481</v>
      </c>
      <c r="C785" t="s">
        <v>8</v>
      </c>
      <c r="D785">
        <v>61260</v>
      </c>
      <c r="E785" s="1">
        <v>43738</v>
      </c>
      <c r="F785" s="2">
        <f t="shared" si="72"/>
        <v>2019</v>
      </c>
      <c r="G785">
        <v>34</v>
      </c>
      <c r="H785" s="3">
        <v>191166</v>
      </c>
      <c r="I785">
        <v>4487</v>
      </c>
      <c r="J785">
        <v>191166</v>
      </c>
      <c r="K785">
        <v>160909</v>
      </c>
      <c r="L785">
        <v>146762</v>
      </c>
      <c r="M785" t="str">
        <f t="shared" si="73"/>
        <v>Medium</v>
      </c>
      <c r="N785">
        <f>VLOOKUP(C785,Lookup!$A$2:$D$5,MATCH(M785,Lookup!$A$1:$D$1,0),FALSE)</f>
        <v>0.08</v>
      </c>
      <c r="O785">
        <f t="shared" si="74"/>
        <v>11740.960000000001</v>
      </c>
      <c r="P785" s="7">
        <f t="shared" si="75"/>
        <v>0.84172394672692841</v>
      </c>
      <c r="Q785" s="7">
        <f t="shared" si="76"/>
        <v>5622.5294117647063</v>
      </c>
      <c r="R785">
        <f t="shared" si="77"/>
        <v>0.38216636459028902</v>
      </c>
    </row>
    <row r="786" spans="1:18" x14ac:dyDescent="0.25">
      <c r="A786" t="s">
        <v>480</v>
      </c>
      <c r="B786" t="s">
        <v>481</v>
      </c>
      <c r="C786" t="s">
        <v>8</v>
      </c>
      <c r="D786">
        <v>61260</v>
      </c>
      <c r="E786" s="1">
        <v>44104</v>
      </c>
      <c r="F786" s="2">
        <f t="shared" si="72"/>
        <v>2020</v>
      </c>
      <c r="G786">
        <v>34</v>
      </c>
      <c r="H786" s="3">
        <v>250184</v>
      </c>
      <c r="I786">
        <v>2630</v>
      </c>
      <c r="J786">
        <v>250184</v>
      </c>
      <c r="K786">
        <v>216689</v>
      </c>
      <c r="L786">
        <v>179420</v>
      </c>
      <c r="M786" t="str">
        <f t="shared" si="73"/>
        <v>Medium</v>
      </c>
      <c r="N786">
        <f>VLOOKUP(C786,Lookup!$A$2:$D$5,MATCH(M786,Lookup!$A$1:$D$1,0),FALSE)</f>
        <v>0.08</v>
      </c>
      <c r="O786">
        <f t="shared" si="74"/>
        <v>14353.6</v>
      </c>
      <c r="P786" s="7">
        <f t="shared" si="75"/>
        <v>0.86611853675694683</v>
      </c>
      <c r="Q786" s="7">
        <f t="shared" si="76"/>
        <v>7358.3529411764703</v>
      </c>
      <c r="R786">
        <f t="shared" si="77"/>
        <v>0.18322929439304425</v>
      </c>
    </row>
    <row r="787" spans="1:18" x14ac:dyDescent="0.25">
      <c r="A787" t="s">
        <v>480</v>
      </c>
      <c r="B787" t="s">
        <v>481</v>
      </c>
      <c r="C787" t="s">
        <v>8</v>
      </c>
      <c r="D787">
        <v>61260</v>
      </c>
      <c r="E787" s="1">
        <v>44469</v>
      </c>
      <c r="F787" s="2">
        <f t="shared" si="72"/>
        <v>2021</v>
      </c>
      <c r="G787">
        <v>29</v>
      </c>
      <c r="H787" s="3">
        <v>302204</v>
      </c>
      <c r="I787">
        <v>2911</v>
      </c>
      <c r="J787">
        <v>302204</v>
      </c>
      <c r="K787">
        <v>265260</v>
      </c>
      <c r="L787">
        <v>205228</v>
      </c>
      <c r="M787" t="str">
        <f t="shared" si="73"/>
        <v>Medium</v>
      </c>
      <c r="N787">
        <f>VLOOKUP(C787,Lookup!$A$2:$D$5,MATCH(M787,Lookup!$A$1:$D$1,0),FALSE)</f>
        <v>0.08</v>
      </c>
      <c r="O787">
        <f t="shared" si="74"/>
        <v>16418.240000000002</v>
      </c>
      <c r="P787" s="7">
        <f t="shared" si="75"/>
        <v>0.87775145266111632</v>
      </c>
      <c r="Q787" s="7">
        <f t="shared" si="76"/>
        <v>10420.827586206897</v>
      </c>
      <c r="R787">
        <f t="shared" si="77"/>
        <v>0.17730280468552048</v>
      </c>
    </row>
    <row r="788" spans="1:18" x14ac:dyDescent="0.25">
      <c r="A788" t="s">
        <v>482</v>
      </c>
      <c r="B788" t="s">
        <v>190</v>
      </c>
      <c r="C788" t="s">
        <v>8</v>
      </c>
      <c r="D788">
        <v>62234</v>
      </c>
      <c r="E788" s="1">
        <v>43738</v>
      </c>
      <c r="F788" s="2">
        <f t="shared" si="72"/>
        <v>2019</v>
      </c>
      <c r="G788">
        <v>210</v>
      </c>
      <c r="H788" s="3">
        <v>1681608</v>
      </c>
      <c r="I788">
        <v>147399</v>
      </c>
      <c r="J788">
        <v>1681608</v>
      </c>
      <c r="K788">
        <v>1533296</v>
      </c>
      <c r="L788">
        <v>1384625</v>
      </c>
      <c r="M788" t="str">
        <f t="shared" si="73"/>
        <v>Large</v>
      </c>
      <c r="N788">
        <f>VLOOKUP(C788,Lookup!$A$2:$D$5,MATCH(M788,Lookup!$A$1:$D$1,0),FALSE)</f>
        <v>7.4999999999999997E-2</v>
      </c>
      <c r="O788">
        <f t="shared" si="74"/>
        <v>103846.875</v>
      </c>
      <c r="P788" s="7">
        <f t="shared" si="75"/>
        <v>0.91180346430321457</v>
      </c>
      <c r="Q788" s="7">
        <f t="shared" si="76"/>
        <v>8007.6571428571433</v>
      </c>
      <c r="R788">
        <f t="shared" si="77"/>
        <v>1.4193879209172158</v>
      </c>
    </row>
    <row r="789" spans="1:18" x14ac:dyDescent="0.25">
      <c r="A789" t="s">
        <v>482</v>
      </c>
      <c r="B789" t="s">
        <v>190</v>
      </c>
      <c r="C789" t="s">
        <v>8</v>
      </c>
      <c r="D789">
        <v>62234</v>
      </c>
      <c r="E789" s="1">
        <v>44104</v>
      </c>
      <c r="F789" s="2">
        <f t="shared" si="72"/>
        <v>2020</v>
      </c>
      <c r="G789">
        <v>224</v>
      </c>
      <c r="H789" s="3">
        <v>1935960</v>
      </c>
      <c r="I789">
        <v>180870</v>
      </c>
      <c r="J789">
        <v>1935960</v>
      </c>
      <c r="K789">
        <v>1772002</v>
      </c>
      <c r="L789">
        <v>1624236</v>
      </c>
      <c r="M789" t="str">
        <f t="shared" si="73"/>
        <v>Large</v>
      </c>
      <c r="N789">
        <f>VLOOKUP(C789,Lookup!$A$2:$D$5,MATCH(M789,Lookup!$A$1:$D$1,0),FALSE)</f>
        <v>7.4999999999999997E-2</v>
      </c>
      <c r="O789">
        <f t="shared" si="74"/>
        <v>121817.7</v>
      </c>
      <c r="P789" s="7">
        <f t="shared" si="75"/>
        <v>0.91530920060331822</v>
      </c>
      <c r="Q789" s="7">
        <f t="shared" si="76"/>
        <v>8642.6785714285706</v>
      </c>
      <c r="R789">
        <f t="shared" si="77"/>
        <v>1.484759603899926</v>
      </c>
    </row>
    <row r="790" spans="1:18" x14ac:dyDescent="0.25">
      <c r="A790" t="s">
        <v>482</v>
      </c>
      <c r="B790" t="s">
        <v>190</v>
      </c>
      <c r="C790" t="s">
        <v>8</v>
      </c>
      <c r="D790">
        <v>62234</v>
      </c>
      <c r="E790" s="1">
        <v>44469</v>
      </c>
      <c r="F790" s="2">
        <f t="shared" si="72"/>
        <v>2021</v>
      </c>
      <c r="G790">
        <v>204</v>
      </c>
      <c r="H790" s="3">
        <v>2034931</v>
      </c>
      <c r="I790">
        <v>348831</v>
      </c>
      <c r="J790">
        <v>2034931</v>
      </c>
      <c r="K790">
        <v>1861123</v>
      </c>
      <c r="L790">
        <v>1782505</v>
      </c>
      <c r="M790" t="str">
        <f t="shared" si="73"/>
        <v>Large</v>
      </c>
      <c r="N790">
        <f>VLOOKUP(C790,Lookup!$A$2:$D$5,MATCH(M790,Lookup!$A$1:$D$1,0),FALSE)</f>
        <v>7.4999999999999997E-2</v>
      </c>
      <c r="O790">
        <f t="shared" si="74"/>
        <v>133687.875</v>
      </c>
      <c r="P790" s="7">
        <f t="shared" si="75"/>
        <v>0.91458776734935976</v>
      </c>
      <c r="Q790" s="7">
        <f t="shared" si="76"/>
        <v>9975.1519607843129</v>
      </c>
      <c r="R790">
        <f t="shared" si="77"/>
        <v>2.6092942235786154</v>
      </c>
    </row>
    <row r="791" spans="1:18" x14ac:dyDescent="0.25">
      <c r="A791" t="s">
        <v>483</v>
      </c>
      <c r="B791" t="s">
        <v>484</v>
      </c>
      <c r="C791" t="s">
        <v>8</v>
      </c>
      <c r="D791">
        <v>60955</v>
      </c>
      <c r="E791" s="1">
        <v>43738</v>
      </c>
      <c r="F791" s="2">
        <f t="shared" si="72"/>
        <v>2019</v>
      </c>
      <c r="G791">
        <v>27</v>
      </c>
      <c r="H791" s="3">
        <v>97078</v>
      </c>
      <c r="I791">
        <v>24372</v>
      </c>
      <c r="J791">
        <v>97078</v>
      </c>
      <c r="K791">
        <v>85471</v>
      </c>
      <c r="L791">
        <v>85336</v>
      </c>
      <c r="M791" t="str">
        <f t="shared" si="73"/>
        <v>Small</v>
      </c>
      <c r="N791">
        <f>VLOOKUP(C791,Lookup!$A$2:$D$5,MATCH(M791,Lookup!$A$1:$D$1,0),FALSE)</f>
        <v>0.09</v>
      </c>
      <c r="O791">
        <f t="shared" si="74"/>
        <v>7680.24</v>
      </c>
      <c r="P791" s="7">
        <f t="shared" si="75"/>
        <v>0.88043635015142463</v>
      </c>
      <c r="Q791" s="7">
        <f t="shared" si="76"/>
        <v>3595.4814814814813</v>
      </c>
      <c r="R791">
        <f t="shared" si="77"/>
        <v>3.1733383331770884</v>
      </c>
    </row>
    <row r="792" spans="1:18" x14ac:dyDescent="0.25">
      <c r="A792" t="s">
        <v>483</v>
      </c>
      <c r="B792" t="s">
        <v>484</v>
      </c>
      <c r="C792" t="s">
        <v>8</v>
      </c>
      <c r="D792">
        <v>60955</v>
      </c>
      <c r="E792" s="1">
        <v>44104</v>
      </c>
      <c r="F792" s="2">
        <f t="shared" si="72"/>
        <v>2020</v>
      </c>
      <c r="G792">
        <v>28</v>
      </c>
      <c r="H792" s="3">
        <v>105187</v>
      </c>
      <c r="I792">
        <v>13933</v>
      </c>
      <c r="J792">
        <v>105187</v>
      </c>
      <c r="K792">
        <v>92340</v>
      </c>
      <c r="L792">
        <v>87982</v>
      </c>
      <c r="M792" t="str">
        <f t="shared" si="73"/>
        <v>Medium</v>
      </c>
      <c r="N792">
        <f>VLOOKUP(C792,Lookup!$A$2:$D$5,MATCH(M792,Lookup!$A$1:$D$1,0),FALSE)</f>
        <v>0.08</v>
      </c>
      <c r="O792">
        <f t="shared" si="74"/>
        <v>7038.56</v>
      </c>
      <c r="P792" s="7">
        <f t="shared" si="75"/>
        <v>0.87786513542548028</v>
      </c>
      <c r="Q792" s="7">
        <f t="shared" si="76"/>
        <v>3756.6785714285716</v>
      </c>
      <c r="R792">
        <f t="shared" si="77"/>
        <v>1.9795242208633583</v>
      </c>
    </row>
    <row r="793" spans="1:18" x14ac:dyDescent="0.25">
      <c r="A793" t="s">
        <v>483</v>
      </c>
      <c r="B793" t="s">
        <v>484</v>
      </c>
      <c r="C793" t="s">
        <v>8</v>
      </c>
      <c r="D793">
        <v>60955</v>
      </c>
      <c r="E793" s="1">
        <v>44469</v>
      </c>
      <c r="F793" s="2">
        <f t="shared" si="72"/>
        <v>2021</v>
      </c>
      <c r="G793">
        <v>29</v>
      </c>
      <c r="H793" s="3">
        <v>115181</v>
      </c>
      <c r="I793">
        <v>26744</v>
      </c>
      <c r="J793">
        <v>115181</v>
      </c>
      <c r="K793">
        <v>101755</v>
      </c>
      <c r="L793">
        <v>96125</v>
      </c>
      <c r="M793" t="str">
        <f t="shared" si="73"/>
        <v>Medium</v>
      </c>
      <c r="N793">
        <f>VLOOKUP(C793,Lookup!$A$2:$D$5,MATCH(M793,Lookup!$A$1:$D$1,0),FALSE)</f>
        <v>0.08</v>
      </c>
      <c r="O793">
        <f t="shared" si="74"/>
        <v>7690</v>
      </c>
      <c r="P793" s="7">
        <f t="shared" si="75"/>
        <v>0.88343563608581277</v>
      </c>
      <c r="Q793" s="7">
        <f t="shared" si="76"/>
        <v>3971.7586206896553</v>
      </c>
      <c r="R793">
        <f t="shared" si="77"/>
        <v>3.4777633289986998</v>
      </c>
    </row>
    <row r="794" spans="1:18" x14ac:dyDescent="0.25">
      <c r="A794" t="s">
        <v>485</v>
      </c>
      <c r="B794" t="s">
        <v>451</v>
      </c>
      <c r="C794" t="s">
        <v>20</v>
      </c>
      <c r="D794">
        <v>1420</v>
      </c>
      <c r="E794" s="1">
        <v>43738</v>
      </c>
      <c r="F794" s="2">
        <f t="shared" si="72"/>
        <v>2019</v>
      </c>
      <c r="G794">
        <v>163</v>
      </c>
      <c r="H794" s="3">
        <v>1001999</v>
      </c>
      <c r="I794">
        <v>53786</v>
      </c>
      <c r="J794">
        <v>1001998</v>
      </c>
      <c r="K794">
        <v>917841</v>
      </c>
      <c r="L794">
        <v>854670</v>
      </c>
      <c r="M794" t="str">
        <f t="shared" si="73"/>
        <v>Large</v>
      </c>
      <c r="N794">
        <f>VLOOKUP(C794,Lookup!$A$2:$D$5,MATCH(M794,Lookup!$A$1:$D$1,0),FALSE)</f>
        <v>0.08</v>
      </c>
      <c r="O794">
        <f t="shared" si="74"/>
        <v>68373.600000000006</v>
      </c>
      <c r="P794" s="7">
        <f t="shared" si="75"/>
        <v>0.91600989621746132</v>
      </c>
      <c r="Q794" s="7">
        <f t="shared" si="76"/>
        <v>6147.2331288343557</v>
      </c>
      <c r="R794">
        <f t="shared" si="77"/>
        <v>0.78664864801619327</v>
      </c>
    </row>
    <row r="795" spans="1:18" x14ac:dyDescent="0.25">
      <c r="A795" t="s">
        <v>485</v>
      </c>
      <c r="B795" t="s">
        <v>1371</v>
      </c>
      <c r="C795" t="s">
        <v>20</v>
      </c>
      <c r="D795">
        <v>1453</v>
      </c>
      <c r="E795" s="1">
        <v>44104</v>
      </c>
      <c r="F795" s="2">
        <f t="shared" si="72"/>
        <v>2020</v>
      </c>
      <c r="G795">
        <v>152</v>
      </c>
      <c r="H795" s="3">
        <v>1129451</v>
      </c>
      <c r="I795">
        <v>30133</v>
      </c>
      <c r="J795">
        <v>1129451</v>
      </c>
      <c r="K795">
        <v>1028085</v>
      </c>
      <c r="L795">
        <v>948680</v>
      </c>
      <c r="M795" t="str">
        <f t="shared" si="73"/>
        <v>Large</v>
      </c>
      <c r="N795">
        <f>VLOOKUP(C795,Lookup!$A$2:$D$5,MATCH(M795,Lookup!$A$1:$D$1,0),FALSE)</f>
        <v>0.08</v>
      </c>
      <c r="O795">
        <f t="shared" si="74"/>
        <v>75894.400000000009</v>
      </c>
      <c r="P795" s="7">
        <f t="shared" si="75"/>
        <v>0.91025197197576524</v>
      </c>
      <c r="Q795" s="7">
        <f t="shared" si="76"/>
        <v>7430.5986842105267</v>
      </c>
      <c r="R795">
        <f t="shared" si="77"/>
        <v>0.39703851667580214</v>
      </c>
    </row>
    <row r="796" spans="1:18" x14ac:dyDescent="0.25">
      <c r="A796" t="s">
        <v>485</v>
      </c>
      <c r="B796" t="s">
        <v>1371</v>
      </c>
      <c r="C796" t="s">
        <v>20</v>
      </c>
      <c r="D796">
        <v>1453</v>
      </c>
      <c r="E796" s="1">
        <v>44469</v>
      </c>
      <c r="F796" s="2">
        <f t="shared" si="72"/>
        <v>2021</v>
      </c>
      <c r="G796">
        <v>158</v>
      </c>
      <c r="H796" s="3">
        <v>1190288</v>
      </c>
      <c r="I796">
        <v>29417</v>
      </c>
      <c r="J796">
        <v>1190288</v>
      </c>
      <c r="K796">
        <v>1069396</v>
      </c>
      <c r="L796">
        <v>1049261</v>
      </c>
      <c r="M796" t="str">
        <f t="shared" si="73"/>
        <v>Large</v>
      </c>
      <c r="N796">
        <f>VLOOKUP(C796,Lookup!$A$2:$D$5,MATCH(M796,Lookup!$A$1:$D$1,0),FALSE)</f>
        <v>0.08</v>
      </c>
      <c r="O796">
        <f t="shared" si="74"/>
        <v>83940.88</v>
      </c>
      <c r="P796" s="7">
        <f t="shared" si="75"/>
        <v>0.89843466455177234</v>
      </c>
      <c r="Q796" s="7">
        <f t="shared" si="76"/>
        <v>7533.4683544303798</v>
      </c>
      <c r="R796">
        <f t="shared" si="77"/>
        <v>0.35044903031752822</v>
      </c>
    </row>
    <row r="797" spans="1:18" x14ac:dyDescent="0.25">
      <c r="A797" t="s">
        <v>486</v>
      </c>
      <c r="B797" t="s">
        <v>26</v>
      </c>
      <c r="C797" t="s">
        <v>20</v>
      </c>
      <c r="D797">
        <v>2210</v>
      </c>
      <c r="E797" s="1">
        <v>43738</v>
      </c>
      <c r="F797" s="2">
        <f t="shared" si="72"/>
        <v>2019</v>
      </c>
      <c r="G797">
        <v>35</v>
      </c>
      <c r="H797" s="3">
        <v>98221</v>
      </c>
      <c r="I797">
        <v>64</v>
      </c>
      <c r="J797">
        <v>98221</v>
      </c>
      <c r="K797">
        <v>4984</v>
      </c>
      <c r="L797">
        <v>500</v>
      </c>
      <c r="M797" t="str">
        <f t="shared" si="73"/>
        <v>Small</v>
      </c>
      <c r="N797">
        <f>VLOOKUP(C797,Lookup!$A$2:$D$5,MATCH(M797,Lookup!$A$1:$D$1,0),FALSE)</f>
        <v>9.5000000000000001E-2</v>
      </c>
      <c r="O797">
        <f t="shared" si="74"/>
        <v>47.5</v>
      </c>
      <c r="P797" s="7">
        <f t="shared" si="75"/>
        <v>5.0742712861811631E-2</v>
      </c>
      <c r="Q797" s="7">
        <f t="shared" si="76"/>
        <v>2806.3142857142857</v>
      </c>
      <c r="R797">
        <f t="shared" si="77"/>
        <v>1.3473684210526315</v>
      </c>
    </row>
    <row r="798" spans="1:18" x14ac:dyDescent="0.25">
      <c r="A798" t="s">
        <v>486</v>
      </c>
      <c r="B798" t="s">
        <v>26</v>
      </c>
      <c r="C798" t="s">
        <v>20</v>
      </c>
      <c r="D798">
        <v>2210</v>
      </c>
      <c r="E798" s="1">
        <v>44104</v>
      </c>
      <c r="F798" s="2">
        <f t="shared" si="72"/>
        <v>2020</v>
      </c>
      <c r="G798">
        <v>35</v>
      </c>
      <c r="H798" s="3">
        <v>103358</v>
      </c>
      <c r="I798">
        <v>75</v>
      </c>
      <c r="J798">
        <v>103358</v>
      </c>
      <c r="K798">
        <v>1898</v>
      </c>
      <c r="L798">
        <v>500</v>
      </c>
      <c r="M798" t="str">
        <f t="shared" si="73"/>
        <v>Medium</v>
      </c>
      <c r="N798">
        <f>VLOOKUP(C798,Lookup!$A$2:$D$5,MATCH(M798,Lookup!$A$1:$D$1,0),FALSE)</f>
        <v>8.5000000000000006E-2</v>
      </c>
      <c r="O798">
        <f t="shared" si="74"/>
        <v>42.5</v>
      </c>
      <c r="P798" s="7">
        <f t="shared" si="75"/>
        <v>1.8363358424118115E-2</v>
      </c>
      <c r="Q798" s="7">
        <f t="shared" si="76"/>
        <v>2953.0857142857144</v>
      </c>
      <c r="R798">
        <f t="shared" si="77"/>
        <v>1.7647058823529411</v>
      </c>
    </row>
    <row r="799" spans="1:18" x14ac:dyDescent="0.25">
      <c r="A799" t="s">
        <v>486</v>
      </c>
      <c r="B799" t="s">
        <v>26</v>
      </c>
      <c r="C799" t="s">
        <v>20</v>
      </c>
      <c r="D799">
        <v>2210</v>
      </c>
      <c r="E799" s="1">
        <v>44469</v>
      </c>
      <c r="F799" s="2">
        <f t="shared" si="72"/>
        <v>2021</v>
      </c>
      <c r="G799">
        <v>37</v>
      </c>
      <c r="H799" s="3">
        <v>117024</v>
      </c>
      <c r="I799">
        <v>78</v>
      </c>
      <c r="J799">
        <v>117024</v>
      </c>
      <c r="K799">
        <v>2627</v>
      </c>
      <c r="L799">
        <v>500</v>
      </c>
      <c r="M799" t="str">
        <f t="shared" si="73"/>
        <v>Medium</v>
      </c>
      <c r="N799">
        <f>VLOOKUP(C799,Lookup!$A$2:$D$5,MATCH(M799,Lookup!$A$1:$D$1,0),FALSE)</f>
        <v>8.5000000000000006E-2</v>
      </c>
      <c r="O799">
        <f t="shared" si="74"/>
        <v>42.5</v>
      </c>
      <c r="P799" s="7">
        <f t="shared" si="75"/>
        <v>2.2448386655728739E-2</v>
      </c>
      <c r="Q799" s="7">
        <f t="shared" si="76"/>
        <v>3162.8108108108108</v>
      </c>
      <c r="R799">
        <f t="shared" si="77"/>
        <v>1.8352941176470587</v>
      </c>
    </row>
    <row r="800" spans="1:18" x14ac:dyDescent="0.25">
      <c r="A800" t="s">
        <v>487</v>
      </c>
      <c r="B800" t="s">
        <v>488</v>
      </c>
      <c r="C800" t="s">
        <v>8</v>
      </c>
      <c r="D800">
        <v>60007</v>
      </c>
      <c r="E800" s="1">
        <v>43738</v>
      </c>
      <c r="F800" s="2">
        <f t="shared" si="72"/>
        <v>2019</v>
      </c>
      <c r="G800">
        <v>735</v>
      </c>
      <c r="H800" s="3">
        <v>4495916</v>
      </c>
      <c r="I800">
        <v>150041</v>
      </c>
      <c r="J800">
        <v>4495916</v>
      </c>
      <c r="K800">
        <v>4081130</v>
      </c>
      <c r="L800">
        <v>3421138</v>
      </c>
      <c r="M800" t="str">
        <f t="shared" si="73"/>
        <v>Large</v>
      </c>
      <c r="N800">
        <f>VLOOKUP(C800,Lookup!$A$2:$D$5,MATCH(M800,Lookup!$A$1:$D$1,0),FALSE)</f>
        <v>7.4999999999999997E-2</v>
      </c>
      <c r="O800">
        <f t="shared" si="74"/>
        <v>256585.34999999998</v>
      </c>
      <c r="P800" s="7">
        <f t="shared" si="75"/>
        <v>0.90774160371323664</v>
      </c>
      <c r="Q800" s="7">
        <f t="shared" si="76"/>
        <v>6116.8925170068023</v>
      </c>
      <c r="R800">
        <f t="shared" si="77"/>
        <v>0.58476058746144322</v>
      </c>
    </row>
    <row r="801" spans="1:18" x14ac:dyDescent="0.25">
      <c r="A801" t="s">
        <v>487</v>
      </c>
      <c r="B801" t="s">
        <v>488</v>
      </c>
      <c r="C801" t="s">
        <v>8</v>
      </c>
      <c r="D801">
        <v>60007</v>
      </c>
      <c r="E801" s="1">
        <v>44104</v>
      </c>
      <c r="F801" s="2">
        <f t="shared" si="72"/>
        <v>2020</v>
      </c>
      <c r="G801">
        <v>835</v>
      </c>
      <c r="H801" s="3">
        <v>5878877</v>
      </c>
      <c r="I801">
        <v>214986</v>
      </c>
      <c r="J801">
        <v>5878877</v>
      </c>
      <c r="K801">
        <v>5455284</v>
      </c>
      <c r="L801">
        <v>4362471</v>
      </c>
      <c r="M801" t="str">
        <f t="shared" si="73"/>
        <v>Large</v>
      </c>
      <c r="N801">
        <f>VLOOKUP(C801,Lookup!$A$2:$D$5,MATCH(M801,Lookup!$A$1:$D$1,0),FALSE)</f>
        <v>7.4999999999999997E-2</v>
      </c>
      <c r="O801">
        <f t="shared" si="74"/>
        <v>327185.32500000001</v>
      </c>
      <c r="P801" s="7">
        <f t="shared" si="75"/>
        <v>0.92794661293304825</v>
      </c>
      <c r="Q801" s="7">
        <f t="shared" si="76"/>
        <v>7040.5712574850295</v>
      </c>
      <c r="R801">
        <f t="shared" si="77"/>
        <v>0.65707714733232603</v>
      </c>
    </row>
    <row r="802" spans="1:18" x14ac:dyDescent="0.25">
      <c r="A802" t="s">
        <v>487</v>
      </c>
      <c r="B802" t="s">
        <v>488</v>
      </c>
      <c r="C802" t="s">
        <v>8</v>
      </c>
      <c r="D802">
        <v>60007</v>
      </c>
      <c r="E802" s="1">
        <v>44469</v>
      </c>
      <c r="F802" s="2">
        <f t="shared" si="72"/>
        <v>2021</v>
      </c>
      <c r="G802">
        <v>851</v>
      </c>
      <c r="H802" s="3">
        <v>6036315</v>
      </c>
      <c r="I802">
        <v>254052</v>
      </c>
      <c r="J802">
        <v>6036315</v>
      </c>
      <c r="K802">
        <v>5562831</v>
      </c>
      <c r="L802">
        <v>4759498</v>
      </c>
      <c r="M802" t="str">
        <f t="shared" si="73"/>
        <v>Large</v>
      </c>
      <c r="N802">
        <f>VLOOKUP(C802,Lookup!$A$2:$D$5,MATCH(M802,Lookup!$A$1:$D$1,0),FALSE)</f>
        <v>7.4999999999999997E-2</v>
      </c>
      <c r="O802">
        <f t="shared" si="74"/>
        <v>356962.35</v>
      </c>
      <c r="P802" s="7">
        <f t="shared" si="75"/>
        <v>0.92156075353920397</v>
      </c>
      <c r="Q802" s="7">
        <f t="shared" si="76"/>
        <v>7093.2021151586368</v>
      </c>
      <c r="R802">
        <f t="shared" si="77"/>
        <v>0.71170531009782967</v>
      </c>
    </row>
    <row r="803" spans="1:18" x14ac:dyDescent="0.25">
      <c r="A803" t="s">
        <v>489</v>
      </c>
      <c r="B803" t="s">
        <v>93</v>
      </c>
      <c r="C803" t="s">
        <v>5</v>
      </c>
      <c r="D803">
        <v>92707</v>
      </c>
      <c r="E803" s="1">
        <v>43738</v>
      </c>
      <c r="F803" s="2">
        <f t="shared" si="72"/>
        <v>2019</v>
      </c>
      <c r="G803">
        <v>112</v>
      </c>
      <c r="H803" s="3">
        <v>4248423</v>
      </c>
      <c r="I803">
        <v>889891</v>
      </c>
      <c r="J803">
        <v>4248423</v>
      </c>
      <c r="K803">
        <v>3896210</v>
      </c>
      <c r="L803">
        <v>3874310</v>
      </c>
      <c r="M803" t="str">
        <f t="shared" si="73"/>
        <v>Large</v>
      </c>
      <c r="N803">
        <f>VLOOKUP(C803,Lookup!$A$2:$D$5,MATCH(M803,Lookup!$A$1:$D$1,0),FALSE)</f>
        <v>0.08</v>
      </c>
      <c r="O803">
        <f t="shared" si="74"/>
        <v>309944.8</v>
      </c>
      <c r="P803" s="7">
        <f t="shared" si="75"/>
        <v>0.91709559052853262</v>
      </c>
      <c r="Q803" s="7">
        <f t="shared" si="76"/>
        <v>37932.348214285717</v>
      </c>
      <c r="R803">
        <f t="shared" si="77"/>
        <v>2.8711273749390216</v>
      </c>
    </row>
    <row r="804" spans="1:18" x14ac:dyDescent="0.25">
      <c r="A804" t="s">
        <v>489</v>
      </c>
      <c r="B804" t="s">
        <v>93</v>
      </c>
      <c r="C804" t="s">
        <v>5</v>
      </c>
      <c r="D804">
        <v>92707</v>
      </c>
      <c r="E804" s="1">
        <v>44104</v>
      </c>
      <c r="F804" s="2">
        <f t="shared" si="72"/>
        <v>2020</v>
      </c>
      <c r="G804">
        <v>126</v>
      </c>
      <c r="H804" s="3">
        <v>4481920</v>
      </c>
      <c r="I804">
        <v>963531</v>
      </c>
      <c r="J804">
        <v>4481920</v>
      </c>
      <c r="K804">
        <v>4082554</v>
      </c>
      <c r="L804">
        <v>4043509</v>
      </c>
      <c r="M804" t="str">
        <f t="shared" si="73"/>
        <v>Large</v>
      </c>
      <c r="N804">
        <f>VLOOKUP(C804,Lookup!$A$2:$D$5,MATCH(M804,Lookup!$A$1:$D$1,0),FALSE)</f>
        <v>0.08</v>
      </c>
      <c r="O804">
        <f t="shared" si="74"/>
        <v>323480.72000000003</v>
      </c>
      <c r="P804" s="7">
        <f t="shared" si="75"/>
        <v>0.91089399186063114</v>
      </c>
      <c r="Q804" s="7">
        <f t="shared" si="76"/>
        <v>35570.793650793654</v>
      </c>
      <c r="R804">
        <f t="shared" si="77"/>
        <v>2.9786350172585245</v>
      </c>
    </row>
    <row r="805" spans="1:18" x14ac:dyDescent="0.25">
      <c r="A805" t="s">
        <v>489</v>
      </c>
      <c r="B805" t="s">
        <v>93</v>
      </c>
      <c r="C805" t="s">
        <v>5</v>
      </c>
      <c r="D805">
        <v>92707</v>
      </c>
      <c r="E805" s="1">
        <v>44469</v>
      </c>
      <c r="F805" s="2">
        <f t="shared" si="72"/>
        <v>2021</v>
      </c>
      <c r="G805">
        <v>142</v>
      </c>
      <c r="H805" s="3">
        <v>7818152</v>
      </c>
      <c r="I805">
        <v>1344329</v>
      </c>
      <c r="J805">
        <v>7818152</v>
      </c>
      <c r="K805">
        <v>7313163</v>
      </c>
      <c r="L805">
        <v>7136810</v>
      </c>
      <c r="M805" t="str">
        <f t="shared" si="73"/>
        <v>Large</v>
      </c>
      <c r="N805">
        <f>VLOOKUP(C805,Lookup!$A$2:$D$5,MATCH(M805,Lookup!$A$1:$D$1,0),FALSE)</f>
        <v>0.08</v>
      </c>
      <c r="O805">
        <f t="shared" si="74"/>
        <v>570944.80000000005</v>
      </c>
      <c r="P805" s="7">
        <f t="shared" si="75"/>
        <v>0.93540813737057049</v>
      </c>
      <c r="Q805" s="7">
        <f t="shared" si="76"/>
        <v>55057.408450704228</v>
      </c>
      <c r="R805">
        <f t="shared" si="77"/>
        <v>2.3545691282239543</v>
      </c>
    </row>
    <row r="806" spans="1:18" x14ac:dyDescent="0.25">
      <c r="A806" t="s">
        <v>490</v>
      </c>
      <c r="B806" t="s">
        <v>373</v>
      </c>
      <c r="C806" t="s">
        <v>8</v>
      </c>
      <c r="D806">
        <v>60067</v>
      </c>
      <c r="E806" s="1">
        <v>43738</v>
      </c>
      <c r="F806" s="2">
        <f t="shared" si="72"/>
        <v>2019</v>
      </c>
      <c r="G806">
        <v>31</v>
      </c>
      <c r="H806" s="3">
        <v>187042</v>
      </c>
      <c r="I806">
        <v>35125</v>
      </c>
      <c r="J806">
        <v>187042</v>
      </c>
      <c r="K806">
        <v>169760</v>
      </c>
      <c r="L806">
        <v>169259</v>
      </c>
      <c r="M806" t="str">
        <f t="shared" si="73"/>
        <v>Medium</v>
      </c>
      <c r="N806">
        <f>VLOOKUP(C806,Lookup!$A$2:$D$5,MATCH(M806,Lookup!$A$1:$D$1,0),FALSE)</f>
        <v>0.08</v>
      </c>
      <c r="O806">
        <f t="shared" si="74"/>
        <v>13540.720000000001</v>
      </c>
      <c r="P806" s="7">
        <f t="shared" si="75"/>
        <v>0.90760363982421055</v>
      </c>
      <c r="Q806" s="7">
        <f t="shared" si="76"/>
        <v>6033.6129032258068</v>
      </c>
      <c r="R806">
        <f t="shared" si="77"/>
        <v>2.5940274963222043</v>
      </c>
    </row>
    <row r="807" spans="1:18" x14ac:dyDescent="0.25">
      <c r="A807" t="s">
        <v>490</v>
      </c>
      <c r="B807" t="s">
        <v>373</v>
      </c>
      <c r="C807" t="s">
        <v>8</v>
      </c>
      <c r="D807">
        <v>60067</v>
      </c>
      <c r="E807" s="1">
        <v>44104</v>
      </c>
      <c r="F807" s="2">
        <f t="shared" si="72"/>
        <v>2020</v>
      </c>
      <c r="G807">
        <v>26</v>
      </c>
      <c r="H807" s="3">
        <v>189995</v>
      </c>
      <c r="I807">
        <v>36732</v>
      </c>
      <c r="J807">
        <v>189995</v>
      </c>
      <c r="K807">
        <v>174160</v>
      </c>
      <c r="L807">
        <v>173464</v>
      </c>
      <c r="M807" t="str">
        <f t="shared" si="73"/>
        <v>Medium</v>
      </c>
      <c r="N807">
        <f>VLOOKUP(C807,Lookup!$A$2:$D$5,MATCH(M807,Lookup!$A$1:$D$1,0),FALSE)</f>
        <v>0.08</v>
      </c>
      <c r="O807">
        <f t="shared" si="74"/>
        <v>13877.12</v>
      </c>
      <c r="P807" s="7">
        <f t="shared" si="75"/>
        <v>0.91665570146582809</v>
      </c>
      <c r="Q807" s="7">
        <f t="shared" si="76"/>
        <v>7307.5</v>
      </c>
      <c r="R807">
        <f t="shared" si="77"/>
        <v>2.6469469169395379</v>
      </c>
    </row>
    <row r="808" spans="1:18" x14ac:dyDescent="0.25">
      <c r="A808" t="s">
        <v>490</v>
      </c>
      <c r="B808" t="s">
        <v>373</v>
      </c>
      <c r="C808" t="s">
        <v>8</v>
      </c>
      <c r="D808">
        <v>60067</v>
      </c>
      <c r="E808" s="1">
        <v>44469</v>
      </c>
      <c r="F808" s="2">
        <f t="shared" si="72"/>
        <v>2021</v>
      </c>
      <c r="G808">
        <v>28</v>
      </c>
      <c r="H808" s="3">
        <v>213358</v>
      </c>
      <c r="I808">
        <v>73632</v>
      </c>
      <c r="J808">
        <v>213358</v>
      </c>
      <c r="K808">
        <v>195016</v>
      </c>
      <c r="L808">
        <v>194235</v>
      </c>
      <c r="M808" t="str">
        <f t="shared" si="73"/>
        <v>Medium</v>
      </c>
      <c r="N808">
        <f>VLOOKUP(C808,Lookup!$A$2:$D$5,MATCH(M808,Lookup!$A$1:$D$1,0),FALSE)</f>
        <v>0.08</v>
      </c>
      <c r="O808">
        <f t="shared" si="74"/>
        <v>15538.800000000001</v>
      </c>
      <c r="P808" s="7">
        <f t="shared" si="75"/>
        <v>0.91403181507138243</v>
      </c>
      <c r="Q808" s="7">
        <f t="shared" si="76"/>
        <v>7619.9285714285716</v>
      </c>
      <c r="R808">
        <f t="shared" si="77"/>
        <v>4.7385898524982624</v>
      </c>
    </row>
    <row r="809" spans="1:18" x14ac:dyDescent="0.25">
      <c r="A809" t="s">
        <v>491</v>
      </c>
      <c r="B809" t="s">
        <v>492</v>
      </c>
      <c r="C809" t="s">
        <v>8</v>
      </c>
      <c r="D809">
        <v>60035</v>
      </c>
      <c r="E809" s="1">
        <v>43738</v>
      </c>
      <c r="F809" s="2">
        <f t="shared" si="72"/>
        <v>2019</v>
      </c>
      <c r="G809">
        <v>133</v>
      </c>
      <c r="H809" s="3">
        <v>1825747</v>
      </c>
      <c r="I809">
        <v>119299</v>
      </c>
      <c r="J809">
        <v>1825747</v>
      </c>
      <c r="K809">
        <v>1645592</v>
      </c>
      <c r="L809">
        <v>1500851</v>
      </c>
      <c r="M809" t="str">
        <f t="shared" si="73"/>
        <v>Large</v>
      </c>
      <c r="N809">
        <f>VLOOKUP(C809,Lookup!$A$2:$D$5,MATCH(M809,Lookup!$A$1:$D$1,0),FALSE)</f>
        <v>7.4999999999999997E-2</v>
      </c>
      <c r="O809">
        <f t="shared" si="74"/>
        <v>112563.825</v>
      </c>
      <c r="P809" s="7">
        <f t="shared" si="75"/>
        <v>0.90132532054003101</v>
      </c>
      <c r="Q809" s="7">
        <f t="shared" si="76"/>
        <v>13727.421052631578</v>
      </c>
      <c r="R809">
        <f t="shared" si="77"/>
        <v>1.0598342762428339</v>
      </c>
    </row>
    <row r="810" spans="1:18" x14ac:dyDescent="0.25">
      <c r="A810" t="s">
        <v>491</v>
      </c>
      <c r="B810" t="s">
        <v>492</v>
      </c>
      <c r="C810" t="s">
        <v>8</v>
      </c>
      <c r="D810">
        <v>60035</v>
      </c>
      <c r="E810" s="1">
        <v>44104</v>
      </c>
      <c r="F810" s="2">
        <f t="shared" si="72"/>
        <v>2020</v>
      </c>
      <c r="G810">
        <v>137</v>
      </c>
      <c r="H810" s="3">
        <v>1936299</v>
      </c>
      <c r="I810">
        <v>151428</v>
      </c>
      <c r="J810">
        <v>1936299</v>
      </c>
      <c r="K810">
        <v>1750680</v>
      </c>
      <c r="L810">
        <v>1568804</v>
      </c>
      <c r="M810" t="str">
        <f t="shared" si="73"/>
        <v>Large</v>
      </c>
      <c r="N810">
        <f>VLOOKUP(C810,Lookup!$A$2:$D$5,MATCH(M810,Lookup!$A$1:$D$1,0),FALSE)</f>
        <v>7.4999999999999997E-2</v>
      </c>
      <c r="O810">
        <f t="shared" si="74"/>
        <v>117660.3</v>
      </c>
      <c r="P810" s="7">
        <f t="shared" si="75"/>
        <v>0.90413722260869833</v>
      </c>
      <c r="Q810" s="7">
        <f t="shared" si="76"/>
        <v>14133.569343065694</v>
      </c>
      <c r="R810">
        <f t="shared" si="77"/>
        <v>1.2869931489210888</v>
      </c>
    </row>
    <row r="811" spans="1:18" x14ac:dyDescent="0.25">
      <c r="A811" t="s">
        <v>491</v>
      </c>
      <c r="B811" t="s">
        <v>492</v>
      </c>
      <c r="C811" t="s">
        <v>8</v>
      </c>
      <c r="D811">
        <v>60035</v>
      </c>
      <c r="E811" s="1">
        <v>44469</v>
      </c>
      <c r="F811" s="2">
        <f t="shared" si="72"/>
        <v>2021</v>
      </c>
      <c r="G811">
        <v>140</v>
      </c>
      <c r="H811" s="3">
        <v>1927836</v>
      </c>
      <c r="I811">
        <v>246578</v>
      </c>
      <c r="J811">
        <v>1927836</v>
      </c>
      <c r="K811">
        <v>1741040</v>
      </c>
      <c r="L811">
        <v>1419943</v>
      </c>
      <c r="M811" t="str">
        <f t="shared" si="73"/>
        <v>Large</v>
      </c>
      <c r="N811">
        <f>VLOOKUP(C811,Lookup!$A$2:$D$5,MATCH(M811,Lookup!$A$1:$D$1,0),FALSE)</f>
        <v>7.4999999999999997E-2</v>
      </c>
      <c r="O811">
        <f t="shared" si="74"/>
        <v>106495.72499999999</v>
      </c>
      <c r="P811" s="7">
        <f t="shared" si="75"/>
        <v>0.90310586585165953</v>
      </c>
      <c r="Q811" s="7">
        <f t="shared" si="76"/>
        <v>13770.257142857143</v>
      </c>
      <c r="R811">
        <f t="shared" si="77"/>
        <v>2.3153793262593405</v>
      </c>
    </row>
    <row r="812" spans="1:18" x14ac:dyDescent="0.25">
      <c r="A812" t="s">
        <v>493</v>
      </c>
      <c r="B812" t="s">
        <v>494</v>
      </c>
      <c r="C812" t="s">
        <v>8</v>
      </c>
      <c r="D812">
        <v>60442</v>
      </c>
      <c r="E812" s="1">
        <v>43738</v>
      </c>
      <c r="F812" s="2">
        <f t="shared" si="72"/>
        <v>2019</v>
      </c>
      <c r="G812">
        <v>45</v>
      </c>
      <c r="H812" s="3">
        <v>176978</v>
      </c>
      <c r="I812">
        <v>42757</v>
      </c>
      <c r="J812">
        <v>176977</v>
      </c>
      <c r="K812">
        <v>159543</v>
      </c>
      <c r="L812">
        <v>159233</v>
      </c>
      <c r="M812" t="str">
        <f t="shared" si="73"/>
        <v>Medium</v>
      </c>
      <c r="N812">
        <f>VLOOKUP(C812,Lookup!$A$2:$D$5,MATCH(M812,Lookup!$A$1:$D$1,0),FALSE)</f>
        <v>0.08</v>
      </c>
      <c r="O812">
        <f t="shared" si="74"/>
        <v>12738.64</v>
      </c>
      <c r="P812" s="7">
        <f t="shared" si="75"/>
        <v>0.90148493033032351</v>
      </c>
      <c r="Q812" s="7">
        <f t="shared" si="76"/>
        <v>3932.8444444444444</v>
      </c>
      <c r="R812">
        <f t="shared" si="77"/>
        <v>3.3564807546174475</v>
      </c>
    </row>
    <row r="813" spans="1:18" x14ac:dyDescent="0.25">
      <c r="A813" t="s">
        <v>493</v>
      </c>
      <c r="B813" t="s">
        <v>494</v>
      </c>
      <c r="C813" t="s">
        <v>8</v>
      </c>
      <c r="D813">
        <v>60442</v>
      </c>
      <c r="E813" s="1">
        <v>44104</v>
      </c>
      <c r="F813" s="2">
        <f t="shared" si="72"/>
        <v>2020</v>
      </c>
      <c r="G813">
        <v>43</v>
      </c>
      <c r="H813" s="3">
        <v>212893</v>
      </c>
      <c r="I813">
        <v>49520</v>
      </c>
      <c r="J813">
        <v>212893</v>
      </c>
      <c r="K813">
        <v>194633</v>
      </c>
      <c r="L813">
        <v>189791</v>
      </c>
      <c r="M813" t="str">
        <f t="shared" si="73"/>
        <v>Medium</v>
      </c>
      <c r="N813">
        <f>VLOOKUP(C813,Lookup!$A$2:$D$5,MATCH(M813,Lookup!$A$1:$D$1,0),FALSE)</f>
        <v>0.08</v>
      </c>
      <c r="O813">
        <f t="shared" si="74"/>
        <v>15183.28</v>
      </c>
      <c r="P813" s="7">
        <f t="shared" si="75"/>
        <v>0.91422921373647792</v>
      </c>
      <c r="Q813" s="7">
        <f t="shared" si="76"/>
        <v>4951</v>
      </c>
      <c r="R813">
        <f t="shared" si="77"/>
        <v>3.261482367446296</v>
      </c>
    </row>
    <row r="814" spans="1:18" x14ac:dyDescent="0.25">
      <c r="A814" t="s">
        <v>493</v>
      </c>
      <c r="B814" t="s">
        <v>494</v>
      </c>
      <c r="C814" t="s">
        <v>8</v>
      </c>
      <c r="D814">
        <v>60442</v>
      </c>
      <c r="E814" s="1">
        <v>44469</v>
      </c>
      <c r="F814" s="2">
        <f t="shared" si="72"/>
        <v>2021</v>
      </c>
      <c r="G814">
        <v>44</v>
      </c>
      <c r="H814" s="3">
        <v>233046</v>
      </c>
      <c r="I814">
        <v>44575</v>
      </c>
      <c r="J814">
        <v>233046</v>
      </c>
      <c r="K814">
        <v>214299</v>
      </c>
      <c r="L814">
        <v>209098</v>
      </c>
      <c r="M814" t="str">
        <f t="shared" si="73"/>
        <v>Medium</v>
      </c>
      <c r="N814">
        <f>VLOOKUP(C814,Lookup!$A$2:$D$5,MATCH(M814,Lookup!$A$1:$D$1,0),FALSE)</f>
        <v>0.08</v>
      </c>
      <c r="O814">
        <f t="shared" si="74"/>
        <v>16727.84</v>
      </c>
      <c r="P814" s="7">
        <f t="shared" si="75"/>
        <v>0.91955665405113152</v>
      </c>
      <c r="Q814" s="7">
        <f t="shared" si="76"/>
        <v>5296.5</v>
      </c>
      <c r="R814">
        <f t="shared" si="77"/>
        <v>2.6647194138633559</v>
      </c>
    </row>
    <row r="815" spans="1:18" x14ac:dyDescent="0.25">
      <c r="A815" t="s">
        <v>495</v>
      </c>
      <c r="B815" t="s">
        <v>325</v>
      </c>
      <c r="C815" t="s">
        <v>8</v>
      </c>
      <c r="D815">
        <v>62301</v>
      </c>
      <c r="E815" s="1">
        <v>43738</v>
      </c>
      <c r="F815" s="2">
        <f t="shared" si="72"/>
        <v>2019</v>
      </c>
      <c r="G815">
        <v>168</v>
      </c>
      <c r="H815" s="3">
        <v>906599</v>
      </c>
      <c r="I815">
        <v>33999</v>
      </c>
      <c r="J815">
        <v>906599</v>
      </c>
      <c r="K815">
        <v>809212</v>
      </c>
      <c r="L815">
        <v>720349</v>
      </c>
      <c r="M815" t="str">
        <f t="shared" si="73"/>
        <v>Medium</v>
      </c>
      <c r="N815">
        <f>VLOOKUP(C815,Lookup!$A$2:$D$5,MATCH(M815,Lookup!$A$1:$D$1,0),FALSE)</f>
        <v>0.08</v>
      </c>
      <c r="O815">
        <f t="shared" si="74"/>
        <v>57627.92</v>
      </c>
      <c r="P815" s="7">
        <f t="shared" si="75"/>
        <v>0.89257985062855794</v>
      </c>
      <c r="Q815" s="7">
        <f t="shared" si="76"/>
        <v>5396.4226190476193</v>
      </c>
      <c r="R815">
        <f t="shared" si="77"/>
        <v>0.58997444294362877</v>
      </c>
    </row>
    <row r="816" spans="1:18" x14ac:dyDescent="0.25">
      <c r="A816" t="s">
        <v>495</v>
      </c>
      <c r="B816" t="s">
        <v>325</v>
      </c>
      <c r="C816" t="s">
        <v>8</v>
      </c>
      <c r="D816">
        <v>62301</v>
      </c>
      <c r="E816" s="1">
        <v>44104</v>
      </c>
      <c r="F816" s="2">
        <f t="shared" si="72"/>
        <v>2020</v>
      </c>
      <c r="G816">
        <v>169</v>
      </c>
      <c r="H816" s="3">
        <v>1079100</v>
      </c>
      <c r="I816">
        <v>40580</v>
      </c>
      <c r="J816">
        <v>1079100</v>
      </c>
      <c r="K816">
        <v>972205</v>
      </c>
      <c r="L816">
        <v>816725</v>
      </c>
      <c r="M816" t="str">
        <f t="shared" si="73"/>
        <v>Large</v>
      </c>
      <c r="N816">
        <f>VLOOKUP(C816,Lookup!$A$2:$D$5,MATCH(M816,Lookup!$A$1:$D$1,0),FALSE)</f>
        <v>7.4999999999999997E-2</v>
      </c>
      <c r="O816">
        <f t="shared" si="74"/>
        <v>61254.375</v>
      </c>
      <c r="P816" s="7">
        <f t="shared" si="75"/>
        <v>0.9009405986470207</v>
      </c>
      <c r="Q816" s="7">
        <f t="shared" si="76"/>
        <v>6385.207100591716</v>
      </c>
      <c r="R816">
        <f t="shared" si="77"/>
        <v>0.66248329200975442</v>
      </c>
    </row>
    <row r="817" spans="1:18" x14ac:dyDescent="0.25">
      <c r="A817" t="s">
        <v>495</v>
      </c>
      <c r="B817" t="s">
        <v>325</v>
      </c>
      <c r="C817" t="s">
        <v>8</v>
      </c>
      <c r="D817">
        <v>62301</v>
      </c>
      <c r="E817" s="1">
        <v>44469</v>
      </c>
      <c r="F817" s="2">
        <f t="shared" si="72"/>
        <v>2021</v>
      </c>
      <c r="G817">
        <v>166</v>
      </c>
      <c r="H817" s="3">
        <v>1242942</v>
      </c>
      <c r="I817">
        <v>48864</v>
      </c>
      <c r="J817">
        <v>1242942</v>
      </c>
      <c r="K817">
        <v>1135350</v>
      </c>
      <c r="L817">
        <v>977466</v>
      </c>
      <c r="M817" t="str">
        <f t="shared" si="73"/>
        <v>Large</v>
      </c>
      <c r="N817">
        <f>VLOOKUP(C817,Lookup!$A$2:$D$5,MATCH(M817,Lookup!$A$1:$D$1,0),FALSE)</f>
        <v>7.4999999999999997E-2</v>
      </c>
      <c r="O817">
        <f t="shared" si="74"/>
        <v>73309.95</v>
      </c>
      <c r="P817" s="7">
        <f t="shared" si="75"/>
        <v>0.91343763425807478</v>
      </c>
      <c r="Q817" s="7">
        <f t="shared" si="76"/>
        <v>7487.6024096385545</v>
      </c>
      <c r="R817">
        <f t="shared" si="77"/>
        <v>0.66653980803424362</v>
      </c>
    </row>
    <row r="818" spans="1:18" x14ac:dyDescent="0.25">
      <c r="A818" t="s">
        <v>496</v>
      </c>
      <c r="B818" t="s">
        <v>49</v>
      </c>
      <c r="C818" t="s">
        <v>17</v>
      </c>
      <c r="D818">
        <v>11542</v>
      </c>
      <c r="E818" s="1">
        <v>43738</v>
      </c>
      <c r="F818" s="2">
        <f t="shared" si="72"/>
        <v>2019</v>
      </c>
      <c r="G818">
        <v>77</v>
      </c>
      <c r="H818" s="3">
        <v>595175</v>
      </c>
      <c r="I818">
        <v>35118</v>
      </c>
      <c r="J818">
        <v>595175</v>
      </c>
      <c r="K818">
        <v>537060</v>
      </c>
      <c r="L818">
        <v>524588</v>
      </c>
      <c r="M818" t="str">
        <f t="shared" si="73"/>
        <v>Medium</v>
      </c>
      <c r="N818">
        <f>VLOOKUP(C818,Lookup!$A$2:$D$5,MATCH(M818,Lookup!$A$1:$D$1,0),FALSE)</f>
        <v>8.5000000000000006E-2</v>
      </c>
      <c r="O818">
        <f t="shared" si="74"/>
        <v>44589.98</v>
      </c>
      <c r="P818" s="7">
        <f t="shared" si="75"/>
        <v>0.90235644978367702</v>
      </c>
      <c r="Q818" s="7">
        <f t="shared" si="76"/>
        <v>7729.545454545455</v>
      </c>
      <c r="R818">
        <f t="shared" si="77"/>
        <v>0.78757604286882388</v>
      </c>
    </row>
    <row r="819" spans="1:18" x14ac:dyDescent="0.25">
      <c r="A819" t="s">
        <v>496</v>
      </c>
      <c r="B819" t="s">
        <v>49</v>
      </c>
      <c r="C819" t="s">
        <v>17</v>
      </c>
      <c r="D819">
        <v>11542</v>
      </c>
      <c r="E819" s="1">
        <v>44104</v>
      </c>
      <c r="F819" s="2">
        <f t="shared" si="72"/>
        <v>2020</v>
      </c>
      <c r="G819">
        <v>84</v>
      </c>
      <c r="H819" s="3">
        <v>681228</v>
      </c>
      <c r="I819">
        <v>56364</v>
      </c>
      <c r="J819">
        <v>681228</v>
      </c>
      <c r="K819">
        <v>618381</v>
      </c>
      <c r="L819">
        <v>606900</v>
      </c>
      <c r="M819" t="str">
        <f t="shared" si="73"/>
        <v>Medium</v>
      </c>
      <c r="N819">
        <f>VLOOKUP(C819,Lookup!$A$2:$D$5,MATCH(M819,Lookup!$A$1:$D$1,0),FALSE)</f>
        <v>8.5000000000000006E-2</v>
      </c>
      <c r="O819">
        <f t="shared" si="74"/>
        <v>51586.500000000007</v>
      </c>
      <c r="P819" s="7">
        <f t="shared" si="75"/>
        <v>0.90774454367700685</v>
      </c>
      <c r="Q819" s="7">
        <f t="shared" si="76"/>
        <v>8109.8571428571431</v>
      </c>
      <c r="R819">
        <f t="shared" si="77"/>
        <v>1.0926114390392834</v>
      </c>
    </row>
    <row r="820" spans="1:18" x14ac:dyDescent="0.25">
      <c r="A820" t="s">
        <v>496</v>
      </c>
      <c r="B820" t="s">
        <v>49</v>
      </c>
      <c r="C820" t="s">
        <v>17</v>
      </c>
      <c r="D820">
        <v>11542</v>
      </c>
      <c r="E820" s="1">
        <v>44469</v>
      </c>
      <c r="F820" s="2">
        <f t="shared" si="72"/>
        <v>2021</v>
      </c>
      <c r="G820">
        <v>90</v>
      </c>
      <c r="H820" s="3">
        <v>707436</v>
      </c>
      <c r="I820">
        <v>67047</v>
      </c>
      <c r="J820">
        <v>707436</v>
      </c>
      <c r="K820">
        <v>637876</v>
      </c>
      <c r="L820">
        <v>635695</v>
      </c>
      <c r="M820" t="str">
        <f t="shared" si="73"/>
        <v>Medium</v>
      </c>
      <c r="N820">
        <f>VLOOKUP(C820,Lookup!$A$2:$D$5,MATCH(M820,Lookup!$A$1:$D$1,0),FALSE)</f>
        <v>8.5000000000000006E-2</v>
      </c>
      <c r="O820">
        <f t="shared" si="74"/>
        <v>54034.075000000004</v>
      </c>
      <c r="P820" s="7">
        <f t="shared" si="75"/>
        <v>0.90167308420832415</v>
      </c>
      <c r="Q820" s="7">
        <f t="shared" si="76"/>
        <v>7860.4</v>
      </c>
      <c r="R820">
        <f t="shared" si="77"/>
        <v>1.240828125585568</v>
      </c>
    </row>
    <row r="821" spans="1:18" x14ac:dyDescent="0.25">
      <c r="A821" t="s">
        <v>497</v>
      </c>
      <c r="B821" t="s">
        <v>498</v>
      </c>
      <c r="C821" t="s">
        <v>5</v>
      </c>
      <c r="D821">
        <v>90703</v>
      </c>
      <c r="E821" s="1">
        <v>43738</v>
      </c>
      <c r="F821" s="2">
        <f t="shared" si="72"/>
        <v>2019</v>
      </c>
      <c r="G821">
        <v>181</v>
      </c>
      <c r="H821" s="3">
        <v>1655635</v>
      </c>
      <c r="I821">
        <v>180615</v>
      </c>
      <c r="J821">
        <v>1655635</v>
      </c>
      <c r="K821">
        <v>1383961</v>
      </c>
      <c r="L821">
        <v>1339767</v>
      </c>
      <c r="M821" t="str">
        <f t="shared" si="73"/>
        <v>Large</v>
      </c>
      <c r="N821">
        <f>VLOOKUP(C821,Lookup!$A$2:$D$5,MATCH(M821,Lookup!$A$1:$D$1,0),FALSE)</f>
        <v>0.08</v>
      </c>
      <c r="O821">
        <f t="shared" si="74"/>
        <v>107181.36</v>
      </c>
      <c r="P821" s="7">
        <f t="shared" si="75"/>
        <v>0.83590948488042349</v>
      </c>
      <c r="Q821" s="7">
        <f t="shared" si="76"/>
        <v>9147.1546961325967</v>
      </c>
      <c r="R821">
        <f t="shared" si="77"/>
        <v>1.6851344300912023</v>
      </c>
    </row>
    <row r="822" spans="1:18" x14ac:dyDescent="0.25">
      <c r="A822" t="s">
        <v>497</v>
      </c>
      <c r="B822" t="s">
        <v>498</v>
      </c>
      <c r="C822" t="s">
        <v>5</v>
      </c>
      <c r="D822">
        <v>90703</v>
      </c>
      <c r="E822" s="1">
        <v>44104</v>
      </c>
      <c r="F822" s="2">
        <f t="shared" si="72"/>
        <v>2020</v>
      </c>
      <c r="G822">
        <v>180</v>
      </c>
      <c r="H822" s="3">
        <v>2256077</v>
      </c>
      <c r="I822">
        <v>181536</v>
      </c>
      <c r="J822">
        <v>2256077</v>
      </c>
      <c r="K822">
        <v>1980223</v>
      </c>
      <c r="L822">
        <v>1560534</v>
      </c>
      <c r="M822" t="str">
        <f t="shared" si="73"/>
        <v>Large</v>
      </c>
      <c r="N822">
        <f>VLOOKUP(C822,Lookup!$A$2:$D$5,MATCH(M822,Lookup!$A$1:$D$1,0),FALSE)</f>
        <v>0.08</v>
      </c>
      <c r="O822">
        <f t="shared" si="74"/>
        <v>124842.72</v>
      </c>
      <c r="P822" s="7">
        <f t="shared" si="75"/>
        <v>0.8777284640550832</v>
      </c>
      <c r="Q822" s="7">
        <f t="shared" si="76"/>
        <v>12533.761111111111</v>
      </c>
      <c r="R822">
        <f t="shared" si="77"/>
        <v>1.4541176289654696</v>
      </c>
    </row>
    <row r="823" spans="1:18" x14ac:dyDescent="0.25">
      <c r="A823" t="s">
        <v>499</v>
      </c>
      <c r="B823" t="s">
        <v>500</v>
      </c>
      <c r="C823" t="s">
        <v>5</v>
      </c>
      <c r="D823">
        <v>91801</v>
      </c>
      <c r="E823" s="1">
        <v>43738</v>
      </c>
      <c r="F823" s="2">
        <f t="shared" si="72"/>
        <v>2019</v>
      </c>
      <c r="G823">
        <v>92</v>
      </c>
      <c r="H823" s="3">
        <v>622172</v>
      </c>
      <c r="I823">
        <v>17894</v>
      </c>
      <c r="J823">
        <v>622172</v>
      </c>
      <c r="K823">
        <v>490409</v>
      </c>
      <c r="L823">
        <v>486470</v>
      </c>
      <c r="M823" t="str">
        <f t="shared" si="73"/>
        <v>Medium</v>
      </c>
      <c r="N823">
        <f>VLOOKUP(C823,Lookup!$A$2:$D$5,MATCH(M823,Lookup!$A$1:$D$1,0),FALSE)</f>
        <v>0.09</v>
      </c>
      <c r="O823">
        <f t="shared" si="74"/>
        <v>43782.299999999996</v>
      </c>
      <c r="P823" s="7">
        <f t="shared" si="75"/>
        <v>0.78822094211889959</v>
      </c>
      <c r="Q823" s="7">
        <f t="shared" si="76"/>
        <v>6762.739130434783</v>
      </c>
      <c r="R823">
        <f t="shared" si="77"/>
        <v>0.40870397398035285</v>
      </c>
    </row>
    <row r="824" spans="1:18" x14ac:dyDescent="0.25">
      <c r="A824" t="s">
        <v>499</v>
      </c>
      <c r="B824" t="s">
        <v>500</v>
      </c>
      <c r="C824" t="s">
        <v>5</v>
      </c>
      <c r="D824">
        <v>91801</v>
      </c>
      <c r="E824" s="1">
        <v>44104</v>
      </c>
      <c r="F824" s="2">
        <f t="shared" si="72"/>
        <v>2020</v>
      </c>
      <c r="G824">
        <v>91</v>
      </c>
      <c r="H824" s="3">
        <v>746448</v>
      </c>
      <c r="I824">
        <v>60816</v>
      </c>
      <c r="J824">
        <v>746448</v>
      </c>
      <c r="K824">
        <v>607865</v>
      </c>
      <c r="L824">
        <v>521153</v>
      </c>
      <c r="M824" t="str">
        <f t="shared" si="73"/>
        <v>Medium</v>
      </c>
      <c r="N824">
        <f>VLOOKUP(C824,Lookup!$A$2:$D$5,MATCH(M824,Lookup!$A$1:$D$1,0),FALSE)</f>
        <v>0.09</v>
      </c>
      <c r="O824">
        <f t="shared" si="74"/>
        <v>46903.77</v>
      </c>
      <c r="P824" s="7">
        <f t="shared" si="75"/>
        <v>0.81434339699483416</v>
      </c>
      <c r="Q824" s="7">
        <f t="shared" si="76"/>
        <v>8202.7252747252751</v>
      </c>
      <c r="R824">
        <f t="shared" si="77"/>
        <v>1.296612191301467</v>
      </c>
    </row>
    <row r="825" spans="1:18" x14ac:dyDescent="0.25">
      <c r="A825" t="s">
        <v>499</v>
      </c>
      <c r="B825" t="s">
        <v>500</v>
      </c>
      <c r="C825" t="s">
        <v>5</v>
      </c>
      <c r="D825">
        <v>91801</v>
      </c>
      <c r="E825" s="1">
        <v>44469</v>
      </c>
      <c r="F825" s="2">
        <f t="shared" si="72"/>
        <v>2021</v>
      </c>
      <c r="G825">
        <v>86</v>
      </c>
      <c r="H825" s="3">
        <v>802362</v>
      </c>
      <c r="I825">
        <v>30968</v>
      </c>
      <c r="J825">
        <v>802362</v>
      </c>
      <c r="K825">
        <v>656667</v>
      </c>
      <c r="L825">
        <v>592763</v>
      </c>
      <c r="M825" t="str">
        <f t="shared" si="73"/>
        <v>Medium</v>
      </c>
      <c r="N825">
        <f>VLOOKUP(C825,Lookup!$A$2:$D$5,MATCH(M825,Lookup!$A$1:$D$1,0),FALSE)</f>
        <v>0.09</v>
      </c>
      <c r="O825">
        <f t="shared" si="74"/>
        <v>53348.67</v>
      </c>
      <c r="P825" s="7">
        <f t="shared" si="75"/>
        <v>0.81841737270708237</v>
      </c>
      <c r="Q825" s="7">
        <f t="shared" si="76"/>
        <v>9329.790697674418</v>
      </c>
      <c r="R825">
        <f t="shared" si="77"/>
        <v>0.58048307483579253</v>
      </c>
    </row>
    <row r="826" spans="1:18" x14ac:dyDescent="0.25">
      <c r="A826" t="s">
        <v>501</v>
      </c>
      <c r="B826" t="s">
        <v>502</v>
      </c>
      <c r="C826" t="s">
        <v>8</v>
      </c>
      <c r="D826">
        <v>60401</v>
      </c>
      <c r="E826" s="1">
        <v>43738</v>
      </c>
      <c r="F826" s="2">
        <f t="shared" si="72"/>
        <v>2019</v>
      </c>
      <c r="G826">
        <v>31</v>
      </c>
      <c r="H826" s="3">
        <v>156244</v>
      </c>
      <c r="I826">
        <v>31036</v>
      </c>
      <c r="J826">
        <v>156244</v>
      </c>
      <c r="K826">
        <v>136774</v>
      </c>
      <c r="L826">
        <v>130452</v>
      </c>
      <c r="M826" t="str">
        <f t="shared" si="73"/>
        <v>Medium</v>
      </c>
      <c r="N826">
        <f>VLOOKUP(C826,Lookup!$A$2:$D$5,MATCH(M826,Lookup!$A$1:$D$1,0),FALSE)</f>
        <v>0.08</v>
      </c>
      <c r="O826">
        <f t="shared" si="74"/>
        <v>10436.16</v>
      </c>
      <c r="P826" s="7">
        <f t="shared" si="75"/>
        <v>0.87538721486905102</v>
      </c>
      <c r="Q826" s="7">
        <f t="shared" si="76"/>
        <v>5040.1290322580644</v>
      </c>
      <c r="R826">
        <f t="shared" si="77"/>
        <v>2.9738907797504064</v>
      </c>
    </row>
    <row r="827" spans="1:18" x14ac:dyDescent="0.25">
      <c r="A827" t="s">
        <v>501</v>
      </c>
      <c r="B827" t="s">
        <v>502</v>
      </c>
      <c r="C827" t="s">
        <v>8</v>
      </c>
      <c r="D827">
        <v>60401</v>
      </c>
      <c r="E827" s="1">
        <v>44104</v>
      </c>
      <c r="F827" s="2">
        <f t="shared" si="72"/>
        <v>2020</v>
      </c>
      <c r="G827">
        <v>28</v>
      </c>
      <c r="H827" s="3">
        <v>177024</v>
      </c>
      <c r="I827">
        <v>45187</v>
      </c>
      <c r="J827">
        <v>177024</v>
      </c>
      <c r="K827">
        <v>155853</v>
      </c>
      <c r="L827">
        <v>143540</v>
      </c>
      <c r="M827" t="str">
        <f t="shared" si="73"/>
        <v>Medium</v>
      </c>
      <c r="N827">
        <f>VLOOKUP(C827,Lookup!$A$2:$D$5,MATCH(M827,Lookup!$A$1:$D$1,0),FALSE)</f>
        <v>0.08</v>
      </c>
      <c r="O827">
        <f t="shared" si="74"/>
        <v>11483.2</v>
      </c>
      <c r="P827" s="7">
        <f t="shared" si="75"/>
        <v>0.88040604663774402</v>
      </c>
      <c r="Q827" s="7">
        <f t="shared" si="76"/>
        <v>6322.2857142857147</v>
      </c>
      <c r="R827">
        <f t="shared" si="77"/>
        <v>3.9350529469137521</v>
      </c>
    </row>
    <row r="828" spans="1:18" x14ac:dyDescent="0.25">
      <c r="A828" t="s">
        <v>501</v>
      </c>
      <c r="B828" t="s">
        <v>502</v>
      </c>
      <c r="C828" t="s">
        <v>8</v>
      </c>
      <c r="D828">
        <v>60401</v>
      </c>
      <c r="E828" s="1">
        <v>44469</v>
      </c>
      <c r="F828" s="2">
        <f t="shared" si="72"/>
        <v>2021</v>
      </c>
      <c r="G828">
        <v>28</v>
      </c>
      <c r="H828" s="3">
        <v>199773</v>
      </c>
      <c r="I828">
        <v>94928</v>
      </c>
      <c r="J828">
        <v>199773</v>
      </c>
      <c r="K828">
        <v>177571</v>
      </c>
      <c r="L828">
        <v>162887</v>
      </c>
      <c r="M828" t="str">
        <f t="shared" si="73"/>
        <v>Medium</v>
      </c>
      <c r="N828">
        <f>VLOOKUP(C828,Lookup!$A$2:$D$5,MATCH(M828,Lookup!$A$1:$D$1,0),FALSE)</f>
        <v>0.08</v>
      </c>
      <c r="O828">
        <f t="shared" si="74"/>
        <v>13030.960000000001</v>
      </c>
      <c r="P828" s="7">
        <f t="shared" si="75"/>
        <v>0.88886386048164667</v>
      </c>
      <c r="Q828" s="7">
        <f t="shared" si="76"/>
        <v>7134.75</v>
      </c>
      <c r="R828">
        <f t="shared" si="77"/>
        <v>7.2848048033299149</v>
      </c>
    </row>
    <row r="829" spans="1:18" x14ac:dyDescent="0.25">
      <c r="A829" t="s">
        <v>503</v>
      </c>
      <c r="B829" t="s">
        <v>123</v>
      </c>
      <c r="C829" t="s">
        <v>8</v>
      </c>
      <c r="D829">
        <v>62049</v>
      </c>
      <c r="E829" s="1">
        <v>43738</v>
      </c>
      <c r="F829" s="2">
        <f t="shared" si="72"/>
        <v>2019</v>
      </c>
      <c r="G829">
        <v>22</v>
      </c>
      <c r="H829" s="3">
        <v>112485</v>
      </c>
      <c r="I829">
        <v>11301</v>
      </c>
      <c r="J829">
        <v>112484</v>
      </c>
      <c r="K829">
        <v>102301</v>
      </c>
      <c r="L829">
        <v>97923</v>
      </c>
      <c r="M829" t="str">
        <f t="shared" si="73"/>
        <v>Medium</v>
      </c>
      <c r="N829">
        <f>VLOOKUP(C829,Lookup!$A$2:$D$5,MATCH(M829,Lookup!$A$1:$D$1,0),FALSE)</f>
        <v>0.08</v>
      </c>
      <c r="O829">
        <f t="shared" si="74"/>
        <v>7833.84</v>
      </c>
      <c r="P829" s="7">
        <f t="shared" si="75"/>
        <v>0.90946348402009158</v>
      </c>
      <c r="Q829" s="7">
        <f t="shared" si="76"/>
        <v>5112.954545454545</v>
      </c>
      <c r="R829">
        <f t="shared" si="77"/>
        <v>1.4425875432737967</v>
      </c>
    </row>
    <row r="830" spans="1:18" x14ac:dyDescent="0.25">
      <c r="A830" t="s">
        <v>503</v>
      </c>
      <c r="B830" t="s">
        <v>123</v>
      </c>
      <c r="C830" t="s">
        <v>8</v>
      </c>
      <c r="D830">
        <v>62049</v>
      </c>
      <c r="E830" s="1">
        <v>44104</v>
      </c>
      <c r="F830" s="2">
        <f t="shared" si="72"/>
        <v>2020</v>
      </c>
      <c r="G830">
        <v>22</v>
      </c>
      <c r="H830" s="3">
        <v>134383</v>
      </c>
      <c r="I830">
        <v>15465</v>
      </c>
      <c r="J830">
        <v>134382</v>
      </c>
      <c r="K830">
        <v>123223</v>
      </c>
      <c r="L830">
        <v>107918</v>
      </c>
      <c r="M830" t="str">
        <f t="shared" si="73"/>
        <v>Medium</v>
      </c>
      <c r="N830">
        <f>VLOOKUP(C830,Lookup!$A$2:$D$5,MATCH(M830,Lookup!$A$1:$D$1,0),FALSE)</f>
        <v>0.08</v>
      </c>
      <c r="O830">
        <f t="shared" si="74"/>
        <v>8633.44</v>
      </c>
      <c r="P830" s="7">
        <f t="shared" si="75"/>
        <v>0.9169537813562727</v>
      </c>
      <c r="Q830" s="7">
        <f t="shared" si="76"/>
        <v>6108.318181818182</v>
      </c>
      <c r="R830">
        <f t="shared" si="77"/>
        <v>1.7912906095368706</v>
      </c>
    </row>
    <row r="831" spans="1:18" x14ac:dyDescent="0.25">
      <c r="A831" t="s">
        <v>503</v>
      </c>
      <c r="B831" t="s">
        <v>123</v>
      </c>
      <c r="C831" t="s">
        <v>8</v>
      </c>
      <c r="D831">
        <v>62049</v>
      </c>
      <c r="E831" s="1">
        <v>44469</v>
      </c>
      <c r="F831" s="2">
        <f t="shared" si="72"/>
        <v>2021</v>
      </c>
      <c r="G831">
        <v>23</v>
      </c>
      <c r="H831" s="3">
        <v>144024</v>
      </c>
      <c r="I831">
        <v>7350</v>
      </c>
      <c r="J831">
        <v>144024</v>
      </c>
      <c r="K831">
        <v>132345</v>
      </c>
      <c r="L831">
        <v>118636</v>
      </c>
      <c r="M831" t="str">
        <f t="shared" si="73"/>
        <v>Medium</v>
      </c>
      <c r="N831">
        <f>VLOOKUP(C831,Lookup!$A$2:$D$5,MATCH(M831,Lookup!$A$1:$D$1,0),FALSE)</f>
        <v>0.08</v>
      </c>
      <c r="O831">
        <f t="shared" si="74"/>
        <v>9490.880000000001</v>
      </c>
      <c r="P831" s="7">
        <f t="shared" si="75"/>
        <v>0.9189093484419264</v>
      </c>
      <c r="Q831" s="7">
        <f t="shared" si="76"/>
        <v>6261.913043478261</v>
      </c>
      <c r="R831">
        <f t="shared" si="77"/>
        <v>0.7744276610809534</v>
      </c>
    </row>
    <row r="832" spans="1:18" x14ac:dyDescent="0.25">
      <c r="A832" t="s">
        <v>504</v>
      </c>
      <c r="B832" t="s">
        <v>505</v>
      </c>
      <c r="C832" t="s">
        <v>8</v>
      </c>
      <c r="D832">
        <v>61951</v>
      </c>
      <c r="E832" s="1">
        <v>43738</v>
      </c>
      <c r="F832" s="2">
        <f t="shared" si="72"/>
        <v>2019</v>
      </c>
      <c r="G832">
        <v>21</v>
      </c>
      <c r="H832" s="3">
        <v>90132</v>
      </c>
      <c r="I832">
        <v>25666</v>
      </c>
      <c r="J832">
        <v>90132</v>
      </c>
      <c r="K832">
        <v>80800</v>
      </c>
      <c r="L832">
        <v>80183</v>
      </c>
      <c r="M832" t="str">
        <f t="shared" si="73"/>
        <v>Small</v>
      </c>
      <c r="N832">
        <f>VLOOKUP(C832,Lookup!$A$2:$D$5,MATCH(M832,Lookup!$A$1:$D$1,0),FALSE)</f>
        <v>0.09</v>
      </c>
      <c r="O832">
        <f t="shared" si="74"/>
        <v>7216.4699999999993</v>
      </c>
      <c r="P832" s="7">
        <f t="shared" si="75"/>
        <v>0.89646296542848269</v>
      </c>
      <c r="Q832" s="7">
        <f t="shared" si="76"/>
        <v>4292</v>
      </c>
      <c r="R832">
        <f t="shared" si="77"/>
        <v>3.5565865305336271</v>
      </c>
    </row>
    <row r="833" spans="1:18" x14ac:dyDescent="0.25">
      <c r="A833" t="s">
        <v>504</v>
      </c>
      <c r="B833" t="s">
        <v>505</v>
      </c>
      <c r="C833" t="s">
        <v>8</v>
      </c>
      <c r="D833">
        <v>61951</v>
      </c>
      <c r="E833" s="1">
        <v>44104</v>
      </c>
      <c r="F833" s="2">
        <f t="shared" si="72"/>
        <v>2020</v>
      </c>
      <c r="G833">
        <v>22</v>
      </c>
      <c r="H833" s="3">
        <v>97811</v>
      </c>
      <c r="I833">
        <v>24827</v>
      </c>
      <c r="J833">
        <v>97810</v>
      </c>
      <c r="K833">
        <v>88046</v>
      </c>
      <c r="L833">
        <v>87438</v>
      </c>
      <c r="M833" t="str">
        <f t="shared" si="73"/>
        <v>Small</v>
      </c>
      <c r="N833">
        <f>VLOOKUP(C833,Lookup!$A$2:$D$5,MATCH(M833,Lookup!$A$1:$D$1,0),FALSE)</f>
        <v>0.09</v>
      </c>
      <c r="O833">
        <f t="shared" si="74"/>
        <v>7869.42</v>
      </c>
      <c r="P833" s="7">
        <f t="shared" si="75"/>
        <v>0.90016460316324343</v>
      </c>
      <c r="Q833" s="7">
        <f t="shared" si="76"/>
        <v>4445.954545454545</v>
      </c>
      <c r="R833">
        <f t="shared" si="77"/>
        <v>3.1548703716411119</v>
      </c>
    </row>
    <row r="834" spans="1:18" x14ac:dyDescent="0.25">
      <c r="A834" t="s">
        <v>504</v>
      </c>
      <c r="B834" t="s">
        <v>505</v>
      </c>
      <c r="C834" t="s">
        <v>8</v>
      </c>
      <c r="D834">
        <v>61951</v>
      </c>
      <c r="E834" s="1">
        <v>44469</v>
      </c>
      <c r="F834" s="2">
        <f t="shared" ref="F834:F897" si="78">YEAR(E834)</f>
        <v>2021</v>
      </c>
      <c r="G834">
        <v>22</v>
      </c>
      <c r="H834" s="3">
        <v>111624</v>
      </c>
      <c r="I834">
        <v>31047</v>
      </c>
      <c r="J834">
        <v>111624</v>
      </c>
      <c r="K834">
        <v>102344</v>
      </c>
      <c r="L834">
        <v>101724</v>
      </c>
      <c r="M834" t="str">
        <f t="shared" ref="M834:M897" si="79">IF(H834&gt;1000000,"Large",IF(H834&lt;100000,"Small","Medium"))</f>
        <v>Medium</v>
      </c>
      <c r="N834">
        <f>VLOOKUP(C834,Lookup!$A$2:$D$5,MATCH(M834,Lookup!$A$1:$D$1,0),FALSE)</f>
        <v>0.08</v>
      </c>
      <c r="O834">
        <f t="shared" ref="O834:O897" si="80">L834*N834</f>
        <v>8137.92</v>
      </c>
      <c r="P834" s="7">
        <f t="shared" ref="P834:P897" si="81">K834/H834</f>
        <v>0.91686375689815813</v>
      </c>
      <c r="Q834" s="7">
        <f t="shared" ref="Q834:Q897" si="82">H834/G834</f>
        <v>5073.818181818182</v>
      </c>
      <c r="R834">
        <f t="shared" ref="R834:R897" si="83">I834/O834</f>
        <v>3.8151026306476346</v>
      </c>
    </row>
    <row r="835" spans="1:18" x14ac:dyDescent="0.25">
      <c r="A835" t="s">
        <v>506</v>
      </c>
      <c r="B835" t="s">
        <v>507</v>
      </c>
      <c r="C835" t="s">
        <v>8</v>
      </c>
      <c r="D835">
        <v>62899</v>
      </c>
      <c r="E835" s="1">
        <v>43738</v>
      </c>
      <c r="F835" s="2">
        <f t="shared" si="78"/>
        <v>2019</v>
      </c>
      <c r="G835">
        <v>11</v>
      </c>
      <c r="H835" s="3">
        <v>41114</v>
      </c>
      <c r="I835">
        <v>4333</v>
      </c>
      <c r="J835">
        <v>41114</v>
      </c>
      <c r="K835">
        <v>35956</v>
      </c>
      <c r="L835">
        <v>31028</v>
      </c>
      <c r="M835" t="str">
        <f t="shared" si="79"/>
        <v>Small</v>
      </c>
      <c r="N835">
        <f>VLOOKUP(C835,Lookup!$A$2:$D$5,MATCH(M835,Lookup!$A$1:$D$1,0),FALSE)</f>
        <v>0.09</v>
      </c>
      <c r="O835">
        <f t="shared" si="80"/>
        <v>2792.52</v>
      </c>
      <c r="P835" s="7">
        <f t="shared" si="81"/>
        <v>0.87454395096560777</v>
      </c>
      <c r="Q835" s="7">
        <f t="shared" si="82"/>
        <v>3737.6363636363635</v>
      </c>
      <c r="R835">
        <f t="shared" si="83"/>
        <v>1.551645109077106</v>
      </c>
    </row>
    <row r="836" spans="1:18" x14ac:dyDescent="0.25">
      <c r="A836" t="s">
        <v>506</v>
      </c>
      <c r="B836" t="s">
        <v>507</v>
      </c>
      <c r="C836" t="s">
        <v>8</v>
      </c>
      <c r="D836">
        <v>62899</v>
      </c>
      <c r="E836" s="1">
        <v>44104</v>
      </c>
      <c r="F836" s="2">
        <f t="shared" si="78"/>
        <v>2020</v>
      </c>
      <c r="G836">
        <v>11</v>
      </c>
      <c r="H836" s="3">
        <v>48766</v>
      </c>
      <c r="I836">
        <v>4131</v>
      </c>
      <c r="J836">
        <v>48766</v>
      </c>
      <c r="K836">
        <v>43378</v>
      </c>
      <c r="L836">
        <v>38750</v>
      </c>
      <c r="M836" t="str">
        <f t="shared" si="79"/>
        <v>Small</v>
      </c>
      <c r="N836">
        <f>VLOOKUP(C836,Lookup!$A$2:$D$5,MATCH(M836,Lookup!$A$1:$D$1,0),FALSE)</f>
        <v>0.09</v>
      </c>
      <c r="O836">
        <f t="shared" si="80"/>
        <v>3487.5</v>
      </c>
      <c r="P836" s="7">
        <f t="shared" si="81"/>
        <v>0.88951318541606861</v>
      </c>
      <c r="Q836" s="7">
        <f t="shared" si="82"/>
        <v>4433.272727272727</v>
      </c>
      <c r="R836">
        <f t="shared" si="83"/>
        <v>1.1845161290322581</v>
      </c>
    </row>
    <row r="837" spans="1:18" x14ac:dyDescent="0.25">
      <c r="A837" t="s">
        <v>506</v>
      </c>
      <c r="B837" t="s">
        <v>507</v>
      </c>
      <c r="C837" t="s">
        <v>8</v>
      </c>
      <c r="D837">
        <v>62899</v>
      </c>
      <c r="E837" s="1">
        <v>44469</v>
      </c>
      <c r="F837" s="2">
        <f t="shared" si="78"/>
        <v>2021</v>
      </c>
      <c r="G837">
        <v>12</v>
      </c>
      <c r="H837" s="3">
        <v>51823</v>
      </c>
      <c r="I837">
        <v>6993</v>
      </c>
      <c r="J837">
        <v>51823</v>
      </c>
      <c r="K837">
        <v>46561</v>
      </c>
      <c r="L837">
        <v>42191</v>
      </c>
      <c r="M837" t="str">
        <f t="shared" si="79"/>
        <v>Small</v>
      </c>
      <c r="N837">
        <f>VLOOKUP(C837,Lookup!$A$2:$D$5,MATCH(M837,Lookup!$A$1:$D$1,0),FALSE)</f>
        <v>0.09</v>
      </c>
      <c r="O837">
        <f t="shared" si="80"/>
        <v>3797.19</v>
      </c>
      <c r="P837" s="7">
        <f t="shared" si="81"/>
        <v>0.8984620728248075</v>
      </c>
      <c r="Q837" s="7">
        <f t="shared" si="82"/>
        <v>4318.583333333333</v>
      </c>
      <c r="R837">
        <f t="shared" si="83"/>
        <v>1.8416249911118485</v>
      </c>
    </row>
    <row r="838" spans="1:18" x14ac:dyDescent="0.25">
      <c r="A838" t="s">
        <v>508</v>
      </c>
      <c r="B838" t="s">
        <v>47</v>
      </c>
      <c r="C838" t="s">
        <v>5</v>
      </c>
      <c r="D838">
        <v>90069</v>
      </c>
      <c r="E838" s="1">
        <v>43738</v>
      </c>
      <c r="F838" s="2">
        <f t="shared" si="78"/>
        <v>2019</v>
      </c>
      <c r="G838">
        <v>25</v>
      </c>
      <c r="H838" s="3">
        <v>454648</v>
      </c>
      <c r="I838">
        <v>68164</v>
      </c>
      <c r="J838">
        <v>454648</v>
      </c>
      <c r="K838">
        <v>249364</v>
      </c>
      <c r="L838">
        <v>240092</v>
      </c>
      <c r="M838" t="str">
        <f t="shared" si="79"/>
        <v>Medium</v>
      </c>
      <c r="N838">
        <f>VLOOKUP(C838,Lookup!$A$2:$D$5,MATCH(M838,Lookup!$A$1:$D$1,0),FALSE)</f>
        <v>0.09</v>
      </c>
      <c r="O838">
        <f t="shared" si="80"/>
        <v>21608.28</v>
      </c>
      <c r="P838" s="7">
        <f t="shared" si="81"/>
        <v>0.54847706357445758</v>
      </c>
      <c r="Q838" s="7">
        <f t="shared" si="82"/>
        <v>18185.919999999998</v>
      </c>
      <c r="R838">
        <f t="shared" si="83"/>
        <v>3.1545315036643364</v>
      </c>
    </row>
    <row r="839" spans="1:18" x14ac:dyDescent="0.25">
      <c r="A839" t="s">
        <v>508</v>
      </c>
      <c r="B839" t="s">
        <v>47</v>
      </c>
      <c r="C839" t="s">
        <v>5</v>
      </c>
      <c r="D839">
        <v>90069</v>
      </c>
      <c r="E839" s="1">
        <v>44104</v>
      </c>
      <c r="F839" s="2">
        <f t="shared" si="78"/>
        <v>2020</v>
      </c>
      <c r="G839">
        <v>25</v>
      </c>
      <c r="H839" s="3">
        <v>412451</v>
      </c>
      <c r="I839">
        <v>115709</v>
      </c>
      <c r="J839">
        <v>412451</v>
      </c>
      <c r="K839">
        <v>218438</v>
      </c>
      <c r="L839">
        <v>209887</v>
      </c>
      <c r="M839" t="str">
        <f t="shared" si="79"/>
        <v>Medium</v>
      </c>
      <c r="N839">
        <f>VLOOKUP(C839,Lookup!$A$2:$D$5,MATCH(M839,Lookup!$A$1:$D$1,0),FALSE)</f>
        <v>0.09</v>
      </c>
      <c r="O839">
        <f t="shared" si="80"/>
        <v>18889.829999999998</v>
      </c>
      <c r="P839" s="7">
        <f t="shared" si="81"/>
        <v>0.52960957786500695</v>
      </c>
      <c r="Q839" s="7">
        <f t="shared" si="82"/>
        <v>16498.04</v>
      </c>
      <c r="R839">
        <f t="shared" si="83"/>
        <v>6.1254653959299796</v>
      </c>
    </row>
    <row r="840" spans="1:18" x14ac:dyDescent="0.25">
      <c r="A840" t="s">
        <v>508</v>
      </c>
      <c r="B840" t="s">
        <v>47</v>
      </c>
      <c r="C840" t="s">
        <v>5</v>
      </c>
      <c r="D840">
        <v>90069</v>
      </c>
      <c r="E840" s="1">
        <v>44469</v>
      </c>
      <c r="F840" s="2">
        <f t="shared" si="78"/>
        <v>2021</v>
      </c>
      <c r="G840">
        <v>25</v>
      </c>
      <c r="H840" s="3">
        <v>444196</v>
      </c>
      <c r="I840">
        <v>88043</v>
      </c>
      <c r="J840">
        <v>444196</v>
      </c>
      <c r="K840">
        <v>240644</v>
      </c>
      <c r="L840">
        <v>233315</v>
      </c>
      <c r="M840" t="str">
        <f t="shared" si="79"/>
        <v>Medium</v>
      </c>
      <c r="N840">
        <f>VLOOKUP(C840,Lookup!$A$2:$D$5,MATCH(M840,Lookup!$A$1:$D$1,0),FALSE)</f>
        <v>0.09</v>
      </c>
      <c r="O840">
        <f t="shared" si="80"/>
        <v>20998.35</v>
      </c>
      <c r="P840" s="7">
        <f t="shared" si="81"/>
        <v>0.54175183927815651</v>
      </c>
      <c r="Q840" s="7">
        <f t="shared" si="82"/>
        <v>17767.84</v>
      </c>
      <c r="R840">
        <f t="shared" si="83"/>
        <v>4.1928532479932947</v>
      </c>
    </row>
    <row r="841" spans="1:18" x14ac:dyDescent="0.25">
      <c r="A841" t="s">
        <v>509</v>
      </c>
      <c r="B841" t="s">
        <v>28</v>
      </c>
      <c r="C841" t="s">
        <v>8</v>
      </c>
      <c r="D841">
        <v>60607</v>
      </c>
      <c r="E841" s="1">
        <v>43738</v>
      </c>
      <c r="F841" s="2">
        <f t="shared" si="78"/>
        <v>2019</v>
      </c>
      <c r="G841">
        <v>42</v>
      </c>
      <c r="H841" s="3">
        <v>528748</v>
      </c>
      <c r="I841">
        <v>5151</v>
      </c>
      <c r="J841">
        <v>528748</v>
      </c>
      <c r="K841">
        <v>435782</v>
      </c>
      <c r="L841">
        <v>419300</v>
      </c>
      <c r="M841" t="str">
        <f t="shared" si="79"/>
        <v>Medium</v>
      </c>
      <c r="N841">
        <f>VLOOKUP(C841,Lookup!$A$2:$D$5,MATCH(M841,Lookup!$A$1:$D$1,0),FALSE)</f>
        <v>0.08</v>
      </c>
      <c r="O841">
        <f t="shared" si="80"/>
        <v>33544</v>
      </c>
      <c r="P841" s="7">
        <f t="shared" si="81"/>
        <v>0.82417711272666749</v>
      </c>
      <c r="Q841" s="7">
        <f t="shared" si="82"/>
        <v>12589.238095238095</v>
      </c>
      <c r="R841">
        <f t="shared" si="83"/>
        <v>0.15355950393512999</v>
      </c>
    </row>
    <row r="842" spans="1:18" x14ac:dyDescent="0.25">
      <c r="A842" t="s">
        <v>509</v>
      </c>
      <c r="B842" t="s">
        <v>28</v>
      </c>
      <c r="C842" t="s">
        <v>8</v>
      </c>
      <c r="D842">
        <v>60607</v>
      </c>
      <c r="E842" s="1">
        <v>44104</v>
      </c>
      <c r="F842" s="2">
        <f t="shared" si="78"/>
        <v>2020</v>
      </c>
      <c r="G842">
        <v>43</v>
      </c>
      <c r="H842" s="3">
        <v>559825</v>
      </c>
      <c r="I842">
        <v>5200</v>
      </c>
      <c r="J842">
        <v>559825</v>
      </c>
      <c r="K842">
        <v>454984</v>
      </c>
      <c r="L842">
        <v>431093</v>
      </c>
      <c r="M842" t="str">
        <f t="shared" si="79"/>
        <v>Medium</v>
      </c>
      <c r="N842">
        <f>VLOOKUP(C842,Lookup!$A$2:$D$5,MATCH(M842,Lookup!$A$1:$D$1,0),FALSE)</f>
        <v>0.08</v>
      </c>
      <c r="O842">
        <f t="shared" si="80"/>
        <v>34487.440000000002</v>
      </c>
      <c r="P842" s="7">
        <f t="shared" si="81"/>
        <v>0.81272540526057246</v>
      </c>
      <c r="Q842" s="7">
        <f t="shared" si="82"/>
        <v>13019.186046511628</v>
      </c>
      <c r="R842">
        <f t="shared" si="83"/>
        <v>0.15077953017098397</v>
      </c>
    </row>
    <row r="843" spans="1:18" x14ac:dyDescent="0.25">
      <c r="A843" t="s">
        <v>509</v>
      </c>
      <c r="B843" t="s">
        <v>28</v>
      </c>
      <c r="C843" t="s">
        <v>8</v>
      </c>
      <c r="D843">
        <v>60607</v>
      </c>
      <c r="E843" s="1">
        <v>44469</v>
      </c>
      <c r="F843" s="2">
        <f t="shared" si="78"/>
        <v>2021</v>
      </c>
      <c r="G843">
        <v>45</v>
      </c>
      <c r="H843" s="3">
        <v>623362</v>
      </c>
      <c r="I843">
        <v>33162</v>
      </c>
      <c r="J843">
        <v>623362</v>
      </c>
      <c r="K843">
        <v>508989</v>
      </c>
      <c r="L843">
        <v>466253</v>
      </c>
      <c r="M843" t="str">
        <f t="shared" si="79"/>
        <v>Medium</v>
      </c>
      <c r="N843">
        <f>VLOOKUP(C843,Lookup!$A$2:$D$5,MATCH(M843,Lookup!$A$1:$D$1,0),FALSE)</f>
        <v>0.08</v>
      </c>
      <c r="O843">
        <f t="shared" si="80"/>
        <v>37300.239999999998</v>
      </c>
      <c r="P843" s="7">
        <f t="shared" si="81"/>
        <v>0.81652234175326699</v>
      </c>
      <c r="Q843" s="7">
        <f t="shared" si="82"/>
        <v>13852.488888888889</v>
      </c>
      <c r="R843">
        <f t="shared" si="83"/>
        <v>0.88905594173120606</v>
      </c>
    </row>
    <row r="844" spans="1:18" x14ac:dyDescent="0.25">
      <c r="A844" t="s">
        <v>510</v>
      </c>
      <c r="B844" t="s">
        <v>511</v>
      </c>
      <c r="C844" t="s">
        <v>8</v>
      </c>
      <c r="D844">
        <v>61759</v>
      </c>
      <c r="E844" s="1">
        <v>43738</v>
      </c>
      <c r="F844" s="2">
        <f t="shared" si="78"/>
        <v>2019</v>
      </c>
      <c r="G844">
        <v>33</v>
      </c>
      <c r="H844" s="3">
        <v>172135</v>
      </c>
      <c r="I844">
        <v>3461</v>
      </c>
      <c r="J844">
        <v>172135</v>
      </c>
      <c r="K844">
        <v>150178</v>
      </c>
      <c r="L844">
        <v>143416</v>
      </c>
      <c r="M844" t="str">
        <f t="shared" si="79"/>
        <v>Medium</v>
      </c>
      <c r="N844">
        <f>VLOOKUP(C844,Lookup!$A$2:$D$5,MATCH(M844,Lookup!$A$1:$D$1,0),FALSE)</f>
        <v>0.08</v>
      </c>
      <c r="O844">
        <f t="shared" si="80"/>
        <v>11473.28</v>
      </c>
      <c r="P844" s="7">
        <f t="shared" si="81"/>
        <v>0.87244314055828276</v>
      </c>
      <c r="Q844" s="7">
        <f t="shared" si="82"/>
        <v>5216.212121212121</v>
      </c>
      <c r="R844">
        <f t="shared" si="83"/>
        <v>0.30165741618787301</v>
      </c>
    </row>
    <row r="845" spans="1:18" x14ac:dyDescent="0.25">
      <c r="A845" t="s">
        <v>510</v>
      </c>
      <c r="B845" t="s">
        <v>511</v>
      </c>
      <c r="C845" t="s">
        <v>8</v>
      </c>
      <c r="D845">
        <v>61759</v>
      </c>
      <c r="E845" s="1">
        <v>44104</v>
      </c>
      <c r="F845" s="2">
        <f t="shared" si="78"/>
        <v>2020</v>
      </c>
      <c r="G845">
        <v>32</v>
      </c>
      <c r="H845" s="3">
        <v>196820</v>
      </c>
      <c r="I845">
        <v>13878</v>
      </c>
      <c r="J845">
        <v>196820</v>
      </c>
      <c r="K845">
        <v>172883</v>
      </c>
      <c r="L845">
        <v>161934</v>
      </c>
      <c r="M845" t="str">
        <f t="shared" si="79"/>
        <v>Medium</v>
      </c>
      <c r="N845">
        <f>VLOOKUP(C845,Lookup!$A$2:$D$5,MATCH(M845,Lookup!$A$1:$D$1,0),FALSE)</f>
        <v>0.08</v>
      </c>
      <c r="O845">
        <f t="shared" si="80"/>
        <v>12954.720000000001</v>
      </c>
      <c r="P845" s="7">
        <f t="shared" si="81"/>
        <v>0.87838126206686318</v>
      </c>
      <c r="Q845" s="7">
        <f t="shared" si="82"/>
        <v>6150.625</v>
      </c>
      <c r="R845">
        <f t="shared" si="83"/>
        <v>1.0712697765756418</v>
      </c>
    </row>
    <row r="846" spans="1:18" x14ac:dyDescent="0.25">
      <c r="A846" t="s">
        <v>512</v>
      </c>
      <c r="B846" t="s">
        <v>513</v>
      </c>
      <c r="C846" t="s">
        <v>8</v>
      </c>
      <c r="D846">
        <v>62565</v>
      </c>
      <c r="E846" s="1">
        <v>43738</v>
      </c>
      <c r="F846" s="2">
        <f t="shared" si="78"/>
        <v>2019</v>
      </c>
      <c r="G846">
        <v>31</v>
      </c>
      <c r="H846" s="3">
        <v>128471</v>
      </c>
      <c r="I846">
        <v>6375</v>
      </c>
      <c r="J846">
        <v>128472</v>
      </c>
      <c r="K846">
        <v>112953</v>
      </c>
      <c r="L846">
        <v>111809</v>
      </c>
      <c r="M846" t="str">
        <f t="shared" si="79"/>
        <v>Medium</v>
      </c>
      <c r="N846">
        <f>VLOOKUP(C846,Lookup!$A$2:$D$5,MATCH(M846,Lookup!$A$1:$D$1,0),FALSE)</f>
        <v>0.08</v>
      </c>
      <c r="O846">
        <f t="shared" si="80"/>
        <v>8944.7199999999993</v>
      </c>
      <c r="P846" s="7">
        <f t="shared" si="81"/>
        <v>0.87921009410684126</v>
      </c>
      <c r="Q846" s="7">
        <f t="shared" si="82"/>
        <v>4144.2258064516127</v>
      </c>
      <c r="R846">
        <f t="shared" si="83"/>
        <v>0.71271096244488374</v>
      </c>
    </row>
    <row r="847" spans="1:18" x14ac:dyDescent="0.25">
      <c r="A847" t="s">
        <v>512</v>
      </c>
      <c r="B847" t="s">
        <v>513</v>
      </c>
      <c r="C847" t="s">
        <v>8</v>
      </c>
      <c r="D847">
        <v>62565</v>
      </c>
      <c r="E847" s="1">
        <v>44104</v>
      </c>
      <c r="F847" s="2">
        <f t="shared" si="78"/>
        <v>2020</v>
      </c>
      <c r="G847">
        <v>34</v>
      </c>
      <c r="H847" s="3">
        <v>148580</v>
      </c>
      <c r="I847">
        <v>11014</v>
      </c>
      <c r="J847">
        <v>148579</v>
      </c>
      <c r="K847">
        <v>131008</v>
      </c>
      <c r="L847">
        <v>125578</v>
      </c>
      <c r="M847" t="str">
        <f t="shared" si="79"/>
        <v>Medium</v>
      </c>
      <c r="N847">
        <f>VLOOKUP(C847,Lookup!$A$2:$D$5,MATCH(M847,Lookup!$A$1:$D$1,0),FALSE)</f>
        <v>0.08</v>
      </c>
      <c r="O847">
        <f t="shared" si="80"/>
        <v>10046.24</v>
      </c>
      <c r="P847" s="7">
        <f t="shared" si="81"/>
        <v>0.88173374613003097</v>
      </c>
      <c r="Q847" s="7">
        <f t="shared" si="82"/>
        <v>4370</v>
      </c>
      <c r="R847">
        <f t="shared" si="83"/>
        <v>1.096330567456083</v>
      </c>
    </row>
    <row r="848" spans="1:18" x14ac:dyDescent="0.25">
      <c r="A848" t="s">
        <v>512</v>
      </c>
      <c r="B848" t="s">
        <v>513</v>
      </c>
      <c r="C848" t="s">
        <v>8</v>
      </c>
      <c r="D848">
        <v>62565</v>
      </c>
      <c r="E848" s="1">
        <v>44469</v>
      </c>
      <c r="F848" s="2">
        <f t="shared" si="78"/>
        <v>2021</v>
      </c>
      <c r="G848">
        <v>33</v>
      </c>
      <c r="H848" s="3">
        <v>172378</v>
      </c>
      <c r="I848">
        <v>18521</v>
      </c>
      <c r="J848">
        <v>172378</v>
      </c>
      <c r="K848">
        <v>153302</v>
      </c>
      <c r="L848">
        <v>152143</v>
      </c>
      <c r="M848" t="str">
        <f t="shared" si="79"/>
        <v>Medium</v>
      </c>
      <c r="N848">
        <f>VLOOKUP(C848,Lookup!$A$2:$D$5,MATCH(M848,Lookup!$A$1:$D$1,0),FALSE)</f>
        <v>0.08</v>
      </c>
      <c r="O848">
        <f t="shared" si="80"/>
        <v>12171.44</v>
      </c>
      <c r="P848" s="7">
        <f t="shared" si="81"/>
        <v>0.88933622620055919</v>
      </c>
      <c r="Q848" s="7">
        <f t="shared" si="82"/>
        <v>5223.575757575758</v>
      </c>
      <c r="R848">
        <f t="shared" si="83"/>
        <v>1.5216769749511971</v>
      </c>
    </row>
    <row r="849" spans="1:18" x14ac:dyDescent="0.25">
      <c r="A849" t="s">
        <v>514</v>
      </c>
      <c r="B849" t="s">
        <v>515</v>
      </c>
      <c r="C849" t="s">
        <v>5</v>
      </c>
      <c r="D849">
        <v>94901</v>
      </c>
      <c r="E849" s="1">
        <v>43738</v>
      </c>
      <c r="F849" s="2">
        <f t="shared" si="78"/>
        <v>2019</v>
      </c>
      <c r="G849">
        <v>36</v>
      </c>
      <c r="H849" s="3">
        <v>205936</v>
      </c>
      <c r="I849">
        <v>6154</v>
      </c>
      <c r="J849">
        <v>205936</v>
      </c>
      <c r="K849">
        <v>165056</v>
      </c>
      <c r="L849">
        <v>151343</v>
      </c>
      <c r="M849" t="str">
        <f t="shared" si="79"/>
        <v>Medium</v>
      </c>
      <c r="N849">
        <f>VLOOKUP(C849,Lookup!$A$2:$D$5,MATCH(M849,Lookup!$A$1:$D$1,0),FALSE)</f>
        <v>0.09</v>
      </c>
      <c r="O849">
        <f t="shared" si="80"/>
        <v>13620.869999999999</v>
      </c>
      <c r="P849" s="7">
        <f t="shared" si="81"/>
        <v>0.80149172558464765</v>
      </c>
      <c r="Q849" s="7">
        <f t="shared" si="82"/>
        <v>5720.4444444444443</v>
      </c>
      <c r="R849">
        <f t="shared" si="83"/>
        <v>0.45180667607869396</v>
      </c>
    </row>
    <row r="850" spans="1:18" x14ac:dyDescent="0.25">
      <c r="A850" t="s">
        <v>514</v>
      </c>
      <c r="B850" t="s">
        <v>515</v>
      </c>
      <c r="C850" t="s">
        <v>5</v>
      </c>
      <c r="D850">
        <v>94901</v>
      </c>
      <c r="E850" s="1">
        <v>44104</v>
      </c>
      <c r="F850" s="2">
        <f t="shared" si="78"/>
        <v>2020</v>
      </c>
      <c r="G850">
        <v>34</v>
      </c>
      <c r="H850" s="3">
        <v>222382</v>
      </c>
      <c r="I850">
        <v>30945</v>
      </c>
      <c r="J850">
        <v>222382</v>
      </c>
      <c r="K850">
        <v>180781</v>
      </c>
      <c r="L850">
        <v>160981</v>
      </c>
      <c r="M850" t="str">
        <f t="shared" si="79"/>
        <v>Medium</v>
      </c>
      <c r="N850">
        <f>VLOOKUP(C850,Lookup!$A$2:$D$5,MATCH(M850,Lookup!$A$1:$D$1,0),FALSE)</f>
        <v>0.09</v>
      </c>
      <c r="O850">
        <f t="shared" si="80"/>
        <v>14488.289999999999</v>
      </c>
      <c r="P850" s="7">
        <f t="shared" si="81"/>
        <v>0.81293000332760745</v>
      </c>
      <c r="Q850" s="7">
        <f t="shared" si="82"/>
        <v>6540.6470588235297</v>
      </c>
      <c r="R850">
        <f t="shared" si="83"/>
        <v>2.1358628243912845</v>
      </c>
    </row>
    <row r="851" spans="1:18" x14ac:dyDescent="0.25">
      <c r="A851" t="s">
        <v>514</v>
      </c>
      <c r="B851" t="s">
        <v>515</v>
      </c>
      <c r="C851" t="s">
        <v>5</v>
      </c>
      <c r="D851">
        <v>94901</v>
      </c>
      <c r="E851" s="1">
        <v>44469</v>
      </c>
      <c r="F851" s="2">
        <f t="shared" si="78"/>
        <v>2021</v>
      </c>
      <c r="G851">
        <v>34</v>
      </c>
      <c r="H851" s="3">
        <v>240910</v>
      </c>
      <c r="I851">
        <v>41615</v>
      </c>
      <c r="J851">
        <v>240910</v>
      </c>
      <c r="K851">
        <v>198513</v>
      </c>
      <c r="L851">
        <v>197471</v>
      </c>
      <c r="M851" t="str">
        <f t="shared" si="79"/>
        <v>Medium</v>
      </c>
      <c r="N851">
        <f>VLOOKUP(C851,Lookup!$A$2:$D$5,MATCH(M851,Lookup!$A$1:$D$1,0),FALSE)</f>
        <v>0.09</v>
      </c>
      <c r="O851">
        <f t="shared" si="80"/>
        <v>17772.39</v>
      </c>
      <c r="P851" s="7">
        <f t="shared" si="81"/>
        <v>0.82401311693163426</v>
      </c>
      <c r="Q851" s="7">
        <f t="shared" si="82"/>
        <v>7085.588235294118</v>
      </c>
      <c r="R851">
        <f t="shared" si="83"/>
        <v>2.3415533870233549</v>
      </c>
    </row>
    <row r="852" spans="1:18" x14ac:dyDescent="0.25">
      <c r="A852" t="s">
        <v>516</v>
      </c>
      <c r="B852" t="s">
        <v>517</v>
      </c>
      <c r="C852" t="s">
        <v>8</v>
      </c>
      <c r="D852">
        <v>61350</v>
      </c>
      <c r="E852" s="1">
        <v>43738</v>
      </c>
      <c r="F852" s="2">
        <f t="shared" si="78"/>
        <v>2019</v>
      </c>
      <c r="G852">
        <v>107</v>
      </c>
      <c r="H852" s="3">
        <v>364070</v>
      </c>
      <c r="I852">
        <v>72917</v>
      </c>
      <c r="J852">
        <v>364070</v>
      </c>
      <c r="K852">
        <v>320889</v>
      </c>
      <c r="L852">
        <v>315943</v>
      </c>
      <c r="M852" t="str">
        <f t="shared" si="79"/>
        <v>Medium</v>
      </c>
      <c r="N852">
        <f>VLOOKUP(C852,Lookup!$A$2:$D$5,MATCH(M852,Lookup!$A$1:$D$1,0),FALSE)</f>
        <v>0.08</v>
      </c>
      <c r="O852">
        <f t="shared" si="80"/>
        <v>25275.440000000002</v>
      </c>
      <c r="P852" s="7">
        <f t="shared" si="81"/>
        <v>0.88139368802702778</v>
      </c>
      <c r="Q852" s="7">
        <f t="shared" si="82"/>
        <v>3402.5233644859813</v>
      </c>
      <c r="R852">
        <f t="shared" si="83"/>
        <v>2.884895376697695</v>
      </c>
    </row>
    <row r="853" spans="1:18" x14ac:dyDescent="0.25">
      <c r="A853" t="s">
        <v>516</v>
      </c>
      <c r="B853" t="s">
        <v>517</v>
      </c>
      <c r="C853" t="s">
        <v>8</v>
      </c>
      <c r="D853">
        <v>61350</v>
      </c>
      <c r="E853" s="1">
        <v>44104</v>
      </c>
      <c r="F853" s="2">
        <f t="shared" si="78"/>
        <v>2020</v>
      </c>
      <c r="G853">
        <v>104</v>
      </c>
      <c r="H853" s="3">
        <v>375078</v>
      </c>
      <c r="I853">
        <v>125099</v>
      </c>
      <c r="J853">
        <v>375078</v>
      </c>
      <c r="K853">
        <v>331406</v>
      </c>
      <c r="L853">
        <v>322390</v>
      </c>
      <c r="M853" t="str">
        <f t="shared" si="79"/>
        <v>Medium</v>
      </c>
      <c r="N853">
        <f>VLOOKUP(C853,Lookup!$A$2:$D$5,MATCH(M853,Lookup!$A$1:$D$1,0),FALSE)</f>
        <v>0.08</v>
      </c>
      <c r="O853">
        <f t="shared" si="80"/>
        <v>25791.200000000001</v>
      </c>
      <c r="P853" s="7">
        <f t="shared" si="81"/>
        <v>0.88356555169857998</v>
      </c>
      <c r="Q853" s="7">
        <f t="shared" si="82"/>
        <v>3606.5192307692309</v>
      </c>
      <c r="R853">
        <f t="shared" si="83"/>
        <v>4.850452867644778</v>
      </c>
    </row>
    <row r="854" spans="1:18" x14ac:dyDescent="0.25">
      <c r="A854" t="s">
        <v>516</v>
      </c>
      <c r="B854" t="s">
        <v>517</v>
      </c>
      <c r="C854" t="s">
        <v>8</v>
      </c>
      <c r="D854">
        <v>61350</v>
      </c>
      <c r="E854" s="1">
        <v>44469</v>
      </c>
      <c r="F854" s="2">
        <f t="shared" si="78"/>
        <v>2021</v>
      </c>
      <c r="G854">
        <v>108</v>
      </c>
      <c r="H854" s="3">
        <v>368644</v>
      </c>
      <c r="I854">
        <v>100941</v>
      </c>
      <c r="J854">
        <v>368644</v>
      </c>
      <c r="K854">
        <v>323399</v>
      </c>
      <c r="L854">
        <v>313837</v>
      </c>
      <c r="M854" t="str">
        <f t="shared" si="79"/>
        <v>Medium</v>
      </c>
      <c r="N854">
        <f>VLOOKUP(C854,Lookup!$A$2:$D$5,MATCH(M854,Lookup!$A$1:$D$1,0),FALSE)</f>
        <v>0.08</v>
      </c>
      <c r="O854">
        <f t="shared" si="80"/>
        <v>25106.959999999999</v>
      </c>
      <c r="P854" s="7">
        <f t="shared" si="81"/>
        <v>0.87726641420991525</v>
      </c>
      <c r="Q854" s="7">
        <f t="shared" si="82"/>
        <v>3413.3703703703704</v>
      </c>
      <c r="R854">
        <f t="shared" si="83"/>
        <v>4.0204389539792951</v>
      </c>
    </row>
    <row r="855" spans="1:18" x14ac:dyDescent="0.25">
      <c r="A855" t="s">
        <v>518</v>
      </c>
      <c r="B855" t="s">
        <v>163</v>
      </c>
      <c r="C855" t="s">
        <v>8</v>
      </c>
      <c r="D855">
        <v>61820</v>
      </c>
      <c r="E855" s="1">
        <v>43738</v>
      </c>
      <c r="F855" s="2">
        <f t="shared" si="78"/>
        <v>2019</v>
      </c>
      <c r="G855">
        <v>59</v>
      </c>
      <c r="H855" s="3">
        <v>167658</v>
      </c>
      <c r="I855">
        <v>63843</v>
      </c>
      <c r="J855">
        <v>167658</v>
      </c>
      <c r="K855">
        <v>149971</v>
      </c>
      <c r="L855">
        <v>146910</v>
      </c>
      <c r="M855" t="str">
        <f t="shared" si="79"/>
        <v>Medium</v>
      </c>
      <c r="N855">
        <f>VLOOKUP(C855,Lookup!$A$2:$D$5,MATCH(M855,Lookup!$A$1:$D$1,0),FALSE)</f>
        <v>0.08</v>
      </c>
      <c r="O855">
        <f t="shared" si="80"/>
        <v>11752.800000000001</v>
      </c>
      <c r="P855" s="7">
        <f t="shared" si="81"/>
        <v>0.89450548139665276</v>
      </c>
      <c r="Q855" s="7">
        <f t="shared" si="82"/>
        <v>2841.6610169491523</v>
      </c>
      <c r="R855">
        <f t="shared" si="83"/>
        <v>5.4321523381662233</v>
      </c>
    </row>
    <row r="856" spans="1:18" x14ac:dyDescent="0.25">
      <c r="A856" t="s">
        <v>518</v>
      </c>
      <c r="B856" t="s">
        <v>163</v>
      </c>
      <c r="C856" t="s">
        <v>8</v>
      </c>
      <c r="D856">
        <v>61820</v>
      </c>
      <c r="E856" s="1">
        <v>44104</v>
      </c>
      <c r="F856" s="2">
        <f t="shared" si="78"/>
        <v>2020</v>
      </c>
      <c r="G856">
        <v>54</v>
      </c>
      <c r="H856" s="3">
        <v>198994</v>
      </c>
      <c r="I856">
        <v>96888</v>
      </c>
      <c r="J856">
        <v>198994</v>
      </c>
      <c r="K856">
        <v>180295</v>
      </c>
      <c r="L856">
        <v>172992</v>
      </c>
      <c r="M856" t="str">
        <f t="shared" si="79"/>
        <v>Medium</v>
      </c>
      <c r="N856">
        <f>VLOOKUP(C856,Lookup!$A$2:$D$5,MATCH(M856,Lookup!$A$1:$D$1,0),FALSE)</f>
        <v>0.08</v>
      </c>
      <c r="O856">
        <f t="shared" si="80"/>
        <v>13839.36</v>
      </c>
      <c r="P856" s="7">
        <f t="shared" si="81"/>
        <v>0.90603234268369903</v>
      </c>
      <c r="Q856" s="7">
        <f t="shared" si="82"/>
        <v>3685.0740740740739</v>
      </c>
      <c r="R856">
        <f t="shared" si="83"/>
        <v>7.0009017758046612</v>
      </c>
    </row>
    <row r="857" spans="1:18" x14ac:dyDescent="0.25">
      <c r="A857" t="s">
        <v>518</v>
      </c>
      <c r="B857" t="s">
        <v>163</v>
      </c>
      <c r="C857" t="s">
        <v>8</v>
      </c>
      <c r="D857">
        <v>61820</v>
      </c>
      <c r="E857" s="1">
        <v>44469</v>
      </c>
      <c r="F857" s="2">
        <f t="shared" si="78"/>
        <v>2021</v>
      </c>
      <c r="G857">
        <v>53</v>
      </c>
      <c r="H857" s="3">
        <v>210212</v>
      </c>
      <c r="I857">
        <v>114814</v>
      </c>
      <c r="J857">
        <v>210212</v>
      </c>
      <c r="K857">
        <v>192164</v>
      </c>
      <c r="L857">
        <v>188412</v>
      </c>
      <c r="M857" t="str">
        <f t="shared" si="79"/>
        <v>Medium</v>
      </c>
      <c r="N857">
        <f>VLOOKUP(C857,Lookup!$A$2:$D$5,MATCH(M857,Lookup!$A$1:$D$1,0),FALSE)</f>
        <v>0.08</v>
      </c>
      <c r="O857">
        <f t="shared" si="80"/>
        <v>15072.960000000001</v>
      </c>
      <c r="P857" s="7">
        <f t="shared" si="81"/>
        <v>0.91414381671836054</v>
      </c>
      <c r="Q857" s="7">
        <f t="shared" si="82"/>
        <v>3966.2641509433961</v>
      </c>
      <c r="R857">
        <f t="shared" si="83"/>
        <v>7.6172165254866986</v>
      </c>
    </row>
    <row r="858" spans="1:18" x14ac:dyDescent="0.25">
      <c r="A858" t="s">
        <v>519</v>
      </c>
      <c r="B858" t="s">
        <v>520</v>
      </c>
      <c r="C858" t="s">
        <v>17</v>
      </c>
      <c r="D858">
        <v>10940</v>
      </c>
      <c r="E858" s="1">
        <v>43738</v>
      </c>
      <c r="F858" s="2">
        <f t="shared" si="78"/>
        <v>2019</v>
      </c>
      <c r="G858">
        <v>12</v>
      </c>
      <c r="H858" s="3">
        <v>148169</v>
      </c>
      <c r="I858">
        <v>51969</v>
      </c>
      <c r="J858">
        <v>148169</v>
      </c>
      <c r="K858">
        <v>93423</v>
      </c>
      <c r="L858">
        <v>86006</v>
      </c>
      <c r="M858" t="str">
        <f t="shared" si="79"/>
        <v>Medium</v>
      </c>
      <c r="N858">
        <f>VLOOKUP(C858,Lookup!$A$2:$D$5,MATCH(M858,Lookup!$A$1:$D$1,0),FALSE)</f>
        <v>8.5000000000000006E-2</v>
      </c>
      <c r="O858">
        <f t="shared" si="80"/>
        <v>7310.51</v>
      </c>
      <c r="P858" s="7">
        <f t="shared" si="81"/>
        <v>0.6305165048019491</v>
      </c>
      <c r="Q858" s="7">
        <f t="shared" si="82"/>
        <v>12347.416666666666</v>
      </c>
      <c r="R858">
        <f t="shared" si="83"/>
        <v>7.1088063623468125</v>
      </c>
    </row>
    <row r="859" spans="1:18" x14ac:dyDescent="0.25">
      <c r="A859" t="s">
        <v>519</v>
      </c>
      <c r="B859" t="s">
        <v>520</v>
      </c>
      <c r="C859" t="s">
        <v>17</v>
      </c>
      <c r="D859">
        <v>10940</v>
      </c>
      <c r="E859" s="1">
        <v>44104</v>
      </c>
      <c r="F859" s="2">
        <f t="shared" si="78"/>
        <v>2020</v>
      </c>
      <c r="G859">
        <v>12</v>
      </c>
      <c r="H859" s="3">
        <v>162861</v>
      </c>
      <c r="I859">
        <v>57409</v>
      </c>
      <c r="J859">
        <v>162861</v>
      </c>
      <c r="K859">
        <v>107364</v>
      </c>
      <c r="L859">
        <v>97639</v>
      </c>
      <c r="M859" t="str">
        <f t="shared" si="79"/>
        <v>Medium</v>
      </c>
      <c r="N859">
        <f>VLOOKUP(C859,Lookup!$A$2:$D$5,MATCH(M859,Lookup!$A$1:$D$1,0),FALSE)</f>
        <v>8.5000000000000006E-2</v>
      </c>
      <c r="O859">
        <f t="shared" si="80"/>
        <v>8299.3150000000005</v>
      </c>
      <c r="P859" s="7">
        <f t="shared" si="81"/>
        <v>0.65923701807062463</v>
      </c>
      <c r="Q859" s="7">
        <f t="shared" si="82"/>
        <v>13571.75</v>
      </c>
      <c r="R859">
        <f t="shared" si="83"/>
        <v>6.9173178750294451</v>
      </c>
    </row>
    <row r="860" spans="1:18" x14ac:dyDescent="0.25">
      <c r="A860" t="s">
        <v>519</v>
      </c>
      <c r="B860" t="s">
        <v>520</v>
      </c>
      <c r="C860" t="s">
        <v>17</v>
      </c>
      <c r="D860">
        <v>10940</v>
      </c>
      <c r="E860" s="1">
        <v>44469</v>
      </c>
      <c r="F860" s="2">
        <f t="shared" si="78"/>
        <v>2021</v>
      </c>
      <c r="G860">
        <v>12</v>
      </c>
      <c r="H860" s="3">
        <v>170950</v>
      </c>
      <c r="I860">
        <v>50690</v>
      </c>
      <c r="J860">
        <v>170950</v>
      </c>
      <c r="K860">
        <v>114878</v>
      </c>
      <c r="L860">
        <v>105453</v>
      </c>
      <c r="M860" t="str">
        <f t="shared" si="79"/>
        <v>Medium</v>
      </c>
      <c r="N860">
        <f>VLOOKUP(C860,Lookup!$A$2:$D$5,MATCH(M860,Lookup!$A$1:$D$1,0),FALSE)</f>
        <v>8.5000000000000006E-2</v>
      </c>
      <c r="O860">
        <f t="shared" si="80"/>
        <v>8963.505000000001</v>
      </c>
      <c r="P860" s="7">
        <f t="shared" si="81"/>
        <v>0.67199766013454232</v>
      </c>
      <c r="Q860" s="7">
        <f t="shared" si="82"/>
        <v>14245.833333333334</v>
      </c>
      <c r="R860">
        <f t="shared" si="83"/>
        <v>5.6551538711698148</v>
      </c>
    </row>
    <row r="861" spans="1:18" x14ac:dyDescent="0.25">
      <c r="A861" t="s">
        <v>521</v>
      </c>
      <c r="B861" t="s">
        <v>228</v>
      </c>
      <c r="C861" t="s">
        <v>5</v>
      </c>
      <c r="D861">
        <v>92612</v>
      </c>
      <c r="E861" s="1">
        <v>43738</v>
      </c>
      <c r="F861" s="2">
        <f t="shared" si="78"/>
        <v>2019</v>
      </c>
      <c r="G861">
        <v>426</v>
      </c>
      <c r="H861" s="3">
        <v>6342041</v>
      </c>
      <c r="I861">
        <v>268107</v>
      </c>
      <c r="J861">
        <v>6342041</v>
      </c>
      <c r="K861">
        <v>5728288</v>
      </c>
      <c r="L861">
        <v>5185376</v>
      </c>
      <c r="M861" t="str">
        <f t="shared" si="79"/>
        <v>Large</v>
      </c>
      <c r="N861">
        <f>VLOOKUP(C861,Lookup!$A$2:$D$5,MATCH(M861,Lookup!$A$1:$D$1,0),FALSE)</f>
        <v>0.08</v>
      </c>
      <c r="O861">
        <f t="shared" si="80"/>
        <v>414830.08000000002</v>
      </c>
      <c r="P861" s="7">
        <f t="shared" si="81"/>
        <v>0.90322468744683293</v>
      </c>
      <c r="Q861" s="7">
        <f t="shared" si="82"/>
        <v>14887.420187793427</v>
      </c>
      <c r="R861">
        <f t="shared" si="83"/>
        <v>0.64630559095425288</v>
      </c>
    </row>
    <row r="862" spans="1:18" x14ac:dyDescent="0.25">
      <c r="A862" t="s">
        <v>521</v>
      </c>
      <c r="B862" t="s">
        <v>228</v>
      </c>
      <c r="C862" t="s">
        <v>5</v>
      </c>
      <c r="D862">
        <v>92612</v>
      </c>
      <c r="E862" s="1">
        <v>44104</v>
      </c>
      <c r="F862" s="2">
        <f t="shared" si="78"/>
        <v>2020</v>
      </c>
      <c r="G862">
        <v>437</v>
      </c>
      <c r="H862" s="3">
        <v>6465382</v>
      </c>
      <c r="I862">
        <v>282513</v>
      </c>
      <c r="J862">
        <v>6465382</v>
      </c>
      <c r="K862">
        <v>5788158</v>
      </c>
      <c r="L862">
        <v>5474122</v>
      </c>
      <c r="M862" t="str">
        <f t="shared" si="79"/>
        <v>Large</v>
      </c>
      <c r="N862">
        <f>VLOOKUP(C862,Lookup!$A$2:$D$5,MATCH(M862,Lookup!$A$1:$D$1,0),FALSE)</f>
        <v>0.08</v>
      </c>
      <c r="O862">
        <f t="shared" si="80"/>
        <v>437929.76</v>
      </c>
      <c r="P862" s="7">
        <f t="shared" si="81"/>
        <v>0.89525383032278683</v>
      </c>
      <c r="Q862" s="7">
        <f t="shared" si="82"/>
        <v>14794.924485125857</v>
      </c>
      <c r="R862">
        <f t="shared" si="83"/>
        <v>0.64511030262021929</v>
      </c>
    </row>
    <row r="863" spans="1:18" x14ac:dyDescent="0.25">
      <c r="A863" t="s">
        <v>521</v>
      </c>
      <c r="B863" t="s">
        <v>228</v>
      </c>
      <c r="C863" t="s">
        <v>5</v>
      </c>
      <c r="D863">
        <v>92612</v>
      </c>
      <c r="E863" s="1">
        <v>44469</v>
      </c>
      <c r="F863" s="2">
        <f t="shared" si="78"/>
        <v>2021</v>
      </c>
      <c r="G863">
        <v>491</v>
      </c>
      <c r="H863" s="3">
        <v>7709843</v>
      </c>
      <c r="I863">
        <v>782760</v>
      </c>
      <c r="J863">
        <v>7709843</v>
      </c>
      <c r="K863">
        <v>6953808</v>
      </c>
      <c r="L863">
        <v>6865478</v>
      </c>
      <c r="M863" t="str">
        <f t="shared" si="79"/>
        <v>Large</v>
      </c>
      <c r="N863">
        <f>VLOOKUP(C863,Lookup!$A$2:$D$5,MATCH(M863,Lookup!$A$1:$D$1,0),FALSE)</f>
        <v>0.08</v>
      </c>
      <c r="O863">
        <f t="shared" si="80"/>
        <v>549238.24</v>
      </c>
      <c r="P863" s="7">
        <f t="shared" si="81"/>
        <v>0.90193898890029278</v>
      </c>
      <c r="Q863" s="7">
        <f t="shared" si="82"/>
        <v>15702.327902240326</v>
      </c>
      <c r="R863">
        <f t="shared" si="83"/>
        <v>1.4251738917523296</v>
      </c>
    </row>
    <row r="864" spans="1:18" x14ac:dyDescent="0.25">
      <c r="A864" t="s">
        <v>522</v>
      </c>
      <c r="B864" t="s">
        <v>303</v>
      </c>
      <c r="C864" t="s">
        <v>8</v>
      </c>
      <c r="D864">
        <v>62258</v>
      </c>
      <c r="E864" s="1">
        <v>43738</v>
      </c>
      <c r="F864" s="2">
        <f t="shared" si="78"/>
        <v>2019</v>
      </c>
      <c r="G864">
        <v>16</v>
      </c>
      <c r="H864" s="3">
        <v>108960</v>
      </c>
      <c r="I864">
        <v>5489</v>
      </c>
      <c r="J864">
        <v>108960</v>
      </c>
      <c r="K864">
        <v>95191</v>
      </c>
      <c r="L864">
        <v>94971</v>
      </c>
      <c r="M864" t="str">
        <f t="shared" si="79"/>
        <v>Medium</v>
      </c>
      <c r="N864">
        <f>VLOOKUP(C864,Lookup!$A$2:$D$5,MATCH(M864,Lookup!$A$1:$D$1,0),FALSE)</f>
        <v>0.08</v>
      </c>
      <c r="O864">
        <f t="shared" si="80"/>
        <v>7597.68</v>
      </c>
      <c r="P864" s="7">
        <f t="shared" si="81"/>
        <v>0.87363252569750371</v>
      </c>
      <c r="Q864" s="7">
        <f t="shared" si="82"/>
        <v>6810</v>
      </c>
      <c r="R864">
        <f t="shared" si="83"/>
        <v>0.72245738172705354</v>
      </c>
    </row>
    <row r="865" spans="1:18" x14ac:dyDescent="0.25">
      <c r="A865" t="s">
        <v>522</v>
      </c>
      <c r="B865" t="s">
        <v>303</v>
      </c>
      <c r="C865" t="s">
        <v>8</v>
      </c>
      <c r="D865">
        <v>62258</v>
      </c>
      <c r="E865" s="1">
        <v>44104</v>
      </c>
      <c r="F865" s="2">
        <f t="shared" si="78"/>
        <v>2020</v>
      </c>
      <c r="G865">
        <v>15</v>
      </c>
      <c r="H865" s="3">
        <v>124966</v>
      </c>
      <c r="I865">
        <v>6726</v>
      </c>
      <c r="J865">
        <v>124966</v>
      </c>
      <c r="K865">
        <v>110092</v>
      </c>
      <c r="L865">
        <v>105688</v>
      </c>
      <c r="M865" t="str">
        <f t="shared" si="79"/>
        <v>Medium</v>
      </c>
      <c r="N865">
        <f>VLOOKUP(C865,Lookup!$A$2:$D$5,MATCH(M865,Lookup!$A$1:$D$1,0),FALSE)</f>
        <v>0.08</v>
      </c>
      <c r="O865">
        <f t="shared" si="80"/>
        <v>8455.0400000000009</v>
      </c>
      <c r="P865" s="7">
        <f t="shared" si="81"/>
        <v>0.88097562537010066</v>
      </c>
      <c r="Q865" s="7">
        <f t="shared" si="82"/>
        <v>8331.0666666666675</v>
      </c>
      <c r="R865">
        <f t="shared" si="83"/>
        <v>0.79550185451517663</v>
      </c>
    </row>
    <row r="866" spans="1:18" x14ac:dyDescent="0.25">
      <c r="A866" t="s">
        <v>522</v>
      </c>
      <c r="B866" t="s">
        <v>303</v>
      </c>
      <c r="C866" t="s">
        <v>8</v>
      </c>
      <c r="D866">
        <v>62258</v>
      </c>
      <c r="E866" s="1">
        <v>44469</v>
      </c>
      <c r="F866" s="2">
        <f t="shared" si="78"/>
        <v>2021</v>
      </c>
      <c r="G866">
        <v>19</v>
      </c>
      <c r="H866" s="3">
        <v>147329</v>
      </c>
      <c r="I866">
        <v>4995</v>
      </c>
      <c r="J866">
        <v>147329</v>
      </c>
      <c r="K866">
        <v>131795</v>
      </c>
      <c r="L866">
        <v>125306</v>
      </c>
      <c r="M866" t="str">
        <f t="shared" si="79"/>
        <v>Medium</v>
      </c>
      <c r="N866">
        <f>VLOOKUP(C866,Lookup!$A$2:$D$5,MATCH(M866,Lookup!$A$1:$D$1,0),FALSE)</f>
        <v>0.08</v>
      </c>
      <c r="O866">
        <f t="shared" si="80"/>
        <v>10024.48</v>
      </c>
      <c r="P866" s="7">
        <f t="shared" si="81"/>
        <v>0.8945625097570743</v>
      </c>
      <c r="Q866" s="7">
        <f t="shared" si="82"/>
        <v>7754.1578947368425</v>
      </c>
      <c r="R866">
        <f t="shared" si="83"/>
        <v>0.49828021004580786</v>
      </c>
    </row>
    <row r="867" spans="1:18" x14ac:dyDescent="0.25">
      <c r="A867" t="s">
        <v>523</v>
      </c>
      <c r="B867" t="s">
        <v>524</v>
      </c>
      <c r="C867" t="s">
        <v>5</v>
      </c>
      <c r="D867">
        <v>91748</v>
      </c>
      <c r="E867" s="1">
        <v>43738</v>
      </c>
      <c r="F867" s="2">
        <f t="shared" si="78"/>
        <v>2019</v>
      </c>
      <c r="G867">
        <v>67</v>
      </c>
      <c r="H867" s="3">
        <v>982769</v>
      </c>
      <c r="I867">
        <v>23397</v>
      </c>
      <c r="J867">
        <v>982769</v>
      </c>
      <c r="K867">
        <v>844111</v>
      </c>
      <c r="L867">
        <v>819276</v>
      </c>
      <c r="M867" t="str">
        <f t="shared" si="79"/>
        <v>Medium</v>
      </c>
      <c r="N867">
        <f>VLOOKUP(C867,Lookup!$A$2:$D$5,MATCH(M867,Lookup!$A$1:$D$1,0),FALSE)</f>
        <v>0.09</v>
      </c>
      <c r="O867">
        <f t="shared" si="80"/>
        <v>73734.84</v>
      </c>
      <c r="P867" s="7">
        <f t="shared" si="81"/>
        <v>0.85891089360775519</v>
      </c>
      <c r="Q867" s="7">
        <f t="shared" si="82"/>
        <v>14668.194029850747</v>
      </c>
      <c r="R867">
        <f t="shared" si="83"/>
        <v>0.31731268420735709</v>
      </c>
    </row>
    <row r="868" spans="1:18" x14ac:dyDescent="0.25">
      <c r="A868" t="s">
        <v>523</v>
      </c>
      <c r="B868" t="s">
        <v>524</v>
      </c>
      <c r="C868" t="s">
        <v>5</v>
      </c>
      <c r="D868">
        <v>91748</v>
      </c>
      <c r="E868" s="1">
        <v>44104</v>
      </c>
      <c r="F868" s="2">
        <f t="shared" si="78"/>
        <v>2020</v>
      </c>
      <c r="G868">
        <v>70</v>
      </c>
      <c r="H868" s="3">
        <v>1066779</v>
      </c>
      <c r="I868">
        <v>24223</v>
      </c>
      <c r="J868">
        <v>1066779</v>
      </c>
      <c r="K868">
        <v>911886</v>
      </c>
      <c r="L868">
        <v>817996</v>
      </c>
      <c r="M868" t="str">
        <f t="shared" si="79"/>
        <v>Large</v>
      </c>
      <c r="N868">
        <f>VLOOKUP(C868,Lookup!$A$2:$D$5,MATCH(M868,Lookup!$A$1:$D$1,0),FALSE)</f>
        <v>0.08</v>
      </c>
      <c r="O868">
        <f t="shared" si="80"/>
        <v>65439.68</v>
      </c>
      <c r="P868" s="7">
        <f t="shared" si="81"/>
        <v>0.85480310354815758</v>
      </c>
      <c r="Q868" s="7">
        <f t="shared" si="82"/>
        <v>15239.7</v>
      </c>
      <c r="R868">
        <f t="shared" si="83"/>
        <v>0.37015767803265542</v>
      </c>
    </row>
    <row r="869" spans="1:18" x14ac:dyDescent="0.25">
      <c r="A869" t="s">
        <v>523</v>
      </c>
      <c r="B869" t="s">
        <v>524</v>
      </c>
      <c r="C869" t="s">
        <v>5</v>
      </c>
      <c r="D869">
        <v>91748</v>
      </c>
      <c r="E869" s="1">
        <v>44469</v>
      </c>
      <c r="F869" s="2">
        <f t="shared" si="78"/>
        <v>2021</v>
      </c>
      <c r="G869">
        <v>68</v>
      </c>
      <c r="H869" s="3">
        <v>1202225</v>
      </c>
      <c r="I869">
        <v>89048</v>
      </c>
      <c r="J869">
        <v>1202225</v>
      </c>
      <c r="K869">
        <v>1026161</v>
      </c>
      <c r="L869">
        <v>959874</v>
      </c>
      <c r="M869" t="str">
        <f t="shared" si="79"/>
        <v>Large</v>
      </c>
      <c r="N869">
        <f>VLOOKUP(C869,Lookup!$A$2:$D$5,MATCH(M869,Lookup!$A$1:$D$1,0),FALSE)</f>
        <v>0.08</v>
      </c>
      <c r="O869">
        <f t="shared" si="80"/>
        <v>76789.919999999998</v>
      </c>
      <c r="P869" s="7">
        <f t="shared" si="81"/>
        <v>0.85355153985318888</v>
      </c>
      <c r="Q869" s="7">
        <f t="shared" si="82"/>
        <v>17679.779411764706</v>
      </c>
      <c r="R869">
        <f t="shared" si="83"/>
        <v>1.159631368283754</v>
      </c>
    </row>
    <row r="870" spans="1:18" x14ac:dyDescent="0.25">
      <c r="A870" t="s">
        <v>525</v>
      </c>
      <c r="B870" t="s">
        <v>526</v>
      </c>
      <c r="C870" t="s">
        <v>20</v>
      </c>
      <c r="D870">
        <v>1938</v>
      </c>
      <c r="E870" s="1">
        <v>43738</v>
      </c>
      <c r="F870" s="2">
        <f t="shared" si="78"/>
        <v>2019</v>
      </c>
      <c r="G870">
        <v>65</v>
      </c>
      <c r="H870" s="3">
        <v>464951</v>
      </c>
      <c r="I870">
        <v>31997</v>
      </c>
      <c r="J870">
        <v>464951</v>
      </c>
      <c r="K870">
        <v>420911</v>
      </c>
      <c r="L870">
        <v>372488</v>
      </c>
      <c r="M870" t="str">
        <f t="shared" si="79"/>
        <v>Medium</v>
      </c>
      <c r="N870">
        <f>VLOOKUP(C870,Lookup!$A$2:$D$5,MATCH(M870,Lookup!$A$1:$D$1,0),FALSE)</f>
        <v>8.5000000000000006E-2</v>
      </c>
      <c r="O870">
        <f t="shared" si="80"/>
        <v>31661.480000000003</v>
      </c>
      <c r="P870" s="7">
        <f t="shared" si="81"/>
        <v>0.90528034136930557</v>
      </c>
      <c r="Q870" s="7">
        <f t="shared" si="82"/>
        <v>7153.0923076923073</v>
      </c>
      <c r="R870">
        <f t="shared" si="83"/>
        <v>1.010597104115158</v>
      </c>
    </row>
    <row r="871" spans="1:18" x14ac:dyDescent="0.25">
      <c r="A871" t="s">
        <v>527</v>
      </c>
      <c r="B871" t="s">
        <v>528</v>
      </c>
      <c r="C871" t="s">
        <v>8</v>
      </c>
      <c r="D871">
        <v>61938</v>
      </c>
      <c r="E871" s="1">
        <v>43738</v>
      </c>
      <c r="F871" s="2">
        <f t="shared" si="78"/>
        <v>2019</v>
      </c>
      <c r="G871">
        <v>671</v>
      </c>
      <c r="H871" s="3">
        <v>3809029</v>
      </c>
      <c r="I871">
        <v>112665</v>
      </c>
      <c r="J871">
        <v>3809029</v>
      </c>
      <c r="K871">
        <v>3305556</v>
      </c>
      <c r="L871">
        <v>3023473</v>
      </c>
      <c r="M871" t="str">
        <f t="shared" si="79"/>
        <v>Large</v>
      </c>
      <c r="N871">
        <f>VLOOKUP(C871,Lookup!$A$2:$D$5,MATCH(M871,Lookup!$A$1:$D$1,0),FALSE)</f>
        <v>7.4999999999999997E-2</v>
      </c>
      <c r="O871">
        <f t="shared" si="80"/>
        <v>226760.47500000001</v>
      </c>
      <c r="P871" s="7">
        <f t="shared" si="81"/>
        <v>0.86782116912210439</v>
      </c>
      <c r="Q871" s="7">
        <f t="shared" si="82"/>
        <v>5676.6453055141583</v>
      </c>
      <c r="R871">
        <f t="shared" si="83"/>
        <v>0.49684584582035296</v>
      </c>
    </row>
    <row r="872" spans="1:18" x14ac:dyDescent="0.25">
      <c r="A872" t="s">
        <v>527</v>
      </c>
      <c r="B872" t="s">
        <v>528</v>
      </c>
      <c r="C872" t="s">
        <v>8</v>
      </c>
      <c r="D872">
        <v>61938</v>
      </c>
      <c r="E872" s="1">
        <v>44104</v>
      </c>
      <c r="F872" s="2">
        <f t="shared" si="78"/>
        <v>2020</v>
      </c>
      <c r="G872">
        <v>656</v>
      </c>
      <c r="H872" s="3">
        <v>4480001</v>
      </c>
      <c r="I872">
        <v>232312</v>
      </c>
      <c r="J872">
        <v>4480001</v>
      </c>
      <c r="K872">
        <v>3963938</v>
      </c>
      <c r="L872">
        <v>3668586</v>
      </c>
      <c r="M872" t="str">
        <f t="shared" si="79"/>
        <v>Large</v>
      </c>
      <c r="N872">
        <f>VLOOKUP(C872,Lookup!$A$2:$D$5,MATCH(M872,Lookup!$A$1:$D$1,0),FALSE)</f>
        <v>7.4999999999999997E-2</v>
      </c>
      <c r="O872">
        <f t="shared" si="80"/>
        <v>275143.95</v>
      </c>
      <c r="P872" s="7">
        <f t="shared" si="81"/>
        <v>0.88480739178406431</v>
      </c>
      <c r="Q872" s="7">
        <f t="shared" si="82"/>
        <v>6829.269817073171</v>
      </c>
      <c r="R872">
        <f t="shared" si="83"/>
        <v>0.84432894126874314</v>
      </c>
    </row>
    <row r="873" spans="1:18" x14ac:dyDescent="0.25">
      <c r="A873" t="s">
        <v>527</v>
      </c>
      <c r="B873" t="s">
        <v>528</v>
      </c>
      <c r="C873" t="s">
        <v>8</v>
      </c>
      <c r="D873">
        <v>61938</v>
      </c>
      <c r="E873" s="1">
        <v>44469</v>
      </c>
      <c r="F873" s="2">
        <f t="shared" si="78"/>
        <v>2021</v>
      </c>
      <c r="G873">
        <v>779</v>
      </c>
      <c r="H873" s="3">
        <v>6011453</v>
      </c>
      <c r="I873">
        <v>345092</v>
      </c>
      <c r="J873">
        <v>6011453</v>
      </c>
      <c r="K873">
        <v>5328392</v>
      </c>
      <c r="L873">
        <v>5029608</v>
      </c>
      <c r="M873" t="str">
        <f t="shared" si="79"/>
        <v>Large</v>
      </c>
      <c r="N873">
        <f>VLOOKUP(C873,Lookup!$A$2:$D$5,MATCH(M873,Lookup!$A$1:$D$1,0),FALSE)</f>
        <v>7.4999999999999997E-2</v>
      </c>
      <c r="O873">
        <f t="shared" si="80"/>
        <v>377220.6</v>
      </c>
      <c r="P873" s="7">
        <f t="shared" si="81"/>
        <v>0.8863733942526042</v>
      </c>
      <c r="Q873" s="7">
        <f t="shared" si="82"/>
        <v>7716.8844672657251</v>
      </c>
      <c r="R873">
        <f t="shared" si="83"/>
        <v>0.91482808733139187</v>
      </c>
    </row>
    <row r="874" spans="1:18" x14ac:dyDescent="0.25">
      <c r="A874" t="s">
        <v>529</v>
      </c>
      <c r="B874" t="s">
        <v>28</v>
      </c>
      <c r="C874" t="s">
        <v>8</v>
      </c>
      <c r="D874">
        <v>60631</v>
      </c>
      <c r="E874" s="1">
        <v>43738</v>
      </c>
      <c r="F874" s="2">
        <f t="shared" si="78"/>
        <v>2019</v>
      </c>
      <c r="G874">
        <v>2112</v>
      </c>
      <c r="H874" s="3">
        <v>17919012</v>
      </c>
      <c r="I874">
        <v>475667</v>
      </c>
      <c r="J874">
        <v>17919012</v>
      </c>
      <c r="K874">
        <v>15584616</v>
      </c>
      <c r="L874">
        <v>13640378</v>
      </c>
      <c r="M874" t="str">
        <f t="shared" si="79"/>
        <v>Large</v>
      </c>
      <c r="N874">
        <f>VLOOKUP(C874,Lookup!$A$2:$D$5,MATCH(M874,Lookup!$A$1:$D$1,0),FALSE)</f>
        <v>7.4999999999999997E-2</v>
      </c>
      <c r="O874">
        <f t="shared" si="80"/>
        <v>1023028.35</v>
      </c>
      <c r="P874" s="7">
        <f t="shared" si="81"/>
        <v>0.86972518350900152</v>
      </c>
      <c r="Q874" s="7">
        <f t="shared" si="82"/>
        <v>8484.380681818182</v>
      </c>
      <c r="R874">
        <f t="shared" si="83"/>
        <v>0.46495974427297154</v>
      </c>
    </row>
    <row r="875" spans="1:18" x14ac:dyDescent="0.25">
      <c r="A875" t="s">
        <v>529</v>
      </c>
      <c r="B875" t="s">
        <v>28</v>
      </c>
      <c r="C875" t="s">
        <v>8</v>
      </c>
      <c r="D875">
        <v>60631</v>
      </c>
      <c r="E875" s="1">
        <v>44104</v>
      </c>
      <c r="F875" s="2">
        <f t="shared" si="78"/>
        <v>2020</v>
      </c>
      <c r="G875">
        <v>2143</v>
      </c>
      <c r="H875" s="3">
        <v>20986099</v>
      </c>
      <c r="I875">
        <v>1190740</v>
      </c>
      <c r="J875">
        <v>20986099</v>
      </c>
      <c r="K875">
        <v>18571932</v>
      </c>
      <c r="L875">
        <v>16202704</v>
      </c>
      <c r="M875" t="str">
        <f t="shared" si="79"/>
        <v>Large</v>
      </c>
      <c r="N875">
        <f>VLOOKUP(C875,Lookup!$A$2:$D$5,MATCH(M875,Lookup!$A$1:$D$1,0),FALSE)</f>
        <v>7.4999999999999997E-2</v>
      </c>
      <c r="O875">
        <f t="shared" si="80"/>
        <v>1215202.8</v>
      </c>
      <c r="P875" s="7">
        <f t="shared" si="81"/>
        <v>0.88496351799350603</v>
      </c>
      <c r="Q875" s="7">
        <f t="shared" si="82"/>
        <v>9792.8600093327113</v>
      </c>
      <c r="R875">
        <f t="shared" si="83"/>
        <v>0.97986936830626126</v>
      </c>
    </row>
    <row r="876" spans="1:18" x14ac:dyDescent="0.25">
      <c r="A876" t="s">
        <v>529</v>
      </c>
      <c r="B876" t="s">
        <v>28</v>
      </c>
      <c r="C876" t="s">
        <v>8</v>
      </c>
      <c r="D876">
        <v>60631</v>
      </c>
      <c r="E876" s="1">
        <v>44469</v>
      </c>
      <c r="F876" s="2">
        <f t="shared" si="78"/>
        <v>2021</v>
      </c>
      <c r="G876">
        <v>1943</v>
      </c>
      <c r="H876" s="3">
        <v>21622180</v>
      </c>
      <c r="I876">
        <v>1924937</v>
      </c>
      <c r="J876">
        <v>21622180</v>
      </c>
      <c r="K876">
        <v>19123791</v>
      </c>
      <c r="L876">
        <v>17555874</v>
      </c>
      <c r="M876" t="str">
        <f t="shared" si="79"/>
        <v>Large</v>
      </c>
      <c r="N876">
        <f>VLOOKUP(C876,Lookup!$A$2:$D$5,MATCH(M876,Lookup!$A$1:$D$1,0),FALSE)</f>
        <v>7.4999999999999997E-2</v>
      </c>
      <c r="O876">
        <f t="shared" si="80"/>
        <v>1316690.55</v>
      </c>
      <c r="P876" s="7">
        <f t="shared" si="81"/>
        <v>0.88445249276437432</v>
      </c>
      <c r="Q876" s="7">
        <f t="shared" si="82"/>
        <v>11128.244981986618</v>
      </c>
      <c r="R876">
        <f t="shared" si="83"/>
        <v>1.4619509496745458</v>
      </c>
    </row>
    <row r="877" spans="1:18" x14ac:dyDescent="0.25">
      <c r="A877" t="s">
        <v>530</v>
      </c>
      <c r="B877" t="s">
        <v>316</v>
      </c>
      <c r="C877" t="s">
        <v>8</v>
      </c>
      <c r="D877">
        <v>61727</v>
      </c>
      <c r="E877" s="1">
        <v>43738</v>
      </c>
      <c r="F877" s="2">
        <f t="shared" si="78"/>
        <v>2019</v>
      </c>
      <c r="G877">
        <v>26</v>
      </c>
      <c r="H877" s="3">
        <v>192948</v>
      </c>
      <c r="I877">
        <v>2979</v>
      </c>
      <c r="J877">
        <v>192947</v>
      </c>
      <c r="K877">
        <v>174695</v>
      </c>
      <c r="L877">
        <v>163582</v>
      </c>
      <c r="M877" t="str">
        <f t="shared" si="79"/>
        <v>Medium</v>
      </c>
      <c r="N877">
        <f>VLOOKUP(C877,Lookup!$A$2:$D$5,MATCH(M877,Lookup!$A$1:$D$1,0),FALSE)</f>
        <v>0.08</v>
      </c>
      <c r="O877">
        <f t="shared" si="80"/>
        <v>13086.56</v>
      </c>
      <c r="P877" s="7">
        <f t="shared" si="81"/>
        <v>0.90539938221697036</v>
      </c>
      <c r="Q877" s="7">
        <f t="shared" si="82"/>
        <v>7421.0769230769229</v>
      </c>
      <c r="R877">
        <f t="shared" si="83"/>
        <v>0.22763812644422982</v>
      </c>
    </row>
    <row r="878" spans="1:18" x14ac:dyDescent="0.25">
      <c r="A878" t="s">
        <v>530</v>
      </c>
      <c r="B878" t="s">
        <v>316</v>
      </c>
      <c r="C878" t="s">
        <v>8</v>
      </c>
      <c r="D878">
        <v>61727</v>
      </c>
      <c r="E878" s="1">
        <v>44104</v>
      </c>
      <c r="F878" s="2">
        <f t="shared" si="78"/>
        <v>2020</v>
      </c>
      <c r="G878">
        <v>29</v>
      </c>
      <c r="H878" s="3">
        <v>204335</v>
      </c>
      <c r="I878">
        <v>2901</v>
      </c>
      <c r="J878">
        <v>204334</v>
      </c>
      <c r="K878">
        <v>185943</v>
      </c>
      <c r="L878">
        <v>172159</v>
      </c>
      <c r="M878" t="str">
        <f t="shared" si="79"/>
        <v>Medium</v>
      </c>
      <c r="N878">
        <f>VLOOKUP(C878,Lookup!$A$2:$D$5,MATCH(M878,Lookup!$A$1:$D$1,0),FALSE)</f>
        <v>0.08</v>
      </c>
      <c r="O878">
        <f t="shared" si="80"/>
        <v>13772.720000000001</v>
      </c>
      <c r="P878" s="7">
        <f t="shared" si="81"/>
        <v>0.90999094624024279</v>
      </c>
      <c r="Q878" s="7">
        <f t="shared" si="82"/>
        <v>7046.0344827586205</v>
      </c>
      <c r="R878">
        <f t="shared" si="83"/>
        <v>0.21063377459209218</v>
      </c>
    </row>
    <row r="879" spans="1:18" x14ac:dyDescent="0.25">
      <c r="A879" t="s">
        <v>530</v>
      </c>
      <c r="B879" t="s">
        <v>316</v>
      </c>
      <c r="C879" t="s">
        <v>8</v>
      </c>
      <c r="D879">
        <v>61727</v>
      </c>
      <c r="E879" s="1">
        <v>44469</v>
      </c>
      <c r="F879" s="2">
        <f t="shared" si="78"/>
        <v>2021</v>
      </c>
      <c r="G879">
        <v>30</v>
      </c>
      <c r="H879" s="3">
        <v>235906</v>
      </c>
      <c r="I879">
        <v>3518</v>
      </c>
      <c r="J879">
        <v>235906</v>
      </c>
      <c r="K879">
        <v>200442</v>
      </c>
      <c r="L879">
        <v>192441</v>
      </c>
      <c r="M879" t="str">
        <f t="shared" si="79"/>
        <v>Medium</v>
      </c>
      <c r="N879">
        <f>VLOOKUP(C879,Lookup!$A$2:$D$5,MATCH(M879,Lookup!$A$1:$D$1,0),FALSE)</f>
        <v>0.08</v>
      </c>
      <c r="O879">
        <f t="shared" si="80"/>
        <v>15395.28</v>
      </c>
      <c r="P879" s="7">
        <f t="shared" si="81"/>
        <v>0.84966893593210857</v>
      </c>
      <c r="Q879" s="7">
        <f t="shared" si="82"/>
        <v>7863.5333333333338</v>
      </c>
      <c r="R879">
        <f t="shared" si="83"/>
        <v>0.2285115957618179</v>
      </c>
    </row>
    <row r="880" spans="1:18" x14ac:dyDescent="0.25">
      <c r="A880" t="s">
        <v>531</v>
      </c>
      <c r="B880" t="s">
        <v>532</v>
      </c>
      <c r="C880" t="s">
        <v>8</v>
      </c>
      <c r="D880">
        <v>62450</v>
      </c>
      <c r="E880" s="1">
        <v>43738</v>
      </c>
      <c r="F880" s="2">
        <f t="shared" si="78"/>
        <v>2019</v>
      </c>
      <c r="G880">
        <v>70</v>
      </c>
      <c r="H880" s="3">
        <v>356680</v>
      </c>
      <c r="I880">
        <v>39464</v>
      </c>
      <c r="J880">
        <v>356680</v>
      </c>
      <c r="K880">
        <v>312336</v>
      </c>
      <c r="L880">
        <v>306036</v>
      </c>
      <c r="M880" t="str">
        <f t="shared" si="79"/>
        <v>Medium</v>
      </c>
      <c r="N880">
        <f>VLOOKUP(C880,Lookup!$A$2:$D$5,MATCH(M880,Lookup!$A$1:$D$1,0),FALSE)</f>
        <v>0.08</v>
      </c>
      <c r="O880">
        <f t="shared" si="80"/>
        <v>24482.880000000001</v>
      </c>
      <c r="P880" s="7">
        <f t="shared" si="81"/>
        <v>0.87567567567567572</v>
      </c>
      <c r="Q880" s="7">
        <f t="shared" si="82"/>
        <v>5095.4285714285716</v>
      </c>
      <c r="R880">
        <f t="shared" si="83"/>
        <v>1.6119018677541204</v>
      </c>
    </row>
    <row r="881" spans="1:18" x14ac:dyDescent="0.25">
      <c r="A881" t="s">
        <v>531</v>
      </c>
      <c r="B881" t="s">
        <v>532</v>
      </c>
      <c r="C881" t="s">
        <v>8</v>
      </c>
      <c r="D881">
        <v>62450</v>
      </c>
      <c r="E881" s="1">
        <v>44104</v>
      </c>
      <c r="F881" s="2">
        <f t="shared" si="78"/>
        <v>2020</v>
      </c>
      <c r="G881">
        <v>67</v>
      </c>
      <c r="H881" s="3">
        <v>387660</v>
      </c>
      <c r="I881">
        <v>33219</v>
      </c>
      <c r="J881">
        <v>387660</v>
      </c>
      <c r="K881">
        <v>338949</v>
      </c>
      <c r="L881">
        <v>327762</v>
      </c>
      <c r="M881" t="str">
        <f t="shared" si="79"/>
        <v>Medium</v>
      </c>
      <c r="N881">
        <f>VLOOKUP(C881,Lookup!$A$2:$D$5,MATCH(M881,Lookup!$A$1:$D$1,0),FALSE)</f>
        <v>0.08</v>
      </c>
      <c r="O881">
        <f t="shared" si="80"/>
        <v>26220.959999999999</v>
      </c>
      <c r="P881" s="7">
        <f t="shared" si="81"/>
        <v>0.87434607645875251</v>
      </c>
      <c r="Q881" s="7">
        <f t="shared" si="82"/>
        <v>5785.9701492537315</v>
      </c>
      <c r="R881">
        <f t="shared" si="83"/>
        <v>1.2668872535559339</v>
      </c>
    </row>
    <row r="882" spans="1:18" x14ac:dyDescent="0.25">
      <c r="A882" t="s">
        <v>531</v>
      </c>
      <c r="B882" t="s">
        <v>532</v>
      </c>
      <c r="C882" t="s">
        <v>8</v>
      </c>
      <c r="D882">
        <v>62450</v>
      </c>
      <c r="E882" s="1">
        <v>44469</v>
      </c>
      <c r="F882" s="2">
        <f t="shared" si="78"/>
        <v>2021</v>
      </c>
      <c r="G882">
        <v>68</v>
      </c>
      <c r="H882" s="3">
        <v>415103</v>
      </c>
      <c r="I882">
        <v>34615</v>
      </c>
      <c r="J882">
        <v>415103</v>
      </c>
      <c r="K882">
        <v>365143</v>
      </c>
      <c r="L882">
        <v>352505</v>
      </c>
      <c r="M882" t="str">
        <f t="shared" si="79"/>
        <v>Medium</v>
      </c>
      <c r="N882">
        <f>VLOOKUP(C882,Lookup!$A$2:$D$5,MATCH(M882,Lookup!$A$1:$D$1,0),FALSE)</f>
        <v>0.08</v>
      </c>
      <c r="O882">
        <f t="shared" si="80"/>
        <v>28200.400000000001</v>
      </c>
      <c r="P882" s="7">
        <f t="shared" si="81"/>
        <v>0.87964432923876723</v>
      </c>
      <c r="Q882" s="7">
        <f t="shared" si="82"/>
        <v>6104.4558823529414</v>
      </c>
      <c r="R882">
        <f t="shared" si="83"/>
        <v>1.2274648586544872</v>
      </c>
    </row>
    <row r="883" spans="1:18" x14ac:dyDescent="0.25">
      <c r="A883" t="s">
        <v>533</v>
      </c>
      <c r="B883" t="s">
        <v>534</v>
      </c>
      <c r="C883" t="s">
        <v>8</v>
      </c>
      <c r="D883">
        <v>62274</v>
      </c>
      <c r="E883" s="1">
        <v>43738</v>
      </c>
      <c r="F883" s="2">
        <f t="shared" si="78"/>
        <v>2019</v>
      </c>
      <c r="G883">
        <v>24</v>
      </c>
      <c r="H883" s="3">
        <v>104823</v>
      </c>
      <c r="I883">
        <v>3626</v>
      </c>
      <c r="J883">
        <v>104823</v>
      </c>
      <c r="K883">
        <v>87915</v>
      </c>
      <c r="L883">
        <v>80390</v>
      </c>
      <c r="M883" t="str">
        <f t="shared" si="79"/>
        <v>Medium</v>
      </c>
      <c r="N883">
        <f>VLOOKUP(C883,Lookup!$A$2:$D$5,MATCH(M883,Lookup!$A$1:$D$1,0),FALSE)</f>
        <v>0.08</v>
      </c>
      <c r="O883">
        <f t="shared" si="80"/>
        <v>6431.2</v>
      </c>
      <c r="P883" s="7">
        <f t="shared" si="81"/>
        <v>0.83869952205145815</v>
      </c>
      <c r="Q883" s="7">
        <f t="shared" si="82"/>
        <v>4367.625</v>
      </c>
      <c r="R883">
        <f t="shared" si="83"/>
        <v>0.56381390720238833</v>
      </c>
    </row>
    <row r="884" spans="1:18" x14ac:dyDescent="0.25">
      <c r="A884" t="s">
        <v>533</v>
      </c>
      <c r="B884" t="s">
        <v>534</v>
      </c>
      <c r="C884" t="s">
        <v>8</v>
      </c>
      <c r="D884">
        <v>62274</v>
      </c>
      <c r="E884" s="1">
        <v>44104</v>
      </c>
      <c r="F884" s="2">
        <f t="shared" si="78"/>
        <v>2020</v>
      </c>
      <c r="G884">
        <v>22</v>
      </c>
      <c r="H884" s="3">
        <v>122518</v>
      </c>
      <c r="I884">
        <v>20807</v>
      </c>
      <c r="J884">
        <v>122518</v>
      </c>
      <c r="K884">
        <v>104231</v>
      </c>
      <c r="L884">
        <v>96453</v>
      </c>
      <c r="M884" t="str">
        <f t="shared" si="79"/>
        <v>Medium</v>
      </c>
      <c r="N884">
        <f>VLOOKUP(C884,Lookup!$A$2:$D$5,MATCH(M884,Lookup!$A$1:$D$1,0),FALSE)</f>
        <v>0.08</v>
      </c>
      <c r="O884">
        <f t="shared" si="80"/>
        <v>7716.24</v>
      </c>
      <c r="P884" s="7">
        <f t="shared" si="81"/>
        <v>0.85074029938458018</v>
      </c>
      <c r="Q884" s="7">
        <f t="shared" si="82"/>
        <v>5569</v>
      </c>
      <c r="R884">
        <f t="shared" si="83"/>
        <v>2.6965205851554646</v>
      </c>
    </row>
    <row r="885" spans="1:18" x14ac:dyDescent="0.25">
      <c r="A885" t="s">
        <v>533</v>
      </c>
      <c r="B885" t="s">
        <v>534</v>
      </c>
      <c r="C885" t="s">
        <v>8</v>
      </c>
      <c r="D885">
        <v>62274</v>
      </c>
      <c r="E885" s="1">
        <v>44469</v>
      </c>
      <c r="F885" s="2">
        <f t="shared" si="78"/>
        <v>2021</v>
      </c>
      <c r="G885">
        <v>21</v>
      </c>
      <c r="H885" s="3">
        <v>143097</v>
      </c>
      <c r="I885">
        <v>19722</v>
      </c>
      <c r="J885">
        <v>143097</v>
      </c>
      <c r="K885">
        <v>126344</v>
      </c>
      <c r="L885">
        <v>113606</v>
      </c>
      <c r="M885" t="str">
        <f t="shared" si="79"/>
        <v>Medium</v>
      </c>
      <c r="N885">
        <f>VLOOKUP(C885,Lookup!$A$2:$D$5,MATCH(M885,Lookup!$A$1:$D$1,0),FALSE)</f>
        <v>0.08</v>
      </c>
      <c r="O885">
        <f t="shared" si="80"/>
        <v>9088.48</v>
      </c>
      <c r="P885" s="7">
        <f t="shared" si="81"/>
        <v>0.88292556797137611</v>
      </c>
      <c r="Q885" s="7">
        <f t="shared" si="82"/>
        <v>6814.1428571428569</v>
      </c>
      <c r="R885">
        <f t="shared" si="83"/>
        <v>2.1699998239529603</v>
      </c>
    </row>
    <row r="886" spans="1:18" x14ac:dyDescent="0.25">
      <c r="A886" t="s">
        <v>535</v>
      </c>
      <c r="B886" t="s">
        <v>536</v>
      </c>
      <c r="C886" t="s">
        <v>8</v>
      </c>
      <c r="D886">
        <v>62568</v>
      </c>
      <c r="E886" s="1">
        <v>43738</v>
      </c>
      <c r="F886" s="2">
        <f t="shared" si="78"/>
        <v>2019</v>
      </c>
      <c r="G886">
        <v>29</v>
      </c>
      <c r="H886" s="3">
        <v>195680</v>
      </c>
      <c r="I886">
        <v>11274</v>
      </c>
      <c r="J886">
        <v>195680</v>
      </c>
      <c r="K886">
        <v>159443</v>
      </c>
      <c r="L886">
        <v>158011</v>
      </c>
      <c r="M886" t="str">
        <f t="shared" si="79"/>
        <v>Medium</v>
      </c>
      <c r="N886">
        <f>VLOOKUP(C886,Lookup!$A$2:$D$5,MATCH(M886,Lookup!$A$1:$D$1,0),FALSE)</f>
        <v>0.08</v>
      </c>
      <c r="O886">
        <f t="shared" si="80"/>
        <v>12640.880000000001</v>
      </c>
      <c r="P886" s="7">
        <f t="shared" si="81"/>
        <v>0.81481500408830743</v>
      </c>
      <c r="Q886" s="7">
        <f t="shared" si="82"/>
        <v>6747.5862068965516</v>
      </c>
      <c r="R886">
        <f t="shared" si="83"/>
        <v>0.89186828765085968</v>
      </c>
    </row>
    <row r="887" spans="1:18" x14ac:dyDescent="0.25">
      <c r="A887" t="s">
        <v>535</v>
      </c>
      <c r="B887" t="s">
        <v>536</v>
      </c>
      <c r="C887" t="s">
        <v>8</v>
      </c>
      <c r="D887">
        <v>62568</v>
      </c>
      <c r="E887" s="1">
        <v>44104</v>
      </c>
      <c r="F887" s="2">
        <f t="shared" si="78"/>
        <v>2020</v>
      </c>
      <c r="G887">
        <v>27</v>
      </c>
      <c r="H887" s="3">
        <v>215257</v>
      </c>
      <c r="I887">
        <v>14593</v>
      </c>
      <c r="J887">
        <v>215257</v>
      </c>
      <c r="K887">
        <v>176124</v>
      </c>
      <c r="L887">
        <v>167600</v>
      </c>
      <c r="M887" t="str">
        <f t="shared" si="79"/>
        <v>Medium</v>
      </c>
      <c r="N887">
        <f>VLOOKUP(C887,Lookup!$A$2:$D$5,MATCH(M887,Lookup!$A$1:$D$1,0),FALSE)</f>
        <v>0.08</v>
      </c>
      <c r="O887">
        <f t="shared" si="80"/>
        <v>13408</v>
      </c>
      <c r="P887" s="7">
        <f t="shared" si="81"/>
        <v>0.81820335691754509</v>
      </c>
      <c r="Q887" s="7">
        <f t="shared" si="82"/>
        <v>7972.4814814814818</v>
      </c>
      <c r="R887">
        <f t="shared" si="83"/>
        <v>1.0883800715990453</v>
      </c>
    </row>
    <row r="888" spans="1:18" x14ac:dyDescent="0.25">
      <c r="A888" t="s">
        <v>535</v>
      </c>
      <c r="B888" t="s">
        <v>536</v>
      </c>
      <c r="C888" t="s">
        <v>8</v>
      </c>
      <c r="D888">
        <v>62568</v>
      </c>
      <c r="E888" s="1">
        <v>44469</v>
      </c>
      <c r="F888" s="2">
        <f t="shared" si="78"/>
        <v>2021</v>
      </c>
      <c r="G888">
        <v>27</v>
      </c>
      <c r="H888" s="3">
        <v>236494</v>
      </c>
      <c r="I888">
        <v>14469</v>
      </c>
      <c r="J888">
        <v>236494</v>
      </c>
      <c r="K888">
        <v>203943</v>
      </c>
      <c r="L888">
        <v>194373</v>
      </c>
      <c r="M888" t="str">
        <f t="shared" si="79"/>
        <v>Medium</v>
      </c>
      <c r="N888">
        <f>VLOOKUP(C888,Lookup!$A$2:$D$5,MATCH(M888,Lookup!$A$1:$D$1,0),FALSE)</f>
        <v>0.08</v>
      </c>
      <c r="O888">
        <f t="shared" si="80"/>
        <v>15549.84</v>
      </c>
      <c r="P888" s="7">
        <f t="shared" si="81"/>
        <v>0.8623601444434108</v>
      </c>
      <c r="Q888" s="7">
        <f t="shared" si="82"/>
        <v>8759.0370370370365</v>
      </c>
      <c r="R888">
        <f t="shared" si="83"/>
        <v>0.93049188930561344</v>
      </c>
    </row>
    <row r="889" spans="1:18" x14ac:dyDescent="0.25">
      <c r="A889" t="s">
        <v>537</v>
      </c>
      <c r="B889" t="s">
        <v>538</v>
      </c>
      <c r="C889" t="s">
        <v>8</v>
      </c>
      <c r="D889">
        <v>60513</v>
      </c>
      <c r="E889" s="1">
        <v>43738</v>
      </c>
      <c r="F889" s="2">
        <f t="shared" si="78"/>
        <v>2019</v>
      </c>
      <c r="G889">
        <v>31</v>
      </c>
      <c r="H889" s="3">
        <v>205202</v>
      </c>
      <c r="I889">
        <v>42575</v>
      </c>
      <c r="J889">
        <v>205202</v>
      </c>
      <c r="K889">
        <v>182927</v>
      </c>
      <c r="L889">
        <v>154331</v>
      </c>
      <c r="M889" t="str">
        <f t="shared" si="79"/>
        <v>Medium</v>
      </c>
      <c r="N889">
        <f>VLOOKUP(C889,Lookup!$A$2:$D$5,MATCH(M889,Lookup!$A$1:$D$1,0),FALSE)</f>
        <v>0.08</v>
      </c>
      <c r="O889">
        <f t="shared" si="80"/>
        <v>12346.48</v>
      </c>
      <c r="P889" s="7">
        <f t="shared" si="81"/>
        <v>0.89144842642859234</v>
      </c>
      <c r="Q889" s="7">
        <f t="shared" si="82"/>
        <v>6619.4193548387093</v>
      </c>
      <c r="R889">
        <f t="shared" si="83"/>
        <v>3.4483512709695394</v>
      </c>
    </row>
    <row r="890" spans="1:18" x14ac:dyDescent="0.25">
      <c r="A890" t="s">
        <v>537</v>
      </c>
      <c r="B890" t="s">
        <v>538</v>
      </c>
      <c r="C890" t="s">
        <v>8</v>
      </c>
      <c r="D890">
        <v>60513</v>
      </c>
      <c r="E890" s="1">
        <v>44104</v>
      </c>
      <c r="F890" s="2">
        <f t="shared" si="78"/>
        <v>2020</v>
      </c>
      <c r="G890">
        <v>32</v>
      </c>
      <c r="H890" s="3">
        <v>255882</v>
      </c>
      <c r="I890">
        <v>58649</v>
      </c>
      <c r="J890">
        <v>255882</v>
      </c>
      <c r="K890">
        <v>230966</v>
      </c>
      <c r="L890">
        <v>188542</v>
      </c>
      <c r="M890" t="str">
        <f t="shared" si="79"/>
        <v>Medium</v>
      </c>
      <c r="N890">
        <f>VLOOKUP(C890,Lookup!$A$2:$D$5,MATCH(M890,Lookup!$A$1:$D$1,0),FALSE)</f>
        <v>0.08</v>
      </c>
      <c r="O890">
        <f t="shared" si="80"/>
        <v>15083.36</v>
      </c>
      <c r="P890" s="7">
        <f t="shared" si="81"/>
        <v>0.90262699212918451</v>
      </c>
      <c r="Q890" s="7">
        <f t="shared" si="82"/>
        <v>7996.3125</v>
      </c>
      <c r="R890">
        <f t="shared" si="83"/>
        <v>3.888324617326643</v>
      </c>
    </row>
    <row r="891" spans="1:18" x14ac:dyDescent="0.25">
      <c r="A891" t="s">
        <v>537</v>
      </c>
      <c r="B891" t="s">
        <v>538</v>
      </c>
      <c r="C891" t="s">
        <v>8</v>
      </c>
      <c r="D891">
        <v>60513</v>
      </c>
      <c r="E891" s="1">
        <v>44469</v>
      </c>
      <c r="F891" s="2">
        <f t="shared" si="78"/>
        <v>2021</v>
      </c>
      <c r="G891">
        <v>35</v>
      </c>
      <c r="H891" s="3">
        <v>310456</v>
      </c>
      <c r="I891">
        <v>76525</v>
      </c>
      <c r="J891">
        <v>310456</v>
      </c>
      <c r="K891">
        <v>282160</v>
      </c>
      <c r="L891">
        <v>242751</v>
      </c>
      <c r="M891" t="str">
        <f t="shared" si="79"/>
        <v>Medium</v>
      </c>
      <c r="N891">
        <f>VLOOKUP(C891,Lookup!$A$2:$D$5,MATCH(M891,Lookup!$A$1:$D$1,0),FALSE)</f>
        <v>0.08</v>
      </c>
      <c r="O891">
        <f t="shared" si="80"/>
        <v>19420.080000000002</v>
      </c>
      <c r="P891" s="7">
        <f t="shared" si="81"/>
        <v>0.90885664957353052</v>
      </c>
      <c r="Q891" s="7">
        <f t="shared" si="82"/>
        <v>8870.1714285714279</v>
      </c>
      <c r="R891">
        <f t="shared" si="83"/>
        <v>3.9405089989330628</v>
      </c>
    </row>
    <row r="892" spans="1:18" x14ac:dyDescent="0.25">
      <c r="A892" t="s">
        <v>539</v>
      </c>
      <c r="B892" t="s">
        <v>540</v>
      </c>
      <c r="C892" t="s">
        <v>8</v>
      </c>
      <c r="D892">
        <v>62075</v>
      </c>
      <c r="E892" s="1">
        <v>43738</v>
      </c>
      <c r="F892" s="2">
        <f t="shared" si="78"/>
        <v>2019</v>
      </c>
      <c r="G892">
        <v>43</v>
      </c>
      <c r="H892" s="3">
        <v>151940</v>
      </c>
      <c r="I892">
        <v>12241</v>
      </c>
      <c r="J892">
        <v>151940</v>
      </c>
      <c r="K892">
        <v>133096</v>
      </c>
      <c r="L892">
        <v>131991</v>
      </c>
      <c r="M892" t="str">
        <f t="shared" si="79"/>
        <v>Medium</v>
      </c>
      <c r="N892">
        <f>VLOOKUP(C892,Lookup!$A$2:$D$5,MATCH(M892,Lookup!$A$1:$D$1,0),FALSE)</f>
        <v>0.08</v>
      </c>
      <c r="O892">
        <f t="shared" si="80"/>
        <v>10559.28</v>
      </c>
      <c r="P892" s="7">
        <f t="shared" si="81"/>
        <v>0.87597735948400679</v>
      </c>
      <c r="Q892" s="7">
        <f t="shared" si="82"/>
        <v>3533.4883720930234</v>
      </c>
      <c r="R892">
        <f t="shared" si="83"/>
        <v>1.1592646468319809</v>
      </c>
    </row>
    <row r="893" spans="1:18" x14ac:dyDescent="0.25">
      <c r="A893" t="s">
        <v>539</v>
      </c>
      <c r="B893" t="s">
        <v>540</v>
      </c>
      <c r="C893" t="s">
        <v>8</v>
      </c>
      <c r="D893">
        <v>62075</v>
      </c>
      <c r="E893" s="1">
        <v>44104</v>
      </c>
      <c r="F893" s="2">
        <f t="shared" si="78"/>
        <v>2020</v>
      </c>
      <c r="G893">
        <v>40</v>
      </c>
      <c r="H893" s="3">
        <v>165503</v>
      </c>
      <c r="I893">
        <v>13219</v>
      </c>
      <c r="J893">
        <v>165503</v>
      </c>
      <c r="K893">
        <v>145186</v>
      </c>
      <c r="L893">
        <v>140091</v>
      </c>
      <c r="M893" t="str">
        <f t="shared" si="79"/>
        <v>Medium</v>
      </c>
      <c r="N893">
        <f>VLOOKUP(C893,Lookup!$A$2:$D$5,MATCH(M893,Lookup!$A$1:$D$1,0),FALSE)</f>
        <v>0.08</v>
      </c>
      <c r="O893">
        <f t="shared" si="80"/>
        <v>11207.28</v>
      </c>
      <c r="P893" s="7">
        <f t="shared" si="81"/>
        <v>0.87724089593542109</v>
      </c>
      <c r="Q893" s="7">
        <f t="shared" si="82"/>
        <v>4137.5749999999998</v>
      </c>
      <c r="R893">
        <f t="shared" si="83"/>
        <v>1.1795011813749634</v>
      </c>
    </row>
    <row r="894" spans="1:18" x14ac:dyDescent="0.25">
      <c r="A894" t="s">
        <v>539</v>
      </c>
      <c r="B894" t="s">
        <v>540</v>
      </c>
      <c r="C894" t="s">
        <v>8</v>
      </c>
      <c r="D894">
        <v>62075</v>
      </c>
      <c r="E894" s="1">
        <v>44469</v>
      </c>
      <c r="F894" s="2">
        <f t="shared" si="78"/>
        <v>2021</v>
      </c>
      <c r="G894">
        <v>41</v>
      </c>
      <c r="H894" s="3">
        <v>174216</v>
      </c>
      <c r="I894">
        <v>10789</v>
      </c>
      <c r="J894">
        <v>174216</v>
      </c>
      <c r="K894">
        <v>154609</v>
      </c>
      <c r="L894">
        <v>153535</v>
      </c>
      <c r="M894" t="str">
        <f t="shared" si="79"/>
        <v>Medium</v>
      </c>
      <c r="N894">
        <f>VLOOKUP(C894,Lookup!$A$2:$D$5,MATCH(M894,Lookup!$A$1:$D$1,0),FALSE)</f>
        <v>0.08</v>
      </c>
      <c r="O894">
        <f t="shared" si="80"/>
        <v>12282.800000000001</v>
      </c>
      <c r="P894" s="7">
        <f t="shared" si="81"/>
        <v>0.88745580199292828</v>
      </c>
      <c r="Q894" s="7">
        <f t="shared" si="82"/>
        <v>4249.1707317073169</v>
      </c>
      <c r="R894">
        <f t="shared" si="83"/>
        <v>0.87838277917087304</v>
      </c>
    </row>
    <row r="895" spans="1:18" x14ac:dyDescent="0.25">
      <c r="A895" t="s">
        <v>541</v>
      </c>
      <c r="B895" t="s">
        <v>542</v>
      </c>
      <c r="C895" t="s">
        <v>8</v>
      </c>
      <c r="D895">
        <v>62557</v>
      </c>
      <c r="E895" s="1">
        <v>43738</v>
      </c>
      <c r="F895" s="2">
        <f t="shared" si="78"/>
        <v>2019</v>
      </c>
      <c r="G895">
        <v>39</v>
      </c>
      <c r="H895" s="3">
        <v>187557</v>
      </c>
      <c r="I895">
        <v>19716</v>
      </c>
      <c r="J895">
        <v>187557</v>
      </c>
      <c r="K895">
        <v>165670</v>
      </c>
      <c r="L895">
        <v>164754</v>
      </c>
      <c r="M895" t="str">
        <f t="shared" si="79"/>
        <v>Medium</v>
      </c>
      <c r="N895">
        <f>VLOOKUP(C895,Lookup!$A$2:$D$5,MATCH(M895,Lookup!$A$1:$D$1,0),FALSE)</f>
        <v>0.08</v>
      </c>
      <c r="O895">
        <f t="shared" si="80"/>
        <v>13180.32</v>
      </c>
      <c r="P895" s="7">
        <f t="shared" si="81"/>
        <v>0.88330480867149719</v>
      </c>
      <c r="Q895" s="7">
        <f t="shared" si="82"/>
        <v>4809.1538461538457</v>
      </c>
      <c r="R895">
        <f t="shared" si="83"/>
        <v>1.4958665646964566</v>
      </c>
    </row>
    <row r="896" spans="1:18" x14ac:dyDescent="0.25">
      <c r="A896" t="s">
        <v>541</v>
      </c>
      <c r="B896" t="s">
        <v>542</v>
      </c>
      <c r="C896" t="s">
        <v>8</v>
      </c>
      <c r="D896">
        <v>62557</v>
      </c>
      <c r="E896" s="1">
        <v>44104</v>
      </c>
      <c r="F896" s="2">
        <f t="shared" si="78"/>
        <v>2020</v>
      </c>
      <c r="G896">
        <v>38</v>
      </c>
      <c r="H896" s="3">
        <v>225324</v>
      </c>
      <c r="I896">
        <v>32707</v>
      </c>
      <c r="J896">
        <v>225324</v>
      </c>
      <c r="K896">
        <v>201317</v>
      </c>
      <c r="L896">
        <v>195840</v>
      </c>
      <c r="M896" t="str">
        <f t="shared" si="79"/>
        <v>Medium</v>
      </c>
      <c r="N896">
        <f>VLOOKUP(C896,Lookup!$A$2:$D$5,MATCH(M896,Lookup!$A$1:$D$1,0),FALSE)</f>
        <v>0.08</v>
      </c>
      <c r="O896">
        <f t="shared" si="80"/>
        <v>15667.2</v>
      </c>
      <c r="P896" s="7">
        <f t="shared" si="81"/>
        <v>0.89345564609184991</v>
      </c>
      <c r="Q896" s="7">
        <f t="shared" si="82"/>
        <v>5929.5789473684208</v>
      </c>
      <c r="R896">
        <f t="shared" si="83"/>
        <v>2.087609783496732</v>
      </c>
    </row>
    <row r="897" spans="1:18" x14ac:dyDescent="0.25">
      <c r="A897" t="s">
        <v>541</v>
      </c>
      <c r="B897" t="s">
        <v>542</v>
      </c>
      <c r="C897" t="s">
        <v>8</v>
      </c>
      <c r="D897">
        <v>62557</v>
      </c>
      <c r="E897" s="1">
        <v>44469</v>
      </c>
      <c r="F897" s="2">
        <f t="shared" si="78"/>
        <v>2021</v>
      </c>
      <c r="G897">
        <v>40</v>
      </c>
      <c r="H897" s="3">
        <v>248684</v>
      </c>
      <c r="I897">
        <v>35591</v>
      </c>
      <c r="J897">
        <v>248684</v>
      </c>
      <c r="K897">
        <v>222361</v>
      </c>
      <c r="L897">
        <v>215872</v>
      </c>
      <c r="M897" t="str">
        <f t="shared" si="79"/>
        <v>Medium</v>
      </c>
      <c r="N897">
        <f>VLOOKUP(C897,Lookup!$A$2:$D$5,MATCH(M897,Lookup!$A$1:$D$1,0),FALSE)</f>
        <v>0.08</v>
      </c>
      <c r="O897">
        <f t="shared" si="80"/>
        <v>17269.760000000002</v>
      </c>
      <c r="P897" s="7">
        <f t="shared" si="81"/>
        <v>0.89415080986311946</v>
      </c>
      <c r="Q897" s="7">
        <f t="shared" si="82"/>
        <v>6217.1</v>
      </c>
      <c r="R897">
        <f t="shared" si="83"/>
        <v>2.0608856174029051</v>
      </c>
    </row>
    <row r="898" spans="1:18" x14ac:dyDescent="0.25">
      <c r="A898" t="s">
        <v>543</v>
      </c>
      <c r="B898" t="s">
        <v>544</v>
      </c>
      <c r="C898" t="s">
        <v>17</v>
      </c>
      <c r="D898">
        <v>12302</v>
      </c>
      <c r="E898" s="1">
        <v>43738</v>
      </c>
      <c r="F898" s="2">
        <f t="shared" ref="F898:F961" si="84">YEAR(E898)</f>
        <v>2019</v>
      </c>
      <c r="G898">
        <v>144</v>
      </c>
      <c r="H898" s="3">
        <v>508037</v>
      </c>
      <c r="I898">
        <v>32780</v>
      </c>
      <c r="J898">
        <v>508037</v>
      </c>
      <c r="K898">
        <v>470014</v>
      </c>
      <c r="L898">
        <v>461734</v>
      </c>
      <c r="M898" t="str">
        <f t="shared" ref="M898:M961" si="85">IF(H898&gt;1000000,"Large",IF(H898&lt;100000,"Small","Medium"))</f>
        <v>Medium</v>
      </c>
      <c r="N898">
        <f>VLOOKUP(C898,Lookup!$A$2:$D$5,MATCH(M898,Lookup!$A$1:$D$1,0),FALSE)</f>
        <v>8.5000000000000006E-2</v>
      </c>
      <c r="O898">
        <f t="shared" ref="O898:O961" si="86">L898*N898</f>
        <v>39247.39</v>
      </c>
      <c r="P898" s="7">
        <f t="shared" ref="P898:P961" si="87">K898/H898</f>
        <v>0.92515702596464433</v>
      </c>
      <c r="Q898" s="7">
        <f t="shared" ref="Q898:Q961" si="88">H898/G898</f>
        <v>3528.0347222222222</v>
      </c>
      <c r="R898">
        <f t="shared" ref="R898:R961" si="89">I898/O898</f>
        <v>0.83521477479139383</v>
      </c>
    </row>
    <row r="899" spans="1:18" x14ac:dyDescent="0.25">
      <c r="A899" t="s">
        <v>543</v>
      </c>
      <c r="B899" t="s">
        <v>544</v>
      </c>
      <c r="C899" t="s">
        <v>17</v>
      </c>
      <c r="D899">
        <v>12302</v>
      </c>
      <c r="E899" s="1">
        <v>44104</v>
      </c>
      <c r="F899" s="2">
        <f t="shared" si="84"/>
        <v>2020</v>
      </c>
      <c r="G899">
        <v>136</v>
      </c>
      <c r="H899" s="3">
        <v>603009</v>
      </c>
      <c r="I899">
        <v>110574</v>
      </c>
      <c r="J899">
        <v>603009</v>
      </c>
      <c r="K899">
        <v>562399</v>
      </c>
      <c r="L899">
        <v>553820</v>
      </c>
      <c r="M899" t="str">
        <f t="shared" si="85"/>
        <v>Medium</v>
      </c>
      <c r="N899">
        <f>VLOOKUP(C899,Lookup!$A$2:$D$5,MATCH(M899,Lookup!$A$1:$D$1,0),FALSE)</f>
        <v>8.5000000000000006E-2</v>
      </c>
      <c r="O899">
        <f t="shared" si="86"/>
        <v>47074.700000000004</v>
      </c>
      <c r="P899" s="7">
        <f t="shared" si="87"/>
        <v>0.932654404826462</v>
      </c>
      <c r="Q899" s="7">
        <f t="shared" si="88"/>
        <v>4433.8897058823532</v>
      </c>
      <c r="R899">
        <f t="shared" si="89"/>
        <v>2.3489050381627496</v>
      </c>
    </row>
    <row r="900" spans="1:18" x14ac:dyDescent="0.25">
      <c r="A900" t="s">
        <v>543</v>
      </c>
      <c r="B900" t="s">
        <v>544</v>
      </c>
      <c r="C900" t="s">
        <v>17</v>
      </c>
      <c r="D900">
        <v>12302</v>
      </c>
      <c r="E900" s="1">
        <v>44469</v>
      </c>
      <c r="F900" s="2">
        <f t="shared" si="84"/>
        <v>2021</v>
      </c>
      <c r="G900">
        <v>135</v>
      </c>
      <c r="H900" s="3">
        <v>682110</v>
      </c>
      <c r="I900">
        <v>114199</v>
      </c>
      <c r="J900">
        <v>682110</v>
      </c>
      <c r="K900">
        <v>635069</v>
      </c>
      <c r="L900">
        <v>625252</v>
      </c>
      <c r="M900" t="str">
        <f t="shared" si="85"/>
        <v>Medium</v>
      </c>
      <c r="N900">
        <f>VLOOKUP(C900,Lookup!$A$2:$D$5,MATCH(M900,Lookup!$A$1:$D$1,0),FALSE)</f>
        <v>8.5000000000000006E-2</v>
      </c>
      <c r="O900">
        <f t="shared" si="86"/>
        <v>53146.420000000006</v>
      </c>
      <c r="P900" s="7">
        <f t="shared" si="87"/>
        <v>0.93103604990397448</v>
      </c>
      <c r="Q900" s="7">
        <f t="shared" si="88"/>
        <v>5052.666666666667</v>
      </c>
      <c r="R900">
        <f t="shared" si="89"/>
        <v>2.1487618545143774</v>
      </c>
    </row>
    <row r="901" spans="1:18" x14ac:dyDescent="0.25">
      <c r="A901" t="s">
        <v>545</v>
      </c>
      <c r="B901" t="s">
        <v>546</v>
      </c>
      <c r="C901" t="s">
        <v>8</v>
      </c>
      <c r="D901">
        <v>62288</v>
      </c>
      <c r="E901" s="1">
        <v>43738</v>
      </c>
      <c r="F901" s="2">
        <f t="shared" si="84"/>
        <v>2019</v>
      </c>
      <c r="G901">
        <v>42</v>
      </c>
      <c r="H901" s="3">
        <v>204451</v>
      </c>
      <c r="I901">
        <v>5723</v>
      </c>
      <c r="J901">
        <v>204451</v>
      </c>
      <c r="K901">
        <v>172944</v>
      </c>
      <c r="L901">
        <v>168242</v>
      </c>
      <c r="M901" t="str">
        <f t="shared" si="85"/>
        <v>Medium</v>
      </c>
      <c r="N901">
        <f>VLOOKUP(C901,Lookup!$A$2:$D$5,MATCH(M901,Lookup!$A$1:$D$1,0),FALSE)</f>
        <v>0.08</v>
      </c>
      <c r="O901">
        <f t="shared" si="86"/>
        <v>13459.36</v>
      </c>
      <c r="P901" s="7">
        <f t="shared" si="87"/>
        <v>0.84589461533570387</v>
      </c>
      <c r="Q901" s="7">
        <f t="shared" si="88"/>
        <v>4867.8809523809523</v>
      </c>
      <c r="R901">
        <f t="shared" si="89"/>
        <v>0.42520595332913302</v>
      </c>
    </row>
    <row r="902" spans="1:18" x14ac:dyDescent="0.25">
      <c r="A902" t="s">
        <v>545</v>
      </c>
      <c r="B902" t="s">
        <v>546</v>
      </c>
      <c r="C902" t="s">
        <v>8</v>
      </c>
      <c r="D902">
        <v>62288</v>
      </c>
      <c r="E902" s="1">
        <v>44104</v>
      </c>
      <c r="F902" s="2">
        <f t="shared" si="84"/>
        <v>2020</v>
      </c>
      <c r="G902">
        <v>40</v>
      </c>
      <c r="H902" s="3">
        <v>234865</v>
      </c>
      <c r="I902">
        <v>4800</v>
      </c>
      <c r="J902">
        <v>234865</v>
      </c>
      <c r="K902">
        <v>200751</v>
      </c>
      <c r="L902">
        <v>190898</v>
      </c>
      <c r="M902" t="str">
        <f t="shared" si="85"/>
        <v>Medium</v>
      </c>
      <c r="N902">
        <f>VLOOKUP(C902,Lookup!$A$2:$D$5,MATCH(M902,Lookup!$A$1:$D$1,0),FALSE)</f>
        <v>0.08</v>
      </c>
      <c r="O902">
        <f t="shared" si="86"/>
        <v>15271.84</v>
      </c>
      <c r="P902" s="7">
        <f t="shared" si="87"/>
        <v>0.85475060140932024</v>
      </c>
      <c r="Q902" s="7">
        <f t="shared" si="88"/>
        <v>5871.625</v>
      </c>
      <c r="R902">
        <f t="shared" si="89"/>
        <v>0.31430397384990938</v>
      </c>
    </row>
    <row r="903" spans="1:18" x14ac:dyDescent="0.25">
      <c r="A903" t="s">
        <v>545</v>
      </c>
      <c r="B903" t="s">
        <v>546</v>
      </c>
      <c r="C903" t="s">
        <v>8</v>
      </c>
      <c r="D903">
        <v>62288</v>
      </c>
      <c r="E903" s="1">
        <v>44469</v>
      </c>
      <c r="F903" s="2">
        <f t="shared" si="84"/>
        <v>2021</v>
      </c>
      <c r="G903">
        <v>39</v>
      </c>
      <c r="H903" s="3">
        <v>244689</v>
      </c>
      <c r="I903">
        <v>5016</v>
      </c>
      <c r="J903">
        <v>244689</v>
      </c>
      <c r="K903">
        <v>211034</v>
      </c>
      <c r="L903">
        <v>201296</v>
      </c>
      <c r="M903" t="str">
        <f t="shared" si="85"/>
        <v>Medium</v>
      </c>
      <c r="N903">
        <f>VLOOKUP(C903,Lookup!$A$2:$D$5,MATCH(M903,Lookup!$A$1:$D$1,0),FALSE)</f>
        <v>0.08</v>
      </c>
      <c r="O903">
        <f t="shared" si="86"/>
        <v>16103.68</v>
      </c>
      <c r="P903" s="7">
        <f t="shared" si="87"/>
        <v>0.86245805900551309</v>
      </c>
      <c r="Q903" s="7">
        <f t="shared" si="88"/>
        <v>6274.0769230769229</v>
      </c>
      <c r="R903">
        <f t="shared" si="89"/>
        <v>0.31148159923694457</v>
      </c>
    </row>
    <row r="904" spans="1:18" x14ac:dyDescent="0.25">
      <c r="A904" t="s">
        <v>547</v>
      </c>
      <c r="B904" t="s">
        <v>548</v>
      </c>
      <c r="C904" t="s">
        <v>8</v>
      </c>
      <c r="D904">
        <v>62298</v>
      </c>
      <c r="E904" s="1">
        <v>43738</v>
      </c>
      <c r="F904" s="2">
        <f t="shared" si="84"/>
        <v>2019</v>
      </c>
      <c r="G904">
        <v>106</v>
      </c>
      <c r="H904" s="3">
        <v>485473</v>
      </c>
      <c r="I904">
        <v>23431</v>
      </c>
      <c r="J904">
        <v>485473</v>
      </c>
      <c r="K904">
        <v>430514</v>
      </c>
      <c r="L904">
        <v>401281</v>
      </c>
      <c r="M904" t="str">
        <f t="shared" si="85"/>
        <v>Medium</v>
      </c>
      <c r="N904">
        <f>VLOOKUP(C904,Lookup!$A$2:$D$5,MATCH(M904,Lookup!$A$1:$D$1,0),FALSE)</f>
        <v>0.08</v>
      </c>
      <c r="O904">
        <f t="shared" si="86"/>
        <v>32102.48</v>
      </c>
      <c r="P904" s="7">
        <f t="shared" si="87"/>
        <v>0.88679288034555992</v>
      </c>
      <c r="Q904" s="7">
        <f t="shared" si="88"/>
        <v>4579.933962264151</v>
      </c>
      <c r="R904">
        <f t="shared" si="89"/>
        <v>0.7298813051203521</v>
      </c>
    </row>
    <row r="905" spans="1:18" x14ac:dyDescent="0.25">
      <c r="A905" t="s">
        <v>547</v>
      </c>
      <c r="B905" t="s">
        <v>548</v>
      </c>
      <c r="C905" t="s">
        <v>8</v>
      </c>
      <c r="D905">
        <v>62298</v>
      </c>
      <c r="E905" s="1">
        <v>44104</v>
      </c>
      <c r="F905" s="2">
        <f t="shared" si="84"/>
        <v>2020</v>
      </c>
      <c r="G905">
        <v>132</v>
      </c>
      <c r="H905" s="3">
        <v>731136</v>
      </c>
      <c r="I905">
        <v>95056</v>
      </c>
      <c r="J905">
        <v>731136</v>
      </c>
      <c r="K905">
        <v>662654</v>
      </c>
      <c r="L905">
        <v>615204</v>
      </c>
      <c r="M905" t="str">
        <f t="shared" si="85"/>
        <v>Medium</v>
      </c>
      <c r="N905">
        <f>VLOOKUP(C905,Lookup!$A$2:$D$5,MATCH(M905,Lookup!$A$1:$D$1,0),FALSE)</f>
        <v>0.08</v>
      </c>
      <c r="O905">
        <f t="shared" si="86"/>
        <v>49216.32</v>
      </c>
      <c r="P905" s="7">
        <f t="shared" si="87"/>
        <v>0.90633479954481788</v>
      </c>
      <c r="Q905" s="7">
        <f t="shared" si="88"/>
        <v>5538.909090909091</v>
      </c>
      <c r="R905">
        <f t="shared" si="89"/>
        <v>1.9313918635119407</v>
      </c>
    </row>
    <row r="906" spans="1:18" x14ac:dyDescent="0.25">
      <c r="A906" t="s">
        <v>547</v>
      </c>
      <c r="B906" t="s">
        <v>548</v>
      </c>
      <c r="C906" t="s">
        <v>8</v>
      </c>
      <c r="D906">
        <v>62298</v>
      </c>
      <c r="E906" s="1">
        <v>44469</v>
      </c>
      <c r="F906" s="2">
        <f t="shared" si="84"/>
        <v>2021</v>
      </c>
      <c r="G906">
        <v>141</v>
      </c>
      <c r="H906" s="3">
        <v>820792</v>
      </c>
      <c r="I906">
        <v>47604</v>
      </c>
      <c r="J906">
        <v>820792</v>
      </c>
      <c r="K906">
        <v>749927</v>
      </c>
      <c r="L906">
        <v>710440</v>
      </c>
      <c r="M906" t="str">
        <f t="shared" si="85"/>
        <v>Medium</v>
      </c>
      <c r="N906">
        <f>VLOOKUP(C906,Lookup!$A$2:$D$5,MATCH(M906,Lookup!$A$1:$D$1,0),FALSE)</f>
        <v>0.08</v>
      </c>
      <c r="O906">
        <f t="shared" si="86"/>
        <v>56835.200000000004</v>
      </c>
      <c r="P906" s="7">
        <f t="shared" si="87"/>
        <v>0.91366265753077514</v>
      </c>
      <c r="Q906" s="7">
        <f t="shared" si="88"/>
        <v>5821.2198581560287</v>
      </c>
      <c r="R906">
        <f t="shared" si="89"/>
        <v>0.83757952817971959</v>
      </c>
    </row>
    <row r="907" spans="1:18" x14ac:dyDescent="0.25">
      <c r="A907" t="s">
        <v>549</v>
      </c>
      <c r="B907" t="s">
        <v>28</v>
      </c>
      <c r="C907" t="s">
        <v>8</v>
      </c>
      <c r="D907">
        <v>60631</v>
      </c>
      <c r="E907" s="1">
        <v>43738</v>
      </c>
      <c r="F907" s="2">
        <f t="shared" si="84"/>
        <v>2019</v>
      </c>
      <c r="G907">
        <v>39</v>
      </c>
      <c r="H907" s="3">
        <v>358961</v>
      </c>
      <c r="I907">
        <v>45826</v>
      </c>
      <c r="J907">
        <v>358961</v>
      </c>
      <c r="K907">
        <v>311668</v>
      </c>
      <c r="L907">
        <v>288506</v>
      </c>
      <c r="M907" t="str">
        <f t="shared" si="85"/>
        <v>Medium</v>
      </c>
      <c r="N907">
        <f>VLOOKUP(C907,Lookup!$A$2:$D$5,MATCH(M907,Lookup!$A$1:$D$1,0),FALSE)</f>
        <v>0.08</v>
      </c>
      <c r="O907">
        <f t="shared" si="86"/>
        <v>23080.48</v>
      </c>
      <c r="P907" s="7">
        <f t="shared" si="87"/>
        <v>0.86825031131515684</v>
      </c>
      <c r="Q907" s="7">
        <f t="shared" si="88"/>
        <v>9204.1282051282051</v>
      </c>
      <c r="R907">
        <f t="shared" si="89"/>
        <v>1.9854873035569451</v>
      </c>
    </row>
    <row r="908" spans="1:18" x14ac:dyDescent="0.25">
      <c r="A908" t="s">
        <v>549</v>
      </c>
      <c r="B908" t="s">
        <v>28</v>
      </c>
      <c r="C908" t="s">
        <v>8</v>
      </c>
      <c r="D908">
        <v>60631</v>
      </c>
      <c r="E908" s="1">
        <v>44104</v>
      </c>
      <c r="F908" s="2">
        <f t="shared" si="84"/>
        <v>2020</v>
      </c>
      <c r="G908">
        <v>39</v>
      </c>
      <c r="H908" s="3">
        <v>408552</v>
      </c>
      <c r="I908">
        <v>82329</v>
      </c>
      <c r="J908">
        <v>408552</v>
      </c>
      <c r="K908">
        <v>358069</v>
      </c>
      <c r="L908">
        <v>333578</v>
      </c>
      <c r="M908" t="str">
        <f t="shared" si="85"/>
        <v>Medium</v>
      </c>
      <c r="N908">
        <f>VLOOKUP(C908,Lookup!$A$2:$D$5,MATCH(M908,Lookup!$A$1:$D$1,0),FALSE)</f>
        <v>0.08</v>
      </c>
      <c r="O908">
        <f t="shared" si="86"/>
        <v>26686.240000000002</v>
      </c>
      <c r="P908" s="7">
        <f t="shared" si="87"/>
        <v>0.87643433394035519</v>
      </c>
      <c r="Q908" s="7">
        <f t="shared" si="88"/>
        <v>10475.692307692309</v>
      </c>
      <c r="R908">
        <f t="shared" si="89"/>
        <v>3.0850730563766193</v>
      </c>
    </row>
    <row r="909" spans="1:18" x14ac:dyDescent="0.25">
      <c r="A909" t="s">
        <v>549</v>
      </c>
      <c r="B909" t="s">
        <v>28</v>
      </c>
      <c r="C909" t="s">
        <v>8</v>
      </c>
      <c r="D909">
        <v>60631</v>
      </c>
      <c r="E909" s="1">
        <v>44469</v>
      </c>
      <c r="F909" s="2">
        <f t="shared" si="84"/>
        <v>2021</v>
      </c>
      <c r="G909">
        <v>40</v>
      </c>
      <c r="H909" s="3">
        <v>484056</v>
      </c>
      <c r="I909">
        <v>160588</v>
      </c>
      <c r="J909">
        <v>484056</v>
      </c>
      <c r="K909">
        <v>432240</v>
      </c>
      <c r="L909">
        <v>413285</v>
      </c>
      <c r="M909" t="str">
        <f t="shared" si="85"/>
        <v>Medium</v>
      </c>
      <c r="N909">
        <f>VLOOKUP(C909,Lookup!$A$2:$D$5,MATCH(M909,Lookup!$A$1:$D$1,0),FALSE)</f>
        <v>0.08</v>
      </c>
      <c r="O909">
        <f t="shared" si="86"/>
        <v>33062.800000000003</v>
      </c>
      <c r="P909" s="7">
        <f t="shared" si="87"/>
        <v>0.89295453418612725</v>
      </c>
      <c r="Q909" s="7">
        <f t="shared" si="88"/>
        <v>12101.4</v>
      </c>
      <c r="R909">
        <f t="shared" si="89"/>
        <v>4.8570598981332491</v>
      </c>
    </row>
    <row r="910" spans="1:18" x14ac:dyDescent="0.25">
      <c r="A910" t="s">
        <v>550</v>
      </c>
      <c r="B910" t="s">
        <v>551</v>
      </c>
      <c r="C910" t="s">
        <v>8</v>
      </c>
      <c r="D910">
        <v>62468</v>
      </c>
      <c r="E910" s="1">
        <v>43738</v>
      </c>
      <c r="F910" s="2">
        <f t="shared" si="84"/>
        <v>2019</v>
      </c>
      <c r="G910">
        <v>109</v>
      </c>
      <c r="H910" s="3">
        <v>437713</v>
      </c>
      <c r="I910">
        <v>26568</v>
      </c>
      <c r="J910">
        <v>437713</v>
      </c>
      <c r="K910">
        <v>387260</v>
      </c>
      <c r="L910">
        <v>345422</v>
      </c>
      <c r="M910" t="str">
        <f t="shared" si="85"/>
        <v>Medium</v>
      </c>
      <c r="N910">
        <f>VLOOKUP(C910,Lookup!$A$2:$D$5,MATCH(M910,Lookup!$A$1:$D$1,0),FALSE)</f>
        <v>0.08</v>
      </c>
      <c r="O910">
        <f t="shared" si="86"/>
        <v>27633.760000000002</v>
      </c>
      <c r="P910" s="7">
        <f t="shared" si="87"/>
        <v>0.88473497474372476</v>
      </c>
      <c r="Q910" s="7">
        <f t="shared" si="88"/>
        <v>4015.7155963302753</v>
      </c>
      <c r="R910">
        <f t="shared" si="89"/>
        <v>0.96143268234217849</v>
      </c>
    </row>
    <row r="911" spans="1:18" x14ac:dyDescent="0.25">
      <c r="A911" t="s">
        <v>550</v>
      </c>
      <c r="B911" t="s">
        <v>551</v>
      </c>
      <c r="C911" t="s">
        <v>8</v>
      </c>
      <c r="D911">
        <v>62468</v>
      </c>
      <c r="E911" s="1">
        <v>44104</v>
      </c>
      <c r="F911" s="2">
        <f t="shared" si="84"/>
        <v>2020</v>
      </c>
      <c r="G911">
        <v>120</v>
      </c>
      <c r="H911" s="3">
        <v>508582</v>
      </c>
      <c r="I911">
        <v>65950</v>
      </c>
      <c r="J911">
        <v>508582</v>
      </c>
      <c r="K911">
        <v>455341</v>
      </c>
      <c r="L911">
        <v>397988</v>
      </c>
      <c r="M911" t="str">
        <f t="shared" si="85"/>
        <v>Medium</v>
      </c>
      <c r="N911">
        <f>VLOOKUP(C911,Lookup!$A$2:$D$5,MATCH(M911,Lookup!$A$1:$D$1,0),FALSE)</f>
        <v>0.08</v>
      </c>
      <c r="O911">
        <f t="shared" si="86"/>
        <v>31839.040000000001</v>
      </c>
      <c r="P911" s="7">
        <f t="shared" si="87"/>
        <v>0.89531481648976963</v>
      </c>
      <c r="Q911" s="7">
        <f t="shared" si="88"/>
        <v>4238.1833333333334</v>
      </c>
      <c r="R911">
        <f t="shared" si="89"/>
        <v>2.0713564228067178</v>
      </c>
    </row>
    <row r="912" spans="1:18" x14ac:dyDescent="0.25">
      <c r="A912" t="s">
        <v>550</v>
      </c>
      <c r="B912" t="s">
        <v>551</v>
      </c>
      <c r="C912" t="s">
        <v>8</v>
      </c>
      <c r="D912">
        <v>62468</v>
      </c>
      <c r="E912" s="1">
        <v>44469</v>
      </c>
      <c r="F912" s="2">
        <f t="shared" si="84"/>
        <v>2021</v>
      </c>
      <c r="G912">
        <v>123</v>
      </c>
      <c r="H912" s="3">
        <v>544354</v>
      </c>
      <c r="I912">
        <v>110345</v>
      </c>
      <c r="J912">
        <v>544354</v>
      </c>
      <c r="K912">
        <v>487899</v>
      </c>
      <c r="L912">
        <v>437291</v>
      </c>
      <c r="M912" t="str">
        <f t="shared" si="85"/>
        <v>Medium</v>
      </c>
      <c r="N912">
        <f>VLOOKUP(C912,Lookup!$A$2:$D$5,MATCH(M912,Lookup!$A$1:$D$1,0),FALSE)</f>
        <v>0.08</v>
      </c>
      <c r="O912">
        <f t="shared" si="86"/>
        <v>34983.279999999999</v>
      </c>
      <c r="P912" s="7">
        <f t="shared" si="87"/>
        <v>0.89628991428371974</v>
      </c>
      <c r="Q912" s="7">
        <f t="shared" si="88"/>
        <v>4425.6422764227646</v>
      </c>
      <c r="R912">
        <f t="shared" si="89"/>
        <v>3.1542211021951059</v>
      </c>
    </row>
    <row r="913" spans="1:18" x14ac:dyDescent="0.25">
      <c r="A913" t="s">
        <v>552</v>
      </c>
      <c r="B913" t="s">
        <v>553</v>
      </c>
      <c r="C913" t="s">
        <v>5</v>
      </c>
      <c r="D913">
        <v>95620</v>
      </c>
      <c r="E913" s="1">
        <v>43738</v>
      </c>
      <c r="F913" s="2">
        <f t="shared" si="84"/>
        <v>2019</v>
      </c>
      <c r="G913">
        <v>209</v>
      </c>
      <c r="H913" s="3">
        <v>1287263</v>
      </c>
      <c r="I913">
        <v>151038</v>
      </c>
      <c r="J913">
        <v>1287263</v>
      </c>
      <c r="K913">
        <v>1161110</v>
      </c>
      <c r="L913">
        <v>1141403</v>
      </c>
      <c r="M913" t="str">
        <f t="shared" si="85"/>
        <v>Large</v>
      </c>
      <c r="N913">
        <f>VLOOKUP(C913,Lookup!$A$2:$D$5,MATCH(M913,Lookup!$A$1:$D$1,0),FALSE)</f>
        <v>0.08</v>
      </c>
      <c r="O913">
        <f t="shared" si="86"/>
        <v>91312.24</v>
      </c>
      <c r="P913" s="7">
        <f t="shared" si="87"/>
        <v>0.90199904759167315</v>
      </c>
      <c r="Q913" s="7">
        <f t="shared" si="88"/>
        <v>6159.1531100478469</v>
      </c>
      <c r="R913">
        <f t="shared" si="89"/>
        <v>1.6540827385244299</v>
      </c>
    </row>
    <row r="914" spans="1:18" x14ac:dyDescent="0.25">
      <c r="A914" t="s">
        <v>552</v>
      </c>
      <c r="B914" t="s">
        <v>553</v>
      </c>
      <c r="C914" t="s">
        <v>5</v>
      </c>
      <c r="D914">
        <v>95620</v>
      </c>
      <c r="E914" s="1">
        <v>44104</v>
      </c>
      <c r="F914" s="2">
        <f t="shared" si="84"/>
        <v>2020</v>
      </c>
      <c r="G914">
        <v>211</v>
      </c>
      <c r="H914" s="3">
        <v>1677266</v>
      </c>
      <c r="I914">
        <v>293785</v>
      </c>
      <c r="J914">
        <v>1677266</v>
      </c>
      <c r="K914">
        <v>1532736</v>
      </c>
      <c r="L914">
        <v>1502841</v>
      </c>
      <c r="M914" t="str">
        <f t="shared" si="85"/>
        <v>Large</v>
      </c>
      <c r="N914">
        <f>VLOOKUP(C914,Lookup!$A$2:$D$5,MATCH(M914,Lookup!$A$1:$D$1,0),FALSE)</f>
        <v>0.08</v>
      </c>
      <c r="O914">
        <f t="shared" si="86"/>
        <v>120227.28</v>
      </c>
      <c r="P914" s="7">
        <f t="shared" si="87"/>
        <v>0.91383000668945769</v>
      </c>
      <c r="Q914" s="7">
        <f t="shared" si="88"/>
        <v>7949.1279620853084</v>
      </c>
      <c r="R914">
        <f t="shared" si="89"/>
        <v>2.4435801924488354</v>
      </c>
    </row>
    <row r="915" spans="1:18" x14ac:dyDescent="0.25">
      <c r="A915" t="s">
        <v>552</v>
      </c>
      <c r="B915" t="s">
        <v>553</v>
      </c>
      <c r="C915" t="s">
        <v>5</v>
      </c>
      <c r="D915">
        <v>95620</v>
      </c>
      <c r="E915" s="1">
        <v>44469</v>
      </c>
      <c r="F915" s="2">
        <f t="shared" si="84"/>
        <v>2021</v>
      </c>
      <c r="G915">
        <v>189</v>
      </c>
      <c r="H915" s="3">
        <v>1924456</v>
      </c>
      <c r="I915">
        <v>429139</v>
      </c>
      <c r="J915">
        <v>1924456</v>
      </c>
      <c r="K915">
        <v>1771876</v>
      </c>
      <c r="L915">
        <v>1751620</v>
      </c>
      <c r="M915" t="str">
        <f t="shared" si="85"/>
        <v>Large</v>
      </c>
      <c r="N915">
        <f>VLOOKUP(C915,Lookup!$A$2:$D$5,MATCH(M915,Lookup!$A$1:$D$1,0),FALSE)</f>
        <v>0.08</v>
      </c>
      <c r="O915">
        <f t="shared" si="86"/>
        <v>140129.60000000001</v>
      </c>
      <c r="P915" s="7">
        <f t="shared" si="87"/>
        <v>0.9207152566751331</v>
      </c>
      <c r="Q915" s="7">
        <f t="shared" si="88"/>
        <v>10182.306878306877</v>
      </c>
      <c r="R915">
        <f t="shared" si="89"/>
        <v>3.0624436236169945</v>
      </c>
    </row>
    <row r="916" spans="1:18" x14ac:dyDescent="0.25">
      <c r="A916" t="s">
        <v>554</v>
      </c>
      <c r="B916" t="s">
        <v>101</v>
      </c>
      <c r="C916" t="s">
        <v>5</v>
      </c>
      <c r="D916">
        <v>94111</v>
      </c>
      <c r="E916" s="1">
        <v>43738</v>
      </c>
      <c r="F916" s="2">
        <f t="shared" si="84"/>
        <v>2019</v>
      </c>
      <c r="G916">
        <v>4880</v>
      </c>
      <c r="H916" s="3">
        <v>111028735</v>
      </c>
      <c r="I916">
        <v>2181600</v>
      </c>
      <c r="J916">
        <v>111028735</v>
      </c>
      <c r="K916">
        <v>101597529</v>
      </c>
      <c r="L916">
        <v>85720519</v>
      </c>
      <c r="M916" t="str">
        <f t="shared" si="85"/>
        <v>Large</v>
      </c>
      <c r="N916">
        <f>VLOOKUP(C916,Lookup!$A$2:$D$5,MATCH(M916,Lookup!$A$1:$D$1,0),FALSE)</f>
        <v>0.08</v>
      </c>
      <c r="O916">
        <f t="shared" si="86"/>
        <v>6857641.5200000005</v>
      </c>
      <c r="P916" s="7">
        <f t="shared" si="87"/>
        <v>0.915056169918535</v>
      </c>
      <c r="Q916" s="7">
        <f t="shared" si="88"/>
        <v>22751.789959016394</v>
      </c>
      <c r="R916">
        <f t="shared" si="89"/>
        <v>0.31812686528414508</v>
      </c>
    </row>
    <row r="917" spans="1:18" x14ac:dyDescent="0.25">
      <c r="A917" t="s">
        <v>554</v>
      </c>
      <c r="B917" t="s">
        <v>101</v>
      </c>
      <c r="C917" t="s">
        <v>5</v>
      </c>
      <c r="D917">
        <v>94111</v>
      </c>
      <c r="E917" s="1">
        <v>44104</v>
      </c>
      <c r="F917" s="2">
        <f t="shared" si="84"/>
        <v>2020</v>
      </c>
      <c r="G917">
        <v>5294</v>
      </c>
      <c r="H917" s="3">
        <v>133225771</v>
      </c>
      <c r="I917">
        <v>3691149</v>
      </c>
      <c r="J917">
        <v>133225771</v>
      </c>
      <c r="K917">
        <v>121881162</v>
      </c>
      <c r="L917">
        <v>104403376</v>
      </c>
      <c r="M917" t="str">
        <f t="shared" si="85"/>
        <v>Large</v>
      </c>
      <c r="N917">
        <f>VLOOKUP(C917,Lookup!$A$2:$D$5,MATCH(M917,Lookup!$A$1:$D$1,0),FALSE)</f>
        <v>0.08</v>
      </c>
      <c r="O917">
        <f t="shared" si="86"/>
        <v>8352270.0800000001</v>
      </c>
      <c r="P917" s="7">
        <f t="shared" si="87"/>
        <v>0.91484673787326032</v>
      </c>
      <c r="Q917" s="7">
        <f t="shared" si="88"/>
        <v>25165.427087268607</v>
      </c>
      <c r="R917">
        <f t="shared" si="89"/>
        <v>0.4419336257862006</v>
      </c>
    </row>
    <row r="918" spans="1:18" x14ac:dyDescent="0.25">
      <c r="A918" t="s">
        <v>554</v>
      </c>
      <c r="B918" t="s">
        <v>101</v>
      </c>
      <c r="C918" t="s">
        <v>5</v>
      </c>
      <c r="D918">
        <v>94111</v>
      </c>
      <c r="E918" s="1">
        <v>44469</v>
      </c>
      <c r="F918" s="2">
        <f t="shared" si="84"/>
        <v>2021</v>
      </c>
      <c r="G918">
        <v>6154</v>
      </c>
      <c r="H918" s="3">
        <v>172570503</v>
      </c>
      <c r="I918">
        <v>12279447</v>
      </c>
      <c r="J918">
        <v>172570503</v>
      </c>
      <c r="K918">
        <v>157768709</v>
      </c>
      <c r="L918">
        <v>145326345</v>
      </c>
      <c r="M918" t="str">
        <f t="shared" si="85"/>
        <v>Large</v>
      </c>
      <c r="N918">
        <f>VLOOKUP(C918,Lookup!$A$2:$D$5,MATCH(M918,Lookup!$A$1:$D$1,0),FALSE)</f>
        <v>0.08</v>
      </c>
      <c r="O918">
        <f t="shared" si="86"/>
        <v>11626107.6</v>
      </c>
      <c r="P918" s="7">
        <f t="shared" si="87"/>
        <v>0.91422755486782115</v>
      </c>
      <c r="Q918" s="7">
        <f t="shared" si="88"/>
        <v>28042.005687357818</v>
      </c>
      <c r="R918">
        <f t="shared" si="89"/>
        <v>1.0561958845108228</v>
      </c>
    </row>
    <row r="919" spans="1:18" x14ac:dyDescent="0.25">
      <c r="A919" t="s">
        <v>555</v>
      </c>
      <c r="B919" t="s">
        <v>556</v>
      </c>
      <c r="C919" t="s">
        <v>8</v>
      </c>
      <c r="D919">
        <v>62454</v>
      </c>
      <c r="E919" s="1">
        <v>43738</v>
      </c>
      <c r="F919" s="2">
        <f t="shared" si="84"/>
        <v>2019</v>
      </c>
      <c r="G919">
        <v>87</v>
      </c>
      <c r="H919" s="3">
        <v>338010</v>
      </c>
      <c r="I919">
        <v>48685</v>
      </c>
      <c r="J919">
        <v>338010</v>
      </c>
      <c r="K919">
        <v>305500</v>
      </c>
      <c r="L919">
        <v>278664</v>
      </c>
      <c r="M919" t="str">
        <f t="shared" si="85"/>
        <v>Medium</v>
      </c>
      <c r="N919">
        <f>VLOOKUP(C919,Lookup!$A$2:$D$5,MATCH(M919,Lookup!$A$1:$D$1,0),FALSE)</f>
        <v>0.08</v>
      </c>
      <c r="O919">
        <f t="shared" si="86"/>
        <v>22293.119999999999</v>
      </c>
      <c r="P919" s="7">
        <f t="shared" si="87"/>
        <v>0.90381941362681573</v>
      </c>
      <c r="Q919" s="7">
        <f t="shared" si="88"/>
        <v>3885.1724137931033</v>
      </c>
      <c r="R919">
        <f t="shared" si="89"/>
        <v>2.1838576206470877</v>
      </c>
    </row>
    <row r="920" spans="1:18" x14ac:dyDescent="0.25">
      <c r="A920" t="s">
        <v>555</v>
      </c>
      <c r="B920" t="s">
        <v>556</v>
      </c>
      <c r="C920" t="s">
        <v>8</v>
      </c>
      <c r="D920">
        <v>62454</v>
      </c>
      <c r="E920" s="1">
        <v>44104</v>
      </c>
      <c r="F920" s="2">
        <f t="shared" si="84"/>
        <v>2020</v>
      </c>
      <c r="G920">
        <v>86</v>
      </c>
      <c r="H920" s="3">
        <v>390480</v>
      </c>
      <c r="I920">
        <v>30511</v>
      </c>
      <c r="J920">
        <v>390480</v>
      </c>
      <c r="K920">
        <v>355488</v>
      </c>
      <c r="L920">
        <v>329582</v>
      </c>
      <c r="M920" t="str">
        <f t="shared" si="85"/>
        <v>Medium</v>
      </c>
      <c r="N920">
        <f>VLOOKUP(C920,Lookup!$A$2:$D$5,MATCH(M920,Lookup!$A$1:$D$1,0),FALSE)</f>
        <v>0.08</v>
      </c>
      <c r="O920">
        <f t="shared" si="86"/>
        <v>26366.560000000001</v>
      </c>
      <c r="P920" s="7">
        <f t="shared" si="87"/>
        <v>0.91038721573448067</v>
      </c>
      <c r="Q920" s="7">
        <f t="shared" si="88"/>
        <v>4540.4651162790697</v>
      </c>
      <c r="R920">
        <f t="shared" si="89"/>
        <v>1.1571854652256495</v>
      </c>
    </row>
    <row r="921" spans="1:18" x14ac:dyDescent="0.25">
      <c r="A921" t="s">
        <v>555</v>
      </c>
      <c r="B921" t="s">
        <v>556</v>
      </c>
      <c r="C921" t="s">
        <v>8</v>
      </c>
      <c r="D921">
        <v>62454</v>
      </c>
      <c r="E921" s="1">
        <v>44469</v>
      </c>
      <c r="F921" s="2">
        <f t="shared" si="84"/>
        <v>2021</v>
      </c>
      <c r="G921">
        <v>89</v>
      </c>
      <c r="H921" s="3">
        <v>437078</v>
      </c>
      <c r="I921">
        <v>32491</v>
      </c>
      <c r="J921">
        <v>437078</v>
      </c>
      <c r="K921">
        <v>401674</v>
      </c>
      <c r="L921">
        <v>366836</v>
      </c>
      <c r="M921" t="str">
        <f t="shared" si="85"/>
        <v>Medium</v>
      </c>
      <c r="N921">
        <f>VLOOKUP(C921,Lookup!$A$2:$D$5,MATCH(M921,Lookup!$A$1:$D$1,0),FALSE)</f>
        <v>0.08</v>
      </c>
      <c r="O921">
        <f t="shared" si="86"/>
        <v>29346.880000000001</v>
      </c>
      <c r="P921" s="7">
        <f t="shared" si="87"/>
        <v>0.91899843963777628</v>
      </c>
      <c r="Q921" s="7">
        <f t="shared" si="88"/>
        <v>4910.9887640449442</v>
      </c>
      <c r="R921">
        <f t="shared" si="89"/>
        <v>1.1071364315388892</v>
      </c>
    </row>
    <row r="922" spans="1:18" x14ac:dyDescent="0.25">
      <c r="A922" t="s">
        <v>557</v>
      </c>
      <c r="B922" t="s">
        <v>558</v>
      </c>
      <c r="C922" t="s">
        <v>8</v>
      </c>
      <c r="D922">
        <v>61074</v>
      </c>
      <c r="E922" s="1">
        <v>43738</v>
      </c>
      <c r="F922" s="2">
        <f t="shared" si="84"/>
        <v>2019</v>
      </c>
      <c r="G922">
        <v>6</v>
      </c>
      <c r="H922" s="3">
        <v>11819</v>
      </c>
      <c r="I922">
        <v>1167</v>
      </c>
      <c r="J922">
        <v>11819</v>
      </c>
      <c r="K922">
        <v>10629</v>
      </c>
      <c r="L922">
        <v>10522</v>
      </c>
      <c r="M922" t="str">
        <f t="shared" si="85"/>
        <v>Small</v>
      </c>
      <c r="N922">
        <f>VLOOKUP(C922,Lookup!$A$2:$D$5,MATCH(M922,Lookup!$A$1:$D$1,0),FALSE)</f>
        <v>0.09</v>
      </c>
      <c r="O922">
        <f t="shared" si="86"/>
        <v>946.98</v>
      </c>
      <c r="P922" s="7">
        <f t="shared" si="87"/>
        <v>0.89931466283103478</v>
      </c>
      <c r="Q922" s="7">
        <f t="shared" si="88"/>
        <v>1969.8333333333333</v>
      </c>
      <c r="R922">
        <f t="shared" si="89"/>
        <v>1.2323385921561174</v>
      </c>
    </row>
    <row r="923" spans="1:18" x14ac:dyDescent="0.25">
      <c r="A923" t="s">
        <v>557</v>
      </c>
      <c r="B923" t="s">
        <v>558</v>
      </c>
      <c r="C923" t="s">
        <v>8</v>
      </c>
      <c r="D923">
        <v>61074</v>
      </c>
      <c r="E923" s="1">
        <v>44104</v>
      </c>
      <c r="F923" s="2">
        <f t="shared" si="84"/>
        <v>2020</v>
      </c>
      <c r="G923">
        <v>6</v>
      </c>
      <c r="H923" s="3">
        <v>11624</v>
      </c>
      <c r="I923">
        <v>2268</v>
      </c>
      <c r="J923">
        <v>11624</v>
      </c>
      <c r="K923">
        <v>10775</v>
      </c>
      <c r="L923">
        <v>10686</v>
      </c>
      <c r="M923" t="str">
        <f t="shared" si="85"/>
        <v>Small</v>
      </c>
      <c r="N923">
        <f>VLOOKUP(C923,Lookup!$A$2:$D$5,MATCH(M923,Lookup!$A$1:$D$1,0),FALSE)</f>
        <v>0.09</v>
      </c>
      <c r="O923">
        <f t="shared" si="86"/>
        <v>961.74</v>
      </c>
      <c r="P923" s="7">
        <f t="shared" si="87"/>
        <v>0.92696145905024085</v>
      </c>
      <c r="Q923" s="7">
        <f t="shared" si="88"/>
        <v>1937.3333333333333</v>
      </c>
      <c r="R923">
        <f t="shared" si="89"/>
        <v>2.3582257158899496</v>
      </c>
    </row>
    <row r="924" spans="1:18" x14ac:dyDescent="0.25">
      <c r="A924" t="s">
        <v>557</v>
      </c>
      <c r="B924" t="s">
        <v>558</v>
      </c>
      <c r="C924" t="s">
        <v>8</v>
      </c>
      <c r="D924">
        <v>61074</v>
      </c>
      <c r="E924" s="1">
        <v>44469</v>
      </c>
      <c r="F924" s="2">
        <f t="shared" si="84"/>
        <v>2021</v>
      </c>
      <c r="G924">
        <v>6</v>
      </c>
      <c r="H924" s="3">
        <v>10484</v>
      </c>
      <c r="I924">
        <v>1571</v>
      </c>
      <c r="J924">
        <v>10484</v>
      </c>
      <c r="K924">
        <v>9919</v>
      </c>
      <c r="L924">
        <v>9850</v>
      </c>
      <c r="M924" t="str">
        <f t="shared" si="85"/>
        <v>Small</v>
      </c>
      <c r="N924">
        <f>VLOOKUP(C924,Lookup!$A$2:$D$5,MATCH(M924,Lookup!$A$1:$D$1,0),FALSE)</f>
        <v>0.09</v>
      </c>
      <c r="O924">
        <f t="shared" si="86"/>
        <v>886.5</v>
      </c>
      <c r="P924" s="7">
        <f t="shared" si="87"/>
        <v>0.94610835558946971</v>
      </c>
      <c r="Q924" s="7">
        <f t="shared" si="88"/>
        <v>1747.3333333333333</v>
      </c>
      <c r="R924">
        <f t="shared" si="89"/>
        <v>1.7721376198533558</v>
      </c>
    </row>
    <row r="925" spans="1:18" x14ac:dyDescent="0.25">
      <c r="A925" t="s">
        <v>559</v>
      </c>
      <c r="B925" t="s">
        <v>560</v>
      </c>
      <c r="C925" t="s">
        <v>8</v>
      </c>
      <c r="D925">
        <v>61832</v>
      </c>
      <c r="E925" s="1">
        <v>43738</v>
      </c>
      <c r="F925" s="2">
        <f t="shared" si="84"/>
        <v>2019</v>
      </c>
      <c r="G925">
        <v>7</v>
      </c>
      <c r="H925" s="3">
        <v>36121</v>
      </c>
      <c r="I925">
        <v>4086</v>
      </c>
      <c r="J925">
        <v>36121</v>
      </c>
      <c r="K925">
        <v>26846</v>
      </c>
      <c r="L925">
        <v>25773</v>
      </c>
      <c r="M925" t="str">
        <f t="shared" si="85"/>
        <v>Small</v>
      </c>
      <c r="N925">
        <f>VLOOKUP(C925,Lookup!$A$2:$D$5,MATCH(M925,Lookup!$A$1:$D$1,0),FALSE)</f>
        <v>0.09</v>
      </c>
      <c r="O925">
        <f t="shared" si="86"/>
        <v>2319.5699999999997</v>
      </c>
      <c r="P925" s="7">
        <f t="shared" si="87"/>
        <v>0.74322416322914653</v>
      </c>
      <c r="Q925" s="7">
        <f t="shared" si="88"/>
        <v>5160.1428571428569</v>
      </c>
      <c r="R925">
        <f t="shared" si="89"/>
        <v>1.7615333876537465</v>
      </c>
    </row>
    <row r="926" spans="1:18" x14ac:dyDescent="0.25">
      <c r="A926" t="s">
        <v>559</v>
      </c>
      <c r="B926" t="s">
        <v>560</v>
      </c>
      <c r="C926" t="s">
        <v>8</v>
      </c>
      <c r="D926">
        <v>61832</v>
      </c>
      <c r="E926" s="1">
        <v>44104</v>
      </c>
      <c r="F926" s="2">
        <f t="shared" si="84"/>
        <v>2020</v>
      </c>
      <c r="G926">
        <v>6</v>
      </c>
      <c r="H926" s="3">
        <v>43404</v>
      </c>
      <c r="I926">
        <v>6569</v>
      </c>
      <c r="J926">
        <v>43404</v>
      </c>
      <c r="K926">
        <v>33363</v>
      </c>
      <c r="L926">
        <v>26379</v>
      </c>
      <c r="M926" t="str">
        <f t="shared" si="85"/>
        <v>Small</v>
      </c>
      <c r="N926">
        <f>VLOOKUP(C926,Lookup!$A$2:$D$5,MATCH(M926,Lookup!$A$1:$D$1,0),FALSE)</f>
        <v>0.09</v>
      </c>
      <c r="O926">
        <f t="shared" si="86"/>
        <v>2374.11</v>
      </c>
      <c r="P926" s="7">
        <f t="shared" si="87"/>
        <v>0.7686618744816146</v>
      </c>
      <c r="Q926" s="7">
        <f t="shared" si="88"/>
        <v>7234</v>
      </c>
      <c r="R926">
        <f t="shared" si="89"/>
        <v>2.7669316080552289</v>
      </c>
    </row>
    <row r="927" spans="1:18" x14ac:dyDescent="0.25">
      <c r="A927" t="s">
        <v>559</v>
      </c>
      <c r="B927" t="s">
        <v>560</v>
      </c>
      <c r="C927" t="s">
        <v>8</v>
      </c>
      <c r="D927">
        <v>61832</v>
      </c>
      <c r="E927" s="1">
        <v>44469</v>
      </c>
      <c r="F927" s="2">
        <f t="shared" si="84"/>
        <v>2021</v>
      </c>
      <c r="G927">
        <v>6</v>
      </c>
      <c r="H927" s="3">
        <v>40992</v>
      </c>
      <c r="I927">
        <v>6543</v>
      </c>
      <c r="J927">
        <v>40992</v>
      </c>
      <c r="K927">
        <v>30950</v>
      </c>
      <c r="L927">
        <v>26182</v>
      </c>
      <c r="M927" t="str">
        <f t="shared" si="85"/>
        <v>Small</v>
      </c>
      <c r="N927">
        <f>VLOOKUP(C927,Lookup!$A$2:$D$5,MATCH(M927,Lookup!$A$1:$D$1,0),FALSE)</f>
        <v>0.09</v>
      </c>
      <c r="O927">
        <f t="shared" si="86"/>
        <v>2356.38</v>
      </c>
      <c r="P927" s="7">
        <f t="shared" si="87"/>
        <v>0.75502537080405929</v>
      </c>
      <c r="Q927" s="7">
        <f t="shared" si="88"/>
        <v>6832</v>
      </c>
      <c r="R927">
        <f t="shared" si="89"/>
        <v>2.7767168283553585</v>
      </c>
    </row>
    <row r="928" spans="1:18" x14ac:dyDescent="0.25">
      <c r="A928" t="s">
        <v>561</v>
      </c>
      <c r="B928" t="s">
        <v>28</v>
      </c>
      <c r="C928" t="s">
        <v>8</v>
      </c>
      <c r="D928">
        <v>60633</v>
      </c>
      <c r="E928" s="1">
        <v>43738</v>
      </c>
      <c r="F928" s="2">
        <f t="shared" si="84"/>
        <v>2019</v>
      </c>
      <c r="G928">
        <v>117</v>
      </c>
      <c r="H928" s="3">
        <v>673155</v>
      </c>
      <c r="I928">
        <v>112393</v>
      </c>
      <c r="J928">
        <v>673155</v>
      </c>
      <c r="K928">
        <v>564620</v>
      </c>
      <c r="L928">
        <v>562308</v>
      </c>
      <c r="M928" t="str">
        <f t="shared" si="85"/>
        <v>Medium</v>
      </c>
      <c r="N928">
        <f>VLOOKUP(C928,Lookup!$A$2:$D$5,MATCH(M928,Lookup!$A$1:$D$1,0),FALSE)</f>
        <v>0.08</v>
      </c>
      <c r="O928">
        <f t="shared" si="86"/>
        <v>44984.639999999999</v>
      </c>
      <c r="P928" s="7">
        <f t="shared" si="87"/>
        <v>0.83876670306244472</v>
      </c>
      <c r="Q928" s="7">
        <f t="shared" si="88"/>
        <v>5753.4615384615381</v>
      </c>
      <c r="R928">
        <f t="shared" si="89"/>
        <v>2.4984750350341804</v>
      </c>
    </row>
    <row r="929" spans="1:18" x14ac:dyDescent="0.25">
      <c r="A929" t="s">
        <v>561</v>
      </c>
      <c r="B929" t="s">
        <v>28</v>
      </c>
      <c r="C929" t="s">
        <v>8</v>
      </c>
      <c r="D929">
        <v>60633</v>
      </c>
      <c r="E929" s="1">
        <v>44104</v>
      </c>
      <c r="F929" s="2">
        <f t="shared" si="84"/>
        <v>2020</v>
      </c>
      <c r="G929">
        <v>111</v>
      </c>
      <c r="H929" s="3">
        <v>722960</v>
      </c>
      <c r="I929">
        <v>200586</v>
      </c>
      <c r="J929">
        <v>722960</v>
      </c>
      <c r="K929">
        <v>612741</v>
      </c>
      <c r="L929">
        <v>610712</v>
      </c>
      <c r="M929" t="str">
        <f t="shared" si="85"/>
        <v>Medium</v>
      </c>
      <c r="N929">
        <f>VLOOKUP(C929,Lookup!$A$2:$D$5,MATCH(M929,Lookup!$A$1:$D$1,0),FALSE)</f>
        <v>0.08</v>
      </c>
      <c r="O929">
        <f t="shared" si="86"/>
        <v>48856.959999999999</v>
      </c>
      <c r="P929" s="7">
        <f t="shared" si="87"/>
        <v>0.84754481575744167</v>
      </c>
      <c r="Q929" s="7">
        <f t="shared" si="88"/>
        <v>6513.1531531531527</v>
      </c>
      <c r="R929">
        <f t="shared" si="89"/>
        <v>4.1055767694101313</v>
      </c>
    </row>
    <row r="930" spans="1:18" x14ac:dyDescent="0.25">
      <c r="A930" t="s">
        <v>561</v>
      </c>
      <c r="B930" t="s">
        <v>28</v>
      </c>
      <c r="C930" t="s">
        <v>8</v>
      </c>
      <c r="D930">
        <v>60633</v>
      </c>
      <c r="E930" s="1">
        <v>44469</v>
      </c>
      <c r="F930" s="2">
        <f t="shared" si="84"/>
        <v>2021</v>
      </c>
      <c r="G930">
        <v>102</v>
      </c>
      <c r="H930" s="3">
        <v>781644</v>
      </c>
      <c r="I930">
        <v>140926</v>
      </c>
      <c r="J930">
        <v>781644</v>
      </c>
      <c r="K930">
        <v>669834</v>
      </c>
      <c r="L930">
        <v>667784</v>
      </c>
      <c r="M930" t="str">
        <f t="shared" si="85"/>
        <v>Medium</v>
      </c>
      <c r="N930">
        <f>VLOOKUP(C930,Lookup!$A$2:$D$5,MATCH(M930,Lookup!$A$1:$D$1,0),FALSE)</f>
        <v>0.08</v>
      </c>
      <c r="O930">
        <f t="shared" si="86"/>
        <v>53422.720000000001</v>
      </c>
      <c r="P930" s="7">
        <f t="shared" si="87"/>
        <v>0.85695534028278864</v>
      </c>
      <c r="Q930" s="7">
        <f t="shared" si="88"/>
        <v>7663.1764705882351</v>
      </c>
      <c r="R930">
        <f t="shared" si="89"/>
        <v>2.6379413103638303</v>
      </c>
    </row>
    <row r="931" spans="1:18" x14ac:dyDescent="0.25">
      <c r="A931" t="s">
        <v>562</v>
      </c>
      <c r="B931" t="s">
        <v>563</v>
      </c>
      <c r="C931" t="s">
        <v>8</v>
      </c>
      <c r="D931">
        <v>60465</v>
      </c>
      <c r="E931" s="1">
        <v>43738</v>
      </c>
      <c r="F931" s="2">
        <f t="shared" si="84"/>
        <v>2019</v>
      </c>
      <c r="G931">
        <v>31</v>
      </c>
      <c r="H931" s="3">
        <v>169404</v>
      </c>
      <c r="I931">
        <v>17143</v>
      </c>
      <c r="J931">
        <v>169404</v>
      </c>
      <c r="K931">
        <v>149989</v>
      </c>
      <c r="L931">
        <v>146049</v>
      </c>
      <c r="M931" t="str">
        <f t="shared" si="85"/>
        <v>Medium</v>
      </c>
      <c r="N931">
        <f>VLOOKUP(C931,Lookup!$A$2:$D$5,MATCH(M931,Lookup!$A$1:$D$1,0),FALSE)</f>
        <v>0.08</v>
      </c>
      <c r="O931">
        <f t="shared" si="86"/>
        <v>11683.92</v>
      </c>
      <c r="P931" s="7">
        <f t="shared" si="87"/>
        <v>0.88539231659228823</v>
      </c>
      <c r="Q931" s="7">
        <f t="shared" si="88"/>
        <v>5464.6451612903229</v>
      </c>
      <c r="R931">
        <f t="shared" si="89"/>
        <v>1.4672301761737498</v>
      </c>
    </row>
    <row r="932" spans="1:18" x14ac:dyDescent="0.25">
      <c r="A932" t="s">
        <v>562</v>
      </c>
      <c r="B932" t="s">
        <v>563</v>
      </c>
      <c r="C932" t="s">
        <v>8</v>
      </c>
      <c r="D932">
        <v>60465</v>
      </c>
      <c r="E932" s="1">
        <v>44104</v>
      </c>
      <c r="F932" s="2">
        <f t="shared" si="84"/>
        <v>2020</v>
      </c>
      <c r="G932">
        <v>39</v>
      </c>
      <c r="H932" s="3">
        <v>360903</v>
      </c>
      <c r="I932">
        <v>37252</v>
      </c>
      <c r="J932">
        <v>360903</v>
      </c>
      <c r="K932">
        <v>339322</v>
      </c>
      <c r="L932">
        <v>230091</v>
      </c>
      <c r="M932" t="str">
        <f t="shared" si="85"/>
        <v>Medium</v>
      </c>
      <c r="N932">
        <f>VLOOKUP(C932,Lookup!$A$2:$D$5,MATCH(M932,Lookup!$A$1:$D$1,0),FALSE)</f>
        <v>0.08</v>
      </c>
      <c r="O932">
        <f t="shared" si="86"/>
        <v>18407.28</v>
      </c>
      <c r="P932" s="7">
        <f t="shared" si="87"/>
        <v>0.94020276916512191</v>
      </c>
      <c r="Q932" s="7">
        <f t="shared" si="88"/>
        <v>9253.9230769230762</v>
      </c>
      <c r="R932">
        <f t="shared" si="89"/>
        <v>2.023764510563212</v>
      </c>
    </row>
    <row r="933" spans="1:18" x14ac:dyDescent="0.25">
      <c r="A933" t="s">
        <v>562</v>
      </c>
      <c r="B933" t="s">
        <v>563</v>
      </c>
      <c r="C933" t="s">
        <v>8</v>
      </c>
      <c r="D933">
        <v>60465</v>
      </c>
      <c r="E933" s="1">
        <v>44469</v>
      </c>
      <c r="F933" s="2">
        <f t="shared" si="84"/>
        <v>2021</v>
      </c>
      <c r="G933">
        <v>41</v>
      </c>
      <c r="H933" s="3">
        <v>355668</v>
      </c>
      <c r="I933">
        <v>48772</v>
      </c>
      <c r="J933">
        <v>355668</v>
      </c>
      <c r="K933">
        <v>327479</v>
      </c>
      <c r="L933">
        <v>273332</v>
      </c>
      <c r="M933" t="str">
        <f t="shared" si="85"/>
        <v>Medium</v>
      </c>
      <c r="N933">
        <f>VLOOKUP(C933,Lookup!$A$2:$D$5,MATCH(M933,Lookup!$A$1:$D$1,0),FALSE)</f>
        <v>0.08</v>
      </c>
      <c r="O933">
        <f t="shared" si="86"/>
        <v>21866.560000000001</v>
      </c>
      <c r="P933" s="7">
        <f t="shared" si="87"/>
        <v>0.92074350236737634</v>
      </c>
      <c r="Q933" s="7">
        <f t="shared" si="88"/>
        <v>8674.8292682926822</v>
      </c>
      <c r="R933">
        <f t="shared" si="89"/>
        <v>2.2304377094522412</v>
      </c>
    </row>
    <row r="934" spans="1:18" x14ac:dyDescent="0.25">
      <c r="A934" t="s">
        <v>564</v>
      </c>
      <c r="B934" t="s">
        <v>565</v>
      </c>
      <c r="C934" t="s">
        <v>8</v>
      </c>
      <c r="D934">
        <v>60554</v>
      </c>
      <c r="E934" s="1">
        <v>43738</v>
      </c>
      <c r="F934" s="2">
        <f t="shared" si="84"/>
        <v>2019</v>
      </c>
      <c r="G934">
        <v>40</v>
      </c>
      <c r="H934" s="3">
        <v>361050</v>
      </c>
      <c r="I934">
        <v>34180</v>
      </c>
      <c r="J934">
        <v>361050</v>
      </c>
      <c r="K934">
        <v>326358</v>
      </c>
      <c r="L934">
        <v>295341</v>
      </c>
      <c r="M934" t="str">
        <f t="shared" si="85"/>
        <v>Medium</v>
      </c>
      <c r="N934">
        <f>VLOOKUP(C934,Lookup!$A$2:$D$5,MATCH(M934,Lookup!$A$1:$D$1,0),FALSE)</f>
        <v>0.08</v>
      </c>
      <c r="O934">
        <f t="shared" si="86"/>
        <v>23627.279999999999</v>
      </c>
      <c r="P934" s="7">
        <f t="shared" si="87"/>
        <v>0.90391358537598665</v>
      </c>
      <c r="Q934" s="7">
        <f t="shared" si="88"/>
        <v>9026.25</v>
      </c>
      <c r="R934">
        <f t="shared" si="89"/>
        <v>1.4466328752188149</v>
      </c>
    </row>
    <row r="935" spans="1:18" x14ac:dyDescent="0.25">
      <c r="A935" t="s">
        <v>564</v>
      </c>
      <c r="B935" t="s">
        <v>565</v>
      </c>
      <c r="C935" t="s">
        <v>8</v>
      </c>
      <c r="D935">
        <v>60554</v>
      </c>
      <c r="E935" s="1">
        <v>44104</v>
      </c>
      <c r="F935" s="2">
        <f t="shared" si="84"/>
        <v>2020</v>
      </c>
      <c r="G935">
        <v>59</v>
      </c>
      <c r="H935" s="3">
        <v>436232</v>
      </c>
      <c r="I935">
        <v>24114</v>
      </c>
      <c r="J935">
        <v>436232</v>
      </c>
      <c r="K935">
        <v>398247</v>
      </c>
      <c r="L935">
        <v>366593</v>
      </c>
      <c r="M935" t="str">
        <f t="shared" si="85"/>
        <v>Medium</v>
      </c>
      <c r="N935">
        <f>VLOOKUP(C935,Lookup!$A$2:$D$5,MATCH(M935,Lookup!$A$1:$D$1,0),FALSE)</f>
        <v>0.08</v>
      </c>
      <c r="O935">
        <f t="shared" si="86"/>
        <v>29327.440000000002</v>
      </c>
      <c r="P935" s="7">
        <f t="shared" si="87"/>
        <v>0.91292477397348204</v>
      </c>
      <c r="Q935" s="7">
        <f t="shared" si="88"/>
        <v>7393.7627118644068</v>
      </c>
      <c r="R935">
        <f t="shared" si="89"/>
        <v>0.82223337597826462</v>
      </c>
    </row>
    <row r="936" spans="1:18" x14ac:dyDescent="0.25">
      <c r="A936" t="s">
        <v>564</v>
      </c>
      <c r="B936" t="s">
        <v>565</v>
      </c>
      <c r="C936" t="s">
        <v>8</v>
      </c>
      <c r="D936">
        <v>60554</v>
      </c>
      <c r="E936" s="1">
        <v>44469</v>
      </c>
      <c r="F936" s="2">
        <f t="shared" si="84"/>
        <v>2021</v>
      </c>
      <c r="G936">
        <v>48</v>
      </c>
      <c r="H936" s="3">
        <v>490089</v>
      </c>
      <c r="I936">
        <v>105474</v>
      </c>
      <c r="J936">
        <v>490089</v>
      </c>
      <c r="K936">
        <v>449776</v>
      </c>
      <c r="L936">
        <v>422553</v>
      </c>
      <c r="M936" t="str">
        <f t="shared" si="85"/>
        <v>Medium</v>
      </c>
      <c r="N936">
        <f>VLOOKUP(C936,Lookup!$A$2:$D$5,MATCH(M936,Lookup!$A$1:$D$1,0),FALSE)</f>
        <v>0.08</v>
      </c>
      <c r="O936">
        <f t="shared" si="86"/>
        <v>33804.239999999998</v>
      </c>
      <c r="P936" s="7">
        <f t="shared" si="87"/>
        <v>0.91774351189273784</v>
      </c>
      <c r="Q936" s="7">
        <f t="shared" si="88"/>
        <v>10210.1875</v>
      </c>
      <c r="R936">
        <f t="shared" si="89"/>
        <v>3.1201411420579195</v>
      </c>
    </row>
    <row r="937" spans="1:18" x14ac:dyDescent="0.25">
      <c r="A937" t="s">
        <v>566</v>
      </c>
      <c r="B937" t="s">
        <v>567</v>
      </c>
      <c r="C937" t="s">
        <v>8</v>
      </c>
      <c r="D937">
        <v>61755</v>
      </c>
      <c r="E937" s="1">
        <v>43738</v>
      </c>
      <c r="F937" s="2">
        <f t="shared" si="84"/>
        <v>2019</v>
      </c>
      <c r="G937">
        <v>20</v>
      </c>
      <c r="H937" s="3">
        <v>84281</v>
      </c>
      <c r="I937">
        <v>9446</v>
      </c>
      <c r="J937">
        <v>84281</v>
      </c>
      <c r="K937">
        <v>75766</v>
      </c>
      <c r="L937">
        <v>74234</v>
      </c>
      <c r="M937" t="str">
        <f t="shared" si="85"/>
        <v>Small</v>
      </c>
      <c r="N937">
        <f>VLOOKUP(C937,Lookup!$A$2:$D$5,MATCH(M937,Lookup!$A$1:$D$1,0),FALSE)</f>
        <v>0.09</v>
      </c>
      <c r="O937">
        <f t="shared" si="86"/>
        <v>6681.0599999999995</v>
      </c>
      <c r="P937" s="7">
        <f t="shared" si="87"/>
        <v>0.89896892538057216</v>
      </c>
      <c r="Q937" s="7">
        <f t="shared" si="88"/>
        <v>4214.05</v>
      </c>
      <c r="R937">
        <f t="shared" si="89"/>
        <v>1.4138475032405038</v>
      </c>
    </row>
    <row r="938" spans="1:18" x14ac:dyDescent="0.25">
      <c r="A938" t="s">
        <v>566</v>
      </c>
      <c r="B938" t="s">
        <v>567</v>
      </c>
      <c r="C938" t="s">
        <v>8</v>
      </c>
      <c r="D938">
        <v>61755</v>
      </c>
      <c r="E938" s="1">
        <v>44104</v>
      </c>
      <c r="F938" s="2">
        <f t="shared" si="84"/>
        <v>2020</v>
      </c>
      <c r="G938">
        <v>20</v>
      </c>
      <c r="H938" s="3">
        <v>91652</v>
      </c>
      <c r="I938">
        <v>14542</v>
      </c>
      <c r="J938">
        <v>91652</v>
      </c>
      <c r="K938">
        <v>82917</v>
      </c>
      <c r="L938">
        <v>77881</v>
      </c>
      <c r="M938" t="str">
        <f t="shared" si="85"/>
        <v>Small</v>
      </c>
      <c r="N938">
        <f>VLOOKUP(C938,Lookup!$A$2:$D$5,MATCH(M938,Lookup!$A$1:$D$1,0),FALSE)</f>
        <v>0.09</v>
      </c>
      <c r="O938">
        <f t="shared" si="86"/>
        <v>7009.29</v>
      </c>
      <c r="P938" s="7">
        <f t="shared" si="87"/>
        <v>0.90469384192379876</v>
      </c>
      <c r="Q938" s="7">
        <f t="shared" si="88"/>
        <v>4582.6000000000004</v>
      </c>
      <c r="R938">
        <f t="shared" si="89"/>
        <v>2.0746751810811079</v>
      </c>
    </row>
    <row r="939" spans="1:18" x14ac:dyDescent="0.25">
      <c r="A939" t="s">
        <v>566</v>
      </c>
      <c r="B939" t="s">
        <v>567</v>
      </c>
      <c r="C939" t="s">
        <v>8</v>
      </c>
      <c r="D939">
        <v>61755</v>
      </c>
      <c r="E939" s="1">
        <v>44469</v>
      </c>
      <c r="F939" s="2">
        <f t="shared" si="84"/>
        <v>2021</v>
      </c>
      <c r="G939">
        <v>20</v>
      </c>
      <c r="H939" s="3">
        <v>101185</v>
      </c>
      <c r="I939">
        <v>25591</v>
      </c>
      <c r="J939">
        <v>101185</v>
      </c>
      <c r="K939">
        <v>92470</v>
      </c>
      <c r="L939">
        <v>87058</v>
      </c>
      <c r="M939" t="str">
        <f t="shared" si="85"/>
        <v>Medium</v>
      </c>
      <c r="N939">
        <f>VLOOKUP(C939,Lookup!$A$2:$D$5,MATCH(M939,Lookup!$A$1:$D$1,0),FALSE)</f>
        <v>0.08</v>
      </c>
      <c r="O939">
        <f t="shared" si="86"/>
        <v>6964.64</v>
      </c>
      <c r="P939" s="7">
        <f t="shared" si="87"/>
        <v>0.91387063299896232</v>
      </c>
      <c r="Q939" s="7">
        <f t="shared" si="88"/>
        <v>5059.25</v>
      </c>
      <c r="R939">
        <f t="shared" si="89"/>
        <v>3.6744182039559834</v>
      </c>
    </row>
    <row r="940" spans="1:18" x14ac:dyDescent="0.25">
      <c r="A940" t="s">
        <v>568</v>
      </c>
      <c r="B940" t="s">
        <v>569</v>
      </c>
      <c r="C940" t="s">
        <v>8</v>
      </c>
      <c r="D940">
        <v>60707</v>
      </c>
      <c r="E940" s="1">
        <v>43738</v>
      </c>
      <c r="F940" s="2">
        <f t="shared" si="84"/>
        <v>2019</v>
      </c>
      <c r="G940">
        <v>40</v>
      </c>
      <c r="H940" s="3">
        <v>332791</v>
      </c>
      <c r="I940">
        <v>138809</v>
      </c>
      <c r="J940">
        <v>332791</v>
      </c>
      <c r="K940">
        <v>303663</v>
      </c>
      <c r="L940">
        <v>302096</v>
      </c>
      <c r="M940" t="str">
        <f t="shared" si="85"/>
        <v>Medium</v>
      </c>
      <c r="N940">
        <f>VLOOKUP(C940,Lookup!$A$2:$D$5,MATCH(M940,Lookup!$A$1:$D$1,0),FALSE)</f>
        <v>0.08</v>
      </c>
      <c r="O940">
        <f t="shared" si="86"/>
        <v>24167.68</v>
      </c>
      <c r="P940" s="7">
        <f t="shared" si="87"/>
        <v>0.91247359453831378</v>
      </c>
      <c r="Q940" s="7">
        <f t="shared" si="88"/>
        <v>8319.7749999999996</v>
      </c>
      <c r="R940">
        <f t="shared" si="89"/>
        <v>5.7435798554102009</v>
      </c>
    </row>
    <row r="941" spans="1:18" x14ac:dyDescent="0.25">
      <c r="A941" t="s">
        <v>568</v>
      </c>
      <c r="B941" t="s">
        <v>569</v>
      </c>
      <c r="C941" t="s">
        <v>8</v>
      </c>
      <c r="D941">
        <v>60707</v>
      </c>
      <c r="E941" s="1">
        <v>44104</v>
      </c>
      <c r="F941" s="2">
        <f t="shared" si="84"/>
        <v>2020</v>
      </c>
      <c r="G941">
        <v>37</v>
      </c>
      <c r="H941" s="3">
        <v>308805</v>
      </c>
      <c r="I941">
        <v>124991</v>
      </c>
      <c r="J941">
        <v>308805</v>
      </c>
      <c r="K941">
        <v>278207</v>
      </c>
      <c r="L941">
        <v>276976</v>
      </c>
      <c r="M941" t="str">
        <f t="shared" si="85"/>
        <v>Medium</v>
      </c>
      <c r="N941">
        <f>VLOOKUP(C941,Lookup!$A$2:$D$5,MATCH(M941,Lookup!$A$1:$D$1,0),FALSE)</f>
        <v>0.08</v>
      </c>
      <c r="O941">
        <f t="shared" si="86"/>
        <v>22158.080000000002</v>
      </c>
      <c r="P941" s="7">
        <f t="shared" si="87"/>
        <v>0.9009148167937695</v>
      </c>
      <c r="Q941" s="7">
        <f t="shared" si="88"/>
        <v>8346.0810810810817</v>
      </c>
      <c r="R941">
        <f t="shared" si="89"/>
        <v>5.640876826873086</v>
      </c>
    </row>
    <row r="942" spans="1:18" x14ac:dyDescent="0.25">
      <c r="A942" t="s">
        <v>568</v>
      </c>
      <c r="B942" t="s">
        <v>569</v>
      </c>
      <c r="C942" t="s">
        <v>8</v>
      </c>
      <c r="D942">
        <v>60707</v>
      </c>
      <c r="E942" s="1">
        <v>44469</v>
      </c>
      <c r="F942" s="2">
        <f t="shared" si="84"/>
        <v>2021</v>
      </c>
      <c r="G942">
        <v>36</v>
      </c>
      <c r="H942" s="3">
        <v>371550</v>
      </c>
      <c r="I942">
        <v>101710</v>
      </c>
      <c r="J942">
        <v>371550</v>
      </c>
      <c r="K942">
        <v>342055</v>
      </c>
      <c r="L942">
        <v>340604</v>
      </c>
      <c r="M942" t="str">
        <f t="shared" si="85"/>
        <v>Medium</v>
      </c>
      <c r="N942">
        <f>VLOOKUP(C942,Lookup!$A$2:$D$5,MATCH(M942,Lookup!$A$1:$D$1,0),FALSE)</f>
        <v>0.08</v>
      </c>
      <c r="O942">
        <f t="shared" si="86"/>
        <v>27248.32</v>
      </c>
      <c r="P942" s="7">
        <f t="shared" si="87"/>
        <v>0.92061633696676082</v>
      </c>
      <c r="Q942" s="7">
        <f t="shared" si="88"/>
        <v>10320.833333333334</v>
      </c>
      <c r="R942">
        <f t="shared" si="89"/>
        <v>3.7327071907552467</v>
      </c>
    </row>
    <row r="943" spans="1:18" x14ac:dyDescent="0.25">
      <c r="A943" t="s">
        <v>570</v>
      </c>
      <c r="B943" t="s">
        <v>171</v>
      </c>
      <c r="C943" t="s">
        <v>8</v>
      </c>
      <c r="D943">
        <v>62959</v>
      </c>
      <c r="E943" s="1">
        <v>43738</v>
      </c>
      <c r="F943" s="2">
        <f t="shared" si="84"/>
        <v>2019</v>
      </c>
      <c r="G943">
        <v>148</v>
      </c>
      <c r="H943" s="3">
        <v>702909</v>
      </c>
      <c r="I943">
        <v>33793</v>
      </c>
      <c r="J943">
        <v>702909</v>
      </c>
      <c r="K943">
        <v>603716</v>
      </c>
      <c r="L943">
        <v>559230</v>
      </c>
      <c r="M943" t="str">
        <f t="shared" si="85"/>
        <v>Medium</v>
      </c>
      <c r="N943">
        <f>VLOOKUP(C943,Lookup!$A$2:$D$5,MATCH(M943,Lookup!$A$1:$D$1,0),FALSE)</f>
        <v>0.08</v>
      </c>
      <c r="O943">
        <f t="shared" si="86"/>
        <v>44738.400000000001</v>
      </c>
      <c r="P943" s="7">
        <f t="shared" si="87"/>
        <v>0.85888215971057424</v>
      </c>
      <c r="Q943" s="7">
        <f t="shared" si="88"/>
        <v>4749.385135135135</v>
      </c>
      <c r="R943">
        <f t="shared" si="89"/>
        <v>0.75534663734062901</v>
      </c>
    </row>
    <row r="944" spans="1:18" x14ac:dyDescent="0.25">
      <c r="A944" t="s">
        <v>570</v>
      </c>
      <c r="B944" t="s">
        <v>171</v>
      </c>
      <c r="C944" t="s">
        <v>8</v>
      </c>
      <c r="D944">
        <v>62959</v>
      </c>
      <c r="E944" s="1">
        <v>44104</v>
      </c>
      <c r="F944" s="2">
        <f t="shared" si="84"/>
        <v>2020</v>
      </c>
      <c r="G944">
        <v>142</v>
      </c>
      <c r="H944" s="3">
        <v>758721</v>
      </c>
      <c r="I944">
        <v>30976</v>
      </c>
      <c r="J944">
        <v>758721</v>
      </c>
      <c r="K944">
        <v>656077</v>
      </c>
      <c r="L944">
        <v>624655</v>
      </c>
      <c r="M944" t="str">
        <f t="shared" si="85"/>
        <v>Medium</v>
      </c>
      <c r="N944">
        <f>VLOOKUP(C944,Lookup!$A$2:$D$5,MATCH(M944,Lookup!$A$1:$D$1,0),FALSE)</f>
        <v>0.08</v>
      </c>
      <c r="O944">
        <f t="shared" si="86"/>
        <v>49972.4</v>
      </c>
      <c r="P944" s="7">
        <f t="shared" si="87"/>
        <v>0.86471443389599079</v>
      </c>
      <c r="Q944" s="7">
        <f t="shared" si="88"/>
        <v>5343.1056338028166</v>
      </c>
      <c r="R944">
        <f t="shared" si="89"/>
        <v>0.61986216391448079</v>
      </c>
    </row>
    <row r="945" spans="1:18" x14ac:dyDescent="0.25">
      <c r="A945" t="s">
        <v>570</v>
      </c>
      <c r="B945" t="s">
        <v>171</v>
      </c>
      <c r="C945" t="s">
        <v>8</v>
      </c>
      <c r="D945">
        <v>62959</v>
      </c>
      <c r="E945" s="1">
        <v>44469</v>
      </c>
      <c r="F945" s="2">
        <f t="shared" si="84"/>
        <v>2021</v>
      </c>
      <c r="G945">
        <v>132</v>
      </c>
      <c r="H945" s="3">
        <v>781000</v>
      </c>
      <c r="I945">
        <v>17482</v>
      </c>
      <c r="J945">
        <v>781000</v>
      </c>
      <c r="K945">
        <v>674055</v>
      </c>
      <c r="L945">
        <v>641702</v>
      </c>
      <c r="M945" t="str">
        <f t="shared" si="85"/>
        <v>Medium</v>
      </c>
      <c r="N945">
        <f>VLOOKUP(C945,Lookup!$A$2:$D$5,MATCH(M945,Lookup!$A$1:$D$1,0),FALSE)</f>
        <v>0.08</v>
      </c>
      <c r="O945">
        <f t="shared" si="86"/>
        <v>51336.160000000003</v>
      </c>
      <c r="P945" s="7">
        <f t="shared" si="87"/>
        <v>0.86306658130601788</v>
      </c>
      <c r="Q945" s="7">
        <f t="shared" si="88"/>
        <v>5916.666666666667</v>
      </c>
      <c r="R945">
        <f t="shared" si="89"/>
        <v>0.34053968976253773</v>
      </c>
    </row>
    <row r="946" spans="1:18" x14ac:dyDescent="0.25">
      <c r="A946" t="s">
        <v>571</v>
      </c>
      <c r="B946" t="s">
        <v>572</v>
      </c>
      <c r="C946" t="s">
        <v>8</v>
      </c>
      <c r="D946">
        <v>61342</v>
      </c>
      <c r="E946" s="1">
        <v>43738</v>
      </c>
      <c r="F946" s="2">
        <f t="shared" si="84"/>
        <v>2019</v>
      </c>
      <c r="G946">
        <v>307</v>
      </c>
      <c r="H946" s="3">
        <v>1136645</v>
      </c>
      <c r="I946">
        <v>31844</v>
      </c>
      <c r="J946">
        <v>1136645</v>
      </c>
      <c r="K946">
        <v>1017828</v>
      </c>
      <c r="L946">
        <v>961285</v>
      </c>
      <c r="M946" t="str">
        <f t="shared" si="85"/>
        <v>Large</v>
      </c>
      <c r="N946">
        <f>VLOOKUP(C946,Lookup!$A$2:$D$5,MATCH(M946,Lookup!$A$1:$D$1,0),FALSE)</f>
        <v>7.4999999999999997E-2</v>
      </c>
      <c r="O946">
        <f t="shared" si="86"/>
        <v>72096.375</v>
      </c>
      <c r="P946" s="7">
        <f t="shared" si="87"/>
        <v>0.89546692239001624</v>
      </c>
      <c r="Q946" s="7">
        <f t="shared" si="88"/>
        <v>3702.4267100977199</v>
      </c>
      <c r="R946">
        <f t="shared" si="89"/>
        <v>0.4416865619110531</v>
      </c>
    </row>
    <row r="947" spans="1:18" x14ac:dyDescent="0.25">
      <c r="A947" t="s">
        <v>571</v>
      </c>
      <c r="B947" t="s">
        <v>261</v>
      </c>
      <c r="C947" t="s">
        <v>8</v>
      </c>
      <c r="D947">
        <v>61856</v>
      </c>
      <c r="E947" s="1">
        <v>43738</v>
      </c>
      <c r="F947" s="2">
        <f t="shared" si="84"/>
        <v>2019</v>
      </c>
      <c r="G947">
        <v>66</v>
      </c>
      <c r="H947" s="3">
        <v>271849</v>
      </c>
      <c r="I947">
        <v>41376</v>
      </c>
      <c r="J947">
        <v>271849</v>
      </c>
      <c r="K947">
        <v>247615</v>
      </c>
      <c r="L947">
        <v>244218</v>
      </c>
      <c r="M947" t="str">
        <f t="shared" si="85"/>
        <v>Medium</v>
      </c>
      <c r="N947">
        <f>VLOOKUP(C947,Lookup!$A$2:$D$5,MATCH(M947,Lookup!$A$1:$D$1,0),FALSE)</f>
        <v>0.08</v>
      </c>
      <c r="O947">
        <f t="shared" si="86"/>
        <v>19537.439999999999</v>
      </c>
      <c r="P947" s="7">
        <f t="shared" si="87"/>
        <v>0.91085492313747707</v>
      </c>
      <c r="Q947" s="7">
        <f t="shared" si="88"/>
        <v>4118.924242424242</v>
      </c>
      <c r="R947">
        <f t="shared" si="89"/>
        <v>2.1177800162150211</v>
      </c>
    </row>
    <row r="948" spans="1:18" x14ac:dyDescent="0.25">
      <c r="A948" t="s">
        <v>571</v>
      </c>
      <c r="B948" t="s">
        <v>572</v>
      </c>
      <c r="C948" t="s">
        <v>8</v>
      </c>
      <c r="D948">
        <v>61342</v>
      </c>
      <c r="E948" s="1">
        <v>44104</v>
      </c>
      <c r="F948" s="2">
        <f t="shared" si="84"/>
        <v>2020</v>
      </c>
      <c r="G948">
        <v>329</v>
      </c>
      <c r="H948" s="3">
        <v>1319671</v>
      </c>
      <c r="I948">
        <v>78551</v>
      </c>
      <c r="J948">
        <v>1319671</v>
      </c>
      <c r="K948">
        <v>1183200</v>
      </c>
      <c r="L948">
        <v>1127993</v>
      </c>
      <c r="M948" t="str">
        <f t="shared" si="85"/>
        <v>Large</v>
      </c>
      <c r="N948">
        <f>VLOOKUP(C948,Lookup!$A$2:$D$5,MATCH(M948,Lookup!$A$1:$D$1,0),FALSE)</f>
        <v>7.4999999999999997E-2</v>
      </c>
      <c r="O948">
        <f t="shared" si="86"/>
        <v>84599.474999999991</v>
      </c>
      <c r="P948" s="7">
        <f t="shared" si="87"/>
        <v>0.89658710390695862</v>
      </c>
      <c r="Q948" s="7">
        <f t="shared" si="88"/>
        <v>4011.1580547112462</v>
      </c>
      <c r="R948">
        <f t="shared" si="89"/>
        <v>0.92850457996341007</v>
      </c>
    </row>
    <row r="949" spans="1:18" x14ac:dyDescent="0.25">
      <c r="A949" t="s">
        <v>571</v>
      </c>
      <c r="B949" t="s">
        <v>261</v>
      </c>
      <c r="C949" t="s">
        <v>8</v>
      </c>
      <c r="D949">
        <v>61856</v>
      </c>
      <c r="E949" s="1">
        <v>44104</v>
      </c>
      <c r="F949" s="2">
        <f t="shared" si="84"/>
        <v>2020</v>
      </c>
      <c r="G949">
        <v>66</v>
      </c>
      <c r="H949" s="3">
        <v>288474</v>
      </c>
      <c r="I949">
        <v>50006</v>
      </c>
      <c r="J949">
        <v>288474</v>
      </c>
      <c r="K949">
        <v>261562</v>
      </c>
      <c r="L949">
        <v>255356</v>
      </c>
      <c r="M949" t="str">
        <f t="shared" si="85"/>
        <v>Medium</v>
      </c>
      <c r="N949">
        <f>VLOOKUP(C949,Lookup!$A$2:$D$5,MATCH(M949,Lookup!$A$1:$D$1,0),FALSE)</f>
        <v>0.08</v>
      </c>
      <c r="O949">
        <f t="shared" si="86"/>
        <v>20428.48</v>
      </c>
      <c r="P949" s="7">
        <f t="shared" si="87"/>
        <v>0.9067090968336835</v>
      </c>
      <c r="Q949" s="7">
        <f t="shared" si="88"/>
        <v>4370.818181818182</v>
      </c>
      <c r="R949">
        <f t="shared" si="89"/>
        <v>2.4478571092905592</v>
      </c>
    </row>
    <row r="950" spans="1:18" x14ac:dyDescent="0.25">
      <c r="A950" t="s">
        <v>571</v>
      </c>
      <c r="B950" t="s">
        <v>572</v>
      </c>
      <c r="C950" t="s">
        <v>8</v>
      </c>
      <c r="D950">
        <v>61342</v>
      </c>
      <c r="E950" s="1">
        <v>44469</v>
      </c>
      <c r="F950" s="2">
        <f t="shared" si="84"/>
        <v>2021</v>
      </c>
      <c r="G950">
        <v>331</v>
      </c>
      <c r="H950" s="3">
        <v>1374935</v>
      </c>
      <c r="I950">
        <v>159009</v>
      </c>
      <c r="J950">
        <v>1374935</v>
      </c>
      <c r="K950">
        <v>1226186</v>
      </c>
      <c r="L950">
        <v>1179731</v>
      </c>
      <c r="M950" t="str">
        <f t="shared" si="85"/>
        <v>Large</v>
      </c>
      <c r="N950">
        <f>VLOOKUP(C950,Lookup!$A$2:$D$5,MATCH(M950,Lookup!$A$1:$D$1,0),FALSE)</f>
        <v>7.4999999999999997E-2</v>
      </c>
      <c r="O950">
        <f t="shared" si="86"/>
        <v>88479.824999999997</v>
      </c>
      <c r="P950" s="7">
        <f t="shared" si="87"/>
        <v>0.89181379483393763</v>
      </c>
      <c r="Q950" s="7">
        <f t="shared" si="88"/>
        <v>4153.8821752265858</v>
      </c>
      <c r="R950">
        <f t="shared" si="89"/>
        <v>1.7971215472001669</v>
      </c>
    </row>
    <row r="951" spans="1:18" x14ac:dyDescent="0.25">
      <c r="A951" t="s">
        <v>571</v>
      </c>
      <c r="B951" t="s">
        <v>261</v>
      </c>
      <c r="C951" t="s">
        <v>8</v>
      </c>
      <c r="D951">
        <v>61856</v>
      </c>
      <c r="E951" s="1">
        <v>44469</v>
      </c>
      <c r="F951" s="2">
        <f t="shared" si="84"/>
        <v>2021</v>
      </c>
      <c r="G951">
        <v>63</v>
      </c>
      <c r="H951" s="3">
        <v>327718</v>
      </c>
      <c r="I951">
        <v>85478</v>
      </c>
      <c r="J951">
        <v>327718</v>
      </c>
      <c r="K951">
        <v>301296</v>
      </c>
      <c r="L951">
        <v>295795</v>
      </c>
      <c r="M951" t="str">
        <f t="shared" si="85"/>
        <v>Medium</v>
      </c>
      <c r="N951">
        <f>VLOOKUP(C951,Lookup!$A$2:$D$5,MATCH(M951,Lookup!$A$1:$D$1,0),FALSE)</f>
        <v>0.08</v>
      </c>
      <c r="O951">
        <f t="shared" si="86"/>
        <v>23663.600000000002</v>
      </c>
      <c r="P951" s="7">
        <f t="shared" si="87"/>
        <v>0.91937580480779202</v>
      </c>
      <c r="Q951" s="7">
        <f t="shared" si="88"/>
        <v>5201.8730158730159</v>
      </c>
      <c r="R951">
        <f t="shared" si="89"/>
        <v>3.6122145404756671</v>
      </c>
    </row>
    <row r="952" spans="1:18" x14ac:dyDescent="0.25">
      <c r="A952" t="s">
        <v>573</v>
      </c>
      <c r="B952" t="s">
        <v>574</v>
      </c>
      <c r="C952" t="s">
        <v>8</v>
      </c>
      <c r="D952">
        <v>62414</v>
      </c>
      <c r="E952" s="1">
        <v>43738</v>
      </c>
      <c r="F952" s="2">
        <f t="shared" si="84"/>
        <v>2019</v>
      </c>
      <c r="G952">
        <v>14</v>
      </c>
      <c r="H952" s="3">
        <v>72663</v>
      </c>
      <c r="I952">
        <v>10276</v>
      </c>
      <c r="J952">
        <v>72663</v>
      </c>
      <c r="K952">
        <v>59158</v>
      </c>
      <c r="L952">
        <v>58968</v>
      </c>
      <c r="M952" t="str">
        <f t="shared" si="85"/>
        <v>Small</v>
      </c>
      <c r="N952">
        <f>VLOOKUP(C952,Lookup!$A$2:$D$5,MATCH(M952,Lookup!$A$1:$D$1,0),FALSE)</f>
        <v>0.09</v>
      </c>
      <c r="O952">
        <f t="shared" si="86"/>
        <v>5307.12</v>
      </c>
      <c r="P952" s="7">
        <f t="shared" si="87"/>
        <v>0.81414199799072429</v>
      </c>
      <c r="Q952" s="7">
        <f t="shared" si="88"/>
        <v>5190.2142857142853</v>
      </c>
      <c r="R952">
        <f t="shared" si="89"/>
        <v>1.9362667510815659</v>
      </c>
    </row>
    <row r="953" spans="1:18" x14ac:dyDescent="0.25">
      <c r="A953" t="s">
        <v>573</v>
      </c>
      <c r="B953" t="s">
        <v>574</v>
      </c>
      <c r="C953" t="s">
        <v>8</v>
      </c>
      <c r="D953">
        <v>62414</v>
      </c>
      <c r="E953" s="1">
        <v>44104</v>
      </c>
      <c r="F953" s="2">
        <f t="shared" si="84"/>
        <v>2020</v>
      </c>
      <c r="G953">
        <v>13</v>
      </c>
      <c r="H953" s="3">
        <v>81707</v>
      </c>
      <c r="I953">
        <v>14663</v>
      </c>
      <c r="J953">
        <v>81707</v>
      </c>
      <c r="K953">
        <v>70331</v>
      </c>
      <c r="L953">
        <v>70110</v>
      </c>
      <c r="M953" t="str">
        <f t="shared" si="85"/>
        <v>Small</v>
      </c>
      <c r="N953">
        <f>VLOOKUP(C953,Lookup!$A$2:$D$5,MATCH(M953,Lookup!$A$1:$D$1,0),FALSE)</f>
        <v>0.09</v>
      </c>
      <c r="O953">
        <f t="shared" si="86"/>
        <v>6309.9</v>
      </c>
      <c r="P953" s="7">
        <f t="shared" si="87"/>
        <v>0.86077080299117581</v>
      </c>
      <c r="Q953" s="7">
        <f t="shared" si="88"/>
        <v>6285.1538461538457</v>
      </c>
      <c r="R953">
        <f t="shared" si="89"/>
        <v>2.3238086182031412</v>
      </c>
    </row>
    <row r="954" spans="1:18" x14ac:dyDescent="0.25">
      <c r="A954" t="s">
        <v>573</v>
      </c>
      <c r="B954" t="s">
        <v>574</v>
      </c>
      <c r="C954" t="s">
        <v>8</v>
      </c>
      <c r="D954">
        <v>62414</v>
      </c>
      <c r="E954" s="1">
        <v>44469</v>
      </c>
      <c r="F954" s="2">
        <f t="shared" si="84"/>
        <v>2021</v>
      </c>
      <c r="G954">
        <v>13</v>
      </c>
      <c r="H954" s="3">
        <v>92049</v>
      </c>
      <c r="I954">
        <v>4254</v>
      </c>
      <c r="J954">
        <v>92049</v>
      </c>
      <c r="K954">
        <v>79958</v>
      </c>
      <c r="L954">
        <v>79775</v>
      </c>
      <c r="M954" t="str">
        <f t="shared" si="85"/>
        <v>Small</v>
      </c>
      <c r="N954">
        <f>VLOOKUP(C954,Lookup!$A$2:$D$5,MATCH(M954,Lookup!$A$1:$D$1,0),FALSE)</f>
        <v>0.09</v>
      </c>
      <c r="O954">
        <f t="shared" si="86"/>
        <v>7179.75</v>
      </c>
      <c r="P954" s="7">
        <f t="shared" si="87"/>
        <v>0.86864604721398386</v>
      </c>
      <c r="Q954" s="7">
        <f t="shared" si="88"/>
        <v>7080.6923076923076</v>
      </c>
      <c r="R954">
        <f t="shared" si="89"/>
        <v>0.59249973884884566</v>
      </c>
    </row>
    <row r="955" spans="1:18" x14ac:dyDescent="0.25">
      <c r="A955" t="s">
        <v>575</v>
      </c>
      <c r="B955" t="s">
        <v>378</v>
      </c>
      <c r="C955" t="s">
        <v>8</v>
      </c>
      <c r="D955">
        <v>61704</v>
      </c>
      <c r="E955" s="1">
        <v>43738</v>
      </c>
      <c r="F955" s="2">
        <f t="shared" si="84"/>
        <v>2019</v>
      </c>
      <c r="G955">
        <v>38</v>
      </c>
      <c r="H955" s="3">
        <v>121525</v>
      </c>
      <c r="I955">
        <v>20059</v>
      </c>
      <c r="J955">
        <v>121525</v>
      </c>
      <c r="K955">
        <v>110120</v>
      </c>
      <c r="L955">
        <v>109878</v>
      </c>
      <c r="M955" t="str">
        <f t="shared" si="85"/>
        <v>Medium</v>
      </c>
      <c r="N955">
        <f>VLOOKUP(C955,Lookup!$A$2:$D$5,MATCH(M955,Lookup!$A$1:$D$1,0),FALSE)</f>
        <v>0.08</v>
      </c>
      <c r="O955">
        <f t="shared" si="86"/>
        <v>8790.24</v>
      </c>
      <c r="P955" s="7">
        <f t="shared" si="87"/>
        <v>0.90615099773709118</v>
      </c>
      <c r="Q955" s="7">
        <f t="shared" si="88"/>
        <v>3198.0263157894738</v>
      </c>
      <c r="R955">
        <f t="shared" si="89"/>
        <v>2.2819627222919965</v>
      </c>
    </row>
    <row r="956" spans="1:18" x14ac:dyDescent="0.25">
      <c r="A956" t="s">
        <v>575</v>
      </c>
      <c r="B956" t="s">
        <v>378</v>
      </c>
      <c r="C956" t="s">
        <v>8</v>
      </c>
      <c r="D956">
        <v>61704</v>
      </c>
      <c r="E956" s="1">
        <v>44104</v>
      </c>
      <c r="F956" s="2">
        <f t="shared" si="84"/>
        <v>2020</v>
      </c>
      <c r="G956">
        <v>36</v>
      </c>
      <c r="H956" s="3">
        <v>142501</v>
      </c>
      <c r="I956">
        <v>26630</v>
      </c>
      <c r="J956">
        <v>142501</v>
      </c>
      <c r="K956">
        <v>129709</v>
      </c>
      <c r="L956">
        <v>125182</v>
      </c>
      <c r="M956" t="str">
        <f t="shared" si="85"/>
        <v>Medium</v>
      </c>
      <c r="N956">
        <f>VLOOKUP(C956,Lookup!$A$2:$D$5,MATCH(M956,Lookup!$A$1:$D$1,0),FALSE)</f>
        <v>0.08</v>
      </c>
      <c r="O956">
        <f t="shared" si="86"/>
        <v>10014.56</v>
      </c>
      <c r="P956" s="7">
        <f t="shared" si="87"/>
        <v>0.91023220889677969</v>
      </c>
      <c r="Q956" s="7">
        <f t="shared" si="88"/>
        <v>3958.3611111111113</v>
      </c>
      <c r="R956">
        <f t="shared" si="89"/>
        <v>2.6591283091818312</v>
      </c>
    </row>
    <row r="957" spans="1:18" x14ac:dyDescent="0.25">
      <c r="A957" t="s">
        <v>575</v>
      </c>
      <c r="B957" t="s">
        <v>378</v>
      </c>
      <c r="C957" t="s">
        <v>8</v>
      </c>
      <c r="D957">
        <v>61704</v>
      </c>
      <c r="E957" s="1">
        <v>44469</v>
      </c>
      <c r="F957" s="2">
        <f t="shared" si="84"/>
        <v>2021</v>
      </c>
      <c r="G957">
        <v>36</v>
      </c>
      <c r="H957" s="3">
        <v>161323</v>
      </c>
      <c r="I957">
        <v>43590</v>
      </c>
      <c r="J957">
        <v>161323</v>
      </c>
      <c r="K957">
        <v>148377</v>
      </c>
      <c r="L957">
        <v>148002</v>
      </c>
      <c r="M957" t="str">
        <f t="shared" si="85"/>
        <v>Medium</v>
      </c>
      <c r="N957">
        <f>VLOOKUP(C957,Lookup!$A$2:$D$5,MATCH(M957,Lookup!$A$1:$D$1,0),FALSE)</f>
        <v>0.08</v>
      </c>
      <c r="O957">
        <f t="shared" si="86"/>
        <v>11840.16</v>
      </c>
      <c r="P957" s="7">
        <f t="shared" si="87"/>
        <v>0.91975105843556093</v>
      </c>
      <c r="Q957" s="7">
        <f t="shared" si="88"/>
        <v>4481.1944444444443</v>
      </c>
      <c r="R957">
        <f t="shared" si="89"/>
        <v>3.6815380873231445</v>
      </c>
    </row>
    <row r="958" spans="1:18" x14ac:dyDescent="0.25">
      <c r="A958" t="s">
        <v>576</v>
      </c>
      <c r="B958" t="s">
        <v>577</v>
      </c>
      <c r="C958" t="s">
        <v>8</v>
      </c>
      <c r="D958">
        <v>62916</v>
      </c>
      <c r="E958" s="1">
        <v>43738</v>
      </c>
      <c r="F958" s="2">
        <f t="shared" si="84"/>
        <v>2019</v>
      </c>
      <c r="G958">
        <v>31</v>
      </c>
      <c r="H958" s="3">
        <v>115752</v>
      </c>
      <c r="I958">
        <v>11388</v>
      </c>
      <c r="J958">
        <v>115752</v>
      </c>
      <c r="K958">
        <v>102583</v>
      </c>
      <c r="L958">
        <v>101118</v>
      </c>
      <c r="M958" t="str">
        <f t="shared" si="85"/>
        <v>Medium</v>
      </c>
      <c r="N958">
        <f>VLOOKUP(C958,Lookup!$A$2:$D$5,MATCH(M958,Lookup!$A$1:$D$1,0),FALSE)</f>
        <v>0.08</v>
      </c>
      <c r="O958">
        <f t="shared" si="86"/>
        <v>8089.4400000000005</v>
      </c>
      <c r="P958" s="7">
        <f t="shared" si="87"/>
        <v>0.88623090745732258</v>
      </c>
      <c r="Q958" s="7">
        <f t="shared" si="88"/>
        <v>3733.9354838709678</v>
      </c>
      <c r="R958">
        <f t="shared" si="89"/>
        <v>1.4077612294546964</v>
      </c>
    </row>
    <row r="959" spans="1:18" x14ac:dyDescent="0.25">
      <c r="A959" t="s">
        <v>576</v>
      </c>
      <c r="B959" t="s">
        <v>577</v>
      </c>
      <c r="C959" t="s">
        <v>8</v>
      </c>
      <c r="D959">
        <v>62916</v>
      </c>
      <c r="E959" s="1">
        <v>44104</v>
      </c>
      <c r="F959" s="2">
        <f t="shared" si="84"/>
        <v>2020</v>
      </c>
      <c r="G959">
        <v>30</v>
      </c>
      <c r="H959" s="3">
        <v>130365</v>
      </c>
      <c r="I959">
        <v>14677</v>
      </c>
      <c r="J959">
        <v>130365</v>
      </c>
      <c r="K959">
        <v>115663</v>
      </c>
      <c r="L959">
        <v>110034</v>
      </c>
      <c r="M959" t="str">
        <f t="shared" si="85"/>
        <v>Medium</v>
      </c>
      <c r="N959">
        <f>VLOOKUP(C959,Lookup!$A$2:$D$5,MATCH(M959,Lookup!$A$1:$D$1,0),FALSE)</f>
        <v>0.08</v>
      </c>
      <c r="O959">
        <f t="shared" si="86"/>
        <v>8802.7199999999993</v>
      </c>
      <c r="P959" s="7">
        <f t="shared" si="87"/>
        <v>0.88722433168411763</v>
      </c>
      <c r="Q959" s="7">
        <f t="shared" si="88"/>
        <v>4345.5</v>
      </c>
      <c r="R959">
        <f t="shared" si="89"/>
        <v>1.6673255539196976</v>
      </c>
    </row>
    <row r="960" spans="1:18" x14ac:dyDescent="0.25">
      <c r="A960" t="s">
        <v>576</v>
      </c>
      <c r="B960" t="s">
        <v>577</v>
      </c>
      <c r="C960" t="s">
        <v>8</v>
      </c>
      <c r="D960">
        <v>62916</v>
      </c>
      <c r="E960" s="1">
        <v>44469</v>
      </c>
      <c r="F960" s="2">
        <f t="shared" si="84"/>
        <v>2021</v>
      </c>
      <c r="G960">
        <v>30</v>
      </c>
      <c r="H960" s="3">
        <v>138821</v>
      </c>
      <c r="I960">
        <v>15622</v>
      </c>
      <c r="J960">
        <v>138821</v>
      </c>
      <c r="K960">
        <v>122899</v>
      </c>
      <c r="L960">
        <v>121320</v>
      </c>
      <c r="M960" t="str">
        <f t="shared" si="85"/>
        <v>Medium</v>
      </c>
      <c r="N960">
        <f>VLOOKUP(C960,Lookup!$A$2:$D$5,MATCH(M960,Lookup!$A$1:$D$1,0),FALSE)</f>
        <v>0.08</v>
      </c>
      <c r="O960">
        <f t="shared" si="86"/>
        <v>9705.6</v>
      </c>
      <c r="P960" s="7">
        <f t="shared" si="87"/>
        <v>0.88530553734665507</v>
      </c>
      <c r="Q960" s="7">
        <f t="shared" si="88"/>
        <v>4627.3666666666668</v>
      </c>
      <c r="R960">
        <f t="shared" si="89"/>
        <v>1.6095862182657434</v>
      </c>
    </row>
    <row r="961" spans="1:18" x14ac:dyDescent="0.25">
      <c r="A961" t="s">
        <v>578</v>
      </c>
      <c r="B961" t="s">
        <v>579</v>
      </c>
      <c r="C961" t="s">
        <v>8</v>
      </c>
      <c r="D961">
        <v>61741</v>
      </c>
      <c r="E961" s="1">
        <v>43738</v>
      </c>
      <c r="F961" s="2">
        <f t="shared" si="84"/>
        <v>2019</v>
      </c>
      <c r="G961">
        <v>53</v>
      </c>
      <c r="H961" s="3">
        <v>229272</v>
      </c>
      <c r="I961">
        <v>20315</v>
      </c>
      <c r="J961">
        <v>229272</v>
      </c>
      <c r="K961">
        <v>210604</v>
      </c>
      <c r="L961">
        <v>198326</v>
      </c>
      <c r="M961" t="str">
        <f t="shared" si="85"/>
        <v>Medium</v>
      </c>
      <c r="N961">
        <f>VLOOKUP(C961,Lookup!$A$2:$D$5,MATCH(M961,Lookup!$A$1:$D$1,0),FALSE)</f>
        <v>0.08</v>
      </c>
      <c r="O961">
        <f t="shared" si="86"/>
        <v>15866.08</v>
      </c>
      <c r="P961" s="7">
        <f t="shared" si="87"/>
        <v>0.91857706130709371</v>
      </c>
      <c r="Q961" s="7">
        <f t="shared" si="88"/>
        <v>4325.8867924528304</v>
      </c>
      <c r="R961">
        <f t="shared" si="89"/>
        <v>1.2804044855440033</v>
      </c>
    </row>
    <row r="962" spans="1:18" x14ac:dyDescent="0.25">
      <c r="A962" t="s">
        <v>578</v>
      </c>
      <c r="B962" t="s">
        <v>579</v>
      </c>
      <c r="C962" t="s">
        <v>8</v>
      </c>
      <c r="D962">
        <v>61741</v>
      </c>
      <c r="E962" s="1">
        <v>44104</v>
      </c>
      <c r="F962" s="2">
        <f t="shared" ref="F962:F1025" si="90">YEAR(E962)</f>
        <v>2020</v>
      </c>
      <c r="G962">
        <v>51</v>
      </c>
      <c r="H962" s="3">
        <v>236737</v>
      </c>
      <c r="I962">
        <v>27879</v>
      </c>
      <c r="J962">
        <v>236737</v>
      </c>
      <c r="K962">
        <v>216997</v>
      </c>
      <c r="L962">
        <v>210495</v>
      </c>
      <c r="M962" t="str">
        <f t="shared" ref="M962:M1025" si="91">IF(H962&gt;1000000,"Large",IF(H962&lt;100000,"Small","Medium"))</f>
        <v>Medium</v>
      </c>
      <c r="N962">
        <f>VLOOKUP(C962,Lookup!$A$2:$D$5,MATCH(M962,Lookup!$A$1:$D$1,0),FALSE)</f>
        <v>0.08</v>
      </c>
      <c r="O962">
        <f t="shared" ref="O962:O1025" si="92">L962*N962</f>
        <v>16839.599999999999</v>
      </c>
      <c r="P962" s="7">
        <f t="shared" ref="P962:P1025" si="93">K962/H962</f>
        <v>0.91661632951334182</v>
      </c>
      <c r="Q962" s="7">
        <f t="shared" ref="Q962:Q1025" si="94">H962/G962</f>
        <v>4641.9019607843138</v>
      </c>
      <c r="R962">
        <f t="shared" ref="R962:R1025" si="95">I962/O962</f>
        <v>1.6555618898311126</v>
      </c>
    </row>
    <row r="963" spans="1:18" x14ac:dyDescent="0.25">
      <c r="A963" t="s">
        <v>578</v>
      </c>
      <c r="B963" t="s">
        <v>579</v>
      </c>
      <c r="C963" t="s">
        <v>8</v>
      </c>
      <c r="D963">
        <v>61741</v>
      </c>
      <c r="E963" s="1">
        <v>44469</v>
      </c>
      <c r="F963" s="2">
        <f t="shared" si="90"/>
        <v>2021</v>
      </c>
      <c r="G963">
        <v>54</v>
      </c>
      <c r="H963" s="3">
        <v>243659</v>
      </c>
      <c r="I963">
        <v>18951</v>
      </c>
      <c r="J963">
        <v>243659</v>
      </c>
      <c r="K963">
        <v>221916</v>
      </c>
      <c r="L963">
        <v>217497</v>
      </c>
      <c r="M963" t="str">
        <f t="shared" si="91"/>
        <v>Medium</v>
      </c>
      <c r="N963">
        <f>VLOOKUP(C963,Lookup!$A$2:$D$5,MATCH(M963,Lookup!$A$1:$D$1,0),FALSE)</f>
        <v>0.08</v>
      </c>
      <c r="O963">
        <f t="shared" si="92"/>
        <v>17399.760000000002</v>
      </c>
      <c r="P963" s="7">
        <f t="shared" si="93"/>
        <v>0.91076463418137643</v>
      </c>
      <c r="Q963" s="7">
        <f t="shared" si="94"/>
        <v>4512.2037037037035</v>
      </c>
      <c r="R963">
        <f t="shared" si="95"/>
        <v>1.0891529538338458</v>
      </c>
    </row>
    <row r="964" spans="1:18" x14ac:dyDescent="0.25">
      <c r="A964" t="s">
        <v>580</v>
      </c>
      <c r="B964" t="s">
        <v>581</v>
      </c>
      <c r="C964" t="s">
        <v>8</v>
      </c>
      <c r="D964">
        <v>62970</v>
      </c>
      <c r="E964" s="1">
        <v>43738</v>
      </c>
      <c r="F964" s="2">
        <f t="shared" si="90"/>
        <v>2019</v>
      </c>
      <c r="G964">
        <v>17</v>
      </c>
      <c r="H964" s="3">
        <v>50895</v>
      </c>
      <c r="I964">
        <v>2428</v>
      </c>
      <c r="J964">
        <v>50895</v>
      </c>
      <c r="K964">
        <v>44150</v>
      </c>
      <c r="L964">
        <v>43869</v>
      </c>
      <c r="M964" t="str">
        <f t="shared" si="91"/>
        <v>Small</v>
      </c>
      <c r="N964">
        <f>VLOOKUP(C964,Lookup!$A$2:$D$5,MATCH(M964,Lookup!$A$1:$D$1,0),FALSE)</f>
        <v>0.09</v>
      </c>
      <c r="O964">
        <f t="shared" si="92"/>
        <v>3948.21</v>
      </c>
      <c r="P964" s="7">
        <f t="shared" si="93"/>
        <v>0.86747224678259161</v>
      </c>
      <c r="Q964" s="7">
        <f t="shared" si="94"/>
        <v>2993.8235294117649</v>
      </c>
      <c r="R964">
        <f t="shared" si="95"/>
        <v>0.61496222338730711</v>
      </c>
    </row>
    <row r="965" spans="1:18" x14ac:dyDescent="0.25">
      <c r="A965" t="s">
        <v>580</v>
      </c>
      <c r="B965" t="s">
        <v>581</v>
      </c>
      <c r="C965" t="s">
        <v>8</v>
      </c>
      <c r="D965">
        <v>62970</v>
      </c>
      <c r="E965" s="1">
        <v>44104</v>
      </c>
      <c r="F965" s="2">
        <f t="shared" si="90"/>
        <v>2020</v>
      </c>
      <c r="G965">
        <v>18</v>
      </c>
      <c r="H965" s="3">
        <v>61143</v>
      </c>
      <c r="I965">
        <v>6476</v>
      </c>
      <c r="J965">
        <v>61143</v>
      </c>
      <c r="K965">
        <v>53900</v>
      </c>
      <c r="L965">
        <v>49596</v>
      </c>
      <c r="M965" t="str">
        <f t="shared" si="91"/>
        <v>Small</v>
      </c>
      <c r="N965">
        <f>VLOOKUP(C965,Lookup!$A$2:$D$5,MATCH(M965,Lookup!$A$1:$D$1,0),FALSE)</f>
        <v>0.09</v>
      </c>
      <c r="O965">
        <f t="shared" si="92"/>
        <v>4463.6399999999994</v>
      </c>
      <c r="P965" s="7">
        <f t="shared" si="93"/>
        <v>0.88153999640187752</v>
      </c>
      <c r="Q965" s="7">
        <f t="shared" si="94"/>
        <v>3396.8333333333335</v>
      </c>
      <c r="R965">
        <f t="shared" si="95"/>
        <v>1.4508338486078629</v>
      </c>
    </row>
    <row r="966" spans="1:18" x14ac:dyDescent="0.25">
      <c r="A966" t="s">
        <v>580</v>
      </c>
      <c r="B966" t="s">
        <v>581</v>
      </c>
      <c r="C966" t="s">
        <v>8</v>
      </c>
      <c r="D966">
        <v>62970</v>
      </c>
      <c r="E966" s="1">
        <v>44469</v>
      </c>
      <c r="F966" s="2">
        <f t="shared" si="90"/>
        <v>2021</v>
      </c>
      <c r="G966">
        <v>17</v>
      </c>
      <c r="H966" s="3">
        <v>65238</v>
      </c>
      <c r="I966">
        <v>5824</v>
      </c>
      <c r="J966">
        <v>65238</v>
      </c>
      <c r="K966">
        <v>57540</v>
      </c>
      <c r="L966">
        <v>56309</v>
      </c>
      <c r="M966" t="str">
        <f t="shared" si="91"/>
        <v>Small</v>
      </c>
      <c r="N966">
        <f>VLOOKUP(C966,Lookup!$A$2:$D$5,MATCH(M966,Lookup!$A$1:$D$1,0),FALSE)</f>
        <v>0.09</v>
      </c>
      <c r="O966">
        <f t="shared" si="92"/>
        <v>5067.8099999999995</v>
      </c>
      <c r="P966" s="7">
        <f t="shared" si="93"/>
        <v>0.88200128759312058</v>
      </c>
      <c r="Q966" s="7">
        <f t="shared" si="94"/>
        <v>3837.5294117647059</v>
      </c>
      <c r="R966">
        <f t="shared" si="95"/>
        <v>1.1492143549185942</v>
      </c>
    </row>
    <row r="967" spans="1:18" x14ac:dyDescent="0.25">
      <c r="A967" t="s">
        <v>582</v>
      </c>
      <c r="B967" t="s">
        <v>583</v>
      </c>
      <c r="C967" t="s">
        <v>8</v>
      </c>
      <c r="D967">
        <v>62880</v>
      </c>
      <c r="E967" s="1">
        <v>43738</v>
      </c>
      <c r="F967" s="2">
        <f t="shared" si="90"/>
        <v>2019</v>
      </c>
      <c r="G967">
        <v>5</v>
      </c>
      <c r="H967" s="3">
        <v>28640</v>
      </c>
      <c r="I967">
        <v>2668</v>
      </c>
      <c r="J967">
        <v>28640</v>
      </c>
      <c r="K967">
        <v>23650</v>
      </c>
      <c r="L967">
        <v>23516</v>
      </c>
      <c r="M967" t="str">
        <f t="shared" si="91"/>
        <v>Small</v>
      </c>
      <c r="N967">
        <f>VLOOKUP(C967,Lookup!$A$2:$D$5,MATCH(M967,Lookup!$A$1:$D$1,0),FALSE)</f>
        <v>0.09</v>
      </c>
      <c r="O967">
        <f t="shared" si="92"/>
        <v>2116.44</v>
      </c>
      <c r="P967" s="7">
        <f t="shared" si="93"/>
        <v>0.82576815642458101</v>
      </c>
      <c r="Q967" s="7">
        <f t="shared" si="94"/>
        <v>5728</v>
      </c>
      <c r="R967">
        <f t="shared" si="95"/>
        <v>1.2606074351269112</v>
      </c>
    </row>
    <row r="968" spans="1:18" x14ac:dyDescent="0.25">
      <c r="A968" t="s">
        <v>582</v>
      </c>
      <c r="B968" t="s">
        <v>583</v>
      </c>
      <c r="C968" t="s">
        <v>8</v>
      </c>
      <c r="D968">
        <v>62880</v>
      </c>
      <c r="E968" s="1">
        <v>44104</v>
      </c>
      <c r="F968" s="2">
        <f t="shared" si="90"/>
        <v>2020</v>
      </c>
      <c r="G968">
        <v>5</v>
      </c>
      <c r="H968" s="3">
        <v>29980</v>
      </c>
      <c r="I968">
        <v>9188</v>
      </c>
      <c r="J968">
        <v>29980</v>
      </c>
      <c r="K968">
        <v>24905</v>
      </c>
      <c r="L968">
        <v>24738</v>
      </c>
      <c r="M968" t="str">
        <f t="shared" si="91"/>
        <v>Small</v>
      </c>
      <c r="N968">
        <f>VLOOKUP(C968,Lookup!$A$2:$D$5,MATCH(M968,Lookup!$A$1:$D$1,0),FALSE)</f>
        <v>0.09</v>
      </c>
      <c r="O968">
        <f t="shared" si="92"/>
        <v>2226.42</v>
      </c>
      <c r="P968" s="7">
        <f t="shared" si="93"/>
        <v>0.83072048032021351</v>
      </c>
      <c r="Q968" s="7">
        <f t="shared" si="94"/>
        <v>5996</v>
      </c>
      <c r="R968">
        <f t="shared" si="95"/>
        <v>4.1268044663630397</v>
      </c>
    </row>
    <row r="969" spans="1:18" x14ac:dyDescent="0.25">
      <c r="A969" t="s">
        <v>582</v>
      </c>
      <c r="B969" t="s">
        <v>583</v>
      </c>
      <c r="C969" t="s">
        <v>8</v>
      </c>
      <c r="D969">
        <v>62880</v>
      </c>
      <c r="E969" s="1">
        <v>44469</v>
      </c>
      <c r="F969" s="2">
        <f t="shared" si="90"/>
        <v>2021</v>
      </c>
      <c r="G969">
        <v>5</v>
      </c>
      <c r="H969" s="3">
        <v>33530</v>
      </c>
      <c r="I969">
        <v>13956</v>
      </c>
      <c r="J969">
        <v>33530</v>
      </c>
      <c r="K969">
        <v>28389</v>
      </c>
      <c r="L969">
        <v>28265</v>
      </c>
      <c r="M969" t="str">
        <f t="shared" si="91"/>
        <v>Small</v>
      </c>
      <c r="N969">
        <f>VLOOKUP(C969,Lookup!$A$2:$D$5,MATCH(M969,Lookup!$A$1:$D$1,0),FALSE)</f>
        <v>0.09</v>
      </c>
      <c r="O969">
        <f t="shared" si="92"/>
        <v>2543.85</v>
      </c>
      <c r="P969" s="7">
        <f t="shared" si="93"/>
        <v>0.84667461974351332</v>
      </c>
      <c r="Q969" s="7">
        <f t="shared" si="94"/>
        <v>6706</v>
      </c>
      <c r="R969">
        <f t="shared" si="95"/>
        <v>5.4861725337578866</v>
      </c>
    </row>
    <row r="970" spans="1:18" x14ac:dyDescent="0.25">
      <c r="A970" t="s">
        <v>584</v>
      </c>
      <c r="B970" t="s">
        <v>585</v>
      </c>
      <c r="C970" t="s">
        <v>8</v>
      </c>
      <c r="D970">
        <v>61374</v>
      </c>
      <c r="E970" s="1">
        <v>43738</v>
      </c>
      <c r="F970" s="2">
        <f t="shared" si="90"/>
        <v>2019</v>
      </c>
      <c r="G970">
        <v>7</v>
      </c>
      <c r="H970" s="3">
        <v>40461</v>
      </c>
      <c r="I970">
        <v>12386</v>
      </c>
      <c r="J970">
        <v>40461</v>
      </c>
      <c r="K970">
        <v>36116</v>
      </c>
      <c r="L970">
        <v>35678</v>
      </c>
      <c r="M970" t="str">
        <f t="shared" si="91"/>
        <v>Small</v>
      </c>
      <c r="N970">
        <f>VLOOKUP(C970,Lookup!$A$2:$D$5,MATCH(M970,Lookup!$A$1:$D$1,0),FALSE)</f>
        <v>0.09</v>
      </c>
      <c r="O970">
        <f t="shared" si="92"/>
        <v>3211.02</v>
      </c>
      <c r="P970" s="7">
        <f t="shared" si="93"/>
        <v>0.8926126393317021</v>
      </c>
      <c r="Q970" s="7">
        <f t="shared" si="94"/>
        <v>5780.1428571428569</v>
      </c>
      <c r="R970">
        <f t="shared" si="95"/>
        <v>3.8573412809636816</v>
      </c>
    </row>
    <row r="971" spans="1:18" x14ac:dyDescent="0.25">
      <c r="A971" t="s">
        <v>584</v>
      </c>
      <c r="B971" t="s">
        <v>585</v>
      </c>
      <c r="C971" t="s">
        <v>8</v>
      </c>
      <c r="D971">
        <v>61374</v>
      </c>
      <c r="E971" s="1">
        <v>44104</v>
      </c>
      <c r="F971" s="2">
        <f t="shared" si="90"/>
        <v>2020</v>
      </c>
      <c r="G971">
        <v>8</v>
      </c>
      <c r="H971" s="3">
        <v>42582</v>
      </c>
      <c r="I971">
        <v>15915</v>
      </c>
      <c r="J971">
        <v>42582</v>
      </c>
      <c r="K971">
        <v>37813</v>
      </c>
      <c r="L971">
        <v>37379</v>
      </c>
      <c r="M971" t="str">
        <f t="shared" si="91"/>
        <v>Small</v>
      </c>
      <c r="N971">
        <f>VLOOKUP(C971,Lookup!$A$2:$D$5,MATCH(M971,Lookup!$A$1:$D$1,0),FALSE)</f>
        <v>0.09</v>
      </c>
      <c r="O971">
        <f t="shared" si="92"/>
        <v>3364.1099999999997</v>
      </c>
      <c r="P971" s="7">
        <f t="shared" si="93"/>
        <v>0.88800432107463245</v>
      </c>
      <c r="Q971" s="7">
        <f t="shared" si="94"/>
        <v>5322.75</v>
      </c>
      <c r="R971">
        <f t="shared" si="95"/>
        <v>4.7308203358391969</v>
      </c>
    </row>
    <row r="972" spans="1:18" x14ac:dyDescent="0.25">
      <c r="A972" t="s">
        <v>584</v>
      </c>
      <c r="B972" t="s">
        <v>585</v>
      </c>
      <c r="C972" t="s">
        <v>8</v>
      </c>
      <c r="D972">
        <v>61374</v>
      </c>
      <c r="E972" s="1">
        <v>44469</v>
      </c>
      <c r="F972" s="2">
        <f t="shared" si="90"/>
        <v>2021</v>
      </c>
      <c r="G972">
        <v>7</v>
      </c>
      <c r="H972" s="3">
        <v>46170</v>
      </c>
      <c r="I972">
        <v>16477</v>
      </c>
      <c r="J972">
        <v>46170</v>
      </c>
      <c r="K972">
        <v>41511</v>
      </c>
      <c r="L972">
        <v>41101</v>
      </c>
      <c r="M972" t="str">
        <f t="shared" si="91"/>
        <v>Small</v>
      </c>
      <c r="N972">
        <f>VLOOKUP(C972,Lookup!$A$2:$D$5,MATCH(M972,Lookup!$A$1:$D$1,0),FALSE)</f>
        <v>0.09</v>
      </c>
      <c r="O972">
        <f t="shared" si="92"/>
        <v>3699.0899999999997</v>
      </c>
      <c r="P972" s="7">
        <f t="shared" si="93"/>
        <v>0.89909031838856401</v>
      </c>
      <c r="Q972" s="7">
        <f t="shared" si="94"/>
        <v>6595.7142857142853</v>
      </c>
      <c r="R972">
        <f t="shared" si="95"/>
        <v>4.4543387698055472</v>
      </c>
    </row>
    <row r="973" spans="1:18" x14ac:dyDescent="0.25">
      <c r="A973" t="s">
        <v>586</v>
      </c>
      <c r="B973" t="s">
        <v>587</v>
      </c>
      <c r="C973" t="s">
        <v>8</v>
      </c>
      <c r="D973">
        <v>61078</v>
      </c>
      <c r="E973" s="1">
        <v>43738</v>
      </c>
      <c r="F973" s="2">
        <f t="shared" si="90"/>
        <v>2019</v>
      </c>
      <c r="G973">
        <v>41</v>
      </c>
      <c r="H973" s="3">
        <v>165158</v>
      </c>
      <c r="I973">
        <v>4828</v>
      </c>
      <c r="J973">
        <v>165158</v>
      </c>
      <c r="K973">
        <v>147739</v>
      </c>
      <c r="L973">
        <v>142465</v>
      </c>
      <c r="M973" t="str">
        <f t="shared" si="91"/>
        <v>Medium</v>
      </c>
      <c r="N973">
        <f>VLOOKUP(C973,Lookup!$A$2:$D$5,MATCH(M973,Lookup!$A$1:$D$1,0),FALSE)</f>
        <v>0.08</v>
      </c>
      <c r="O973">
        <f t="shared" si="92"/>
        <v>11397.2</v>
      </c>
      <c r="P973" s="7">
        <f t="shared" si="93"/>
        <v>0.89453129730318848</v>
      </c>
      <c r="Q973" s="7">
        <f t="shared" si="94"/>
        <v>4028.2439024390242</v>
      </c>
      <c r="R973">
        <f t="shared" si="95"/>
        <v>0.42361281718316779</v>
      </c>
    </row>
    <row r="974" spans="1:18" x14ac:dyDescent="0.25">
      <c r="A974" t="s">
        <v>586</v>
      </c>
      <c r="B974" t="s">
        <v>587</v>
      </c>
      <c r="C974" t="s">
        <v>8</v>
      </c>
      <c r="D974">
        <v>61078</v>
      </c>
      <c r="E974" s="1">
        <v>44104</v>
      </c>
      <c r="F974" s="2">
        <f t="shared" si="90"/>
        <v>2020</v>
      </c>
      <c r="G974">
        <v>42</v>
      </c>
      <c r="H974" s="3">
        <v>186653</v>
      </c>
      <c r="I974">
        <v>17885</v>
      </c>
      <c r="J974">
        <v>186653</v>
      </c>
      <c r="K974">
        <v>167076</v>
      </c>
      <c r="L974">
        <v>162697</v>
      </c>
      <c r="M974" t="str">
        <f t="shared" si="91"/>
        <v>Medium</v>
      </c>
      <c r="N974">
        <f>VLOOKUP(C974,Lookup!$A$2:$D$5,MATCH(M974,Lookup!$A$1:$D$1,0),FALSE)</f>
        <v>0.08</v>
      </c>
      <c r="O974">
        <f t="shared" si="92"/>
        <v>13015.76</v>
      </c>
      <c r="P974" s="7">
        <f t="shared" si="93"/>
        <v>0.89511553524454468</v>
      </c>
      <c r="Q974" s="7">
        <f t="shared" si="94"/>
        <v>4444.1190476190477</v>
      </c>
      <c r="R974">
        <f t="shared" si="95"/>
        <v>1.3741033946538657</v>
      </c>
    </row>
    <row r="975" spans="1:18" x14ac:dyDescent="0.25">
      <c r="A975" t="s">
        <v>586</v>
      </c>
      <c r="B975" t="s">
        <v>587</v>
      </c>
      <c r="C975" t="s">
        <v>8</v>
      </c>
      <c r="D975">
        <v>61078</v>
      </c>
      <c r="E975" s="1">
        <v>44469</v>
      </c>
      <c r="F975" s="2">
        <f t="shared" si="90"/>
        <v>2021</v>
      </c>
      <c r="G975">
        <v>42</v>
      </c>
      <c r="H975" s="3">
        <v>209574</v>
      </c>
      <c r="I975">
        <v>9151</v>
      </c>
      <c r="J975">
        <v>209574</v>
      </c>
      <c r="K975">
        <v>190190</v>
      </c>
      <c r="L975">
        <v>184439</v>
      </c>
      <c r="M975" t="str">
        <f t="shared" si="91"/>
        <v>Medium</v>
      </c>
      <c r="N975">
        <f>VLOOKUP(C975,Lookup!$A$2:$D$5,MATCH(M975,Lookup!$A$1:$D$1,0),FALSE)</f>
        <v>0.08</v>
      </c>
      <c r="O975">
        <f t="shared" si="92"/>
        <v>14755.12</v>
      </c>
      <c r="P975" s="7">
        <f t="shared" si="93"/>
        <v>0.90750761067689689</v>
      </c>
      <c r="Q975" s="7">
        <f t="shared" si="94"/>
        <v>4989.8571428571431</v>
      </c>
      <c r="R975">
        <f t="shared" si="95"/>
        <v>0.62019149962860343</v>
      </c>
    </row>
    <row r="976" spans="1:18" x14ac:dyDescent="0.25">
      <c r="A976" t="s">
        <v>588</v>
      </c>
      <c r="B976" t="s">
        <v>589</v>
      </c>
      <c r="C976" t="s">
        <v>8</v>
      </c>
      <c r="D976">
        <v>61230</v>
      </c>
      <c r="E976" s="1">
        <v>43738</v>
      </c>
      <c r="F976" s="2">
        <f t="shared" si="90"/>
        <v>2019</v>
      </c>
      <c r="G976">
        <v>29</v>
      </c>
      <c r="H976" s="3">
        <v>172553</v>
      </c>
      <c r="I976">
        <v>6732</v>
      </c>
      <c r="J976">
        <v>172553</v>
      </c>
      <c r="K976">
        <v>146501</v>
      </c>
      <c r="L976">
        <v>146035</v>
      </c>
      <c r="M976" t="str">
        <f t="shared" si="91"/>
        <v>Medium</v>
      </c>
      <c r="N976">
        <f>VLOOKUP(C976,Lookup!$A$2:$D$5,MATCH(M976,Lookup!$A$1:$D$1,0),FALSE)</f>
        <v>0.08</v>
      </c>
      <c r="O976">
        <f t="shared" si="92"/>
        <v>11682.800000000001</v>
      </c>
      <c r="P976" s="7">
        <f t="shared" si="93"/>
        <v>0.84902030100896542</v>
      </c>
      <c r="Q976" s="7">
        <f t="shared" si="94"/>
        <v>5950.1034482758623</v>
      </c>
      <c r="R976">
        <f t="shared" si="95"/>
        <v>0.57623172527133903</v>
      </c>
    </row>
    <row r="977" spans="1:18" x14ac:dyDescent="0.25">
      <c r="A977" t="s">
        <v>590</v>
      </c>
      <c r="B977" t="s">
        <v>591</v>
      </c>
      <c r="C977" t="s">
        <v>8</v>
      </c>
      <c r="D977">
        <v>60901</v>
      </c>
      <c r="E977" s="1">
        <v>43738</v>
      </c>
      <c r="F977" s="2">
        <f t="shared" si="90"/>
        <v>2019</v>
      </c>
      <c r="G977">
        <v>31</v>
      </c>
      <c r="H977" s="3">
        <v>233546</v>
      </c>
      <c r="I977">
        <v>8648</v>
      </c>
      <c r="J977">
        <v>233546</v>
      </c>
      <c r="K977">
        <v>206079</v>
      </c>
      <c r="L977">
        <v>181803</v>
      </c>
      <c r="M977" t="str">
        <f t="shared" si="91"/>
        <v>Medium</v>
      </c>
      <c r="N977">
        <f>VLOOKUP(C977,Lookup!$A$2:$D$5,MATCH(M977,Lookup!$A$1:$D$1,0),FALSE)</f>
        <v>0.08</v>
      </c>
      <c r="O977">
        <f t="shared" si="92"/>
        <v>14544.24</v>
      </c>
      <c r="P977" s="7">
        <f t="shared" si="93"/>
        <v>0.88239147748195212</v>
      </c>
      <c r="Q977" s="7">
        <f t="shared" si="94"/>
        <v>7533.7419354838712</v>
      </c>
      <c r="R977">
        <f t="shared" si="95"/>
        <v>0.5945996490706974</v>
      </c>
    </row>
    <row r="978" spans="1:18" x14ac:dyDescent="0.25">
      <c r="A978" t="s">
        <v>590</v>
      </c>
      <c r="B978" t="s">
        <v>591</v>
      </c>
      <c r="C978" t="s">
        <v>8</v>
      </c>
      <c r="D978">
        <v>60901</v>
      </c>
      <c r="E978" s="1">
        <v>44104</v>
      </c>
      <c r="F978" s="2">
        <f t="shared" si="90"/>
        <v>2020</v>
      </c>
      <c r="G978">
        <v>47</v>
      </c>
      <c r="H978" s="3">
        <v>342385</v>
      </c>
      <c r="I978">
        <v>28309</v>
      </c>
      <c r="J978">
        <v>342385</v>
      </c>
      <c r="K978">
        <v>306150</v>
      </c>
      <c r="L978">
        <v>260825</v>
      </c>
      <c r="M978" t="str">
        <f t="shared" si="91"/>
        <v>Medium</v>
      </c>
      <c r="N978">
        <f>VLOOKUP(C978,Lookup!$A$2:$D$5,MATCH(M978,Lookup!$A$1:$D$1,0),FALSE)</f>
        <v>0.08</v>
      </c>
      <c r="O978">
        <f t="shared" si="92"/>
        <v>20866</v>
      </c>
      <c r="P978" s="7">
        <f t="shared" si="93"/>
        <v>0.89416884501365423</v>
      </c>
      <c r="Q978" s="7">
        <f t="shared" si="94"/>
        <v>7284.7872340425529</v>
      </c>
      <c r="R978">
        <f t="shared" si="95"/>
        <v>1.3567046870507045</v>
      </c>
    </row>
    <row r="979" spans="1:18" x14ac:dyDescent="0.25">
      <c r="A979" t="s">
        <v>590</v>
      </c>
      <c r="B979" t="s">
        <v>591</v>
      </c>
      <c r="C979" t="s">
        <v>8</v>
      </c>
      <c r="D979">
        <v>60901</v>
      </c>
      <c r="E979" s="1">
        <v>44469</v>
      </c>
      <c r="F979" s="2">
        <f t="shared" si="90"/>
        <v>2021</v>
      </c>
      <c r="G979">
        <v>47</v>
      </c>
      <c r="H979" s="3">
        <v>381686</v>
      </c>
      <c r="I979">
        <v>37968</v>
      </c>
      <c r="J979">
        <v>381686</v>
      </c>
      <c r="K979">
        <v>343825</v>
      </c>
      <c r="L979">
        <v>295720</v>
      </c>
      <c r="M979" t="str">
        <f t="shared" si="91"/>
        <v>Medium</v>
      </c>
      <c r="N979">
        <f>VLOOKUP(C979,Lookup!$A$2:$D$5,MATCH(M979,Lookup!$A$1:$D$1,0),FALSE)</f>
        <v>0.08</v>
      </c>
      <c r="O979">
        <f t="shared" si="92"/>
        <v>23657.600000000002</v>
      </c>
      <c r="P979" s="7">
        <f t="shared" si="93"/>
        <v>0.90080589804184596</v>
      </c>
      <c r="Q979" s="7">
        <f t="shared" si="94"/>
        <v>8120.9787234042551</v>
      </c>
      <c r="R979">
        <f t="shared" si="95"/>
        <v>1.6048965237386716</v>
      </c>
    </row>
    <row r="980" spans="1:18" x14ac:dyDescent="0.25">
      <c r="A980" t="s">
        <v>592</v>
      </c>
      <c r="B980" t="s">
        <v>593</v>
      </c>
      <c r="C980" t="s">
        <v>17</v>
      </c>
      <c r="D980">
        <v>14569</v>
      </c>
      <c r="E980" s="1">
        <v>43738</v>
      </c>
      <c r="F980" s="2">
        <f t="shared" si="90"/>
        <v>2019</v>
      </c>
      <c r="G980">
        <v>639</v>
      </c>
      <c r="H980" s="3">
        <v>4299352</v>
      </c>
      <c r="I980">
        <v>136815</v>
      </c>
      <c r="J980">
        <v>4299352</v>
      </c>
      <c r="K980">
        <v>3863810</v>
      </c>
      <c r="L980">
        <v>3600633</v>
      </c>
      <c r="M980" t="str">
        <f t="shared" si="91"/>
        <v>Large</v>
      </c>
      <c r="N980">
        <f>VLOOKUP(C980,Lookup!$A$2:$D$5,MATCH(M980,Lookup!$A$1:$D$1,0),FALSE)</f>
        <v>0.08</v>
      </c>
      <c r="O980">
        <f t="shared" si="92"/>
        <v>288050.64</v>
      </c>
      <c r="P980" s="7">
        <f t="shared" si="93"/>
        <v>0.89869589649789083</v>
      </c>
      <c r="Q980" s="7">
        <f t="shared" si="94"/>
        <v>6728.2503912363063</v>
      </c>
      <c r="R980">
        <f t="shared" si="95"/>
        <v>0.47496856802678861</v>
      </c>
    </row>
    <row r="981" spans="1:18" x14ac:dyDescent="0.25">
      <c r="A981" t="s">
        <v>592</v>
      </c>
      <c r="B981" t="s">
        <v>594</v>
      </c>
      <c r="C981" t="s">
        <v>5</v>
      </c>
      <c r="D981">
        <v>95661</v>
      </c>
      <c r="E981" s="1">
        <v>43738</v>
      </c>
      <c r="F981" s="2">
        <f t="shared" si="90"/>
        <v>2019</v>
      </c>
      <c r="G981">
        <v>108</v>
      </c>
      <c r="H981" s="3">
        <v>1423428</v>
      </c>
      <c r="I981">
        <v>183226</v>
      </c>
      <c r="J981">
        <v>1423428</v>
      </c>
      <c r="K981">
        <v>1293493</v>
      </c>
      <c r="L981">
        <v>1235877</v>
      </c>
      <c r="M981" t="str">
        <f t="shared" si="91"/>
        <v>Large</v>
      </c>
      <c r="N981">
        <f>VLOOKUP(C981,Lookup!$A$2:$D$5,MATCH(M981,Lookup!$A$1:$D$1,0),FALSE)</f>
        <v>0.08</v>
      </c>
      <c r="O981">
        <f t="shared" si="92"/>
        <v>98870.16</v>
      </c>
      <c r="P981" s="7">
        <f t="shared" si="93"/>
        <v>0.90871684412558973</v>
      </c>
      <c r="Q981" s="7">
        <f t="shared" si="94"/>
        <v>13179.888888888889</v>
      </c>
      <c r="R981">
        <f t="shared" si="95"/>
        <v>1.8531981742519683</v>
      </c>
    </row>
    <row r="982" spans="1:18" x14ac:dyDescent="0.25">
      <c r="A982" t="s">
        <v>592</v>
      </c>
      <c r="B982" t="s">
        <v>593</v>
      </c>
      <c r="C982" t="s">
        <v>17</v>
      </c>
      <c r="D982">
        <v>14569</v>
      </c>
      <c r="E982" s="1">
        <v>44104</v>
      </c>
      <c r="F982" s="2">
        <f t="shared" si="90"/>
        <v>2020</v>
      </c>
      <c r="G982">
        <v>572</v>
      </c>
      <c r="H982" s="3">
        <v>4922251</v>
      </c>
      <c r="I982">
        <v>277537</v>
      </c>
      <c r="J982">
        <v>4922251</v>
      </c>
      <c r="K982">
        <v>4464057</v>
      </c>
      <c r="L982">
        <v>4375465</v>
      </c>
      <c r="M982" t="str">
        <f t="shared" si="91"/>
        <v>Large</v>
      </c>
      <c r="N982">
        <f>VLOOKUP(C982,Lookup!$A$2:$D$5,MATCH(M982,Lookup!$A$1:$D$1,0),FALSE)</f>
        <v>0.08</v>
      </c>
      <c r="O982">
        <f t="shared" si="92"/>
        <v>350037.2</v>
      </c>
      <c r="P982" s="7">
        <f t="shared" si="93"/>
        <v>0.90691372707324347</v>
      </c>
      <c r="Q982" s="7">
        <f t="shared" si="94"/>
        <v>8605.3339160839168</v>
      </c>
      <c r="R982">
        <f t="shared" si="95"/>
        <v>0.79287858547605794</v>
      </c>
    </row>
    <row r="983" spans="1:18" x14ac:dyDescent="0.25">
      <c r="A983" t="s">
        <v>592</v>
      </c>
      <c r="B983" t="s">
        <v>594</v>
      </c>
      <c r="C983" t="s">
        <v>5</v>
      </c>
      <c r="D983">
        <v>95661</v>
      </c>
      <c r="E983" s="1">
        <v>44104</v>
      </c>
      <c r="F983" s="2">
        <f t="shared" si="90"/>
        <v>2020</v>
      </c>
      <c r="G983">
        <v>130</v>
      </c>
      <c r="H983" s="3">
        <v>2057242</v>
      </c>
      <c r="I983">
        <v>363592</v>
      </c>
      <c r="J983">
        <v>2057242</v>
      </c>
      <c r="K983">
        <v>1900989</v>
      </c>
      <c r="L983">
        <v>1894769</v>
      </c>
      <c r="M983" t="str">
        <f t="shared" si="91"/>
        <v>Large</v>
      </c>
      <c r="N983">
        <f>VLOOKUP(C983,Lookup!$A$2:$D$5,MATCH(M983,Lookup!$A$1:$D$1,0),FALSE)</f>
        <v>0.08</v>
      </c>
      <c r="O983">
        <f t="shared" si="92"/>
        <v>151581.51999999999</v>
      </c>
      <c r="P983" s="7">
        <f t="shared" si="93"/>
        <v>0.92404734105175768</v>
      </c>
      <c r="Q983" s="7">
        <f t="shared" si="94"/>
        <v>15824.938461538462</v>
      </c>
      <c r="R983">
        <f t="shared" si="95"/>
        <v>2.3986565116908714</v>
      </c>
    </row>
    <row r="984" spans="1:18" x14ac:dyDescent="0.25">
      <c r="A984" t="s">
        <v>592</v>
      </c>
      <c r="B984" t="s">
        <v>593</v>
      </c>
      <c r="C984" t="s">
        <v>17</v>
      </c>
      <c r="D984">
        <v>14569</v>
      </c>
      <c r="E984" s="1">
        <v>44469</v>
      </c>
      <c r="F984" s="2">
        <f t="shared" si="90"/>
        <v>2021</v>
      </c>
      <c r="G984">
        <v>561</v>
      </c>
      <c r="H984" s="3">
        <v>5583776</v>
      </c>
      <c r="I984">
        <v>283785</v>
      </c>
      <c r="J984">
        <v>5583776</v>
      </c>
      <c r="K984">
        <v>5075950</v>
      </c>
      <c r="L984">
        <v>5006219</v>
      </c>
      <c r="M984" t="str">
        <f t="shared" si="91"/>
        <v>Large</v>
      </c>
      <c r="N984">
        <f>VLOOKUP(C984,Lookup!$A$2:$D$5,MATCH(M984,Lookup!$A$1:$D$1,0),FALSE)</f>
        <v>0.08</v>
      </c>
      <c r="O984">
        <f t="shared" si="92"/>
        <v>400497.52</v>
      </c>
      <c r="P984" s="7">
        <f t="shared" si="93"/>
        <v>0.9090533001323835</v>
      </c>
      <c r="Q984" s="7">
        <f t="shared" si="94"/>
        <v>9953.254901960785</v>
      </c>
      <c r="R984">
        <f t="shared" si="95"/>
        <v>0.70858116674480276</v>
      </c>
    </row>
    <row r="985" spans="1:18" x14ac:dyDescent="0.25">
      <c r="A985" t="s">
        <v>592</v>
      </c>
      <c r="B985" t="s">
        <v>594</v>
      </c>
      <c r="C985" t="s">
        <v>5</v>
      </c>
      <c r="D985">
        <v>95661</v>
      </c>
      <c r="E985" s="1">
        <v>44469</v>
      </c>
      <c r="F985" s="2">
        <f t="shared" si="90"/>
        <v>2021</v>
      </c>
      <c r="G985">
        <v>145</v>
      </c>
      <c r="H985" s="3">
        <v>2433819</v>
      </c>
      <c r="I985">
        <v>548036</v>
      </c>
      <c r="J985">
        <v>2433819</v>
      </c>
      <c r="K985">
        <v>2184592</v>
      </c>
      <c r="L985">
        <v>2173697</v>
      </c>
      <c r="M985" t="str">
        <f t="shared" si="91"/>
        <v>Large</v>
      </c>
      <c r="N985">
        <f>VLOOKUP(C985,Lookup!$A$2:$D$5,MATCH(M985,Lookup!$A$1:$D$1,0),FALSE)</f>
        <v>0.08</v>
      </c>
      <c r="O985">
        <f t="shared" si="92"/>
        <v>173895.76</v>
      </c>
      <c r="P985" s="7">
        <f t="shared" si="93"/>
        <v>0.89759838344593412</v>
      </c>
      <c r="Q985" s="7">
        <f t="shared" si="94"/>
        <v>16784.958620689657</v>
      </c>
      <c r="R985">
        <f t="shared" si="95"/>
        <v>3.1515201980772849</v>
      </c>
    </row>
    <row r="986" spans="1:18" x14ac:dyDescent="0.25">
      <c r="A986" t="s">
        <v>595</v>
      </c>
      <c r="B986" t="s">
        <v>596</v>
      </c>
      <c r="C986" t="s">
        <v>8</v>
      </c>
      <c r="D986">
        <v>61740</v>
      </c>
      <c r="E986" s="1">
        <v>43738</v>
      </c>
      <c r="F986" s="2">
        <f t="shared" si="90"/>
        <v>2019</v>
      </c>
      <c r="G986">
        <v>166</v>
      </c>
      <c r="H986" s="3">
        <v>187732</v>
      </c>
      <c r="I986">
        <v>3469</v>
      </c>
      <c r="J986">
        <v>187732</v>
      </c>
      <c r="K986">
        <v>167420</v>
      </c>
      <c r="L986">
        <v>165384</v>
      </c>
      <c r="M986" t="str">
        <f t="shared" si="91"/>
        <v>Medium</v>
      </c>
      <c r="N986">
        <f>VLOOKUP(C986,Lookup!$A$2:$D$5,MATCH(M986,Lookup!$A$1:$D$1,0),FALSE)</f>
        <v>0.08</v>
      </c>
      <c r="O986">
        <f t="shared" si="92"/>
        <v>13230.720000000001</v>
      </c>
      <c r="P986" s="7">
        <f t="shared" si="93"/>
        <v>0.89180320882960817</v>
      </c>
      <c r="Q986" s="7">
        <f t="shared" si="94"/>
        <v>1130.9156626506024</v>
      </c>
      <c r="R986">
        <f t="shared" si="95"/>
        <v>0.26219283606636673</v>
      </c>
    </row>
    <row r="987" spans="1:18" x14ac:dyDescent="0.25">
      <c r="A987" t="s">
        <v>595</v>
      </c>
      <c r="B987" t="s">
        <v>596</v>
      </c>
      <c r="C987" t="s">
        <v>8</v>
      </c>
      <c r="D987">
        <v>61740</v>
      </c>
      <c r="E987" s="1">
        <v>44104</v>
      </c>
      <c r="F987" s="2">
        <f t="shared" si="90"/>
        <v>2020</v>
      </c>
      <c r="G987">
        <v>170</v>
      </c>
      <c r="H987" s="3">
        <v>215258</v>
      </c>
      <c r="I987">
        <v>3865</v>
      </c>
      <c r="J987">
        <v>215257</v>
      </c>
      <c r="K987">
        <v>188659</v>
      </c>
      <c r="L987">
        <v>186013</v>
      </c>
      <c r="M987" t="str">
        <f t="shared" si="91"/>
        <v>Medium</v>
      </c>
      <c r="N987">
        <f>VLOOKUP(C987,Lookup!$A$2:$D$5,MATCH(M987,Lookup!$A$1:$D$1,0),FALSE)</f>
        <v>0.08</v>
      </c>
      <c r="O987">
        <f t="shared" si="92"/>
        <v>14881.04</v>
      </c>
      <c r="P987" s="7">
        <f t="shared" si="93"/>
        <v>0.87643200252719988</v>
      </c>
      <c r="Q987" s="7">
        <f t="shared" si="94"/>
        <v>1266.2235294117647</v>
      </c>
      <c r="R987">
        <f t="shared" si="95"/>
        <v>0.25972647073054034</v>
      </c>
    </row>
    <row r="988" spans="1:18" x14ac:dyDescent="0.25">
      <c r="A988" t="s">
        <v>595</v>
      </c>
      <c r="B988" t="s">
        <v>596</v>
      </c>
      <c r="C988" t="s">
        <v>8</v>
      </c>
      <c r="D988">
        <v>61740</v>
      </c>
      <c r="E988" s="1">
        <v>44469</v>
      </c>
      <c r="F988" s="2">
        <f t="shared" si="90"/>
        <v>2021</v>
      </c>
      <c r="G988">
        <v>181</v>
      </c>
      <c r="H988" s="3">
        <v>247329</v>
      </c>
      <c r="I988">
        <v>7816</v>
      </c>
      <c r="J988">
        <v>247329</v>
      </c>
      <c r="K988">
        <v>218932</v>
      </c>
      <c r="L988">
        <v>217038</v>
      </c>
      <c r="M988" t="str">
        <f t="shared" si="91"/>
        <v>Medium</v>
      </c>
      <c r="N988">
        <f>VLOOKUP(C988,Lookup!$A$2:$D$5,MATCH(M988,Lookup!$A$1:$D$1,0),FALSE)</f>
        <v>0.08</v>
      </c>
      <c r="O988">
        <f t="shared" si="92"/>
        <v>17363.04</v>
      </c>
      <c r="P988" s="7">
        <f t="shared" si="93"/>
        <v>0.88518531995843597</v>
      </c>
      <c r="Q988" s="7">
        <f t="shared" si="94"/>
        <v>1366.4585635359117</v>
      </c>
      <c r="R988">
        <f t="shared" si="95"/>
        <v>0.45015158635814922</v>
      </c>
    </row>
    <row r="989" spans="1:18" x14ac:dyDescent="0.25">
      <c r="A989" t="s">
        <v>597</v>
      </c>
      <c r="B989" t="s">
        <v>598</v>
      </c>
      <c r="C989" t="s">
        <v>8</v>
      </c>
      <c r="D989">
        <v>62839</v>
      </c>
      <c r="E989" s="1">
        <v>43738</v>
      </c>
      <c r="F989" s="2">
        <f t="shared" si="90"/>
        <v>2019</v>
      </c>
      <c r="G989">
        <v>20</v>
      </c>
      <c r="H989" s="3">
        <v>69314</v>
      </c>
      <c r="I989">
        <v>14930</v>
      </c>
      <c r="J989">
        <v>69314</v>
      </c>
      <c r="K989">
        <v>60698</v>
      </c>
      <c r="L989">
        <v>60379</v>
      </c>
      <c r="M989" t="str">
        <f t="shared" si="91"/>
        <v>Small</v>
      </c>
      <c r="N989">
        <f>VLOOKUP(C989,Lookup!$A$2:$D$5,MATCH(M989,Lookup!$A$1:$D$1,0),FALSE)</f>
        <v>0.09</v>
      </c>
      <c r="O989">
        <f t="shared" si="92"/>
        <v>5434.11</v>
      </c>
      <c r="P989" s="7">
        <f t="shared" si="93"/>
        <v>0.87569610756845662</v>
      </c>
      <c r="Q989" s="7">
        <f t="shared" si="94"/>
        <v>3465.7</v>
      </c>
      <c r="R989">
        <f t="shared" si="95"/>
        <v>2.7474600256527748</v>
      </c>
    </row>
    <row r="990" spans="1:18" x14ac:dyDescent="0.25">
      <c r="A990" t="s">
        <v>597</v>
      </c>
      <c r="B990" t="s">
        <v>598</v>
      </c>
      <c r="C990" t="s">
        <v>8</v>
      </c>
      <c r="D990">
        <v>62839</v>
      </c>
      <c r="E990" s="1">
        <v>44104</v>
      </c>
      <c r="F990" s="2">
        <f t="shared" si="90"/>
        <v>2020</v>
      </c>
      <c r="G990">
        <v>18</v>
      </c>
      <c r="H990" s="3">
        <v>95387</v>
      </c>
      <c r="I990">
        <v>20884</v>
      </c>
      <c r="J990">
        <v>95387</v>
      </c>
      <c r="K990">
        <v>86216</v>
      </c>
      <c r="L990">
        <v>81752</v>
      </c>
      <c r="M990" t="str">
        <f t="shared" si="91"/>
        <v>Small</v>
      </c>
      <c r="N990">
        <f>VLOOKUP(C990,Lookup!$A$2:$D$5,MATCH(M990,Lookup!$A$1:$D$1,0),FALSE)</f>
        <v>0.09</v>
      </c>
      <c r="O990">
        <f t="shared" si="92"/>
        <v>7357.6799999999994</v>
      </c>
      <c r="P990" s="7">
        <f t="shared" si="93"/>
        <v>0.90385482298426412</v>
      </c>
      <c r="Q990" s="7">
        <f t="shared" si="94"/>
        <v>5299.2777777777774</v>
      </c>
      <c r="R990">
        <f t="shared" si="95"/>
        <v>2.8383947113764125</v>
      </c>
    </row>
    <row r="991" spans="1:18" x14ac:dyDescent="0.25">
      <c r="A991" t="s">
        <v>597</v>
      </c>
      <c r="B991" t="s">
        <v>598</v>
      </c>
      <c r="C991" t="s">
        <v>8</v>
      </c>
      <c r="D991">
        <v>62839</v>
      </c>
      <c r="E991" s="1">
        <v>44469</v>
      </c>
      <c r="F991" s="2">
        <f t="shared" si="90"/>
        <v>2021</v>
      </c>
      <c r="G991">
        <v>16</v>
      </c>
      <c r="H991" s="3">
        <v>101863</v>
      </c>
      <c r="I991">
        <v>13941</v>
      </c>
      <c r="J991">
        <v>101863</v>
      </c>
      <c r="K991">
        <v>92208</v>
      </c>
      <c r="L991">
        <v>91799</v>
      </c>
      <c r="M991" t="str">
        <f t="shared" si="91"/>
        <v>Medium</v>
      </c>
      <c r="N991">
        <f>VLOOKUP(C991,Lookup!$A$2:$D$5,MATCH(M991,Lookup!$A$1:$D$1,0),FALSE)</f>
        <v>0.08</v>
      </c>
      <c r="O991">
        <f t="shared" si="92"/>
        <v>7343.92</v>
      </c>
      <c r="P991" s="7">
        <f t="shared" si="93"/>
        <v>0.90521582910379628</v>
      </c>
      <c r="Q991" s="7">
        <f t="shared" si="94"/>
        <v>6366.4375</v>
      </c>
      <c r="R991">
        <f t="shared" si="95"/>
        <v>1.8983049924291113</v>
      </c>
    </row>
    <row r="992" spans="1:18" x14ac:dyDescent="0.25">
      <c r="A992" t="s">
        <v>599</v>
      </c>
      <c r="B992" t="s">
        <v>600</v>
      </c>
      <c r="C992" t="s">
        <v>20</v>
      </c>
      <c r="D992">
        <v>1062</v>
      </c>
      <c r="E992" s="1">
        <v>43738</v>
      </c>
      <c r="F992" s="2">
        <f t="shared" si="90"/>
        <v>2019</v>
      </c>
      <c r="G992">
        <v>207</v>
      </c>
      <c r="H992" s="3">
        <v>1415613</v>
      </c>
      <c r="I992">
        <v>41784</v>
      </c>
      <c r="J992">
        <v>1415613</v>
      </c>
      <c r="K992">
        <v>1259821</v>
      </c>
      <c r="L992">
        <v>1219573</v>
      </c>
      <c r="M992" t="str">
        <f t="shared" si="91"/>
        <v>Large</v>
      </c>
      <c r="N992">
        <f>VLOOKUP(C992,Lookup!$A$2:$D$5,MATCH(M992,Lookup!$A$1:$D$1,0),FALSE)</f>
        <v>0.08</v>
      </c>
      <c r="O992">
        <f t="shared" si="92"/>
        <v>97565.84</v>
      </c>
      <c r="P992" s="7">
        <f t="shared" si="93"/>
        <v>0.88994732317377701</v>
      </c>
      <c r="Q992" s="7">
        <f t="shared" si="94"/>
        <v>6838.710144927536</v>
      </c>
      <c r="R992">
        <f t="shared" si="95"/>
        <v>0.42826464672471432</v>
      </c>
    </row>
    <row r="993" spans="1:18" x14ac:dyDescent="0.25">
      <c r="A993" t="s">
        <v>599</v>
      </c>
      <c r="B993" t="s">
        <v>600</v>
      </c>
      <c r="C993" t="s">
        <v>20</v>
      </c>
      <c r="D993">
        <v>1062</v>
      </c>
      <c r="E993" s="1">
        <v>44104</v>
      </c>
      <c r="F993" s="2">
        <f t="shared" si="90"/>
        <v>2020</v>
      </c>
      <c r="G993">
        <v>197</v>
      </c>
      <c r="H993" s="3">
        <v>1680243</v>
      </c>
      <c r="I993">
        <v>195168</v>
      </c>
      <c r="J993">
        <v>1680243</v>
      </c>
      <c r="K993">
        <v>1512635</v>
      </c>
      <c r="L993">
        <v>1484401</v>
      </c>
      <c r="M993" t="str">
        <f t="shared" si="91"/>
        <v>Large</v>
      </c>
      <c r="N993">
        <f>VLOOKUP(C993,Lookup!$A$2:$D$5,MATCH(M993,Lookup!$A$1:$D$1,0),FALSE)</f>
        <v>0.08</v>
      </c>
      <c r="O993">
        <f t="shared" si="92"/>
        <v>118752.08</v>
      </c>
      <c r="P993" s="7">
        <f t="shared" si="93"/>
        <v>0.90024776178207555</v>
      </c>
      <c r="Q993" s="7">
        <f t="shared" si="94"/>
        <v>8529.1522842639588</v>
      </c>
      <c r="R993">
        <f t="shared" si="95"/>
        <v>1.6434912129539121</v>
      </c>
    </row>
    <row r="994" spans="1:18" x14ac:dyDescent="0.25">
      <c r="A994" t="s">
        <v>599</v>
      </c>
      <c r="B994" t="s">
        <v>600</v>
      </c>
      <c r="C994" t="s">
        <v>20</v>
      </c>
      <c r="D994">
        <v>1062</v>
      </c>
      <c r="E994" s="1">
        <v>44469</v>
      </c>
      <c r="F994" s="2">
        <f t="shared" si="90"/>
        <v>2021</v>
      </c>
      <c r="G994">
        <v>202</v>
      </c>
      <c r="H994" s="3">
        <v>1870255</v>
      </c>
      <c r="I994">
        <v>265135</v>
      </c>
      <c r="J994">
        <v>1870255</v>
      </c>
      <c r="K994">
        <v>1695105</v>
      </c>
      <c r="L994">
        <v>1669105</v>
      </c>
      <c r="M994" t="str">
        <f t="shared" si="91"/>
        <v>Large</v>
      </c>
      <c r="N994">
        <f>VLOOKUP(C994,Lookup!$A$2:$D$5,MATCH(M994,Lookup!$A$1:$D$1,0),FALSE)</f>
        <v>0.08</v>
      </c>
      <c r="O994">
        <f t="shared" si="92"/>
        <v>133528.4</v>
      </c>
      <c r="P994" s="7">
        <f t="shared" si="93"/>
        <v>0.90634966889541801</v>
      </c>
      <c r="Q994" s="7">
        <f t="shared" si="94"/>
        <v>9258.6881188118805</v>
      </c>
      <c r="R994">
        <f t="shared" si="95"/>
        <v>1.9856075561453594</v>
      </c>
    </row>
    <row r="995" spans="1:18" x14ac:dyDescent="0.25">
      <c r="A995" t="s">
        <v>601</v>
      </c>
      <c r="B995" t="s">
        <v>602</v>
      </c>
      <c r="C995" t="s">
        <v>17</v>
      </c>
      <c r="D995">
        <v>11556</v>
      </c>
      <c r="E995" s="1">
        <v>43738</v>
      </c>
      <c r="F995" s="2">
        <f t="shared" si="90"/>
        <v>2019</v>
      </c>
      <c r="G995">
        <v>460</v>
      </c>
      <c r="H995" s="3">
        <v>7110871</v>
      </c>
      <c r="I995">
        <v>86481</v>
      </c>
      <c r="J995">
        <v>7110871</v>
      </c>
      <c r="K995">
        <v>6437021</v>
      </c>
      <c r="L995">
        <v>4986969</v>
      </c>
      <c r="M995" t="str">
        <f t="shared" si="91"/>
        <v>Large</v>
      </c>
      <c r="N995">
        <f>VLOOKUP(C995,Lookup!$A$2:$D$5,MATCH(M995,Lookup!$A$1:$D$1,0),FALSE)</f>
        <v>0.08</v>
      </c>
      <c r="O995">
        <f t="shared" si="92"/>
        <v>398957.52</v>
      </c>
      <c r="P995" s="7">
        <f t="shared" si="93"/>
        <v>0.90523664400605774</v>
      </c>
      <c r="Q995" s="7">
        <f t="shared" si="94"/>
        <v>15458.415217391304</v>
      </c>
      <c r="R995">
        <f t="shared" si="95"/>
        <v>0.21676743930030445</v>
      </c>
    </row>
    <row r="996" spans="1:18" x14ac:dyDescent="0.25">
      <c r="A996" t="s">
        <v>601</v>
      </c>
      <c r="B996" t="s">
        <v>602</v>
      </c>
      <c r="C996" t="s">
        <v>17</v>
      </c>
      <c r="D996">
        <v>11556</v>
      </c>
      <c r="E996" s="1">
        <v>44104</v>
      </c>
      <c r="F996" s="2">
        <f t="shared" si="90"/>
        <v>2020</v>
      </c>
      <c r="G996">
        <v>475</v>
      </c>
      <c r="H996" s="3">
        <v>7065502</v>
      </c>
      <c r="I996">
        <v>74994</v>
      </c>
      <c r="J996">
        <v>7065502</v>
      </c>
      <c r="K996">
        <v>6382153</v>
      </c>
      <c r="L996">
        <v>4983114</v>
      </c>
      <c r="M996" t="str">
        <f t="shared" si="91"/>
        <v>Large</v>
      </c>
      <c r="N996">
        <f>VLOOKUP(C996,Lookup!$A$2:$D$5,MATCH(M996,Lookup!$A$1:$D$1,0),FALSE)</f>
        <v>0.08</v>
      </c>
      <c r="O996">
        <f t="shared" si="92"/>
        <v>398649.12</v>
      </c>
      <c r="P996" s="7">
        <f t="shared" si="93"/>
        <v>0.90328372987510297</v>
      </c>
      <c r="Q996" s="7">
        <f t="shared" si="94"/>
        <v>14874.74105263158</v>
      </c>
      <c r="R996">
        <f t="shared" si="95"/>
        <v>0.18812031994451661</v>
      </c>
    </row>
    <row r="997" spans="1:18" x14ac:dyDescent="0.25">
      <c r="A997" t="s">
        <v>601</v>
      </c>
      <c r="B997" t="s">
        <v>602</v>
      </c>
      <c r="C997" t="s">
        <v>17</v>
      </c>
      <c r="D997">
        <v>11556</v>
      </c>
      <c r="E997" s="1">
        <v>44469</v>
      </c>
      <c r="F997" s="2">
        <f t="shared" si="90"/>
        <v>2021</v>
      </c>
      <c r="G997">
        <v>531</v>
      </c>
      <c r="H997" s="3">
        <v>8078144</v>
      </c>
      <c r="I997">
        <v>178001</v>
      </c>
      <c r="J997">
        <v>8078144</v>
      </c>
      <c r="K997">
        <v>7275243</v>
      </c>
      <c r="L997">
        <v>6497088</v>
      </c>
      <c r="M997" t="str">
        <f t="shared" si="91"/>
        <v>Large</v>
      </c>
      <c r="N997">
        <f>VLOOKUP(C997,Lookup!$A$2:$D$5,MATCH(M997,Lookup!$A$1:$D$1,0),FALSE)</f>
        <v>0.08</v>
      </c>
      <c r="O997">
        <f t="shared" si="92"/>
        <v>519767.04000000004</v>
      </c>
      <c r="P997" s="7">
        <f t="shared" si="93"/>
        <v>0.90060823377251009</v>
      </c>
      <c r="Q997" s="7">
        <f t="shared" si="94"/>
        <v>15213.077212806027</v>
      </c>
      <c r="R997">
        <f t="shared" si="95"/>
        <v>0.34246303882600942</v>
      </c>
    </row>
    <row r="998" spans="1:18" x14ac:dyDescent="0.25">
      <c r="A998" t="s">
        <v>603</v>
      </c>
      <c r="B998" t="s">
        <v>604</v>
      </c>
      <c r="C998" t="s">
        <v>8</v>
      </c>
      <c r="D998">
        <v>60525</v>
      </c>
      <c r="E998" s="1">
        <v>43738</v>
      </c>
      <c r="F998" s="2">
        <f t="shared" si="90"/>
        <v>2019</v>
      </c>
      <c r="G998">
        <v>99</v>
      </c>
      <c r="H998" s="3">
        <v>520178</v>
      </c>
      <c r="I998">
        <v>42034</v>
      </c>
      <c r="J998">
        <v>520178</v>
      </c>
      <c r="K998">
        <v>463522</v>
      </c>
      <c r="L998">
        <v>461352</v>
      </c>
      <c r="M998" t="str">
        <f t="shared" si="91"/>
        <v>Medium</v>
      </c>
      <c r="N998">
        <f>VLOOKUP(C998,Lookup!$A$2:$D$5,MATCH(M998,Lookup!$A$1:$D$1,0),FALSE)</f>
        <v>0.08</v>
      </c>
      <c r="O998">
        <f t="shared" si="92"/>
        <v>36908.160000000003</v>
      </c>
      <c r="P998" s="7">
        <f t="shared" si="93"/>
        <v>0.89108343682354885</v>
      </c>
      <c r="Q998" s="7">
        <f t="shared" si="94"/>
        <v>5254.3232323232323</v>
      </c>
      <c r="R998">
        <f t="shared" si="95"/>
        <v>1.1388809412335916</v>
      </c>
    </row>
    <row r="999" spans="1:18" x14ac:dyDescent="0.25">
      <c r="A999" t="s">
        <v>603</v>
      </c>
      <c r="B999" t="s">
        <v>604</v>
      </c>
      <c r="C999" t="s">
        <v>8</v>
      </c>
      <c r="D999">
        <v>60525</v>
      </c>
      <c r="E999" s="1">
        <v>44104</v>
      </c>
      <c r="F999" s="2">
        <f t="shared" si="90"/>
        <v>2020</v>
      </c>
      <c r="G999">
        <v>96</v>
      </c>
      <c r="H999" s="3">
        <v>584768</v>
      </c>
      <c r="I999">
        <v>81867</v>
      </c>
      <c r="J999">
        <v>584768</v>
      </c>
      <c r="K999">
        <v>523579</v>
      </c>
      <c r="L999">
        <v>520323</v>
      </c>
      <c r="M999" t="str">
        <f t="shared" si="91"/>
        <v>Medium</v>
      </c>
      <c r="N999">
        <f>VLOOKUP(C999,Lookup!$A$2:$D$5,MATCH(M999,Lookup!$A$1:$D$1,0),FALSE)</f>
        <v>0.08</v>
      </c>
      <c r="O999">
        <f t="shared" si="92"/>
        <v>41625.840000000004</v>
      </c>
      <c r="P999" s="7">
        <f t="shared" si="93"/>
        <v>0.89536192130896353</v>
      </c>
      <c r="Q999" s="7">
        <f t="shared" si="94"/>
        <v>6091.333333333333</v>
      </c>
      <c r="R999">
        <f t="shared" si="95"/>
        <v>1.9667350857063783</v>
      </c>
    </row>
    <row r="1000" spans="1:18" x14ac:dyDescent="0.25">
      <c r="A1000" t="s">
        <v>603</v>
      </c>
      <c r="B1000" t="s">
        <v>604</v>
      </c>
      <c r="C1000" t="s">
        <v>8</v>
      </c>
      <c r="D1000">
        <v>60525</v>
      </c>
      <c r="E1000" s="1">
        <v>44469</v>
      </c>
      <c r="F1000" s="2">
        <f t="shared" si="90"/>
        <v>2021</v>
      </c>
      <c r="G1000">
        <v>94</v>
      </c>
      <c r="H1000" s="3">
        <v>656849</v>
      </c>
      <c r="I1000">
        <v>73362</v>
      </c>
      <c r="J1000">
        <v>656849</v>
      </c>
      <c r="K1000">
        <v>597217</v>
      </c>
      <c r="L1000">
        <v>594530</v>
      </c>
      <c r="M1000" t="str">
        <f t="shared" si="91"/>
        <v>Medium</v>
      </c>
      <c r="N1000">
        <f>VLOOKUP(C1000,Lookup!$A$2:$D$5,MATCH(M1000,Lookup!$A$1:$D$1,0),FALSE)</f>
        <v>0.08</v>
      </c>
      <c r="O1000">
        <f t="shared" si="92"/>
        <v>47562.400000000001</v>
      </c>
      <c r="P1000" s="7">
        <f t="shared" si="93"/>
        <v>0.90921505551504223</v>
      </c>
      <c r="Q1000" s="7">
        <f t="shared" si="94"/>
        <v>6987.755319148936</v>
      </c>
      <c r="R1000">
        <f t="shared" si="95"/>
        <v>1.5424368829159167</v>
      </c>
    </row>
    <row r="1001" spans="1:18" x14ac:dyDescent="0.25">
      <c r="A1001" t="s">
        <v>605</v>
      </c>
      <c r="B1001" t="s">
        <v>606</v>
      </c>
      <c r="C1001" t="s">
        <v>8</v>
      </c>
      <c r="D1001">
        <v>60130</v>
      </c>
      <c r="E1001" s="1">
        <v>43738</v>
      </c>
      <c r="F1001" s="2">
        <f t="shared" si="90"/>
        <v>2019</v>
      </c>
      <c r="G1001">
        <v>50</v>
      </c>
      <c r="H1001" s="3">
        <v>237535</v>
      </c>
      <c r="I1001">
        <v>21559</v>
      </c>
      <c r="J1001">
        <v>237535</v>
      </c>
      <c r="K1001">
        <v>216549</v>
      </c>
      <c r="L1001">
        <v>213968</v>
      </c>
      <c r="M1001" t="str">
        <f t="shared" si="91"/>
        <v>Medium</v>
      </c>
      <c r="N1001">
        <f>VLOOKUP(C1001,Lookup!$A$2:$D$5,MATCH(M1001,Lookup!$A$1:$D$1,0),FALSE)</f>
        <v>0.08</v>
      </c>
      <c r="O1001">
        <f t="shared" si="92"/>
        <v>17117.439999999999</v>
      </c>
      <c r="P1001" s="7">
        <f t="shared" si="93"/>
        <v>0.9116509146020586</v>
      </c>
      <c r="Q1001" s="7">
        <f t="shared" si="94"/>
        <v>4750.7</v>
      </c>
      <c r="R1001">
        <f t="shared" si="95"/>
        <v>1.2594757159949153</v>
      </c>
    </row>
    <row r="1002" spans="1:18" x14ac:dyDescent="0.25">
      <c r="A1002" t="s">
        <v>605</v>
      </c>
      <c r="B1002" t="s">
        <v>606</v>
      </c>
      <c r="C1002" t="s">
        <v>8</v>
      </c>
      <c r="D1002">
        <v>60130</v>
      </c>
      <c r="E1002" s="1">
        <v>44104</v>
      </c>
      <c r="F1002" s="2">
        <f t="shared" si="90"/>
        <v>2020</v>
      </c>
      <c r="G1002">
        <v>53</v>
      </c>
      <c r="H1002" s="3">
        <v>290345</v>
      </c>
      <c r="I1002">
        <v>40218</v>
      </c>
      <c r="J1002">
        <v>290345</v>
      </c>
      <c r="K1002">
        <v>268115</v>
      </c>
      <c r="L1002">
        <v>261091</v>
      </c>
      <c r="M1002" t="str">
        <f t="shared" si="91"/>
        <v>Medium</v>
      </c>
      <c r="N1002">
        <f>VLOOKUP(C1002,Lookup!$A$2:$D$5,MATCH(M1002,Lookup!$A$1:$D$1,0),FALSE)</f>
        <v>0.08</v>
      </c>
      <c r="O1002">
        <f t="shared" si="92"/>
        <v>20887.28</v>
      </c>
      <c r="P1002" s="7">
        <f t="shared" si="93"/>
        <v>0.92343591244898315</v>
      </c>
      <c r="Q1002" s="7">
        <f t="shared" si="94"/>
        <v>5478.2075471698117</v>
      </c>
      <c r="R1002">
        <f t="shared" si="95"/>
        <v>1.9254780900145927</v>
      </c>
    </row>
    <row r="1003" spans="1:18" x14ac:dyDescent="0.25">
      <c r="A1003" t="s">
        <v>605</v>
      </c>
      <c r="B1003" t="s">
        <v>606</v>
      </c>
      <c r="C1003" t="s">
        <v>8</v>
      </c>
      <c r="D1003">
        <v>60130</v>
      </c>
      <c r="E1003" s="1">
        <v>44469</v>
      </c>
      <c r="F1003" s="2">
        <f t="shared" si="90"/>
        <v>2021</v>
      </c>
      <c r="G1003">
        <v>50</v>
      </c>
      <c r="H1003" s="3">
        <v>316053</v>
      </c>
      <c r="I1003">
        <v>41686</v>
      </c>
      <c r="J1003">
        <v>316053</v>
      </c>
      <c r="K1003">
        <v>292630</v>
      </c>
      <c r="L1003">
        <v>289383</v>
      </c>
      <c r="M1003" t="str">
        <f t="shared" si="91"/>
        <v>Medium</v>
      </c>
      <c r="N1003">
        <f>VLOOKUP(C1003,Lookup!$A$2:$D$5,MATCH(M1003,Lookup!$A$1:$D$1,0),FALSE)</f>
        <v>0.08</v>
      </c>
      <c r="O1003">
        <f t="shared" si="92"/>
        <v>23150.639999999999</v>
      </c>
      <c r="P1003" s="7">
        <f t="shared" si="93"/>
        <v>0.92588901228591403</v>
      </c>
      <c r="Q1003" s="7">
        <f t="shared" si="94"/>
        <v>6321.06</v>
      </c>
      <c r="R1003">
        <f t="shared" si="95"/>
        <v>1.8006413645583881</v>
      </c>
    </row>
    <row r="1004" spans="1:18" x14ac:dyDescent="0.25">
      <c r="A1004" t="s">
        <v>607</v>
      </c>
      <c r="B1004" t="s">
        <v>608</v>
      </c>
      <c r="C1004" t="s">
        <v>8</v>
      </c>
      <c r="D1004">
        <v>61030</v>
      </c>
      <c r="E1004" s="1">
        <v>43738</v>
      </c>
      <c r="F1004" s="2">
        <f t="shared" si="90"/>
        <v>2019</v>
      </c>
      <c r="G1004">
        <v>32</v>
      </c>
      <c r="H1004" s="3">
        <v>221395</v>
      </c>
      <c r="I1004">
        <v>2459</v>
      </c>
      <c r="J1004">
        <v>221395</v>
      </c>
      <c r="K1004">
        <v>195410</v>
      </c>
      <c r="L1004">
        <v>168783</v>
      </c>
      <c r="M1004" t="str">
        <f t="shared" si="91"/>
        <v>Medium</v>
      </c>
      <c r="N1004">
        <f>VLOOKUP(C1004,Lookup!$A$2:$D$5,MATCH(M1004,Lookup!$A$1:$D$1,0),FALSE)</f>
        <v>0.08</v>
      </c>
      <c r="O1004">
        <f t="shared" si="92"/>
        <v>13502.64</v>
      </c>
      <c r="P1004" s="7">
        <f t="shared" si="93"/>
        <v>0.88263059238013508</v>
      </c>
      <c r="Q1004" s="7">
        <f t="shared" si="94"/>
        <v>6918.59375</v>
      </c>
      <c r="R1004">
        <f t="shared" si="95"/>
        <v>0.18211253503018671</v>
      </c>
    </row>
    <row r="1005" spans="1:18" x14ac:dyDescent="0.25">
      <c r="A1005" t="s">
        <v>609</v>
      </c>
      <c r="B1005" t="s">
        <v>192</v>
      </c>
      <c r="C1005" t="s">
        <v>8</v>
      </c>
      <c r="D1005">
        <v>61615</v>
      </c>
      <c r="E1005" s="1">
        <v>43738</v>
      </c>
      <c r="F1005" s="2">
        <f t="shared" si="90"/>
        <v>2019</v>
      </c>
      <c r="G1005">
        <v>90</v>
      </c>
      <c r="H1005" s="3">
        <v>446633</v>
      </c>
      <c r="I1005">
        <v>14836</v>
      </c>
      <c r="J1005">
        <v>446633</v>
      </c>
      <c r="K1005">
        <v>399890</v>
      </c>
      <c r="L1005">
        <v>379636</v>
      </c>
      <c r="M1005" t="str">
        <f t="shared" si="91"/>
        <v>Medium</v>
      </c>
      <c r="N1005">
        <f>VLOOKUP(C1005,Lookup!$A$2:$D$5,MATCH(M1005,Lookup!$A$1:$D$1,0),FALSE)</f>
        <v>0.08</v>
      </c>
      <c r="O1005">
        <f t="shared" si="92"/>
        <v>30370.880000000001</v>
      </c>
      <c r="P1005" s="7">
        <f t="shared" si="93"/>
        <v>0.89534360425673876</v>
      </c>
      <c r="Q1005" s="7">
        <f t="shared" si="94"/>
        <v>4962.5888888888885</v>
      </c>
      <c r="R1005">
        <f t="shared" si="95"/>
        <v>0.48849424185272206</v>
      </c>
    </row>
    <row r="1006" spans="1:18" x14ac:dyDescent="0.25">
      <c r="A1006" t="s">
        <v>609</v>
      </c>
      <c r="B1006" t="s">
        <v>192</v>
      </c>
      <c r="C1006" t="s">
        <v>8</v>
      </c>
      <c r="D1006">
        <v>61615</v>
      </c>
      <c r="E1006" s="1">
        <v>44104</v>
      </c>
      <c r="F1006" s="2">
        <f t="shared" si="90"/>
        <v>2020</v>
      </c>
      <c r="G1006">
        <v>100</v>
      </c>
      <c r="H1006" s="3">
        <v>552516</v>
      </c>
      <c r="I1006">
        <v>17715</v>
      </c>
      <c r="J1006">
        <v>552516</v>
      </c>
      <c r="K1006">
        <v>500807</v>
      </c>
      <c r="L1006">
        <v>422640</v>
      </c>
      <c r="M1006" t="str">
        <f t="shared" si="91"/>
        <v>Medium</v>
      </c>
      <c r="N1006">
        <f>VLOOKUP(C1006,Lookup!$A$2:$D$5,MATCH(M1006,Lookup!$A$1:$D$1,0),FALSE)</f>
        <v>0.08</v>
      </c>
      <c r="O1006">
        <f t="shared" si="92"/>
        <v>33811.199999999997</v>
      </c>
      <c r="P1006" s="7">
        <f t="shared" si="93"/>
        <v>0.9064117600214292</v>
      </c>
      <c r="Q1006" s="7">
        <f t="shared" si="94"/>
        <v>5525.16</v>
      </c>
      <c r="R1006">
        <f t="shared" si="95"/>
        <v>0.52393881317433277</v>
      </c>
    </row>
    <row r="1007" spans="1:18" x14ac:dyDescent="0.25">
      <c r="A1007" t="s">
        <v>609</v>
      </c>
      <c r="B1007" t="s">
        <v>192</v>
      </c>
      <c r="C1007" t="s">
        <v>8</v>
      </c>
      <c r="D1007">
        <v>61615</v>
      </c>
      <c r="E1007" s="1">
        <v>44469</v>
      </c>
      <c r="F1007" s="2">
        <f t="shared" si="90"/>
        <v>2021</v>
      </c>
      <c r="G1007">
        <v>111</v>
      </c>
      <c r="H1007" s="3">
        <v>538229</v>
      </c>
      <c r="I1007">
        <v>28920</v>
      </c>
      <c r="J1007">
        <v>538229</v>
      </c>
      <c r="K1007">
        <v>482627</v>
      </c>
      <c r="L1007">
        <v>433003</v>
      </c>
      <c r="M1007" t="str">
        <f t="shared" si="91"/>
        <v>Medium</v>
      </c>
      <c r="N1007">
        <f>VLOOKUP(C1007,Lookup!$A$2:$D$5,MATCH(M1007,Lookup!$A$1:$D$1,0),FALSE)</f>
        <v>0.08</v>
      </c>
      <c r="O1007">
        <f t="shared" si="92"/>
        <v>34640.239999999998</v>
      </c>
      <c r="P1007" s="7">
        <f t="shared" si="93"/>
        <v>0.89669452965187679</v>
      </c>
      <c r="Q1007" s="7">
        <f t="shared" si="94"/>
        <v>4848.9099099099103</v>
      </c>
      <c r="R1007">
        <f t="shared" si="95"/>
        <v>0.83486719491550876</v>
      </c>
    </row>
    <row r="1008" spans="1:18" x14ac:dyDescent="0.25">
      <c r="A1008" t="s">
        <v>610</v>
      </c>
      <c r="B1008" t="s">
        <v>611</v>
      </c>
      <c r="C1008" t="s">
        <v>20</v>
      </c>
      <c r="D1008">
        <v>2035</v>
      </c>
      <c r="E1008" s="1">
        <v>43738</v>
      </c>
      <c r="F1008" s="2">
        <f t="shared" si="90"/>
        <v>2019</v>
      </c>
      <c r="G1008">
        <v>23</v>
      </c>
      <c r="H1008" s="3">
        <v>165732</v>
      </c>
      <c r="I1008">
        <v>22394</v>
      </c>
      <c r="J1008">
        <v>165732</v>
      </c>
      <c r="K1008">
        <v>137337</v>
      </c>
      <c r="L1008">
        <v>136018</v>
      </c>
      <c r="M1008" t="str">
        <f t="shared" si="91"/>
        <v>Medium</v>
      </c>
      <c r="N1008">
        <f>VLOOKUP(C1008,Lookup!$A$2:$D$5,MATCH(M1008,Lookup!$A$1:$D$1,0),FALSE)</f>
        <v>8.5000000000000006E-2</v>
      </c>
      <c r="O1008">
        <f t="shared" si="92"/>
        <v>11561.53</v>
      </c>
      <c r="P1008" s="7">
        <f t="shared" si="93"/>
        <v>0.82866917674317575</v>
      </c>
      <c r="Q1008" s="7">
        <f t="shared" si="94"/>
        <v>7205.739130434783</v>
      </c>
      <c r="R1008">
        <f t="shared" si="95"/>
        <v>1.9369408720126142</v>
      </c>
    </row>
    <row r="1009" spans="1:18" x14ac:dyDescent="0.25">
      <c r="A1009" t="s">
        <v>610</v>
      </c>
      <c r="B1009" t="s">
        <v>611</v>
      </c>
      <c r="C1009" t="s">
        <v>20</v>
      </c>
      <c r="D1009">
        <v>2035</v>
      </c>
      <c r="E1009" s="1">
        <v>44104</v>
      </c>
      <c r="F1009" s="2">
        <f t="shared" si="90"/>
        <v>2020</v>
      </c>
      <c r="G1009">
        <v>23</v>
      </c>
      <c r="H1009" s="3">
        <v>183450</v>
      </c>
      <c r="I1009">
        <v>19783</v>
      </c>
      <c r="J1009">
        <v>183450</v>
      </c>
      <c r="K1009">
        <v>153697</v>
      </c>
      <c r="L1009">
        <v>152283</v>
      </c>
      <c r="M1009" t="str">
        <f t="shared" si="91"/>
        <v>Medium</v>
      </c>
      <c r="N1009">
        <f>VLOOKUP(C1009,Lookup!$A$2:$D$5,MATCH(M1009,Lookup!$A$1:$D$1,0),FALSE)</f>
        <v>8.5000000000000006E-2</v>
      </c>
      <c r="O1009">
        <f t="shared" si="92"/>
        <v>12944.055</v>
      </c>
      <c r="P1009" s="7">
        <f t="shared" si="93"/>
        <v>0.83781411828836194</v>
      </c>
      <c r="Q1009" s="7">
        <f t="shared" si="94"/>
        <v>7976.086956521739</v>
      </c>
      <c r="R1009">
        <f t="shared" si="95"/>
        <v>1.5283464107654054</v>
      </c>
    </row>
    <row r="1010" spans="1:18" x14ac:dyDescent="0.25">
      <c r="A1010" t="s">
        <v>610</v>
      </c>
      <c r="B1010" t="s">
        <v>611</v>
      </c>
      <c r="C1010" t="s">
        <v>20</v>
      </c>
      <c r="D1010">
        <v>2035</v>
      </c>
      <c r="E1010" s="1">
        <v>44469</v>
      </c>
      <c r="F1010" s="2">
        <f t="shared" si="90"/>
        <v>2021</v>
      </c>
      <c r="G1010">
        <v>22</v>
      </c>
      <c r="H1010" s="3">
        <v>202007</v>
      </c>
      <c r="I1010">
        <v>23635</v>
      </c>
      <c r="J1010">
        <v>202007</v>
      </c>
      <c r="K1010">
        <v>171659</v>
      </c>
      <c r="L1010">
        <v>170135</v>
      </c>
      <c r="M1010" t="str">
        <f t="shared" si="91"/>
        <v>Medium</v>
      </c>
      <c r="N1010">
        <f>VLOOKUP(C1010,Lookup!$A$2:$D$5,MATCH(M1010,Lookup!$A$1:$D$1,0),FALSE)</f>
        <v>8.5000000000000006E-2</v>
      </c>
      <c r="O1010">
        <f t="shared" si="92"/>
        <v>14461.475</v>
      </c>
      <c r="P1010" s="7">
        <f t="shared" si="93"/>
        <v>0.84976758231150407</v>
      </c>
      <c r="Q1010" s="7">
        <f t="shared" si="94"/>
        <v>9182.136363636364</v>
      </c>
      <c r="R1010">
        <f t="shared" si="95"/>
        <v>1.6343422783637216</v>
      </c>
    </row>
    <row r="1011" spans="1:18" x14ac:dyDescent="0.25">
      <c r="A1011" t="s">
        <v>612</v>
      </c>
      <c r="B1011" t="s">
        <v>613</v>
      </c>
      <c r="C1011" t="s">
        <v>8</v>
      </c>
      <c r="D1011">
        <v>60957</v>
      </c>
      <c r="E1011" s="1">
        <v>43738</v>
      </c>
      <c r="F1011" s="2">
        <f t="shared" si="90"/>
        <v>2019</v>
      </c>
      <c r="G1011">
        <v>28</v>
      </c>
      <c r="H1011" s="3">
        <v>140458</v>
      </c>
      <c r="I1011">
        <v>15328</v>
      </c>
      <c r="J1011">
        <v>140458</v>
      </c>
      <c r="K1011">
        <v>125201</v>
      </c>
      <c r="L1011">
        <v>124853</v>
      </c>
      <c r="M1011" t="str">
        <f t="shared" si="91"/>
        <v>Medium</v>
      </c>
      <c r="N1011">
        <f>VLOOKUP(C1011,Lookup!$A$2:$D$5,MATCH(M1011,Lookup!$A$1:$D$1,0),FALSE)</f>
        <v>0.08</v>
      </c>
      <c r="O1011">
        <f t="shared" si="92"/>
        <v>9988.24</v>
      </c>
      <c r="P1011" s="7">
        <f t="shared" si="93"/>
        <v>0.89137678167138934</v>
      </c>
      <c r="Q1011" s="7">
        <f t="shared" si="94"/>
        <v>5016.3571428571431</v>
      </c>
      <c r="R1011">
        <f t="shared" si="95"/>
        <v>1.5346046951214629</v>
      </c>
    </row>
    <row r="1012" spans="1:18" x14ac:dyDescent="0.25">
      <c r="A1012" t="s">
        <v>612</v>
      </c>
      <c r="B1012" t="s">
        <v>613</v>
      </c>
      <c r="C1012" t="s">
        <v>8</v>
      </c>
      <c r="D1012">
        <v>60957</v>
      </c>
      <c r="E1012" s="1">
        <v>44104</v>
      </c>
      <c r="F1012" s="2">
        <f t="shared" si="90"/>
        <v>2020</v>
      </c>
      <c r="G1012">
        <v>25</v>
      </c>
      <c r="H1012" s="3">
        <v>157545</v>
      </c>
      <c r="I1012">
        <v>33816</v>
      </c>
      <c r="J1012">
        <v>157545</v>
      </c>
      <c r="K1012">
        <v>140984</v>
      </c>
      <c r="L1012">
        <v>140547</v>
      </c>
      <c r="M1012" t="str">
        <f t="shared" si="91"/>
        <v>Medium</v>
      </c>
      <c r="N1012">
        <f>VLOOKUP(C1012,Lookup!$A$2:$D$5,MATCH(M1012,Lookup!$A$1:$D$1,0),FALSE)</f>
        <v>0.08</v>
      </c>
      <c r="O1012">
        <f t="shared" si="92"/>
        <v>11243.76</v>
      </c>
      <c r="P1012" s="7">
        <f t="shared" si="93"/>
        <v>0.8948808277000222</v>
      </c>
      <c r="Q1012" s="7">
        <f t="shared" si="94"/>
        <v>6301.8</v>
      </c>
      <c r="R1012">
        <f t="shared" si="95"/>
        <v>3.0075348459945781</v>
      </c>
    </row>
    <row r="1013" spans="1:18" x14ac:dyDescent="0.25">
      <c r="A1013" t="s">
        <v>612</v>
      </c>
      <c r="B1013" t="s">
        <v>613</v>
      </c>
      <c r="C1013" t="s">
        <v>8</v>
      </c>
      <c r="D1013">
        <v>60957</v>
      </c>
      <c r="E1013" s="1">
        <v>44469</v>
      </c>
      <c r="F1013" s="2">
        <f t="shared" si="90"/>
        <v>2021</v>
      </c>
      <c r="G1013">
        <v>27</v>
      </c>
      <c r="H1013" s="3">
        <v>171134</v>
      </c>
      <c r="I1013">
        <v>63809</v>
      </c>
      <c r="J1013">
        <v>171134</v>
      </c>
      <c r="K1013">
        <v>154742</v>
      </c>
      <c r="L1013">
        <v>154278</v>
      </c>
      <c r="M1013" t="str">
        <f t="shared" si="91"/>
        <v>Medium</v>
      </c>
      <c r="N1013">
        <f>VLOOKUP(C1013,Lookup!$A$2:$D$5,MATCH(M1013,Lookup!$A$1:$D$1,0),FALSE)</f>
        <v>0.08</v>
      </c>
      <c r="O1013">
        <f t="shared" si="92"/>
        <v>12342.24</v>
      </c>
      <c r="P1013" s="7">
        <f t="shared" si="93"/>
        <v>0.90421541014643492</v>
      </c>
      <c r="Q1013" s="7">
        <f t="shared" si="94"/>
        <v>6338.2962962962965</v>
      </c>
      <c r="R1013">
        <f t="shared" si="95"/>
        <v>5.1699691466054789</v>
      </c>
    </row>
    <row r="1014" spans="1:18" x14ac:dyDescent="0.25">
      <c r="A1014" t="s">
        <v>614</v>
      </c>
      <c r="B1014" t="s">
        <v>615</v>
      </c>
      <c r="C1014" t="s">
        <v>5</v>
      </c>
      <c r="D1014">
        <v>94538</v>
      </c>
      <c r="E1014" s="1">
        <v>43738</v>
      </c>
      <c r="F1014" s="2">
        <f t="shared" si="90"/>
        <v>2019</v>
      </c>
      <c r="G1014">
        <v>852</v>
      </c>
      <c r="H1014" s="3">
        <v>4507206</v>
      </c>
      <c r="I1014">
        <v>592237</v>
      </c>
      <c r="J1014">
        <v>4507206</v>
      </c>
      <c r="K1014">
        <v>4171445</v>
      </c>
      <c r="L1014">
        <v>4125713</v>
      </c>
      <c r="M1014" t="str">
        <f t="shared" si="91"/>
        <v>Large</v>
      </c>
      <c r="N1014">
        <f>VLOOKUP(C1014,Lookup!$A$2:$D$5,MATCH(M1014,Lookup!$A$1:$D$1,0),FALSE)</f>
        <v>0.08</v>
      </c>
      <c r="O1014">
        <f t="shared" si="92"/>
        <v>330057.03999999998</v>
      </c>
      <c r="P1014" s="7">
        <f t="shared" si="93"/>
        <v>0.92550573459478003</v>
      </c>
      <c r="Q1014" s="7">
        <f t="shared" si="94"/>
        <v>5290.1478873239439</v>
      </c>
      <c r="R1014">
        <f t="shared" si="95"/>
        <v>1.7943474255237823</v>
      </c>
    </row>
    <row r="1015" spans="1:18" x14ac:dyDescent="0.25">
      <c r="A1015" t="s">
        <v>614</v>
      </c>
      <c r="B1015" t="s">
        <v>615</v>
      </c>
      <c r="C1015" t="s">
        <v>5</v>
      </c>
      <c r="D1015">
        <v>94538</v>
      </c>
      <c r="E1015" s="1">
        <v>44104</v>
      </c>
      <c r="F1015" s="2">
        <f t="shared" si="90"/>
        <v>2020</v>
      </c>
      <c r="G1015">
        <v>997</v>
      </c>
      <c r="H1015" s="3">
        <v>5119606</v>
      </c>
      <c r="I1015">
        <v>709487</v>
      </c>
      <c r="J1015">
        <v>5119606</v>
      </c>
      <c r="K1015">
        <v>4763966</v>
      </c>
      <c r="L1015">
        <v>4693271</v>
      </c>
      <c r="M1015" t="str">
        <f t="shared" si="91"/>
        <v>Large</v>
      </c>
      <c r="N1015">
        <f>VLOOKUP(C1015,Lookup!$A$2:$D$5,MATCH(M1015,Lookup!$A$1:$D$1,0),FALSE)</f>
        <v>0.08</v>
      </c>
      <c r="O1015">
        <f t="shared" si="92"/>
        <v>375461.68</v>
      </c>
      <c r="P1015" s="7">
        <f t="shared" si="93"/>
        <v>0.93053371685242969</v>
      </c>
      <c r="Q1015" s="7">
        <f t="shared" si="94"/>
        <v>5135.0110330992975</v>
      </c>
      <c r="R1015">
        <f t="shared" si="95"/>
        <v>1.8896389106872371</v>
      </c>
    </row>
    <row r="1016" spans="1:18" x14ac:dyDescent="0.25">
      <c r="A1016" t="s">
        <v>614</v>
      </c>
      <c r="B1016" t="s">
        <v>615</v>
      </c>
      <c r="C1016" t="s">
        <v>5</v>
      </c>
      <c r="D1016">
        <v>94538</v>
      </c>
      <c r="E1016" s="1">
        <v>44469</v>
      </c>
      <c r="F1016" s="2">
        <f t="shared" si="90"/>
        <v>2021</v>
      </c>
      <c r="G1016">
        <v>972</v>
      </c>
      <c r="H1016" s="3">
        <v>5658450</v>
      </c>
      <c r="I1016">
        <v>1101130</v>
      </c>
      <c r="J1016">
        <v>5658450</v>
      </c>
      <c r="K1016">
        <v>5263985</v>
      </c>
      <c r="L1016">
        <v>5201798</v>
      </c>
      <c r="M1016" t="str">
        <f t="shared" si="91"/>
        <v>Large</v>
      </c>
      <c r="N1016">
        <f>VLOOKUP(C1016,Lookup!$A$2:$D$5,MATCH(M1016,Lookup!$A$1:$D$1,0),FALSE)</f>
        <v>0.08</v>
      </c>
      <c r="O1016">
        <f t="shared" si="92"/>
        <v>416143.84</v>
      </c>
      <c r="P1016" s="7">
        <f t="shared" si="93"/>
        <v>0.93028744620876747</v>
      </c>
      <c r="Q1016" s="7">
        <f t="shared" si="94"/>
        <v>5821.450617283951</v>
      </c>
      <c r="R1016">
        <f t="shared" si="95"/>
        <v>2.6460321988666227</v>
      </c>
    </row>
    <row r="1017" spans="1:18" x14ac:dyDescent="0.25">
      <c r="A1017" t="s">
        <v>616</v>
      </c>
      <c r="B1017" t="s">
        <v>274</v>
      </c>
      <c r="C1017" t="s">
        <v>5</v>
      </c>
      <c r="D1017">
        <v>93711</v>
      </c>
      <c r="E1017" s="1">
        <v>43738</v>
      </c>
      <c r="F1017" s="2">
        <f t="shared" si="90"/>
        <v>2019</v>
      </c>
      <c r="G1017">
        <v>52</v>
      </c>
      <c r="H1017" s="3">
        <v>538656</v>
      </c>
      <c r="I1017">
        <v>65203</v>
      </c>
      <c r="J1017">
        <v>538656</v>
      </c>
      <c r="K1017">
        <v>490127</v>
      </c>
      <c r="L1017">
        <v>487215</v>
      </c>
      <c r="M1017" t="str">
        <f t="shared" si="91"/>
        <v>Medium</v>
      </c>
      <c r="N1017">
        <f>VLOOKUP(C1017,Lookup!$A$2:$D$5,MATCH(M1017,Lookup!$A$1:$D$1,0),FALSE)</f>
        <v>0.09</v>
      </c>
      <c r="O1017">
        <f t="shared" si="92"/>
        <v>43849.35</v>
      </c>
      <c r="P1017" s="7">
        <f t="shared" si="93"/>
        <v>0.90990725063862654</v>
      </c>
      <c r="Q1017" s="7">
        <f t="shared" si="94"/>
        <v>10358.76923076923</v>
      </c>
      <c r="R1017">
        <f t="shared" si="95"/>
        <v>1.4869775720734744</v>
      </c>
    </row>
    <row r="1018" spans="1:18" x14ac:dyDescent="0.25">
      <c r="A1018" t="s">
        <v>616</v>
      </c>
      <c r="B1018" t="s">
        <v>274</v>
      </c>
      <c r="C1018" t="s">
        <v>5</v>
      </c>
      <c r="D1018">
        <v>93711</v>
      </c>
      <c r="E1018" s="1">
        <v>44104</v>
      </c>
      <c r="F1018" s="2">
        <f t="shared" si="90"/>
        <v>2020</v>
      </c>
      <c r="G1018">
        <v>61</v>
      </c>
      <c r="H1018" s="3">
        <v>830913</v>
      </c>
      <c r="I1018">
        <v>25982</v>
      </c>
      <c r="J1018">
        <v>830913</v>
      </c>
      <c r="K1018">
        <v>767839</v>
      </c>
      <c r="L1018">
        <v>754557</v>
      </c>
      <c r="M1018" t="str">
        <f t="shared" si="91"/>
        <v>Medium</v>
      </c>
      <c r="N1018">
        <f>VLOOKUP(C1018,Lookup!$A$2:$D$5,MATCH(M1018,Lookup!$A$1:$D$1,0),FALSE)</f>
        <v>0.09</v>
      </c>
      <c r="O1018">
        <f t="shared" si="92"/>
        <v>67910.13</v>
      </c>
      <c r="P1018" s="7">
        <f t="shared" si="93"/>
        <v>0.92409072911363765</v>
      </c>
      <c r="Q1018" s="7">
        <f t="shared" si="94"/>
        <v>13621.524590163934</v>
      </c>
      <c r="R1018">
        <f t="shared" si="95"/>
        <v>0.38259387811509121</v>
      </c>
    </row>
    <row r="1019" spans="1:18" x14ac:dyDescent="0.25">
      <c r="A1019" t="s">
        <v>616</v>
      </c>
      <c r="B1019" t="s">
        <v>274</v>
      </c>
      <c r="C1019" t="s">
        <v>5</v>
      </c>
      <c r="D1019">
        <v>93711</v>
      </c>
      <c r="E1019" s="1">
        <v>44469</v>
      </c>
      <c r="F1019" s="2">
        <f t="shared" si="90"/>
        <v>2021</v>
      </c>
      <c r="G1019">
        <v>76</v>
      </c>
      <c r="H1019" s="3">
        <v>1022685</v>
      </c>
      <c r="I1019">
        <v>41013</v>
      </c>
      <c r="J1019">
        <v>1022685</v>
      </c>
      <c r="K1019">
        <v>902260</v>
      </c>
      <c r="L1019">
        <v>896335</v>
      </c>
      <c r="M1019" t="str">
        <f t="shared" si="91"/>
        <v>Large</v>
      </c>
      <c r="N1019">
        <f>VLOOKUP(C1019,Lookup!$A$2:$D$5,MATCH(M1019,Lookup!$A$1:$D$1,0),FALSE)</f>
        <v>0.08</v>
      </c>
      <c r="O1019">
        <f t="shared" si="92"/>
        <v>71706.8</v>
      </c>
      <c r="P1019" s="7">
        <f t="shared" si="93"/>
        <v>0.88224624395586126</v>
      </c>
      <c r="Q1019" s="7">
        <f t="shared" si="94"/>
        <v>13456.381578947368</v>
      </c>
      <c r="R1019">
        <f t="shared" si="95"/>
        <v>0.57195412429504588</v>
      </c>
    </row>
    <row r="1020" spans="1:18" x14ac:dyDescent="0.25">
      <c r="A1020" t="s">
        <v>617</v>
      </c>
      <c r="B1020" t="s">
        <v>159</v>
      </c>
      <c r="C1020" t="s">
        <v>5</v>
      </c>
      <c r="D1020">
        <v>90603</v>
      </c>
      <c r="E1020" s="1">
        <v>43738</v>
      </c>
      <c r="F1020" s="2">
        <f t="shared" si="90"/>
        <v>2019</v>
      </c>
      <c r="G1020">
        <v>24</v>
      </c>
      <c r="H1020" s="3">
        <v>160246</v>
      </c>
      <c r="I1020">
        <v>15130</v>
      </c>
      <c r="J1020">
        <v>160245</v>
      </c>
      <c r="K1020">
        <v>141385</v>
      </c>
      <c r="L1020">
        <v>119842</v>
      </c>
      <c r="M1020" t="str">
        <f t="shared" si="91"/>
        <v>Medium</v>
      </c>
      <c r="N1020">
        <f>VLOOKUP(C1020,Lookup!$A$2:$D$5,MATCH(M1020,Lookup!$A$1:$D$1,0),FALSE)</f>
        <v>0.09</v>
      </c>
      <c r="O1020">
        <f t="shared" si="92"/>
        <v>10785.779999999999</v>
      </c>
      <c r="P1020" s="7">
        <f t="shared" si="93"/>
        <v>0.88229971418943376</v>
      </c>
      <c r="Q1020" s="7">
        <f t="shared" si="94"/>
        <v>6676.916666666667</v>
      </c>
      <c r="R1020">
        <f t="shared" si="95"/>
        <v>1.4027729102577655</v>
      </c>
    </row>
    <row r="1021" spans="1:18" x14ac:dyDescent="0.25">
      <c r="A1021" t="s">
        <v>617</v>
      </c>
      <c r="B1021" t="s">
        <v>159</v>
      </c>
      <c r="C1021" t="s">
        <v>5</v>
      </c>
      <c r="D1021">
        <v>90603</v>
      </c>
      <c r="E1021" s="1">
        <v>44104</v>
      </c>
      <c r="F1021" s="2">
        <f t="shared" si="90"/>
        <v>2020</v>
      </c>
      <c r="G1021">
        <v>24</v>
      </c>
      <c r="H1021" s="3">
        <v>236335</v>
      </c>
      <c r="I1021">
        <v>63581</v>
      </c>
      <c r="J1021">
        <v>236335</v>
      </c>
      <c r="K1021">
        <v>216273</v>
      </c>
      <c r="L1021">
        <v>159589</v>
      </c>
      <c r="M1021" t="str">
        <f t="shared" si="91"/>
        <v>Medium</v>
      </c>
      <c r="N1021">
        <f>VLOOKUP(C1021,Lookup!$A$2:$D$5,MATCH(M1021,Lookup!$A$1:$D$1,0),FALSE)</f>
        <v>0.09</v>
      </c>
      <c r="O1021">
        <f t="shared" si="92"/>
        <v>14363.01</v>
      </c>
      <c r="P1021" s="7">
        <f t="shared" si="93"/>
        <v>0.91511202318742468</v>
      </c>
      <c r="Q1021" s="7">
        <f t="shared" si="94"/>
        <v>9847.2916666666661</v>
      </c>
      <c r="R1021">
        <f t="shared" si="95"/>
        <v>4.4267183549966198</v>
      </c>
    </row>
    <row r="1022" spans="1:18" x14ac:dyDescent="0.25">
      <c r="A1022" t="s">
        <v>617</v>
      </c>
      <c r="B1022" t="s">
        <v>159</v>
      </c>
      <c r="C1022" t="s">
        <v>5</v>
      </c>
      <c r="D1022">
        <v>90603</v>
      </c>
      <c r="E1022" s="1">
        <v>44469</v>
      </c>
      <c r="F1022" s="2">
        <f t="shared" si="90"/>
        <v>2021</v>
      </c>
      <c r="G1022">
        <v>32</v>
      </c>
      <c r="H1022" s="3">
        <v>315118</v>
      </c>
      <c r="I1022">
        <v>166375</v>
      </c>
      <c r="J1022">
        <v>315118</v>
      </c>
      <c r="K1022">
        <v>294092</v>
      </c>
      <c r="L1022">
        <v>269894</v>
      </c>
      <c r="M1022" t="str">
        <f t="shared" si="91"/>
        <v>Medium</v>
      </c>
      <c r="N1022">
        <f>VLOOKUP(C1022,Lookup!$A$2:$D$5,MATCH(M1022,Lookup!$A$1:$D$1,0),FALSE)</f>
        <v>0.09</v>
      </c>
      <c r="O1022">
        <f t="shared" si="92"/>
        <v>24290.46</v>
      </c>
      <c r="P1022" s="7">
        <f t="shared" si="93"/>
        <v>0.93327578875215</v>
      </c>
      <c r="Q1022" s="7">
        <f t="shared" si="94"/>
        <v>9847.4375</v>
      </c>
      <c r="R1022">
        <f t="shared" si="95"/>
        <v>6.8493968413937001</v>
      </c>
    </row>
    <row r="1023" spans="1:18" x14ac:dyDescent="0.25">
      <c r="A1023" t="s">
        <v>618</v>
      </c>
      <c r="B1023" t="s">
        <v>619</v>
      </c>
      <c r="C1023" t="s">
        <v>17</v>
      </c>
      <c r="D1023">
        <v>13069</v>
      </c>
      <c r="E1023" s="1">
        <v>43738</v>
      </c>
      <c r="F1023" s="2">
        <f t="shared" si="90"/>
        <v>2019</v>
      </c>
      <c r="G1023">
        <v>77</v>
      </c>
      <c r="H1023" s="3">
        <v>378498</v>
      </c>
      <c r="I1023">
        <v>76111</v>
      </c>
      <c r="J1023">
        <v>378498</v>
      </c>
      <c r="K1023">
        <v>269705</v>
      </c>
      <c r="L1023">
        <v>247902</v>
      </c>
      <c r="M1023" t="str">
        <f t="shared" si="91"/>
        <v>Medium</v>
      </c>
      <c r="N1023">
        <f>VLOOKUP(C1023,Lookup!$A$2:$D$5,MATCH(M1023,Lookup!$A$1:$D$1,0),FALSE)</f>
        <v>8.5000000000000006E-2</v>
      </c>
      <c r="O1023">
        <f t="shared" si="92"/>
        <v>21071.670000000002</v>
      </c>
      <c r="P1023" s="7">
        <f t="shared" si="93"/>
        <v>0.71256651290099282</v>
      </c>
      <c r="Q1023" s="7">
        <f t="shared" si="94"/>
        <v>4915.5584415584417</v>
      </c>
      <c r="R1023">
        <f t="shared" si="95"/>
        <v>3.6120060726083882</v>
      </c>
    </row>
    <row r="1024" spans="1:18" x14ac:dyDescent="0.25">
      <c r="A1024" t="s">
        <v>618</v>
      </c>
      <c r="B1024" t="s">
        <v>619</v>
      </c>
      <c r="C1024" t="s">
        <v>17</v>
      </c>
      <c r="D1024">
        <v>13069</v>
      </c>
      <c r="E1024" s="1">
        <v>44104</v>
      </c>
      <c r="F1024" s="2">
        <f t="shared" si="90"/>
        <v>2020</v>
      </c>
      <c r="G1024">
        <v>75</v>
      </c>
      <c r="H1024" s="3">
        <v>413247</v>
      </c>
      <c r="I1024">
        <v>57661</v>
      </c>
      <c r="J1024">
        <v>413247</v>
      </c>
      <c r="K1024">
        <v>298017</v>
      </c>
      <c r="L1024">
        <v>281728</v>
      </c>
      <c r="M1024" t="str">
        <f t="shared" si="91"/>
        <v>Medium</v>
      </c>
      <c r="N1024">
        <f>VLOOKUP(C1024,Lookup!$A$2:$D$5,MATCH(M1024,Lookup!$A$1:$D$1,0),FALSE)</f>
        <v>8.5000000000000006E-2</v>
      </c>
      <c r="O1024">
        <f t="shared" si="92"/>
        <v>23946.880000000001</v>
      </c>
      <c r="P1024" s="7">
        <f t="shared" si="93"/>
        <v>0.7211595002504555</v>
      </c>
      <c r="Q1024" s="7">
        <f t="shared" si="94"/>
        <v>5509.96</v>
      </c>
      <c r="R1024">
        <f t="shared" si="95"/>
        <v>2.4078710880081244</v>
      </c>
    </row>
    <row r="1025" spans="1:18" x14ac:dyDescent="0.25">
      <c r="A1025" t="s">
        <v>618</v>
      </c>
      <c r="B1025" t="s">
        <v>619</v>
      </c>
      <c r="C1025" t="s">
        <v>17</v>
      </c>
      <c r="D1025">
        <v>13069</v>
      </c>
      <c r="E1025" s="1">
        <v>44469</v>
      </c>
      <c r="F1025" s="2">
        <f t="shared" si="90"/>
        <v>2021</v>
      </c>
      <c r="G1025">
        <v>73</v>
      </c>
      <c r="H1025" s="3">
        <v>448366</v>
      </c>
      <c r="I1025">
        <v>44835</v>
      </c>
      <c r="J1025">
        <v>448366</v>
      </c>
      <c r="K1025">
        <v>327934</v>
      </c>
      <c r="L1025">
        <v>312712</v>
      </c>
      <c r="M1025" t="str">
        <f t="shared" si="91"/>
        <v>Medium</v>
      </c>
      <c r="N1025">
        <f>VLOOKUP(C1025,Lookup!$A$2:$D$5,MATCH(M1025,Lookup!$A$1:$D$1,0),FALSE)</f>
        <v>8.5000000000000006E-2</v>
      </c>
      <c r="O1025">
        <f t="shared" si="92"/>
        <v>26580.52</v>
      </c>
      <c r="P1025" s="7">
        <f t="shared" si="93"/>
        <v>0.7313980096617495</v>
      </c>
      <c r="Q1025" s="7">
        <f t="shared" si="94"/>
        <v>6142</v>
      </c>
      <c r="R1025">
        <f t="shared" si="95"/>
        <v>1.6867615832948339</v>
      </c>
    </row>
    <row r="1026" spans="1:18" x14ac:dyDescent="0.25">
      <c r="A1026" t="s">
        <v>1391</v>
      </c>
      <c r="B1026" t="s">
        <v>28</v>
      </c>
      <c r="C1026" t="s">
        <v>8</v>
      </c>
      <c r="D1026">
        <v>60642</v>
      </c>
      <c r="E1026" s="1">
        <v>44469</v>
      </c>
      <c r="F1026" s="2">
        <f t="shared" ref="F1026:F1089" si="96">YEAR(E1026)</f>
        <v>2021</v>
      </c>
      <c r="G1026">
        <v>13</v>
      </c>
      <c r="H1026" s="3">
        <v>55199</v>
      </c>
      <c r="I1026">
        <v>54807</v>
      </c>
      <c r="J1026">
        <v>55199</v>
      </c>
      <c r="K1026">
        <v>32563</v>
      </c>
      <c r="L1026">
        <v>32309</v>
      </c>
      <c r="M1026" t="str">
        <f t="shared" ref="M1026:M1089" si="97">IF(H1026&gt;1000000,"Large",IF(H1026&lt;100000,"Small","Medium"))</f>
        <v>Small</v>
      </c>
      <c r="N1026">
        <f>VLOOKUP(C1026,Lookup!$A$2:$D$5,MATCH(M1026,Lookup!$A$1:$D$1,0),FALSE)</f>
        <v>0.09</v>
      </c>
      <c r="O1026">
        <f t="shared" ref="O1026:O1089" si="98">L1026*N1026</f>
        <v>2907.81</v>
      </c>
      <c r="P1026" s="7">
        <f t="shared" ref="P1026:P1089" si="99">K1026/H1026</f>
        <v>0.58992010724831967</v>
      </c>
      <c r="Q1026" s="7">
        <f t="shared" ref="Q1026:Q1089" si="100">H1026/G1026</f>
        <v>4246.0769230769229</v>
      </c>
      <c r="R1026">
        <f t="shared" ref="R1026:R1089" si="101">I1026/O1026</f>
        <v>18.848205350418358</v>
      </c>
    </row>
    <row r="1027" spans="1:18" x14ac:dyDescent="0.25">
      <c r="A1027" t="s">
        <v>620</v>
      </c>
      <c r="B1027" t="s">
        <v>185</v>
      </c>
      <c r="C1027" t="s">
        <v>5</v>
      </c>
      <c r="D1027">
        <v>94607</v>
      </c>
      <c r="E1027" s="1">
        <v>43738</v>
      </c>
      <c r="F1027" s="2">
        <f t="shared" si="96"/>
        <v>2019</v>
      </c>
      <c r="G1027">
        <v>18</v>
      </c>
      <c r="H1027" s="3">
        <v>118452</v>
      </c>
      <c r="I1027">
        <v>5017</v>
      </c>
      <c r="J1027">
        <v>118452</v>
      </c>
      <c r="K1027">
        <v>102705</v>
      </c>
      <c r="L1027">
        <v>85816</v>
      </c>
      <c r="M1027" t="str">
        <f t="shared" si="97"/>
        <v>Medium</v>
      </c>
      <c r="N1027">
        <f>VLOOKUP(C1027,Lookup!$A$2:$D$5,MATCH(M1027,Lookup!$A$1:$D$1,0),FALSE)</f>
        <v>0.09</v>
      </c>
      <c r="O1027">
        <f t="shared" si="98"/>
        <v>7723.44</v>
      </c>
      <c r="P1027" s="7">
        <f t="shared" si="99"/>
        <v>0.86706007496707527</v>
      </c>
      <c r="Q1027" s="7">
        <f t="shared" si="100"/>
        <v>6580.666666666667</v>
      </c>
      <c r="R1027">
        <f t="shared" si="101"/>
        <v>0.64958101571320559</v>
      </c>
    </row>
    <row r="1028" spans="1:18" x14ac:dyDescent="0.25">
      <c r="A1028" t="s">
        <v>620</v>
      </c>
      <c r="B1028" t="s">
        <v>185</v>
      </c>
      <c r="C1028" t="s">
        <v>5</v>
      </c>
      <c r="D1028">
        <v>94607</v>
      </c>
      <c r="E1028" s="1">
        <v>44104</v>
      </c>
      <c r="F1028" s="2">
        <f t="shared" si="96"/>
        <v>2020</v>
      </c>
      <c r="G1028">
        <v>25</v>
      </c>
      <c r="H1028" s="3">
        <v>173523</v>
      </c>
      <c r="I1028">
        <v>13421</v>
      </c>
      <c r="J1028">
        <v>173523</v>
      </c>
      <c r="K1028">
        <v>157468</v>
      </c>
      <c r="L1028">
        <v>124557</v>
      </c>
      <c r="M1028" t="str">
        <f t="shared" si="97"/>
        <v>Medium</v>
      </c>
      <c r="N1028">
        <f>VLOOKUP(C1028,Lookup!$A$2:$D$5,MATCH(M1028,Lookup!$A$1:$D$1,0),FALSE)</f>
        <v>0.09</v>
      </c>
      <c r="O1028">
        <f t="shared" si="98"/>
        <v>11210.13</v>
      </c>
      <c r="P1028" s="7">
        <f t="shared" si="99"/>
        <v>0.90747624234251367</v>
      </c>
      <c r="Q1028" s="7">
        <f t="shared" si="100"/>
        <v>6940.92</v>
      </c>
      <c r="R1028">
        <f t="shared" si="101"/>
        <v>1.1972207280379443</v>
      </c>
    </row>
    <row r="1029" spans="1:18" x14ac:dyDescent="0.25">
      <c r="A1029" t="s">
        <v>620</v>
      </c>
      <c r="B1029" t="s">
        <v>185</v>
      </c>
      <c r="C1029" t="s">
        <v>5</v>
      </c>
      <c r="D1029">
        <v>94607</v>
      </c>
      <c r="E1029" s="1">
        <v>44469</v>
      </c>
      <c r="F1029" s="2">
        <f t="shared" si="96"/>
        <v>2021</v>
      </c>
      <c r="G1029">
        <v>22</v>
      </c>
      <c r="H1029" s="3">
        <v>172397</v>
      </c>
      <c r="I1029">
        <v>18226</v>
      </c>
      <c r="J1029">
        <v>172397</v>
      </c>
      <c r="K1029">
        <v>156478</v>
      </c>
      <c r="L1029">
        <v>147464</v>
      </c>
      <c r="M1029" t="str">
        <f t="shared" si="97"/>
        <v>Medium</v>
      </c>
      <c r="N1029">
        <f>VLOOKUP(C1029,Lookup!$A$2:$D$5,MATCH(M1029,Lookup!$A$1:$D$1,0),FALSE)</f>
        <v>0.09</v>
      </c>
      <c r="O1029">
        <f t="shared" si="98"/>
        <v>13271.76</v>
      </c>
      <c r="P1029" s="7">
        <f t="shared" si="99"/>
        <v>0.90766080616252021</v>
      </c>
      <c r="Q1029" s="7">
        <f t="shared" si="100"/>
        <v>7836.227272727273</v>
      </c>
      <c r="R1029">
        <f t="shared" si="101"/>
        <v>1.3732918618178749</v>
      </c>
    </row>
    <row r="1030" spans="1:18" x14ac:dyDescent="0.25">
      <c r="A1030" t="s">
        <v>621</v>
      </c>
      <c r="B1030" t="s">
        <v>47</v>
      </c>
      <c r="C1030" t="s">
        <v>5</v>
      </c>
      <c r="D1030">
        <v>90036</v>
      </c>
      <c r="E1030" s="1">
        <v>43738</v>
      </c>
      <c r="F1030" s="2">
        <f t="shared" si="96"/>
        <v>2019</v>
      </c>
      <c r="G1030">
        <v>98</v>
      </c>
      <c r="H1030" s="3">
        <v>582551</v>
      </c>
      <c r="I1030">
        <v>33392</v>
      </c>
      <c r="J1030">
        <v>582551</v>
      </c>
      <c r="K1030">
        <v>518190</v>
      </c>
      <c r="L1030">
        <v>472744</v>
      </c>
      <c r="M1030" t="str">
        <f t="shared" si="97"/>
        <v>Medium</v>
      </c>
      <c r="N1030">
        <f>VLOOKUP(C1030,Lookup!$A$2:$D$5,MATCH(M1030,Lookup!$A$1:$D$1,0),FALSE)</f>
        <v>0.09</v>
      </c>
      <c r="O1030">
        <f t="shared" si="98"/>
        <v>42546.96</v>
      </c>
      <c r="P1030" s="7">
        <f t="shared" si="99"/>
        <v>0.88951868591762784</v>
      </c>
      <c r="Q1030" s="7">
        <f t="shared" si="100"/>
        <v>5944.3979591836733</v>
      </c>
      <c r="R1030">
        <f t="shared" si="101"/>
        <v>0.78482693005563742</v>
      </c>
    </row>
    <row r="1031" spans="1:18" x14ac:dyDescent="0.25">
      <c r="A1031" t="s">
        <v>621</v>
      </c>
      <c r="B1031" t="s">
        <v>47</v>
      </c>
      <c r="C1031" t="s">
        <v>5</v>
      </c>
      <c r="D1031">
        <v>90036</v>
      </c>
      <c r="E1031" s="1">
        <v>44104</v>
      </c>
      <c r="F1031" s="2">
        <f t="shared" si="96"/>
        <v>2020</v>
      </c>
      <c r="G1031">
        <v>101</v>
      </c>
      <c r="H1031" s="3">
        <v>705121</v>
      </c>
      <c r="I1031">
        <v>97658</v>
      </c>
      <c r="J1031">
        <v>705121</v>
      </c>
      <c r="K1031">
        <v>635044</v>
      </c>
      <c r="L1031">
        <v>578709</v>
      </c>
      <c r="M1031" t="str">
        <f t="shared" si="97"/>
        <v>Medium</v>
      </c>
      <c r="N1031">
        <f>VLOOKUP(C1031,Lookup!$A$2:$D$5,MATCH(M1031,Lookup!$A$1:$D$1,0),FALSE)</f>
        <v>0.09</v>
      </c>
      <c r="O1031">
        <f t="shared" si="98"/>
        <v>52083.81</v>
      </c>
      <c r="P1031" s="7">
        <f t="shared" si="99"/>
        <v>0.90061705721429375</v>
      </c>
      <c r="Q1031" s="7">
        <f t="shared" si="100"/>
        <v>6981.3960396039602</v>
      </c>
      <c r="R1031">
        <f t="shared" si="101"/>
        <v>1.8750164398495426</v>
      </c>
    </row>
    <row r="1032" spans="1:18" x14ac:dyDescent="0.25">
      <c r="A1032" t="s">
        <v>621</v>
      </c>
      <c r="B1032" t="s">
        <v>47</v>
      </c>
      <c r="C1032" t="s">
        <v>5</v>
      </c>
      <c r="D1032">
        <v>90071</v>
      </c>
      <c r="E1032" s="1">
        <v>44469</v>
      </c>
      <c r="F1032" s="2">
        <f t="shared" si="96"/>
        <v>2021</v>
      </c>
      <c r="G1032">
        <v>90</v>
      </c>
      <c r="H1032" s="3">
        <v>695801</v>
      </c>
      <c r="I1032">
        <v>140097</v>
      </c>
      <c r="J1032">
        <v>695801</v>
      </c>
      <c r="K1032">
        <v>617596</v>
      </c>
      <c r="L1032">
        <v>586204</v>
      </c>
      <c r="M1032" t="str">
        <f t="shared" si="97"/>
        <v>Medium</v>
      </c>
      <c r="N1032">
        <f>VLOOKUP(C1032,Lookup!$A$2:$D$5,MATCH(M1032,Lookup!$A$1:$D$1,0),FALSE)</f>
        <v>0.09</v>
      </c>
      <c r="O1032">
        <f t="shared" si="98"/>
        <v>52758.36</v>
      </c>
      <c r="P1032" s="7">
        <f t="shared" si="99"/>
        <v>0.88760435814262983</v>
      </c>
      <c r="Q1032" s="7">
        <f t="shared" si="100"/>
        <v>7731.1222222222223</v>
      </c>
      <c r="R1032">
        <f t="shared" si="101"/>
        <v>2.6554464543628726</v>
      </c>
    </row>
    <row r="1033" spans="1:18" x14ac:dyDescent="0.25">
      <c r="A1033" t="s">
        <v>622</v>
      </c>
      <c r="B1033" t="s">
        <v>623</v>
      </c>
      <c r="C1033" t="s">
        <v>17</v>
      </c>
      <c r="D1033">
        <v>13219</v>
      </c>
      <c r="E1033" s="1">
        <v>43738</v>
      </c>
      <c r="F1033" s="2">
        <f t="shared" si="96"/>
        <v>2019</v>
      </c>
      <c r="G1033">
        <v>37</v>
      </c>
      <c r="H1033" s="3">
        <v>558412</v>
      </c>
      <c r="I1033">
        <v>16874</v>
      </c>
      <c r="J1033">
        <v>558412</v>
      </c>
      <c r="K1033">
        <v>468542</v>
      </c>
      <c r="L1033">
        <v>410745</v>
      </c>
      <c r="M1033" t="str">
        <f t="shared" si="97"/>
        <v>Medium</v>
      </c>
      <c r="N1033">
        <f>VLOOKUP(C1033,Lookup!$A$2:$D$5,MATCH(M1033,Lookup!$A$1:$D$1,0),FALSE)</f>
        <v>8.5000000000000006E-2</v>
      </c>
      <c r="O1033">
        <f t="shared" si="98"/>
        <v>34913.325000000004</v>
      </c>
      <c r="P1033" s="7">
        <f t="shared" si="99"/>
        <v>0.8390614814867875</v>
      </c>
      <c r="Q1033" s="7">
        <f t="shared" si="100"/>
        <v>15092.216216216217</v>
      </c>
      <c r="R1033">
        <f t="shared" si="101"/>
        <v>0.48331117130780288</v>
      </c>
    </row>
    <row r="1034" spans="1:18" x14ac:dyDescent="0.25">
      <c r="A1034" t="s">
        <v>622</v>
      </c>
      <c r="B1034" t="s">
        <v>623</v>
      </c>
      <c r="C1034" t="s">
        <v>17</v>
      </c>
      <c r="D1034">
        <v>13219</v>
      </c>
      <c r="E1034" s="1">
        <v>44104</v>
      </c>
      <c r="F1034" s="2">
        <f t="shared" si="96"/>
        <v>2020</v>
      </c>
      <c r="G1034">
        <v>41</v>
      </c>
      <c r="H1034" s="3">
        <v>581779</v>
      </c>
      <c r="I1034">
        <v>28822</v>
      </c>
      <c r="J1034">
        <v>581779</v>
      </c>
      <c r="K1034">
        <v>489311</v>
      </c>
      <c r="L1034">
        <v>421408</v>
      </c>
      <c r="M1034" t="str">
        <f t="shared" si="97"/>
        <v>Medium</v>
      </c>
      <c r="N1034">
        <f>VLOOKUP(C1034,Lookup!$A$2:$D$5,MATCH(M1034,Lookup!$A$1:$D$1,0),FALSE)</f>
        <v>8.5000000000000006E-2</v>
      </c>
      <c r="O1034">
        <f t="shared" si="98"/>
        <v>35819.68</v>
      </c>
      <c r="P1034" s="7">
        <f t="shared" si="99"/>
        <v>0.84105992137908037</v>
      </c>
      <c r="Q1034" s="7">
        <f t="shared" si="100"/>
        <v>14189.731707317073</v>
      </c>
      <c r="R1034">
        <f t="shared" si="101"/>
        <v>0.80464147083391024</v>
      </c>
    </row>
    <row r="1035" spans="1:18" x14ac:dyDescent="0.25">
      <c r="A1035" t="s">
        <v>622</v>
      </c>
      <c r="B1035" t="s">
        <v>623</v>
      </c>
      <c r="C1035" t="s">
        <v>17</v>
      </c>
      <c r="D1035">
        <v>13219</v>
      </c>
      <c r="E1035" s="1">
        <v>44469</v>
      </c>
      <c r="F1035" s="2">
        <f t="shared" si="96"/>
        <v>2021</v>
      </c>
      <c r="G1035">
        <v>41</v>
      </c>
      <c r="H1035" s="3">
        <v>590348</v>
      </c>
      <c r="I1035">
        <v>27211</v>
      </c>
      <c r="J1035">
        <v>590348</v>
      </c>
      <c r="K1035">
        <v>496041</v>
      </c>
      <c r="L1035">
        <v>427959</v>
      </c>
      <c r="M1035" t="str">
        <f t="shared" si="97"/>
        <v>Medium</v>
      </c>
      <c r="N1035">
        <f>VLOOKUP(C1035,Lookup!$A$2:$D$5,MATCH(M1035,Lookup!$A$1:$D$1,0),FALSE)</f>
        <v>8.5000000000000006E-2</v>
      </c>
      <c r="O1035">
        <f t="shared" si="98"/>
        <v>36376.514999999999</v>
      </c>
      <c r="P1035" s="7">
        <f t="shared" si="99"/>
        <v>0.84025185145033099</v>
      </c>
      <c r="Q1035" s="7">
        <f t="shared" si="100"/>
        <v>14398.731707317073</v>
      </c>
      <c r="R1035">
        <f t="shared" si="101"/>
        <v>0.74803757314300179</v>
      </c>
    </row>
    <row r="1036" spans="1:18" x14ac:dyDescent="0.25">
      <c r="A1036" t="s">
        <v>624</v>
      </c>
      <c r="B1036" t="s">
        <v>625</v>
      </c>
      <c r="C1036" t="s">
        <v>17</v>
      </c>
      <c r="D1036">
        <v>13148</v>
      </c>
      <c r="E1036" s="1">
        <v>43738</v>
      </c>
      <c r="F1036" s="2">
        <f t="shared" si="96"/>
        <v>2019</v>
      </c>
      <c r="G1036">
        <v>100</v>
      </c>
      <c r="H1036" s="3">
        <v>323229</v>
      </c>
      <c r="I1036">
        <v>8073</v>
      </c>
      <c r="J1036">
        <v>323229</v>
      </c>
      <c r="K1036">
        <v>294209</v>
      </c>
      <c r="L1036">
        <v>257893</v>
      </c>
      <c r="M1036" t="str">
        <f t="shared" si="97"/>
        <v>Medium</v>
      </c>
      <c r="N1036">
        <f>VLOOKUP(C1036,Lookup!$A$2:$D$5,MATCH(M1036,Lookup!$A$1:$D$1,0),FALSE)</f>
        <v>8.5000000000000006E-2</v>
      </c>
      <c r="O1036">
        <f t="shared" si="98"/>
        <v>21920.905000000002</v>
      </c>
      <c r="P1036" s="7">
        <f t="shared" si="99"/>
        <v>0.91021845193345896</v>
      </c>
      <c r="Q1036" s="7">
        <f t="shared" si="100"/>
        <v>3232.29</v>
      </c>
      <c r="R1036">
        <f t="shared" si="101"/>
        <v>0.36827859068774754</v>
      </c>
    </row>
    <row r="1037" spans="1:18" x14ac:dyDescent="0.25">
      <c r="A1037" t="s">
        <v>624</v>
      </c>
      <c r="B1037" t="s">
        <v>625</v>
      </c>
      <c r="C1037" t="s">
        <v>17</v>
      </c>
      <c r="D1037">
        <v>13148</v>
      </c>
      <c r="E1037" s="1">
        <v>44104</v>
      </c>
      <c r="F1037" s="2">
        <f t="shared" si="96"/>
        <v>2020</v>
      </c>
      <c r="G1037">
        <v>99</v>
      </c>
      <c r="H1037" s="3">
        <v>368775</v>
      </c>
      <c r="I1037">
        <v>12248</v>
      </c>
      <c r="J1037">
        <v>368775</v>
      </c>
      <c r="K1037">
        <v>336692</v>
      </c>
      <c r="L1037">
        <v>304710</v>
      </c>
      <c r="M1037" t="str">
        <f t="shared" si="97"/>
        <v>Medium</v>
      </c>
      <c r="N1037">
        <f>VLOOKUP(C1037,Lookup!$A$2:$D$5,MATCH(M1037,Lookup!$A$1:$D$1,0),FALSE)</f>
        <v>8.5000000000000006E-2</v>
      </c>
      <c r="O1037">
        <f t="shared" si="98"/>
        <v>25900.350000000002</v>
      </c>
      <c r="P1037" s="7">
        <f t="shared" si="99"/>
        <v>0.91300115246423974</v>
      </c>
      <c r="Q1037" s="7">
        <f t="shared" si="100"/>
        <v>3725</v>
      </c>
      <c r="R1037">
        <f t="shared" si="101"/>
        <v>0.47288936249896235</v>
      </c>
    </row>
    <row r="1038" spans="1:18" x14ac:dyDescent="0.25">
      <c r="A1038" t="s">
        <v>624</v>
      </c>
      <c r="B1038" t="s">
        <v>625</v>
      </c>
      <c r="C1038" t="s">
        <v>17</v>
      </c>
      <c r="D1038">
        <v>13148</v>
      </c>
      <c r="E1038" s="1">
        <v>44469</v>
      </c>
      <c r="F1038" s="2">
        <f t="shared" si="96"/>
        <v>2021</v>
      </c>
      <c r="G1038">
        <v>91</v>
      </c>
      <c r="H1038" s="3">
        <v>377738</v>
      </c>
      <c r="I1038">
        <v>12185</v>
      </c>
      <c r="J1038">
        <v>377738</v>
      </c>
      <c r="K1038">
        <v>336868</v>
      </c>
      <c r="L1038">
        <v>314740</v>
      </c>
      <c r="M1038" t="str">
        <f t="shared" si="97"/>
        <v>Medium</v>
      </c>
      <c r="N1038">
        <f>VLOOKUP(C1038,Lookup!$A$2:$D$5,MATCH(M1038,Lookup!$A$1:$D$1,0),FALSE)</f>
        <v>8.5000000000000006E-2</v>
      </c>
      <c r="O1038">
        <f t="shared" si="98"/>
        <v>26752.9</v>
      </c>
      <c r="P1038" s="7">
        <f t="shared" si="99"/>
        <v>0.89180331340770591</v>
      </c>
      <c r="Q1038" s="7">
        <f t="shared" si="100"/>
        <v>4150.9670329670325</v>
      </c>
      <c r="R1038">
        <f t="shared" si="101"/>
        <v>0.45546464121646624</v>
      </c>
    </row>
    <row r="1039" spans="1:18" x14ac:dyDescent="0.25">
      <c r="A1039" t="s">
        <v>626</v>
      </c>
      <c r="B1039" t="s">
        <v>625</v>
      </c>
      <c r="C1039" t="s">
        <v>17</v>
      </c>
      <c r="D1039">
        <v>13148</v>
      </c>
      <c r="E1039" s="1">
        <v>43738</v>
      </c>
      <c r="F1039" s="2">
        <f t="shared" si="96"/>
        <v>2019</v>
      </c>
      <c r="G1039">
        <v>33</v>
      </c>
      <c r="H1039" s="3">
        <v>12400</v>
      </c>
      <c r="I1039">
        <v>8157</v>
      </c>
      <c r="J1039">
        <v>12400</v>
      </c>
      <c r="K1039">
        <v>9763</v>
      </c>
      <c r="L1039">
        <v>9046</v>
      </c>
      <c r="M1039" t="str">
        <f t="shared" si="97"/>
        <v>Small</v>
      </c>
      <c r="N1039">
        <f>VLOOKUP(C1039,Lookup!$A$2:$D$5,MATCH(M1039,Lookup!$A$1:$D$1,0),FALSE)</f>
        <v>0.09</v>
      </c>
      <c r="O1039">
        <f t="shared" si="98"/>
        <v>814.14</v>
      </c>
      <c r="P1039" s="7">
        <f t="shared" si="99"/>
        <v>0.78733870967741937</v>
      </c>
      <c r="Q1039" s="7">
        <f t="shared" si="100"/>
        <v>375.75757575757575</v>
      </c>
      <c r="R1039">
        <f t="shared" si="101"/>
        <v>10.019161323605276</v>
      </c>
    </row>
    <row r="1040" spans="1:18" x14ac:dyDescent="0.25">
      <c r="A1040" t="s">
        <v>626</v>
      </c>
      <c r="B1040" t="s">
        <v>625</v>
      </c>
      <c r="C1040" t="s">
        <v>17</v>
      </c>
      <c r="D1040">
        <v>13148</v>
      </c>
      <c r="E1040" s="1">
        <v>44104</v>
      </c>
      <c r="F1040" s="2">
        <f t="shared" si="96"/>
        <v>2020</v>
      </c>
      <c r="G1040">
        <v>34</v>
      </c>
      <c r="H1040" s="3">
        <v>50219</v>
      </c>
      <c r="I1040">
        <v>44057</v>
      </c>
      <c r="J1040">
        <v>50219</v>
      </c>
      <c r="K1040">
        <v>43759</v>
      </c>
      <c r="L1040">
        <v>43525</v>
      </c>
      <c r="M1040" t="str">
        <f t="shared" si="97"/>
        <v>Small</v>
      </c>
      <c r="N1040">
        <f>VLOOKUP(C1040,Lookup!$A$2:$D$5,MATCH(M1040,Lookup!$A$1:$D$1,0),FALSE)</f>
        <v>0.09</v>
      </c>
      <c r="O1040">
        <f t="shared" si="98"/>
        <v>3917.25</v>
      </c>
      <c r="P1040" s="7">
        <f t="shared" si="99"/>
        <v>0.8713634281845517</v>
      </c>
      <c r="Q1040" s="7">
        <f t="shared" si="100"/>
        <v>1477.0294117647059</v>
      </c>
      <c r="R1040">
        <f t="shared" si="101"/>
        <v>11.246920671389368</v>
      </c>
    </row>
    <row r="1041" spans="1:18" x14ac:dyDescent="0.25">
      <c r="A1041" t="s">
        <v>626</v>
      </c>
      <c r="B1041" t="s">
        <v>625</v>
      </c>
      <c r="C1041" t="s">
        <v>17</v>
      </c>
      <c r="D1041">
        <v>13148</v>
      </c>
      <c r="E1041" s="1">
        <v>44469</v>
      </c>
      <c r="F1041" s="2">
        <f t="shared" si="96"/>
        <v>2021</v>
      </c>
      <c r="G1041">
        <v>35</v>
      </c>
      <c r="H1041" s="3">
        <v>14852</v>
      </c>
      <c r="I1041">
        <v>3827</v>
      </c>
      <c r="J1041">
        <v>14852</v>
      </c>
      <c r="K1041">
        <v>5102</v>
      </c>
      <c r="L1041">
        <v>4969</v>
      </c>
      <c r="M1041" t="str">
        <f t="shared" si="97"/>
        <v>Small</v>
      </c>
      <c r="N1041">
        <f>VLOOKUP(C1041,Lookup!$A$2:$D$5,MATCH(M1041,Lookup!$A$1:$D$1,0),FALSE)</f>
        <v>0.09</v>
      </c>
      <c r="O1041">
        <f t="shared" si="98"/>
        <v>447.21</v>
      </c>
      <c r="P1041" s="7">
        <f t="shared" si="99"/>
        <v>0.3435227578777269</v>
      </c>
      <c r="Q1041" s="7">
        <f t="shared" si="100"/>
        <v>424.34285714285716</v>
      </c>
      <c r="R1041">
        <f t="shared" si="101"/>
        <v>8.5575009503365305</v>
      </c>
    </row>
    <row r="1042" spans="1:18" x14ac:dyDescent="0.25">
      <c r="A1042" t="s">
        <v>627</v>
      </c>
      <c r="B1042" t="s">
        <v>628</v>
      </c>
      <c r="C1042" t="s">
        <v>17</v>
      </c>
      <c r="D1042">
        <v>14618</v>
      </c>
      <c r="E1042" s="1">
        <v>43738</v>
      </c>
      <c r="F1042" s="2">
        <f t="shared" si="96"/>
        <v>2019</v>
      </c>
      <c r="G1042">
        <v>128</v>
      </c>
      <c r="H1042" s="3">
        <v>596514</v>
      </c>
      <c r="I1042">
        <v>37485</v>
      </c>
      <c r="J1042">
        <v>596514</v>
      </c>
      <c r="K1042">
        <v>530295</v>
      </c>
      <c r="L1042">
        <v>497898</v>
      </c>
      <c r="M1042" t="str">
        <f t="shared" si="97"/>
        <v>Medium</v>
      </c>
      <c r="N1042">
        <f>VLOOKUP(C1042,Lookup!$A$2:$D$5,MATCH(M1042,Lookup!$A$1:$D$1,0),FALSE)</f>
        <v>8.5000000000000006E-2</v>
      </c>
      <c r="O1042">
        <f t="shared" si="98"/>
        <v>42321.33</v>
      </c>
      <c r="P1042" s="7">
        <f t="shared" si="99"/>
        <v>0.88899003208642213</v>
      </c>
      <c r="Q1042" s="7">
        <f t="shared" si="100"/>
        <v>4660.265625</v>
      </c>
      <c r="R1042">
        <f t="shared" si="101"/>
        <v>0.88572358193846934</v>
      </c>
    </row>
    <row r="1043" spans="1:18" x14ac:dyDescent="0.25">
      <c r="A1043" t="s">
        <v>627</v>
      </c>
      <c r="B1043" t="s">
        <v>628</v>
      </c>
      <c r="C1043" t="s">
        <v>17</v>
      </c>
      <c r="D1043">
        <v>14618</v>
      </c>
      <c r="E1043" s="1">
        <v>44104</v>
      </c>
      <c r="F1043" s="2">
        <f t="shared" si="96"/>
        <v>2020</v>
      </c>
      <c r="G1043">
        <v>138</v>
      </c>
      <c r="H1043" s="3">
        <v>746410</v>
      </c>
      <c r="I1043">
        <v>45354</v>
      </c>
      <c r="J1043">
        <v>746410</v>
      </c>
      <c r="K1043">
        <v>668677</v>
      </c>
      <c r="L1043">
        <v>665482</v>
      </c>
      <c r="M1043" t="str">
        <f t="shared" si="97"/>
        <v>Medium</v>
      </c>
      <c r="N1043">
        <f>VLOOKUP(C1043,Lookup!$A$2:$D$5,MATCH(M1043,Lookup!$A$1:$D$1,0),FALSE)</f>
        <v>8.5000000000000006E-2</v>
      </c>
      <c r="O1043">
        <f t="shared" si="98"/>
        <v>56565.97</v>
      </c>
      <c r="P1043" s="7">
        <f t="shared" si="99"/>
        <v>0.89585750458863089</v>
      </c>
      <c r="Q1043" s="7">
        <f t="shared" si="100"/>
        <v>5408.768115942029</v>
      </c>
      <c r="R1043">
        <f t="shared" si="101"/>
        <v>0.80178948579861709</v>
      </c>
    </row>
    <row r="1044" spans="1:18" x14ac:dyDescent="0.25">
      <c r="A1044" t="s">
        <v>627</v>
      </c>
      <c r="B1044" t="s">
        <v>628</v>
      </c>
      <c r="C1044" t="s">
        <v>17</v>
      </c>
      <c r="D1044">
        <v>14618</v>
      </c>
      <c r="E1044" s="1">
        <v>44469</v>
      </c>
      <c r="F1044" s="2">
        <f t="shared" si="96"/>
        <v>2021</v>
      </c>
      <c r="G1044">
        <v>157</v>
      </c>
      <c r="H1044" s="3">
        <v>975069</v>
      </c>
      <c r="I1044">
        <v>49653</v>
      </c>
      <c r="J1044">
        <v>975069</v>
      </c>
      <c r="K1044">
        <v>881340</v>
      </c>
      <c r="L1044">
        <v>809792</v>
      </c>
      <c r="M1044" t="str">
        <f t="shared" si="97"/>
        <v>Medium</v>
      </c>
      <c r="N1044">
        <f>VLOOKUP(C1044,Lookup!$A$2:$D$5,MATCH(M1044,Lookup!$A$1:$D$1,0),FALSE)</f>
        <v>8.5000000000000006E-2</v>
      </c>
      <c r="O1044">
        <f t="shared" si="98"/>
        <v>68832.320000000007</v>
      </c>
      <c r="P1044" s="7">
        <f t="shared" si="99"/>
        <v>0.90387449503573591</v>
      </c>
      <c r="Q1044" s="7">
        <f t="shared" si="100"/>
        <v>6210.6305732484079</v>
      </c>
      <c r="R1044">
        <f t="shared" si="101"/>
        <v>0.72136170915058495</v>
      </c>
    </row>
    <row r="1045" spans="1:18" x14ac:dyDescent="0.25">
      <c r="A1045" t="s">
        <v>1392</v>
      </c>
      <c r="B1045" t="s">
        <v>1393</v>
      </c>
      <c r="C1045" t="s">
        <v>5</v>
      </c>
      <c r="D1045">
        <v>92660</v>
      </c>
      <c r="E1045" s="1">
        <v>44469</v>
      </c>
      <c r="F1045" s="2">
        <f t="shared" si="96"/>
        <v>2021</v>
      </c>
      <c r="G1045">
        <v>35</v>
      </c>
      <c r="H1045" s="3">
        <v>57217</v>
      </c>
      <c r="I1045">
        <v>48828</v>
      </c>
      <c r="J1045">
        <v>57217</v>
      </c>
      <c r="K1045">
        <v>7801</v>
      </c>
      <c r="L1045">
        <v>869</v>
      </c>
      <c r="M1045" t="str">
        <f t="shared" si="97"/>
        <v>Small</v>
      </c>
      <c r="N1045">
        <f>VLOOKUP(C1045,Lookup!$A$2:$D$5,MATCH(M1045,Lookup!$A$1:$D$1,0),FALSE)</f>
        <v>0.1</v>
      </c>
      <c r="O1045">
        <f t="shared" si="98"/>
        <v>86.9</v>
      </c>
      <c r="P1045" s="7">
        <f t="shared" si="99"/>
        <v>0.13634059807399898</v>
      </c>
      <c r="Q1045" s="7">
        <f t="shared" si="100"/>
        <v>1634.7714285714285</v>
      </c>
      <c r="R1045">
        <f t="shared" si="101"/>
        <v>561.8872266973533</v>
      </c>
    </row>
    <row r="1046" spans="1:18" x14ac:dyDescent="0.25">
      <c r="A1046" t="s">
        <v>629</v>
      </c>
      <c r="B1046" t="s">
        <v>630</v>
      </c>
      <c r="C1046" t="s">
        <v>8</v>
      </c>
      <c r="D1046">
        <v>61039</v>
      </c>
      <c r="E1046" s="1">
        <v>43738</v>
      </c>
      <c r="F1046" s="2">
        <f t="shared" si="96"/>
        <v>2019</v>
      </c>
      <c r="G1046">
        <v>41</v>
      </c>
      <c r="H1046" s="3">
        <v>246554</v>
      </c>
      <c r="I1046">
        <v>8075</v>
      </c>
      <c r="J1046">
        <v>246554</v>
      </c>
      <c r="K1046">
        <v>220541</v>
      </c>
      <c r="L1046">
        <v>217235</v>
      </c>
      <c r="M1046" t="str">
        <f t="shared" si="97"/>
        <v>Medium</v>
      </c>
      <c r="N1046">
        <f>VLOOKUP(C1046,Lookup!$A$2:$D$5,MATCH(M1046,Lookup!$A$1:$D$1,0),FALSE)</f>
        <v>0.08</v>
      </c>
      <c r="O1046">
        <f t="shared" si="98"/>
        <v>17378.8</v>
      </c>
      <c r="P1046" s="7">
        <f t="shared" si="99"/>
        <v>0.89449370117702409</v>
      </c>
      <c r="Q1046" s="7">
        <f t="shared" si="100"/>
        <v>6013.5121951219517</v>
      </c>
      <c r="R1046">
        <f t="shared" si="101"/>
        <v>0.46464658089166111</v>
      </c>
    </row>
    <row r="1047" spans="1:18" x14ac:dyDescent="0.25">
      <c r="A1047" t="s">
        <v>629</v>
      </c>
      <c r="B1047" t="s">
        <v>630</v>
      </c>
      <c r="C1047" t="s">
        <v>8</v>
      </c>
      <c r="D1047">
        <v>61039</v>
      </c>
      <c r="E1047" s="1">
        <v>44104</v>
      </c>
      <c r="F1047" s="2">
        <f t="shared" si="96"/>
        <v>2020</v>
      </c>
      <c r="G1047">
        <v>45</v>
      </c>
      <c r="H1047" s="3">
        <v>274349</v>
      </c>
      <c r="I1047">
        <v>21749</v>
      </c>
      <c r="J1047">
        <v>274349</v>
      </c>
      <c r="K1047">
        <v>247199</v>
      </c>
      <c r="L1047">
        <v>240788</v>
      </c>
      <c r="M1047" t="str">
        <f t="shared" si="97"/>
        <v>Medium</v>
      </c>
      <c r="N1047">
        <f>VLOOKUP(C1047,Lookup!$A$2:$D$5,MATCH(M1047,Lookup!$A$1:$D$1,0),FALSE)</f>
        <v>0.08</v>
      </c>
      <c r="O1047">
        <f t="shared" si="98"/>
        <v>19263.04</v>
      </c>
      <c r="P1047" s="7">
        <f t="shared" si="99"/>
        <v>0.90103845831404528</v>
      </c>
      <c r="Q1047" s="7">
        <f t="shared" si="100"/>
        <v>6096.6444444444442</v>
      </c>
      <c r="R1047">
        <f t="shared" si="101"/>
        <v>1.1290533581407711</v>
      </c>
    </row>
    <row r="1048" spans="1:18" x14ac:dyDescent="0.25">
      <c r="A1048" t="s">
        <v>629</v>
      </c>
      <c r="B1048" t="s">
        <v>630</v>
      </c>
      <c r="C1048" t="s">
        <v>8</v>
      </c>
      <c r="D1048">
        <v>61039</v>
      </c>
      <c r="E1048" s="1">
        <v>44469</v>
      </c>
      <c r="F1048" s="2">
        <f t="shared" si="96"/>
        <v>2021</v>
      </c>
      <c r="G1048">
        <v>46</v>
      </c>
      <c r="H1048" s="3">
        <v>305777</v>
      </c>
      <c r="I1048">
        <v>29750</v>
      </c>
      <c r="J1048">
        <v>305777</v>
      </c>
      <c r="K1048">
        <v>276828</v>
      </c>
      <c r="L1048">
        <v>269297</v>
      </c>
      <c r="M1048" t="str">
        <f t="shared" si="97"/>
        <v>Medium</v>
      </c>
      <c r="N1048">
        <f>VLOOKUP(C1048,Lookup!$A$2:$D$5,MATCH(M1048,Lookup!$A$1:$D$1,0),FALSE)</f>
        <v>0.08</v>
      </c>
      <c r="O1048">
        <f t="shared" si="98"/>
        <v>21543.760000000002</v>
      </c>
      <c r="P1048" s="7">
        <f t="shared" si="99"/>
        <v>0.9053264306994967</v>
      </c>
      <c r="Q1048" s="7">
        <f t="shared" si="100"/>
        <v>6647.326086956522</v>
      </c>
      <c r="R1048">
        <f t="shared" si="101"/>
        <v>1.3809102960671673</v>
      </c>
    </row>
    <row r="1049" spans="1:18" x14ac:dyDescent="0.25">
      <c r="A1049" t="s">
        <v>631</v>
      </c>
      <c r="B1049" t="s">
        <v>632</v>
      </c>
      <c r="C1049" t="s">
        <v>8</v>
      </c>
      <c r="D1049">
        <v>62230</v>
      </c>
      <c r="E1049" s="1">
        <v>43738</v>
      </c>
      <c r="F1049" s="2">
        <f t="shared" si="96"/>
        <v>2019</v>
      </c>
      <c r="G1049">
        <v>42</v>
      </c>
      <c r="H1049" s="3">
        <v>394113</v>
      </c>
      <c r="I1049">
        <v>7881</v>
      </c>
      <c r="J1049">
        <v>394113</v>
      </c>
      <c r="K1049">
        <v>340801</v>
      </c>
      <c r="L1049">
        <v>309344</v>
      </c>
      <c r="M1049" t="str">
        <f t="shared" si="97"/>
        <v>Medium</v>
      </c>
      <c r="N1049">
        <f>VLOOKUP(C1049,Lookup!$A$2:$D$5,MATCH(M1049,Lookup!$A$1:$D$1,0),FALSE)</f>
        <v>0.08</v>
      </c>
      <c r="O1049">
        <f t="shared" si="98"/>
        <v>24747.52</v>
      </c>
      <c r="P1049" s="7">
        <f t="shared" si="99"/>
        <v>0.86472915128402261</v>
      </c>
      <c r="Q1049" s="7">
        <f t="shared" si="100"/>
        <v>9383.6428571428569</v>
      </c>
      <c r="R1049">
        <f t="shared" si="101"/>
        <v>0.31845615237405606</v>
      </c>
    </row>
    <row r="1050" spans="1:18" x14ac:dyDescent="0.25">
      <c r="A1050" t="s">
        <v>631</v>
      </c>
      <c r="B1050" t="s">
        <v>632</v>
      </c>
      <c r="C1050" t="s">
        <v>8</v>
      </c>
      <c r="D1050">
        <v>62230</v>
      </c>
      <c r="E1050" s="1">
        <v>44104</v>
      </c>
      <c r="F1050" s="2">
        <f t="shared" si="96"/>
        <v>2020</v>
      </c>
      <c r="G1050">
        <v>41</v>
      </c>
      <c r="H1050" s="3">
        <v>435847</v>
      </c>
      <c r="I1050">
        <v>7693</v>
      </c>
      <c r="J1050">
        <v>435847</v>
      </c>
      <c r="K1050">
        <v>376350</v>
      </c>
      <c r="L1050">
        <v>345560</v>
      </c>
      <c r="M1050" t="str">
        <f t="shared" si="97"/>
        <v>Medium</v>
      </c>
      <c r="N1050">
        <f>VLOOKUP(C1050,Lookup!$A$2:$D$5,MATCH(M1050,Lookup!$A$1:$D$1,0),FALSE)</f>
        <v>0.08</v>
      </c>
      <c r="O1050">
        <f t="shared" si="98"/>
        <v>27644.799999999999</v>
      </c>
      <c r="P1050" s="7">
        <f t="shared" si="99"/>
        <v>0.86349108746876768</v>
      </c>
      <c r="Q1050" s="7">
        <f t="shared" si="100"/>
        <v>10630.414634146342</v>
      </c>
      <c r="R1050">
        <f t="shared" si="101"/>
        <v>0.27828018289153839</v>
      </c>
    </row>
    <row r="1051" spans="1:18" x14ac:dyDescent="0.25">
      <c r="A1051" t="s">
        <v>631</v>
      </c>
      <c r="B1051" t="s">
        <v>632</v>
      </c>
      <c r="C1051" t="s">
        <v>8</v>
      </c>
      <c r="D1051">
        <v>62230</v>
      </c>
      <c r="E1051" s="1">
        <v>44469</v>
      </c>
      <c r="F1051" s="2">
        <f t="shared" si="96"/>
        <v>2021</v>
      </c>
      <c r="G1051">
        <v>45</v>
      </c>
      <c r="H1051" s="3">
        <v>454585</v>
      </c>
      <c r="I1051">
        <v>5873</v>
      </c>
      <c r="J1051">
        <v>454585</v>
      </c>
      <c r="K1051">
        <v>396319</v>
      </c>
      <c r="L1051">
        <v>364650</v>
      </c>
      <c r="M1051" t="str">
        <f t="shared" si="97"/>
        <v>Medium</v>
      </c>
      <c r="N1051">
        <f>VLOOKUP(C1051,Lookup!$A$2:$D$5,MATCH(M1051,Lookup!$A$1:$D$1,0),FALSE)</f>
        <v>0.08</v>
      </c>
      <c r="O1051">
        <f t="shared" si="98"/>
        <v>29172</v>
      </c>
      <c r="P1051" s="7">
        <f t="shared" si="99"/>
        <v>0.87182595114225059</v>
      </c>
      <c r="Q1051" s="7">
        <f t="shared" si="100"/>
        <v>10101.888888888889</v>
      </c>
      <c r="R1051">
        <f t="shared" si="101"/>
        <v>0.20132318661730425</v>
      </c>
    </row>
    <row r="1052" spans="1:18" x14ac:dyDescent="0.25">
      <c r="A1052" t="s">
        <v>633</v>
      </c>
      <c r="B1052" t="s">
        <v>634</v>
      </c>
      <c r="C1052" t="s">
        <v>8</v>
      </c>
      <c r="D1052">
        <v>61533</v>
      </c>
      <c r="E1052" s="1">
        <v>43738</v>
      </c>
      <c r="F1052" s="2">
        <f t="shared" si="96"/>
        <v>2019</v>
      </c>
      <c r="G1052">
        <v>10</v>
      </c>
      <c r="H1052" s="3">
        <v>41669</v>
      </c>
      <c r="I1052">
        <v>9830</v>
      </c>
      <c r="J1052">
        <v>41669</v>
      </c>
      <c r="K1052">
        <v>37992</v>
      </c>
      <c r="L1052">
        <v>37881</v>
      </c>
      <c r="M1052" t="str">
        <f t="shared" si="97"/>
        <v>Small</v>
      </c>
      <c r="N1052">
        <f>VLOOKUP(C1052,Lookup!$A$2:$D$5,MATCH(M1052,Lookup!$A$1:$D$1,0),FALSE)</f>
        <v>0.09</v>
      </c>
      <c r="O1052">
        <f t="shared" si="98"/>
        <v>3409.29</v>
      </c>
      <c r="P1052" s="7">
        <f t="shared" si="99"/>
        <v>0.91175694161126974</v>
      </c>
      <c r="Q1052" s="7">
        <f t="shared" si="100"/>
        <v>4166.8999999999996</v>
      </c>
      <c r="R1052">
        <f t="shared" si="101"/>
        <v>2.883298282046995</v>
      </c>
    </row>
    <row r="1053" spans="1:18" x14ac:dyDescent="0.25">
      <c r="A1053" t="s">
        <v>633</v>
      </c>
      <c r="B1053" t="s">
        <v>634</v>
      </c>
      <c r="C1053" t="s">
        <v>8</v>
      </c>
      <c r="D1053">
        <v>61533</v>
      </c>
      <c r="E1053" s="1">
        <v>44104</v>
      </c>
      <c r="F1053" s="2">
        <f t="shared" si="96"/>
        <v>2020</v>
      </c>
      <c r="G1053">
        <v>10</v>
      </c>
      <c r="H1053" s="3">
        <v>53920</v>
      </c>
      <c r="I1053">
        <v>14378</v>
      </c>
      <c r="J1053">
        <v>53919</v>
      </c>
      <c r="K1053">
        <v>49628</v>
      </c>
      <c r="L1053">
        <v>45502</v>
      </c>
      <c r="M1053" t="str">
        <f t="shared" si="97"/>
        <v>Small</v>
      </c>
      <c r="N1053">
        <f>VLOOKUP(C1053,Lookup!$A$2:$D$5,MATCH(M1053,Lookup!$A$1:$D$1,0),FALSE)</f>
        <v>0.09</v>
      </c>
      <c r="O1053">
        <f t="shared" si="98"/>
        <v>4095.18</v>
      </c>
      <c r="P1053" s="7">
        <f t="shared" si="99"/>
        <v>0.92040059347181014</v>
      </c>
      <c r="Q1053" s="7">
        <f t="shared" si="100"/>
        <v>5392</v>
      </c>
      <c r="R1053">
        <f t="shared" si="101"/>
        <v>3.5109567833404149</v>
      </c>
    </row>
    <row r="1054" spans="1:18" x14ac:dyDescent="0.25">
      <c r="A1054" t="s">
        <v>633</v>
      </c>
      <c r="B1054" t="s">
        <v>634</v>
      </c>
      <c r="C1054" t="s">
        <v>8</v>
      </c>
      <c r="D1054">
        <v>61533</v>
      </c>
      <c r="E1054" s="1">
        <v>44469</v>
      </c>
      <c r="F1054" s="2">
        <f t="shared" si="96"/>
        <v>2021</v>
      </c>
      <c r="G1054">
        <v>10</v>
      </c>
      <c r="H1054" s="3">
        <v>60720</v>
      </c>
      <c r="I1054">
        <v>13486</v>
      </c>
      <c r="J1054">
        <v>60720</v>
      </c>
      <c r="K1054">
        <v>56371</v>
      </c>
      <c r="L1054">
        <v>56215</v>
      </c>
      <c r="M1054" t="str">
        <f t="shared" si="97"/>
        <v>Small</v>
      </c>
      <c r="N1054">
        <f>VLOOKUP(C1054,Lookup!$A$2:$D$5,MATCH(M1054,Lookup!$A$1:$D$1,0),FALSE)</f>
        <v>0.09</v>
      </c>
      <c r="O1054">
        <f t="shared" si="98"/>
        <v>5059.3499999999995</v>
      </c>
      <c r="P1054" s="7">
        <f t="shared" si="99"/>
        <v>0.92837615283267461</v>
      </c>
      <c r="Q1054" s="7">
        <f t="shared" si="100"/>
        <v>6072</v>
      </c>
      <c r="R1054">
        <f t="shared" si="101"/>
        <v>2.6655598051133054</v>
      </c>
    </row>
    <row r="1055" spans="1:18" x14ac:dyDescent="0.25">
      <c r="A1055" t="s">
        <v>635</v>
      </c>
      <c r="B1055" t="s">
        <v>636</v>
      </c>
      <c r="C1055" t="s">
        <v>17</v>
      </c>
      <c r="D1055">
        <v>12801</v>
      </c>
      <c r="E1055" s="1">
        <v>43738</v>
      </c>
      <c r="F1055" s="2">
        <f t="shared" si="96"/>
        <v>2019</v>
      </c>
      <c r="G1055">
        <v>466</v>
      </c>
      <c r="H1055" s="3">
        <v>2526366</v>
      </c>
      <c r="I1055">
        <v>73918</v>
      </c>
      <c r="J1055">
        <v>2526366</v>
      </c>
      <c r="K1055">
        <v>2283307</v>
      </c>
      <c r="L1055">
        <v>2103312</v>
      </c>
      <c r="M1055" t="str">
        <f t="shared" si="97"/>
        <v>Large</v>
      </c>
      <c r="N1055">
        <f>VLOOKUP(C1055,Lookup!$A$2:$D$5,MATCH(M1055,Lookup!$A$1:$D$1,0),FALSE)</f>
        <v>0.08</v>
      </c>
      <c r="O1055">
        <f t="shared" si="98"/>
        <v>168264.95999999999</v>
      </c>
      <c r="P1055" s="7">
        <f t="shared" si="99"/>
        <v>0.90379105798605586</v>
      </c>
      <c r="Q1055" s="7">
        <f t="shared" si="100"/>
        <v>5421.3862660944205</v>
      </c>
      <c r="R1055">
        <f t="shared" si="101"/>
        <v>0.43929526385053669</v>
      </c>
    </row>
    <row r="1056" spans="1:18" x14ac:dyDescent="0.25">
      <c r="A1056" t="s">
        <v>635</v>
      </c>
      <c r="B1056" t="s">
        <v>636</v>
      </c>
      <c r="C1056" t="s">
        <v>17</v>
      </c>
      <c r="D1056">
        <v>12801</v>
      </c>
      <c r="E1056" s="1">
        <v>44104</v>
      </c>
      <c r="F1056" s="2">
        <f t="shared" si="96"/>
        <v>2020</v>
      </c>
      <c r="G1056">
        <v>464</v>
      </c>
      <c r="H1056" s="3">
        <v>2979182</v>
      </c>
      <c r="I1056">
        <v>384981</v>
      </c>
      <c r="J1056">
        <v>2979182</v>
      </c>
      <c r="K1056">
        <v>2713050</v>
      </c>
      <c r="L1056">
        <v>2566084</v>
      </c>
      <c r="M1056" t="str">
        <f t="shared" si="97"/>
        <v>Large</v>
      </c>
      <c r="N1056">
        <f>VLOOKUP(C1056,Lookup!$A$2:$D$5,MATCH(M1056,Lookup!$A$1:$D$1,0),FALSE)</f>
        <v>0.08</v>
      </c>
      <c r="O1056">
        <f t="shared" si="98"/>
        <v>205286.72</v>
      </c>
      <c r="P1056" s="7">
        <f t="shared" si="99"/>
        <v>0.91066943879225903</v>
      </c>
      <c r="Q1056" s="7">
        <f t="shared" si="100"/>
        <v>6420.6508620689656</v>
      </c>
      <c r="R1056">
        <f t="shared" si="101"/>
        <v>1.8753331925221466</v>
      </c>
    </row>
    <row r="1057" spans="1:18" x14ac:dyDescent="0.25">
      <c r="A1057" t="s">
        <v>635</v>
      </c>
      <c r="B1057" t="s">
        <v>636</v>
      </c>
      <c r="C1057" t="s">
        <v>17</v>
      </c>
      <c r="D1057">
        <v>12801</v>
      </c>
      <c r="E1057" s="1">
        <v>44469</v>
      </c>
      <c r="F1057" s="2">
        <f t="shared" si="96"/>
        <v>2021</v>
      </c>
      <c r="G1057">
        <v>459</v>
      </c>
      <c r="H1057" s="3">
        <v>3223349</v>
      </c>
      <c r="I1057">
        <v>543175</v>
      </c>
      <c r="J1057">
        <v>3223349</v>
      </c>
      <c r="K1057">
        <v>2937732</v>
      </c>
      <c r="L1057">
        <v>2865117</v>
      </c>
      <c r="M1057" t="str">
        <f t="shared" si="97"/>
        <v>Large</v>
      </c>
      <c r="N1057">
        <f>VLOOKUP(C1057,Lookup!$A$2:$D$5,MATCH(M1057,Lookup!$A$1:$D$1,0),FALSE)</f>
        <v>0.08</v>
      </c>
      <c r="O1057">
        <f t="shared" si="98"/>
        <v>229209.36000000002</v>
      </c>
      <c r="P1057" s="7">
        <f t="shared" si="99"/>
        <v>0.91139122695060326</v>
      </c>
      <c r="Q1057" s="7">
        <f t="shared" si="100"/>
        <v>7022.5468409586056</v>
      </c>
      <c r="R1057">
        <f t="shared" si="101"/>
        <v>2.3697766967282661</v>
      </c>
    </row>
    <row r="1058" spans="1:18" x14ac:dyDescent="0.25">
      <c r="A1058" t="s">
        <v>637</v>
      </c>
      <c r="B1058" t="s">
        <v>638</v>
      </c>
      <c r="C1058" t="s">
        <v>8</v>
      </c>
      <c r="D1058">
        <v>60025</v>
      </c>
      <c r="E1058" s="1">
        <v>43738</v>
      </c>
      <c r="F1058" s="2">
        <f t="shared" si="96"/>
        <v>2019</v>
      </c>
      <c r="G1058">
        <v>151</v>
      </c>
      <c r="H1058" s="3">
        <v>1269258</v>
      </c>
      <c r="I1058">
        <v>42102</v>
      </c>
      <c r="J1058">
        <v>1269258</v>
      </c>
      <c r="K1058">
        <v>1114197</v>
      </c>
      <c r="L1058">
        <v>1072261</v>
      </c>
      <c r="M1058" t="str">
        <f t="shared" si="97"/>
        <v>Large</v>
      </c>
      <c r="N1058">
        <f>VLOOKUP(C1058,Lookup!$A$2:$D$5,MATCH(M1058,Lookup!$A$1:$D$1,0),FALSE)</f>
        <v>7.4999999999999997E-2</v>
      </c>
      <c r="O1058">
        <f t="shared" si="98"/>
        <v>80419.574999999997</v>
      </c>
      <c r="P1058" s="7">
        <f t="shared" si="99"/>
        <v>0.87783334830270909</v>
      </c>
      <c r="Q1058" s="7">
        <f t="shared" si="100"/>
        <v>8405.6821192052976</v>
      </c>
      <c r="R1058">
        <f t="shared" si="101"/>
        <v>0.52352925267262362</v>
      </c>
    </row>
    <row r="1059" spans="1:18" x14ac:dyDescent="0.25">
      <c r="A1059" t="s">
        <v>637</v>
      </c>
      <c r="B1059" t="s">
        <v>638</v>
      </c>
      <c r="C1059" t="s">
        <v>8</v>
      </c>
      <c r="D1059">
        <v>60025</v>
      </c>
      <c r="E1059" s="1">
        <v>44104</v>
      </c>
      <c r="F1059" s="2">
        <f t="shared" si="96"/>
        <v>2020</v>
      </c>
      <c r="G1059">
        <v>145</v>
      </c>
      <c r="H1059" s="3">
        <v>1395429</v>
      </c>
      <c r="I1059">
        <v>70230</v>
      </c>
      <c r="J1059">
        <v>1395429</v>
      </c>
      <c r="K1059">
        <v>1220330</v>
      </c>
      <c r="L1059">
        <v>1198692</v>
      </c>
      <c r="M1059" t="str">
        <f t="shared" si="97"/>
        <v>Large</v>
      </c>
      <c r="N1059">
        <f>VLOOKUP(C1059,Lookup!$A$2:$D$5,MATCH(M1059,Lookup!$A$1:$D$1,0),FALSE)</f>
        <v>7.4999999999999997E-2</v>
      </c>
      <c r="O1059">
        <f t="shared" si="98"/>
        <v>89901.9</v>
      </c>
      <c r="P1059" s="7">
        <f t="shared" si="99"/>
        <v>0.87451959218276243</v>
      </c>
      <c r="Q1059" s="7">
        <f t="shared" si="100"/>
        <v>9623.6482758620696</v>
      </c>
      <c r="R1059">
        <f t="shared" si="101"/>
        <v>0.78118482479235707</v>
      </c>
    </row>
    <row r="1060" spans="1:18" x14ac:dyDescent="0.25">
      <c r="A1060" t="s">
        <v>639</v>
      </c>
      <c r="B1060" t="s">
        <v>16</v>
      </c>
      <c r="C1060" t="s">
        <v>17</v>
      </c>
      <c r="D1060">
        <v>10038</v>
      </c>
      <c r="E1060" s="1">
        <v>43738</v>
      </c>
      <c r="F1060" s="2">
        <f t="shared" si="96"/>
        <v>2019</v>
      </c>
      <c r="G1060">
        <v>33</v>
      </c>
      <c r="H1060" s="3">
        <v>179114</v>
      </c>
      <c r="I1060">
        <v>10954</v>
      </c>
      <c r="J1060">
        <v>179114</v>
      </c>
      <c r="K1060">
        <v>154947</v>
      </c>
      <c r="L1060">
        <v>130772</v>
      </c>
      <c r="M1060" t="str">
        <f t="shared" si="97"/>
        <v>Medium</v>
      </c>
      <c r="N1060">
        <f>VLOOKUP(C1060,Lookup!$A$2:$D$5,MATCH(M1060,Lookup!$A$1:$D$1,0),FALSE)</f>
        <v>8.5000000000000006E-2</v>
      </c>
      <c r="O1060">
        <f t="shared" si="98"/>
        <v>11115.62</v>
      </c>
      <c r="P1060" s="7">
        <f t="shared" si="99"/>
        <v>0.86507475685876034</v>
      </c>
      <c r="Q1060" s="7">
        <f t="shared" si="100"/>
        <v>5427.69696969697</v>
      </c>
      <c r="R1060">
        <f t="shared" si="101"/>
        <v>0.98546010029130171</v>
      </c>
    </row>
    <row r="1061" spans="1:18" x14ac:dyDescent="0.25">
      <c r="A1061" t="s">
        <v>639</v>
      </c>
      <c r="B1061" t="s">
        <v>16</v>
      </c>
      <c r="C1061" t="s">
        <v>17</v>
      </c>
      <c r="D1061">
        <v>10038</v>
      </c>
      <c r="E1061" s="1">
        <v>44104</v>
      </c>
      <c r="F1061" s="2">
        <f t="shared" si="96"/>
        <v>2020</v>
      </c>
      <c r="G1061">
        <v>32</v>
      </c>
      <c r="H1061" s="3">
        <v>199623</v>
      </c>
      <c r="I1061">
        <v>10346</v>
      </c>
      <c r="J1061">
        <v>199623</v>
      </c>
      <c r="K1061">
        <v>174252</v>
      </c>
      <c r="L1061">
        <v>152648</v>
      </c>
      <c r="M1061" t="str">
        <f t="shared" si="97"/>
        <v>Medium</v>
      </c>
      <c r="N1061">
        <f>VLOOKUP(C1061,Lookup!$A$2:$D$5,MATCH(M1061,Lookup!$A$1:$D$1,0),FALSE)</f>
        <v>8.5000000000000006E-2</v>
      </c>
      <c r="O1061">
        <f t="shared" si="98"/>
        <v>12975.080000000002</v>
      </c>
      <c r="P1061" s="7">
        <f t="shared" si="99"/>
        <v>0.87290542672938487</v>
      </c>
      <c r="Q1061" s="7">
        <f t="shared" si="100"/>
        <v>6238.21875</v>
      </c>
      <c r="R1061">
        <f t="shared" si="101"/>
        <v>0.79737465973234833</v>
      </c>
    </row>
    <row r="1062" spans="1:18" x14ac:dyDescent="0.25">
      <c r="A1062" t="s">
        <v>639</v>
      </c>
      <c r="B1062" t="s">
        <v>16</v>
      </c>
      <c r="C1062" t="s">
        <v>17</v>
      </c>
      <c r="D1062">
        <v>10038</v>
      </c>
      <c r="E1062" s="1">
        <v>44469</v>
      </c>
      <c r="F1062" s="2">
        <f t="shared" si="96"/>
        <v>2021</v>
      </c>
      <c r="G1062">
        <v>36</v>
      </c>
      <c r="H1062" s="3">
        <v>230883</v>
      </c>
      <c r="I1062">
        <v>13612</v>
      </c>
      <c r="J1062">
        <v>230883</v>
      </c>
      <c r="K1062">
        <v>202508</v>
      </c>
      <c r="L1062">
        <v>192623</v>
      </c>
      <c r="M1062" t="str">
        <f t="shared" si="97"/>
        <v>Medium</v>
      </c>
      <c r="N1062">
        <f>VLOOKUP(C1062,Lookup!$A$2:$D$5,MATCH(M1062,Lookup!$A$1:$D$1,0),FALSE)</f>
        <v>8.5000000000000006E-2</v>
      </c>
      <c r="O1062">
        <f t="shared" si="98"/>
        <v>16372.955000000002</v>
      </c>
      <c r="P1062" s="7">
        <f t="shared" si="99"/>
        <v>0.87710225525482599</v>
      </c>
      <c r="Q1062" s="7">
        <f t="shared" si="100"/>
        <v>6413.416666666667</v>
      </c>
      <c r="R1062">
        <f t="shared" si="101"/>
        <v>0.83137100175258516</v>
      </c>
    </row>
    <row r="1063" spans="1:18" x14ac:dyDescent="0.25">
      <c r="A1063" t="s">
        <v>640</v>
      </c>
      <c r="B1063" t="s">
        <v>28</v>
      </c>
      <c r="C1063" t="s">
        <v>8</v>
      </c>
      <c r="D1063">
        <v>60653</v>
      </c>
      <c r="E1063" s="1">
        <v>43738</v>
      </c>
      <c r="F1063" s="2">
        <f t="shared" si="96"/>
        <v>2019</v>
      </c>
      <c r="G1063">
        <v>29</v>
      </c>
      <c r="H1063" s="3">
        <v>135832</v>
      </c>
      <c r="I1063">
        <v>39721</v>
      </c>
      <c r="J1063">
        <v>135833</v>
      </c>
      <c r="K1063">
        <v>123901</v>
      </c>
      <c r="L1063">
        <v>123684</v>
      </c>
      <c r="M1063" t="str">
        <f t="shared" si="97"/>
        <v>Medium</v>
      </c>
      <c r="N1063">
        <f>VLOOKUP(C1063,Lookup!$A$2:$D$5,MATCH(M1063,Lookup!$A$1:$D$1,0),FALSE)</f>
        <v>0.08</v>
      </c>
      <c r="O1063">
        <f t="shared" si="98"/>
        <v>9894.7199999999993</v>
      </c>
      <c r="P1063" s="7">
        <f t="shared" si="99"/>
        <v>0.91216355497968082</v>
      </c>
      <c r="Q1063" s="7">
        <f t="shared" si="100"/>
        <v>4683.8620689655172</v>
      </c>
      <c r="R1063">
        <f t="shared" si="101"/>
        <v>4.0143632159373892</v>
      </c>
    </row>
    <row r="1064" spans="1:18" x14ac:dyDescent="0.25">
      <c r="A1064" t="s">
        <v>640</v>
      </c>
      <c r="B1064" t="s">
        <v>28</v>
      </c>
      <c r="C1064" t="s">
        <v>8</v>
      </c>
      <c r="D1064">
        <v>60653</v>
      </c>
      <c r="E1064" s="1">
        <v>44104</v>
      </c>
      <c r="F1064" s="2">
        <f t="shared" si="96"/>
        <v>2020</v>
      </c>
      <c r="G1064">
        <v>14</v>
      </c>
      <c r="H1064" s="3">
        <v>104916</v>
      </c>
      <c r="I1064">
        <v>24567</v>
      </c>
      <c r="J1064">
        <v>104917</v>
      </c>
      <c r="K1064">
        <v>94296</v>
      </c>
      <c r="L1064">
        <v>87933</v>
      </c>
      <c r="M1064" t="str">
        <f t="shared" si="97"/>
        <v>Medium</v>
      </c>
      <c r="N1064">
        <f>VLOOKUP(C1064,Lookup!$A$2:$D$5,MATCH(M1064,Lookup!$A$1:$D$1,0),FALSE)</f>
        <v>0.08</v>
      </c>
      <c r="O1064">
        <f t="shared" si="98"/>
        <v>7034.64</v>
      </c>
      <c r="P1064" s="7">
        <f t="shared" si="99"/>
        <v>0.89877616378817338</v>
      </c>
      <c r="Q1064" s="7">
        <f t="shared" si="100"/>
        <v>7494</v>
      </c>
      <c r="R1064">
        <f t="shared" si="101"/>
        <v>3.4922895841151784</v>
      </c>
    </row>
    <row r="1065" spans="1:18" x14ac:dyDescent="0.25">
      <c r="A1065" t="s">
        <v>640</v>
      </c>
      <c r="B1065" t="s">
        <v>28</v>
      </c>
      <c r="C1065" t="s">
        <v>8</v>
      </c>
      <c r="D1065">
        <v>60653</v>
      </c>
      <c r="E1065" s="1">
        <v>44469</v>
      </c>
      <c r="F1065" s="2">
        <f t="shared" si="96"/>
        <v>2021</v>
      </c>
      <c r="G1065">
        <v>9</v>
      </c>
      <c r="H1065" s="3">
        <v>88240</v>
      </c>
      <c r="I1065">
        <v>13765</v>
      </c>
      <c r="J1065">
        <v>88240</v>
      </c>
      <c r="K1065">
        <v>78251</v>
      </c>
      <c r="L1065">
        <v>77862</v>
      </c>
      <c r="M1065" t="str">
        <f t="shared" si="97"/>
        <v>Small</v>
      </c>
      <c r="N1065">
        <f>VLOOKUP(C1065,Lookup!$A$2:$D$5,MATCH(M1065,Lookup!$A$1:$D$1,0),FALSE)</f>
        <v>0.09</v>
      </c>
      <c r="O1065">
        <f t="shared" si="98"/>
        <v>7007.58</v>
      </c>
      <c r="P1065" s="7">
        <f t="shared" si="99"/>
        <v>0.88679737080689025</v>
      </c>
      <c r="Q1065" s="7">
        <f t="shared" si="100"/>
        <v>9804.4444444444453</v>
      </c>
      <c r="R1065">
        <f t="shared" si="101"/>
        <v>1.9643015135039485</v>
      </c>
    </row>
    <row r="1066" spans="1:18" x14ac:dyDescent="0.25">
      <c r="A1066" t="s">
        <v>641</v>
      </c>
      <c r="B1066" t="s">
        <v>28</v>
      </c>
      <c r="C1066" t="s">
        <v>8</v>
      </c>
      <c r="D1066">
        <v>60610</v>
      </c>
      <c r="E1066" s="1">
        <v>43738</v>
      </c>
      <c r="F1066" s="2">
        <f t="shared" si="96"/>
        <v>2019</v>
      </c>
      <c r="G1066">
        <v>35</v>
      </c>
      <c r="H1066" s="3">
        <v>378983</v>
      </c>
      <c r="I1066">
        <v>101230</v>
      </c>
      <c r="J1066">
        <v>378983</v>
      </c>
      <c r="K1066">
        <v>329375</v>
      </c>
      <c r="L1066">
        <v>319446</v>
      </c>
      <c r="M1066" t="str">
        <f t="shared" si="97"/>
        <v>Medium</v>
      </c>
      <c r="N1066">
        <f>VLOOKUP(C1066,Lookup!$A$2:$D$5,MATCH(M1066,Lookup!$A$1:$D$1,0),FALSE)</f>
        <v>0.08</v>
      </c>
      <c r="O1066">
        <f t="shared" si="98"/>
        <v>25555.68</v>
      </c>
      <c r="P1066" s="7">
        <f t="shared" si="99"/>
        <v>0.86910230801909316</v>
      </c>
      <c r="Q1066" s="7">
        <f t="shared" si="100"/>
        <v>10828.085714285715</v>
      </c>
      <c r="R1066">
        <f t="shared" si="101"/>
        <v>3.9611546239427007</v>
      </c>
    </row>
    <row r="1067" spans="1:18" x14ac:dyDescent="0.25">
      <c r="A1067" t="s">
        <v>641</v>
      </c>
      <c r="B1067" t="s">
        <v>423</v>
      </c>
      <c r="C1067" t="s">
        <v>17</v>
      </c>
      <c r="D1067">
        <v>11749</v>
      </c>
      <c r="E1067" s="1">
        <v>43738</v>
      </c>
      <c r="F1067" s="2">
        <f t="shared" si="96"/>
        <v>2019</v>
      </c>
      <c r="G1067">
        <v>51</v>
      </c>
      <c r="H1067" s="3">
        <v>561722</v>
      </c>
      <c r="I1067">
        <v>26405</v>
      </c>
      <c r="J1067">
        <v>561722</v>
      </c>
      <c r="K1067">
        <v>501627</v>
      </c>
      <c r="L1067">
        <v>467277</v>
      </c>
      <c r="M1067" t="str">
        <f t="shared" si="97"/>
        <v>Medium</v>
      </c>
      <c r="N1067">
        <f>VLOOKUP(C1067,Lookup!$A$2:$D$5,MATCH(M1067,Lookup!$A$1:$D$1,0),FALSE)</f>
        <v>8.5000000000000006E-2</v>
      </c>
      <c r="O1067">
        <f t="shared" si="98"/>
        <v>39718.545000000006</v>
      </c>
      <c r="P1067" s="7">
        <f t="shared" si="99"/>
        <v>0.89301647434140019</v>
      </c>
      <c r="Q1067" s="7">
        <f t="shared" si="100"/>
        <v>11014.156862745098</v>
      </c>
      <c r="R1067">
        <f t="shared" si="101"/>
        <v>0.66480280181461826</v>
      </c>
    </row>
    <row r="1068" spans="1:18" x14ac:dyDescent="0.25">
      <c r="A1068" t="s">
        <v>641</v>
      </c>
      <c r="B1068" t="s">
        <v>28</v>
      </c>
      <c r="C1068" t="s">
        <v>8</v>
      </c>
      <c r="D1068">
        <v>60610</v>
      </c>
      <c r="E1068" s="1">
        <v>44104</v>
      </c>
      <c r="F1068" s="2">
        <f t="shared" si="96"/>
        <v>2020</v>
      </c>
      <c r="G1068">
        <v>43</v>
      </c>
      <c r="H1068" s="3">
        <v>397487</v>
      </c>
      <c r="I1068">
        <v>106388</v>
      </c>
      <c r="J1068">
        <v>397487</v>
      </c>
      <c r="K1068">
        <v>349940</v>
      </c>
      <c r="L1068">
        <v>334776</v>
      </c>
      <c r="M1068" t="str">
        <f t="shared" si="97"/>
        <v>Medium</v>
      </c>
      <c r="N1068">
        <f>VLOOKUP(C1068,Lookup!$A$2:$D$5,MATCH(M1068,Lookup!$A$1:$D$1,0),FALSE)</f>
        <v>0.08</v>
      </c>
      <c r="O1068">
        <f t="shared" si="98"/>
        <v>26782.080000000002</v>
      </c>
      <c r="P1068" s="7">
        <f t="shared" si="99"/>
        <v>0.88038099359224331</v>
      </c>
      <c r="Q1068" s="7">
        <f t="shared" si="100"/>
        <v>9243.8837209302328</v>
      </c>
      <c r="R1068">
        <f t="shared" si="101"/>
        <v>3.9723576361507393</v>
      </c>
    </row>
    <row r="1069" spans="1:18" x14ac:dyDescent="0.25">
      <c r="A1069" t="s">
        <v>641</v>
      </c>
      <c r="B1069" t="s">
        <v>28</v>
      </c>
      <c r="C1069" t="s">
        <v>8</v>
      </c>
      <c r="D1069">
        <v>60610</v>
      </c>
      <c r="E1069" s="1">
        <v>44469</v>
      </c>
      <c r="F1069" s="2">
        <f t="shared" si="96"/>
        <v>2021</v>
      </c>
      <c r="G1069">
        <v>39</v>
      </c>
      <c r="H1069" s="3">
        <v>461687</v>
      </c>
      <c r="I1069">
        <v>90194</v>
      </c>
      <c r="J1069">
        <v>461687</v>
      </c>
      <c r="K1069">
        <v>409949</v>
      </c>
      <c r="L1069">
        <v>392058</v>
      </c>
      <c r="M1069" t="str">
        <f t="shared" si="97"/>
        <v>Medium</v>
      </c>
      <c r="N1069">
        <f>VLOOKUP(C1069,Lookup!$A$2:$D$5,MATCH(M1069,Lookup!$A$1:$D$1,0),FALSE)</f>
        <v>0.08</v>
      </c>
      <c r="O1069">
        <f t="shared" si="98"/>
        <v>31364.639999999999</v>
      </c>
      <c r="P1069" s="7">
        <f t="shared" si="99"/>
        <v>0.88793706558772501</v>
      </c>
      <c r="Q1069" s="7">
        <f t="shared" si="100"/>
        <v>11838.128205128205</v>
      </c>
      <c r="R1069">
        <f t="shared" si="101"/>
        <v>2.8756587035591674</v>
      </c>
    </row>
    <row r="1070" spans="1:18" x14ac:dyDescent="0.25">
      <c r="A1070" t="s">
        <v>642</v>
      </c>
      <c r="B1070" t="s">
        <v>61</v>
      </c>
      <c r="C1070" t="s">
        <v>5</v>
      </c>
      <c r="D1070">
        <v>95814</v>
      </c>
      <c r="E1070" s="1">
        <v>43738</v>
      </c>
      <c r="F1070" s="2">
        <f t="shared" si="96"/>
        <v>2019</v>
      </c>
      <c r="G1070">
        <v>33</v>
      </c>
      <c r="H1070" s="3">
        <v>131926</v>
      </c>
      <c r="I1070">
        <v>18736</v>
      </c>
      <c r="J1070">
        <v>131926</v>
      </c>
      <c r="K1070">
        <v>115786</v>
      </c>
      <c r="L1070">
        <v>115295</v>
      </c>
      <c r="M1070" t="str">
        <f t="shared" si="97"/>
        <v>Medium</v>
      </c>
      <c r="N1070">
        <f>VLOOKUP(C1070,Lookup!$A$2:$D$5,MATCH(M1070,Lookup!$A$1:$D$1,0),FALSE)</f>
        <v>0.09</v>
      </c>
      <c r="O1070">
        <f t="shared" si="98"/>
        <v>10376.549999999999</v>
      </c>
      <c r="P1070" s="7">
        <f t="shared" si="99"/>
        <v>0.8776586874459924</v>
      </c>
      <c r="Q1070" s="7">
        <f t="shared" si="100"/>
        <v>3997.757575757576</v>
      </c>
      <c r="R1070">
        <f t="shared" si="101"/>
        <v>1.805609764324366</v>
      </c>
    </row>
    <row r="1071" spans="1:18" x14ac:dyDescent="0.25">
      <c r="A1071" t="s">
        <v>642</v>
      </c>
      <c r="B1071" t="s">
        <v>61</v>
      </c>
      <c r="C1071" t="s">
        <v>5</v>
      </c>
      <c r="D1071">
        <v>95814</v>
      </c>
      <c r="E1071" s="1">
        <v>44104</v>
      </c>
      <c r="F1071" s="2">
        <f t="shared" si="96"/>
        <v>2020</v>
      </c>
      <c r="G1071">
        <v>31</v>
      </c>
      <c r="H1071" s="3">
        <v>168926</v>
      </c>
      <c r="I1071">
        <v>32100</v>
      </c>
      <c r="J1071">
        <v>168926</v>
      </c>
      <c r="K1071">
        <v>152729</v>
      </c>
      <c r="L1071">
        <v>152396</v>
      </c>
      <c r="M1071" t="str">
        <f t="shared" si="97"/>
        <v>Medium</v>
      </c>
      <c r="N1071">
        <f>VLOOKUP(C1071,Lookup!$A$2:$D$5,MATCH(M1071,Lookup!$A$1:$D$1,0),FALSE)</f>
        <v>0.09</v>
      </c>
      <c r="O1071">
        <f t="shared" si="98"/>
        <v>13715.64</v>
      </c>
      <c r="P1071" s="7">
        <f t="shared" si="99"/>
        <v>0.90411777938268822</v>
      </c>
      <c r="Q1071" s="7">
        <f t="shared" si="100"/>
        <v>5449.2258064516127</v>
      </c>
      <c r="R1071">
        <f t="shared" si="101"/>
        <v>2.3403938861037474</v>
      </c>
    </row>
    <row r="1072" spans="1:18" x14ac:dyDescent="0.25">
      <c r="A1072" t="s">
        <v>642</v>
      </c>
      <c r="B1072" t="s">
        <v>61</v>
      </c>
      <c r="C1072" t="s">
        <v>5</v>
      </c>
      <c r="D1072">
        <v>95814</v>
      </c>
      <c r="E1072" s="1">
        <v>44469</v>
      </c>
      <c r="F1072" s="2">
        <f t="shared" si="96"/>
        <v>2021</v>
      </c>
      <c r="G1072">
        <v>30</v>
      </c>
      <c r="H1072" s="3">
        <v>169887</v>
      </c>
      <c r="I1072">
        <v>57903</v>
      </c>
      <c r="J1072">
        <v>169887</v>
      </c>
      <c r="K1072">
        <v>151717</v>
      </c>
      <c r="L1072">
        <v>150955</v>
      </c>
      <c r="M1072" t="str">
        <f t="shared" si="97"/>
        <v>Medium</v>
      </c>
      <c r="N1072">
        <f>VLOOKUP(C1072,Lookup!$A$2:$D$5,MATCH(M1072,Lookup!$A$1:$D$1,0),FALSE)</f>
        <v>0.09</v>
      </c>
      <c r="O1072">
        <f t="shared" si="98"/>
        <v>13585.949999999999</v>
      </c>
      <c r="P1072" s="7">
        <f t="shared" si="99"/>
        <v>0.89304655447444481</v>
      </c>
      <c r="Q1072" s="7">
        <f t="shared" si="100"/>
        <v>5662.9</v>
      </c>
      <c r="R1072">
        <f t="shared" si="101"/>
        <v>4.2619765272211367</v>
      </c>
    </row>
    <row r="1073" spans="1:18" x14ac:dyDescent="0.25">
      <c r="A1073" t="s">
        <v>643</v>
      </c>
      <c r="B1073" t="s">
        <v>644</v>
      </c>
      <c r="C1073" t="s">
        <v>5</v>
      </c>
      <c r="D1073">
        <v>91203</v>
      </c>
      <c r="E1073" s="1">
        <v>43738</v>
      </c>
      <c r="F1073" s="2">
        <f t="shared" si="96"/>
        <v>2019</v>
      </c>
      <c r="G1073">
        <v>42</v>
      </c>
      <c r="H1073" s="3">
        <v>352523</v>
      </c>
      <c r="I1073">
        <v>42973</v>
      </c>
      <c r="J1073">
        <v>352523</v>
      </c>
      <c r="K1073">
        <v>316654</v>
      </c>
      <c r="L1073">
        <v>294168</v>
      </c>
      <c r="M1073" t="str">
        <f t="shared" si="97"/>
        <v>Medium</v>
      </c>
      <c r="N1073">
        <f>VLOOKUP(C1073,Lookup!$A$2:$D$5,MATCH(M1073,Lookup!$A$1:$D$1,0),FALSE)</f>
        <v>0.09</v>
      </c>
      <c r="O1073">
        <f t="shared" si="98"/>
        <v>26475.119999999999</v>
      </c>
      <c r="P1073" s="7">
        <f t="shared" si="99"/>
        <v>0.89825061059845746</v>
      </c>
      <c r="Q1073" s="7">
        <f t="shared" si="100"/>
        <v>8393.4047619047615</v>
      </c>
      <c r="R1073">
        <f t="shared" si="101"/>
        <v>1.6231465617530725</v>
      </c>
    </row>
    <row r="1074" spans="1:18" x14ac:dyDescent="0.25">
      <c r="A1074" t="s">
        <v>643</v>
      </c>
      <c r="B1074" t="s">
        <v>644</v>
      </c>
      <c r="C1074" t="s">
        <v>5</v>
      </c>
      <c r="D1074">
        <v>91203</v>
      </c>
      <c r="E1074" s="1">
        <v>44104</v>
      </c>
      <c r="F1074" s="2">
        <f t="shared" si="96"/>
        <v>2020</v>
      </c>
      <c r="G1074">
        <v>52</v>
      </c>
      <c r="H1074" s="3">
        <v>444566</v>
      </c>
      <c r="I1074">
        <v>144387</v>
      </c>
      <c r="J1074">
        <v>444566</v>
      </c>
      <c r="K1074">
        <v>408971</v>
      </c>
      <c r="L1074">
        <v>375757</v>
      </c>
      <c r="M1074" t="str">
        <f t="shared" si="97"/>
        <v>Medium</v>
      </c>
      <c r="N1074">
        <f>VLOOKUP(C1074,Lookup!$A$2:$D$5,MATCH(M1074,Lookup!$A$1:$D$1,0),FALSE)</f>
        <v>0.09</v>
      </c>
      <c r="O1074">
        <f t="shared" si="98"/>
        <v>33818.129999999997</v>
      </c>
      <c r="P1074" s="7">
        <f t="shared" si="99"/>
        <v>0.91993314828394435</v>
      </c>
      <c r="Q1074" s="7">
        <f t="shared" si="100"/>
        <v>8549.3461538461543</v>
      </c>
      <c r="R1074">
        <f t="shared" si="101"/>
        <v>4.269514606514317</v>
      </c>
    </row>
    <row r="1075" spans="1:18" x14ac:dyDescent="0.25">
      <c r="A1075" t="s">
        <v>643</v>
      </c>
      <c r="B1075" t="s">
        <v>644</v>
      </c>
      <c r="C1075" t="s">
        <v>5</v>
      </c>
      <c r="D1075">
        <v>91203</v>
      </c>
      <c r="E1075" s="1">
        <v>44469</v>
      </c>
      <c r="F1075" s="2">
        <f t="shared" si="96"/>
        <v>2021</v>
      </c>
      <c r="G1075">
        <v>50</v>
      </c>
      <c r="H1075" s="3">
        <v>539473</v>
      </c>
      <c r="I1075">
        <v>133279</v>
      </c>
      <c r="J1075">
        <v>539473</v>
      </c>
      <c r="K1075">
        <v>497198</v>
      </c>
      <c r="L1075">
        <v>466195</v>
      </c>
      <c r="M1075" t="str">
        <f t="shared" si="97"/>
        <v>Medium</v>
      </c>
      <c r="N1075">
        <f>VLOOKUP(C1075,Lookup!$A$2:$D$5,MATCH(M1075,Lookup!$A$1:$D$1,0),FALSE)</f>
        <v>0.09</v>
      </c>
      <c r="O1075">
        <f t="shared" si="98"/>
        <v>41957.549999999996</v>
      </c>
      <c r="P1075" s="7">
        <f t="shared" si="99"/>
        <v>0.9216364859779822</v>
      </c>
      <c r="Q1075" s="7">
        <f t="shared" si="100"/>
        <v>10789.46</v>
      </c>
      <c r="R1075">
        <f t="shared" si="101"/>
        <v>3.1765200780312486</v>
      </c>
    </row>
    <row r="1076" spans="1:18" x14ac:dyDescent="0.25">
      <c r="A1076" t="s">
        <v>645</v>
      </c>
      <c r="B1076" t="s">
        <v>646</v>
      </c>
      <c r="C1076" t="s">
        <v>5</v>
      </c>
      <c r="D1076">
        <v>95926</v>
      </c>
      <c r="E1076" s="1">
        <v>43738</v>
      </c>
      <c r="F1076" s="2">
        <f t="shared" si="96"/>
        <v>2019</v>
      </c>
      <c r="G1076">
        <v>50</v>
      </c>
      <c r="H1076" s="3">
        <v>343837</v>
      </c>
      <c r="I1076">
        <v>59840</v>
      </c>
      <c r="J1076">
        <v>343837</v>
      </c>
      <c r="K1076">
        <v>315097</v>
      </c>
      <c r="L1076">
        <v>304419</v>
      </c>
      <c r="M1076" t="str">
        <f t="shared" si="97"/>
        <v>Medium</v>
      </c>
      <c r="N1076">
        <f>VLOOKUP(C1076,Lookup!$A$2:$D$5,MATCH(M1076,Lookup!$A$1:$D$1,0),FALSE)</f>
        <v>0.09</v>
      </c>
      <c r="O1076">
        <f t="shared" si="98"/>
        <v>27397.71</v>
      </c>
      <c r="P1076" s="7">
        <f t="shared" si="99"/>
        <v>0.91641388215927899</v>
      </c>
      <c r="Q1076" s="7">
        <f t="shared" si="100"/>
        <v>6876.74</v>
      </c>
      <c r="R1076">
        <f t="shared" si="101"/>
        <v>2.1841241476021174</v>
      </c>
    </row>
    <row r="1077" spans="1:18" x14ac:dyDescent="0.25">
      <c r="A1077" t="s">
        <v>645</v>
      </c>
      <c r="B1077" t="s">
        <v>646</v>
      </c>
      <c r="C1077" t="s">
        <v>5</v>
      </c>
      <c r="D1077">
        <v>95926</v>
      </c>
      <c r="E1077" s="1">
        <v>44104</v>
      </c>
      <c r="F1077" s="2">
        <f t="shared" si="96"/>
        <v>2020</v>
      </c>
      <c r="G1077">
        <v>50</v>
      </c>
      <c r="H1077" s="3">
        <v>413983</v>
      </c>
      <c r="I1077">
        <v>28065</v>
      </c>
      <c r="J1077">
        <v>413983</v>
      </c>
      <c r="K1077">
        <v>379800</v>
      </c>
      <c r="L1077">
        <v>364995</v>
      </c>
      <c r="M1077" t="str">
        <f t="shared" si="97"/>
        <v>Medium</v>
      </c>
      <c r="N1077">
        <f>VLOOKUP(C1077,Lookup!$A$2:$D$5,MATCH(M1077,Lookup!$A$1:$D$1,0),FALSE)</f>
        <v>0.09</v>
      </c>
      <c r="O1077">
        <f t="shared" si="98"/>
        <v>32849.549999999996</v>
      </c>
      <c r="P1077" s="7">
        <f t="shared" si="99"/>
        <v>0.91742897655217726</v>
      </c>
      <c r="Q1077" s="7">
        <f t="shared" si="100"/>
        <v>8279.66</v>
      </c>
      <c r="R1077">
        <f t="shared" si="101"/>
        <v>0.85434960296259777</v>
      </c>
    </row>
    <row r="1078" spans="1:18" x14ac:dyDescent="0.25">
      <c r="A1078" t="s">
        <v>645</v>
      </c>
      <c r="B1078" t="s">
        <v>646</v>
      </c>
      <c r="C1078" t="s">
        <v>5</v>
      </c>
      <c r="D1078">
        <v>95926</v>
      </c>
      <c r="E1078" s="1">
        <v>44469</v>
      </c>
      <c r="F1078" s="2">
        <f t="shared" si="96"/>
        <v>2021</v>
      </c>
      <c r="G1078">
        <v>53</v>
      </c>
      <c r="H1078" s="3">
        <v>465313</v>
      </c>
      <c r="I1078">
        <v>75071</v>
      </c>
      <c r="J1078">
        <v>465313</v>
      </c>
      <c r="K1078">
        <v>427235</v>
      </c>
      <c r="L1078">
        <v>425159</v>
      </c>
      <c r="M1078" t="str">
        <f t="shared" si="97"/>
        <v>Medium</v>
      </c>
      <c r="N1078">
        <f>VLOOKUP(C1078,Lookup!$A$2:$D$5,MATCH(M1078,Lookup!$A$1:$D$1,0),FALSE)</f>
        <v>0.09</v>
      </c>
      <c r="O1078">
        <f t="shared" si="98"/>
        <v>38264.31</v>
      </c>
      <c r="P1078" s="7">
        <f t="shared" si="99"/>
        <v>0.91816691130486361</v>
      </c>
      <c r="Q1078" s="7">
        <f t="shared" si="100"/>
        <v>8779.4905660377353</v>
      </c>
      <c r="R1078">
        <f t="shared" si="101"/>
        <v>1.9619065390176904</v>
      </c>
    </row>
    <row r="1079" spans="1:18" x14ac:dyDescent="0.25">
      <c r="A1079" t="s">
        <v>647</v>
      </c>
      <c r="B1079" t="s">
        <v>16</v>
      </c>
      <c r="C1079" t="s">
        <v>17</v>
      </c>
      <c r="D1079">
        <v>10282</v>
      </c>
      <c r="E1079" s="1">
        <v>43738</v>
      </c>
      <c r="F1079" s="2">
        <f t="shared" si="96"/>
        <v>2019</v>
      </c>
      <c r="G1079">
        <v>2127</v>
      </c>
      <c r="H1079" s="3">
        <v>211831000</v>
      </c>
      <c r="I1079">
        <v>28587000</v>
      </c>
      <c r="J1079">
        <v>211831000</v>
      </c>
      <c r="K1079">
        <v>182913000</v>
      </c>
      <c r="L1079">
        <v>149776000</v>
      </c>
      <c r="M1079" t="str">
        <f t="shared" si="97"/>
        <v>Large</v>
      </c>
      <c r="N1079">
        <f>VLOOKUP(C1079,Lookup!$A$2:$D$5,MATCH(M1079,Lookup!$A$1:$D$1,0),FALSE)</f>
        <v>0.08</v>
      </c>
      <c r="O1079">
        <f t="shared" si="98"/>
        <v>11982080</v>
      </c>
      <c r="P1079" s="7">
        <f t="shared" si="99"/>
        <v>0.86348551439590993</v>
      </c>
      <c r="Q1079" s="7">
        <f t="shared" si="100"/>
        <v>99591.4433474377</v>
      </c>
      <c r="R1079">
        <f t="shared" si="101"/>
        <v>2.3858128138019441</v>
      </c>
    </row>
    <row r="1080" spans="1:18" x14ac:dyDescent="0.25">
      <c r="A1080" t="s">
        <v>647</v>
      </c>
      <c r="B1080" t="s">
        <v>16</v>
      </c>
      <c r="C1080" t="s">
        <v>17</v>
      </c>
      <c r="D1080">
        <v>10282</v>
      </c>
      <c r="E1080" s="1">
        <v>44104</v>
      </c>
      <c r="F1080" s="2">
        <f t="shared" si="96"/>
        <v>2020</v>
      </c>
      <c r="G1080">
        <v>2392</v>
      </c>
      <c r="H1080" s="3">
        <v>277943000</v>
      </c>
      <c r="I1080">
        <v>66666000</v>
      </c>
      <c r="J1080">
        <v>277943000</v>
      </c>
      <c r="K1080">
        <v>248063000</v>
      </c>
      <c r="L1080">
        <v>218776000</v>
      </c>
      <c r="M1080" t="str">
        <f t="shared" si="97"/>
        <v>Large</v>
      </c>
      <c r="N1080">
        <f>VLOOKUP(C1080,Lookup!$A$2:$D$5,MATCH(M1080,Lookup!$A$1:$D$1,0),FALSE)</f>
        <v>0.08</v>
      </c>
      <c r="O1080">
        <f t="shared" si="98"/>
        <v>17502080</v>
      </c>
      <c r="P1080" s="7">
        <f t="shared" si="99"/>
        <v>0.89249594341285798</v>
      </c>
      <c r="Q1080" s="7">
        <f t="shared" si="100"/>
        <v>116196.90635451506</v>
      </c>
      <c r="R1080">
        <f t="shared" si="101"/>
        <v>3.8090329835082457</v>
      </c>
    </row>
    <row r="1081" spans="1:18" x14ac:dyDescent="0.25">
      <c r="A1081" t="s">
        <v>647</v>
      </c>
      <c r="B1081" t="s">
        <v>16</v>
      </c>
      <c r="C1081" t="s">
        <v>17</v>
      </c>
      <c r="D1081">
        <v>10282</v>
      </c>
      <c r="E1081" s="1">
        <v>44469</v>
      </c>
      <c r="F1081" s="2">
        <f t="shared" si="96"/>
        <v>2021</v>
      </c>
      <c r="G1081">
        <v>3580</v>
      </c>
      <c r="H1081" s="3">
        <v>387383000</v>
      </c>
      <c r="I1081">
        <v>119465000</v>
      </c>
      <c r="J1081">
        <v>387383000</v>
      </c>
      <c r="K1081">
        <v>347142000</v>
      </c>
      <c r="L1081">
        <v>272182000</v>
      </c>
      <c r="M1081" t="str">
        <f t="shared" si="97"/>
        <v>Large</v>
      </c>
      <c r="N1081">
        <f>VLOOKUP(C1081,Lookup!$A$2:$D$5,MATCH(M1081,Lookup!$A$1:$D$1,0),FALSE)</f>
        <v>0.08</v>
      </c>
      <c r="O1081">
        <f t="shared" si="98"/>
        <v>21774560</v>
      </c>
      <c r="P1081" s="7">
        <f t="shared" si="99"/>
        <v>0.8961208932761634</v>
      </c>
      <c r="Q1081" s="7">
        <f t="shared" si="100"/>
        <v>108207.54189944133</v>
      </c>
      <c r="R1081">
        <f t="shared" si="101"/>
        <v>5.4864484058460885</v>
      </c>
    </row>
    <row r="1082" spans="1:18" x14ac:dyDescent="0.25">
      <c r="A1082" t="s">
        <v>648</v>
      </c>
      <c r="B1082" t="s">
        <v>649</v>
      </c>
      <c r="C1082" t="s">
        <v>8</v>
      </c>
      <c r="D1082">
        <v>61742</v>
      </c>
      <c r="E1082" s="1">
        <v>43738</v>
      </c>
      <c r="F1082" s="2">
        <f t="shared" si="96"/>
        <v>2019</v>
      </c>
      <c r="G1082">
        <v>28</v>
      </c>
      <c r="H1082" s="3">
        <v>129173</v>
      </c>
      <c r="I1082">
        <v>8197</v>
      </c>
      <c r="J1082">
        <v>129173</v>
      </c>
      <c r="K1082">
        <v>112380</v>
      </c>
      <c r="L1082">
        <v>111138</v>
      </c>
      <c r="M1082" t="str">
        <f t="shared" si="97"/>
        <v>Medium</v>
      </c>
      <c r="N1082">
        <f>VLOOKUP(C1082,Lookup!$A$2:$D$5,MATCH(M1082,Lookup!$A$1:$D$1,0),FALSE)</f>
        <v>0.08</v>
      </c>
      <c r="O1082">
        <f t="shared" si="98"/>
        <v>8891.0400000000009</v>
      </c>
      <c r="P1082" s="7">
        <f t="shared" si="99"/>
        <v>0.86999605180649209</v>
      </c>
      <c r="Q1082" s="7">
        <f t="shared" si="100"/>
        <v>4613.3214285714284</v>
      </c>
      <c r="R1082">
        <f t="shared" si="101"/>
        <v>0.92193939066745834</v>
      </c>
    </row>
    <row r="1083" spans="1:18" x14ac:dyDescent="0.25">
      <c r="A1083" t="s">
        <v>648</v>
      </c>
      <c r="B1083" t="s">
        <v>649</v>
      </c>
      <c r="C1083" t="s">
        <v>8</v>
      </c>
      <c r="D1083">
        <v>61742</v>
      </c>
      <c r="E1083" s="1">
        <v>44104</v>
      </c>
      <c r="F1083" s="2">
        <f t="shared" si="96"/>
        <v>2020</v>
      </c>
      <c r="G1083">
        <v>29</v>
      </c>
      <c r="H1083" s="3">
        <v>153177</v>
      </c>
      <c r="I1083">
        <v>24760</v>
      </c>
      <c r="J1083">
        <v>153177</v>
      </c>
      <c r="K1083">
        <v>134260</v>
      </c>
      <c r="L1083">
        <v>133991</v>
      </c>
      <c r="M1083" t="str">
        <f t="shared" si="97"/>
        <v>Medium</v>
      </c>
      <c r="N1083">
        <f>VLOOKUP(C1083,Lookup!$A$2:$D$5,MATCH(M1083,Lookup!$A$1:$D$1,0),FALSE)</f>
        <v>0.08</v>
      </c>
      <c r="O1083">
        <f t="shared" si="98"/>
        <v>10719.28</v>
      </c>
      <c r="P1083" s="7">
        <f t="shared" si="99"/>
        <v>0.87650234695809426</v>
      </c>
      <c r="Q1083" s="7">
        <f t="shared" si="100"/>
        <v>5281.9655172413795</v>
      </c>
      <c r="R1083">
        <f t="shared" si="101"/>
        <v>2.3098566321618614</v>
      </c>
    </row>
    <row r="1084" spans="1:18" x14ac:dyDescent="0.25">
      <c r="A1084" t="s">
        <v>648</v>
      </c>
      <c r="B1084" t="s">
        <v>649</v>
      </c>
      <c r="C1084" t="s">
        <v>8</v>
      </c>
      <c r="D1084">
        <v>61742</v>
      </c>
      <c r="E1084" s="1">
        <v>44469</v>
      </c>
      <c r="F1084" s="2">
        <f t="shared" si="96"/>
        <v>2021</v>
      </c>
      <c r="G1084">
        <v>28</v>
      </c>
      <c r="H1084" s="3">
        <v>182244</v>
      </c>
      <c r="I1084">
        <v>34676</v>
      </c>
      <c r="J1084">
        <v>182244</v>
      </c>
      <c r="K1084">
        <v>161654</v>
      </c>
      <c r="L1084">
        <v>161435</v>
      </c>
      <c r="M1084" t="str">
        <f t="shared" si="97"/>
        <v>Medium</v>
      </c>
      <c r="N1084">
        <f>VLOOKUP(C1084,Lookup!$A$2:$D$5,MATCH(M1084,Lookup!$A$1:$D$1,0),FALSE)</f>
        <v>0.08</v>
      </c>
      <c r="O1084">
        <f t="shared" si="98"/>
        <v>12914.800000000001</v>
      </c>
      <c r="P1084" s="7">
        <f t="shared" si="99"/>
        <v>0.88701960009657388</v>
      </c>
      <c r="Q1084" s="7">
        <f t="shared" si="100"/>
        <v>6508.7142857142853</v>
      </c>
      <c r="R1084">
        <f t="shared" si="101"/>
        <v>2.6849815715303369</v>
      </c>
    </row>
    <row r="1085" spans="1:18" x14ac:dyDescent="0.25">
      <c r="A1085" t="s">
        <v>650</v>
      </c>
      <c r="B1085" t="s">
        <v>651</v>
      </c>
      <c r="C1085" t="s">
        <v>17</v>
      </c>
      <c r="D1085">
        <v>13642</v>
      </c>
      <c r="E1085" s="1">
        <v>43738</v>
      </c>
      <c r="F1085" s="2">
        <f t="shared" si="96"/>
        <v>2019</v>
      </c>
      <c r="G1085">
        <v>34</v>
      </c>
      <c r="H1085" s="3">
        <v>125268</v>
      </c>
      <c r="I1085">
        <v>3701</v>
      </c>
      <c r="J1085">
        <v>125268</v>
      </c>
      <c r="K1085">
        <v>95886</v>
      </c>
      <c r="L1085">
        <v>80147</v>
      </c>
      <c r="M1085" t="str">
        <f t="shared" si="97"/>
        <v>Medium</v>
      </c>
      <c r="N1085">
        <f>VLOOKUP(C1085,Lookup!$A$2:$D$5,MATCH(M1085,Lookup!$A$1:$D$1,0),FALSE)</f>
        <v>8.5000000000000006E-2</v>
      </c>
      <c r="O1085">
        <f t="shared" si="98"/>
        <v>6812.4950000000008</v>
      </c>
      <c r="P1085" s="7">
        <f t="shared" si="99"/>
        <v>0.76544688188523802</v>
      </c>
      <c r="Q1085" s="7">
        <f t="shared" si="100"/>
        <v>3684.3529411764707</v>
      </c>
      <c r="R1085">
        <f t="shared" si="101"/>
        <v>0.54326645377354399</v>
      </c>
    </row>
    <row r="1086" spans="1:18" x14ac:dyDescent="0.25">
      <c r="A1086" t="s">
        <v>650</v>
      </c>
      <c r="B1086" t="s">
        <v>651</v>
      </c>
      <c r="C1086" t="s">
        <v>17</v>
      </c>
      <c r="D1086">
        <v>13642</v>
      </c>
      <c r="E1086" s="1">
        <v>44104</v>
      </c>
      <c r="F1086" s="2">
        <f t="shared" si="96"/>
        <v>2020</v>
      </c>
      <c r="G1086">
        <v>31</v>
      </c>
      <c r="H1086" s="3">
        <v>129261</v>
      </c>
      <c r="I1086">
        <v>7702</v>
      </c>
      <c r="J1086">
        <v>129261</v>
      </c>
      <c r="K1086">
        <v>102669</v>
      </c>
      <c r="L1086">
        <v>91818</v>
      </c>
      <c r="M1086" t="str">
        <f t="shared" si="97"/>
        <v>Medium</v>
      </c>
      <c r="N1086">
        <f>VLOOKUP(C1086,Lookup!$A$2:$D$5,MATCH(M1086,Lookup!$A$1:$D$1,0),FALSE)</f>
        <v>8.5000000000000006E-2</v>
      </c>
      <c r="O1086">
        <f t="shared" si="98"/>
        <v>7804.5300000000007</v>
      </c>
      <c r="P1086" s="7">
        <f t="shared" si="99"/>
        <v>0.79427669598718875</v>
      </c>
      <c r="Q1086" s="7">
        <f t="shared" si="100"/>
        <v>4169.7096774193551</v>
      </c>
      <c r="R1086">
        <f t="shared" si="101"/>
        <v>0.98686275791111056</v>
      </c>
    </row>
    <row r="1087" spans="1:18" x14ac:dyDescent="0.25">
      <c r="A1087" t="s">
        <v>650</v>
      </c>
      <c r="B1087" t="s">
        <v>651</v>
      </c>
      <c r="C1087" t="s">
        <v>17</v>
      </c>
      <c r="D1087">
        <v>13642</v>
      </c>
      <c r="E1087" s="1">
        <v>44469</v>
      </c>
      <c r="F1087" s="2">
        <f t="shared" si="96"/>
        <v>2021</v>
      </c>
      <c r="G1087">
        <v>30</v>
      </c>
      <c r="H1087" s="3">
        <v>134729</v>
      </c>
      <c r="I1087">
        <v>10914</v>
      </c>
      <c r="J1087">
        <v>134729</v>
      </c>
      <c r="K1087">
        <v>107588</v>
      </c>
      <c r="L1087">
        <v>101378</v>
      </c>
      <c r="M1087" t="str">
        <f t="shared" si="97"/>
        <v>Medium</v>
      </c>
      <c r="N1087">
        <f>VLOOKUP(C1087,Lookup!$A$2:$D$5,MATCH(M1087,Lookup!$A$1:$D$1,0),FALSE)</f>
        <v>8.5000000000000006E-2</v>
      </c>
      <c r="O1087">
        <f t="shared" si="98"/>
        <v>8617.130000000001</v>
      </c>
      <c r="P1087" s="7">
        <f t="shared" si="99"/>
        <v>0.79855116567331463</v>
      </c>
      <c r="Q1087" s="7">
        <f t="shared" si="100"/>
        <v>4490.9666666666662</v>
      </c>
      <c r="R1087">
        <f t="shared" si="101"/>
        <v>1.2665469825800468</v>
      </c>
    </row>
    <row r="1088" spans="1:18" x14ac:dyDescent="0.25">
      <c r="A1088" t="s">
        <v>652</v>
      </c>
      <c r="B1088" t="s">
        <v>653</v>
      </c>
      <c r="C1088" t="s">
        <v>8</v>
      </c>
      <c r="D1088">
        <v>61325</v>
      </c>
      <c r="E1088" s="1">
        <v>43738</v>
      </c>
      <c r="F1088" s="2">
        <f t="shared" si="96"/>
        <v>2019</v>
      </c>
      <c r="G1088">
        <v>26</v>
      </c>
      <c r="H1088" s="3">
        <v>223707</v>
      </c>
      <c r="I1088">
        <v>30942</v>
      </c>
      <c r="J1088">
        <v>223708</v>
      </c>
      <c r="K1088">
        <v>196745</v>
      </c>
      <c r="L1088">
        <v>195645</v>
      </c>
      <c r="M1088" t="str">
        <f t="shared" si="97"/>
        <v>Medium</v>
      </c>
      <c r="N1088">
        <f>VLOOKUP(C1088,Lookup!$A$2:$D$5,MATCH(M1088,Lookup!$A$1:$D$1,0),FALSE)</f>
        <v>0.08</v>
      </c>
      <c r="O1088">
        <f t="shared" si="98"/>
        <v>15651.6</v>
      </c>
      <c r="P1088" s="7">
        <f t="shared" si="99"/>
        <v>0.87947627924025618</v>
      </c>
      <c r="Q1088" s="7">
        <f t="shared" si="100"/>
        <v>8604.1153846153848</v>
      </c>
      <c r="R1088">
        <f t="shared" si="101"/>
        <v>1.9769224871578623</v>
      </c>
    </row>
    <row r="1089" spans="1:18" x14ac:dyDescent="0.25">
      <c r="A1089" t="s">
        <v>652</v>
      </c>
      <c r="B1089" t="s">
        <v>653</v>
      </c>
      <c r="C1089" t="s">
        <v>8</v>
      </c>
      <c r="D1089">
        <v>61325</v>
      </c>
      <c r="E1089" s="1">
        <v>44104</v>
      </c>
      <c r="F1089" s="2">
        <f t="shared" si="96"/>
        <v>2020</v>
      </c>
      <c r="G1089">
        <v>28</v>
      </c>
      <c r="H1089" s="3">
        <v>265381</v>
      </c>
      <c r="I1089">
        <v>38486</v>
      </c>
      <c r="J1089">
        <v>265381</v>
      </c>
      <c r="K1089">
        <v>234546</v>
      </c>
      <c r="L1089">
        <v>228502</v>
      </c>
      <c r="M1089" t="str">
        <f t="shared" si="97"/>
        <v>Medium</v>
      </c>
      <c r="N1089">
        <f>VLOOKUP(C1089,Lookup!$A$2:$D$5,MATCH(M1089,Lookup!$A$1:$D$1,0),FALSE)</f>
        <v>0.08</v>
      </c>
      <c r="O1089">
        <f t="shared" si="98"/>
        <v>18280.16</v>
      </c>
      <c r="P1089" s="7">
        <f t="shared" si="99"/>
        <v>0.88380856202968561</v>
      </c>
      <c r="Q1089" s="7">
        <f t="shared" si="100"/>
        <v>9477.8928571428569</v>
      </c>
      <c r="R1089">
        <f t="shared" si="101"/>
        <v>2.1053426228216821</v>
      </c>
    </row>
    <row r="1090" spans="1:18" x14ac:dyDescent="0.25">
      <c r="A1090" t="s">
        <v>652</v>
      </c>
      <c r="B1090" t="s">
        <v>653</v>
      </c>
      <c r="C1090" t="s">
        <v>8</v>
      </c>
      <c r="D1090">
        <v>61325</v>
      </c>
      <c r="E1090" s="1">
        <v>44469</v>
      </c>
      <c r="F1090" s="2">
        <f t="shared" ref="F1090:F1153" si="102">YEAR(E1090)</f>
        <v>2021</v>
      </c>
      <c r="G1090">
        <v>33</v>
      </c>
      <c r="H1090" s="3">
        <v>304205</v>
      </c>
      <c r="I1090">
        <v>57292</v>
      </c>
      <c r="J1090">
        <v>304205</v>
      </c>
      <c r="K1090">
        <v>269606</v>
      </c>
      <c r="L1090">
        <v>260101</v>
      </c>
      <c r="M1090" t="str">
        <f t="shared" ref="M1090:M1153" si="103">IF(H1090&gt;1000000,"Large",IF(H1090&lt;100000,"Small","Medium"))</f>
        <v>Medium</v>
      </c>
      <c r="N1090">
        <f>VLOOKUP(C1090,Lookup!$A$2:$D$5,MATCH(M1090,Lookup!$A$1:$D$1,0),FALSE)</f>
        <v>0.08</v>
      </c>
      <c r="O1090">
        <f t="shared" ref="O1090:O1153" si="104">L1090*N1090</f>
        <v>20808.080000000002</v>
      </c>
      <c r="P1090" s="7">
        <f t="shared" ref="P1090:P1153" si="105">K1090/H1090</f>
        <v>0.88626419684094604</v>
      </c>
      <c r="Q1090" s="7">
        <f t="shared" ref="Q1090:Q1153" si="106">H1090/G1090</f>
        <v>9218.3333333333339</v>
      </c>
      <c r="R1090">
        <f t="shared" ref="R1090:R1153" si="107">I1090/O1090</f>
        <v>2.7533535049846019</v>
      </c>
    </row>
    <row r="1091" spans="1:18" x14ac:dyDescent="0.25">
      <c r="A1091" t="s">
        <v>654</v>
      </c>
      <c r="B1091" t="s">
        <v>655</v>
      </c>
      <c r="C1091" t="s">
        <v>8</v>
      </c>
      <c r="D1091">
        <v>62941</v>
      </c>
      <c r="E1091" s="1">
        <v>43738</v>
      </c>
      <c r="F1091" s="2">
        <f t="shared" si="102"/>
        <v>2019</v>
      </c>
      <c r="G1091">
        <v>11</v>
      </c>
      <c r="H1091" s="3">
        <v>31814</v>
      </c>
      <c r="I1091">
        <v>7946</v>
      </c>
      <c r="J1091">
        <v>31814</v>
      </c>
      <c r="K1091">
        <v>29736</v>
      </c>
      <c r="L1091">
        <v>28446</v>
      </c>
      <c r="M1091" t="str">
        <f t="shared" si="103"/>
        <v>Small</v>
      </c>
      <c r="N1091">
        <f>VLOOKUP(C1091,Lookup!$A$2:$D$5,MATCH(M1091,Lookup!$A$1:$D$1,0),FALSE)</f>
        <v>0.09</v>
      </c>
      <c r="O1091">
        <f t="shared" si="104"/>
        <v>2560.14</v>
      </c>
      <c r="P1091" s="7">
        <f t="shared" si="105"/>
        <v>0.93468284403092983</v>
      </c>
      <c r="Q1091" s="7">
        <f t="shared" si="106"/>
        <v>2892.181818181818</v>
      </c>
      <c r="R1091">
        <f t="shared" si="107"/>
        <v>3.1037365144093685</v>
      </c>
    </row>
    <row r="1092" spans="1:18" x14ac:dyDescent="0.25">
      <c r="A1092" t="s">
        <v>654</v>
      </c>
      <c r="B1092" t="s">
        <v>655</v>
      </c>
      <c r="C1092" t="s">
        <v>8</v>
      </c>
      <c r="D1092">
        <v>62941</v>
      </c>
      <c r="E1092" s="1">
        <v>44104</v>
      </c>
      <c r="F1092" s="2">
        <f t="shared" si="102"/>
        <v>2020</v>
      </c>
      <c r="G1092">
        <v>10</v>
      </c>
      <c r="H1092" s="3">
        <v>25591</v>
      </c>
      <c r="I1092">
        <v>6801</v>
      </c>
      <c r="J1092">
        <v>25591</v>
      </c>
      <c r="K1092">
        <v>24774</v>
      </c>
      <c r="L1092">
        <v>23640</v>
      </c>
      <c r="M1092" t="str">
        <f t="shared" si="103"/>
        <v>Small</v>
      </c>
      <c r="N1092">
        <f>VLOOKUP(C1092,Lookup!$A$2:$D$5,MATCH(M1092,Lookup!$A$1:$D$1,0),FALSE)</f>
        <v>0.09</v>
      </c>
      <c r="O1092">
        <f t="shared" si="104"/>
        <v>2127.6</v>
      </c>
      <c r="P1092" s="7">
        <f t="shared" si="105"/>
        <v>0.96807471376655851</v>
      </c>
      <c r="Q1092" s="7">
        <f t="shared" si="106"/>
        <v>2559.1</v>
      </c>
      <c r="R1092">
        <f t="shared" si="107"/>
        <v>3.1965595036661028</v>
      </c>
    </row>
    <row r="1093" spans="1:18" x14ac:dyDescent="0.25">
      <c r="A1093" t="s">
        <v>654</v>
      </c>
      <c r="B1093" t="s">
        <v>655</v>
      </c>
      <c r="C1093" t="s">
        <v>8</v>
      </c>
      <c r="D1093">
        <v>62941</v>
      </c>
      <c r="E1093" s="1">
        <v>44469</v>
      </c>
      <c r="F1093" s="2">
        <f t="shared" si="102"/>
        <v>2021</v>
      </c>
      <c r="G1093">
        <v>9</v>
      </c>
      <c r="H1093" s="3">
        <v>19367</v>
      </c>
      <c r="I1093">
        <v>3433</v>
      </c>
      <c r="J1093">
        <v>19367</v>
      </c>
      <c r="K1093">
        <v>18689</v>
      </c>
      <c r="L1093">
        <v>17678</v>
      </c>
      <c r="M1093" t="str">
        <f t="shared" si="103"/>
        <v>Small</v>
      </c>
      <c r="N1093">
        <f>VLOOKUP(C1093,Lookup!$A$2:$D$5,MATCH(M1093,Lookup!$A$1:$D$1,0),FALSE)</f>
        <v>0.09</v>
      </c>
      <c r="O1093">
        <f t="shared" si="104"/>
        <v>1591.02</v>
      </c>
      <c r="P1093" s="7">
        <f t="shared" si="105"/>
        <v>0.96499199669540969</v>
      </c>
      <c r="Q1093" s="7">
        <f t="shared" si="106"/>
        <v>2151.8888888888887</v>
      </c>
      <c r="R1093">
        <f t="shared" si="107"/>
        <v>2.1577352893112596</v>
      </c>
    </row>
    <row r="1094" spans="1:18" x14ac:dyDescent="0.25">
      <c r="A1094" t="s">
        <v>656</v>
      </c>
      <c r="B1094" t="s">
        <v>16</v>
      </c>
      <c r="C1094" t="s">
        <v>17</v>
      </c>
      <c r="D1094">
        <v>10010</v>
      </c>
      <c r="E1094" s="1">
        <v>43738</v>
      </c>
      <c r="F1094" s="2">
        <f t="shared" si="102"/>
        <v>2019</v>
      </c>
      <c r="G1094">
        <v>41</v>
      </c>
      <c r="H1094" s="3">
        <v>99157</v>
      </c>
      <c r="I1094">
        <v>3244</v>
      </c>
      <c r="J1094">
        <v>99157</v>
      </c>
      <c r="K1094">
        <v>8662</v>
      </c>
      <c r="L1094">
        <v>7715</v>
      </c>
      <c r="M1094" t="str">
        <f t="shared" si="103"/>
        <v>Small</v>
      </c>
      <c r="N1094">
        <f>VLOOKUP(C1094,Lookup!$A$2:$D$5,MATCH(M1094,Lookup!$A$1:$D$1,0),FALSE)</f>
        <v>0.09</v>
      </c>
      <c r="O1094">
        <f t="shared" si="104"/>
        <v>694.35</v>
      </c>
      <c r="P1094" s="7">
        <f t="shared" si="105"/>
        <v>8.735641457486612E-2</v>
      </c>
      <c r="Q1094" s="7">
        <f t="shared" si="106"/>
        <v>2418.4634146341464</v>
      </c>
      <c r="R1094">
        <f t="shared" si="107"/>
        <v>4.6719953913732262</v>
      </c>
    </row>
    <row r="1095" spans="1:18" x14ac:dyDescent="0.25">
      <c r="A1095" t="s">
        <v>656</v>
      </c>
      <c r="B1095" t="s">
        <v>16</v>
      </c>
      <c r="C1095" t="s">
        <v>17</v>
      </c>
      <c r="D1095">
        <v>10010</v>
      </c>
      <c r="E1095" s="1">
        <v>44104</v>
      </c>
      <c r="F1095" s="2">
        <f t="shared" si="102"/>
        <v>2020</v>
      </c>
      <c r="G1095">
        <v>53</v>
      </c>
      <c r="H1095" s="3">
        <v>175331</v>
      </c>
      <c r="I1095">
        <v>7705</v>
      </c>
      <c r="J1095">
        <v>175331</v>
      </c>
      <c r="K1095">
        <v>99082</v>
      </c>
      <c r="L1095">
        <v>95671</v>
      </c>
      <c r="M1095" t="str">
        <f t="shared" si="103"/>
        <v>Medium</v>
      </c>
      <c r="N1095">
        <f>VLOOKUP(C1095,Lookup!$A$2:$D$5,MATCH(M1095,Lookup!$A$1:$D$1,0),FALSE)</f>
        <v>8.5000000000000006E-2</v>
      </c>
      <c r="O1095">
        <f t="shared" si="104"/>
        <v>8132.0350000000008</v>
      </c>
      <c r="P1095" s="7">
        <f t="shared" si="105"/>
        <v>0.56511398440663663</v>
      </c>
      <c r="Q1095" s="7">
        <f t="shared" si="106"/>
        <v>3308.132075471698</v>
      </c>
      <c r="R1095">
        <f t="shared" si="107"/>
        <v>0.94748731406099451</v>
      </c>
    </row>
    <row r="1096" spans="1:18" x14ac:dyDescent="0.25">
      <c r="A1096" t="s">
        <v>656</v>
      </c>
      <c r="B1096" t="s">
        <v>16</v>
      </c>
      <c r="C1096" t="s">
        <v>17</v>
      </c>
      <c r="D1096">
        <v>10010</v>
      </c>
      <c r="E1096" s="1">
        <v>44469</v>
      </c>
      <c r="F1096" s="2">
        <f t="shared" si="102"/>
        <v>2021</v>
      </c>
      <c r="G1096">
        <v>60</v>
      </c>
      <c r="H1096" s="3">
        <v>257618</v>
      </c>
      <c r="I1096">
        <v>31129</v>
      </c>
      <c r="J1096">
        <v>257618</v>
      </c>
      <c r="K1096">
        <v>202492</v>
      </c>
      <c r="L1096">
        <v>199604</v>
      </c>
      <c r="M1096" t="str">
        <f t="shared" si="103"/>
        <v>Medium</v>
      </c>
      <c r="N1096">
        <f>VLOOKUP(C1096,Lookup!$A$2:$D$5,MATCH(M1096,Lookup!$A$1:$D$1,0),FALSE)</f>
        <v>8.5000000000000006E-2</v>
      </c>
      <c r="O1096">
        <f t="shared" si="104"/>
        <v>16966.34</v>
      </c>
      <c r="P1096" s="7">
        <f t="shared" si="105"/>
        <v>0.78601650505787635</v>
      </c>
      <c r="Q1096" s="7">
        <f t="shared" si="106"/>
        <v>4293.6333333333332</v>
      </c>
      <c r="R1096">
        <f t="shared" si="107"/>
        <v>1.8347504529556757</v>
      </c>
    </row>
    <row r="1097" spans="1:18" x14ac:dyDescent="0.25">
      <c r="A1097" t="s">
        <v>657</v>
      </c>
      <c r="B1097" t="s">
        <v>658</v>
      </c>
      <c r="C1097" t="s">
        <v>8</v>
      </c>
      <c r="D1097">
        <v>62312</v>
      </c>
      <c r="E1097" s="1">
        <v>43738</v>
      </c>
      <c r="F1097" s="2">
        <f t="shared" si="102"/>
        <v>2019</v>
      </c>
      <c r="G1097">
        <v>30</v>
      </c>
      <c r="H1097" s="3">
        <v>132233</v>
      </c>
      <c r="I1097">
        <v>20098</v>
      </c>
      <c r="J1097">
        <v>132233</v>
      </c>
      <c r="K1097">
        <v>116536</v>
      </c>
      <c r="L1097">
        <v>116244</v>
      </c>
      <c r="M1097" t="str">
        <f t="shared" si="103"/>
        <v>Medium</v>
      </c>
      <c r="N1097">
        <f>VLOOKUP(C1097,Lookup!$A$2:$D$5,MATCH(M1097,Lookup!$A$1:$D$1,0),FALSE)</f>
        <v>0.08</v>
      </c>
      <c r="O1097">
        <f t="shared" si="104"/>
        <v>9299.52</v>
      </c>
      <c r="P1097" s="7">
        <f t="shared" si="105"/>
        <v>0.88129286940476281</v>
      </c>
      <c r="Q1097" s="7">
        <f t="shared" si="106"/>
        <v>4407.7666666666664</v>
      </c>
      <c r="R1097">
        <f t="shared" si="107"/>
        <v>2.1611868139430852</v>
      </c>
    </row>
    <row r="1098" spans="1:18" x14ac:dyDescent="0.25">
      <c r="A1098" t="s">
        <v>657</v>
      </c>
      <c r="B1098" t="s">
        <v>658</v>
      </c>
      <c r="C1098" t="s">
        <v>8</v>
      </c>
      <c r="D1098">
        <v>62312</v>
      </c>
      <c r="E1098" s="1">
        <v>44104</v>
      </c>
      <c r="F1098" s="2">
        <f t="shared" si="102"/>
        <v>2020</v>
      </c>
      <c r="G1098">
        <v>31</v>
      </c>
      <c r="H1098" s="3">
        <v>140753</v>
      </c>
      <c r="I1098">
        <v>16098</v>
      </c>
      <c r="J1098">
        <v>140753</v>
      </c>
      <c r="K1098">
        <v>123804</v>
      </c>
      <c r="L1098">
        <v>119638</v>
      </c>
      <c r="M1098" t="str">
        <f t="shared" si="103"/>
        <v>Medium</v>
      </c>
      <c r="N1098">
        <f>VLOOKUP(C1098,Lookup!$A$2:$D$5,MATCH(M1098,Lookup!$A$1:$D$1,0),FALSE)</f>
        <v>0.08</v>
      </c>
      <c r="O1098">
        <f t="shared" si="104"/>
        <v>9571.0400000000009</v>
      </c>
      <c r="P1098" s="7">
        <f t="shared" si="105"/>
        <v>0.87958338365789712</v>
      </c>
      <c r="Q1098" s="7">
        <f t="shared" si="106"/>
        <v>4540.4193548387093</v>
      </c>
      <c r="R1098">
        <f t="shared" si="107"/>
        <v>1.6819488791186745</v>
      </c>
    </row>
    <row r="1099" spans="1:18" x14ac:dyDescent="0.25">
      <c r="A1099" t="s">
        <v>657</v>
      </c>
      <c r="B1099" t="s">
        <v>658</v>
      </c>
      <c r="C1099" t="s">
        <v>8</v>
      </c>
      <c r="D1099">
        <v>62312</v>
      </c>
      <c r="E1099" s="1">
        <v>44469</v>
      </c>
      <c r="F1099" s="2">
        <f t="shared" si="102"/>
        <v>2021</v>
      </c>
      <c r="G1099">
        <v>32</v>
      </c>
      <c r="H1099" s="3">
        <v>158125</v>
      </c>
      <c r="I1099">
        <v>18744</v>
      </c>
      <c r="J1099">
        <v>158125</v>
      </c>
      <c r="K1099">
        <v>140215</v>
      </c>
      <c r="L1099">
        <v>134740</v>
      </c>
      <c r="M1099" t="str">
        <f t="shared" si="103"/>
        <v>Medium</v>
      </c>
      <c r="N1099">
        <f>VLOOKUP(C1099,Lookup!$A$2:$D$5,MATCH(M1099,Lookup!$A$1:$D$1,0),FALSE)</f>
        <v>0.08</v>
      </c>
      <c r="O1099">
        <f t="shared" si="104"/>
        <v>10779.2</v>
      </c>
      <c r="P1099" s="7">
        <f t="shared" si="105"/>
        <v>0.88673517786561262</v>
      </c>
      <c r="Q1099" s="7">
        <f t="shared" si="106"/>
        <v>4941.40625</v>
      </c>
      <c r="R1099">
        <f t="shared" si="107"/>
        <v>1.738904556924447</v>
      </c>
    </row>
    <row r="1100" spans="1:18" x14ac:dyDescent="0.25">
      <c r="A1100" t="s">
        <v>659</v>
      </c>
      <c r="B1100" t="s">
        <v>660</v>
      </c>
      <c r="C1100" t="s">
        <v>17</v>
      </c>
      <c r="D1100">
        <v>12414</v>
      </c>
      <c r="E1100" s="1">
        <v>43738</v>
      </c>
      <c r="F1100" s="2">
        <f t="shared" si="102"/>
        <v>2019</v>
      </c>
      <c r="G1100">
        <v>58</v>
      </c>
      <c r="H1100" s="3">
        <v>595440</v>
      </c>
      <c r="I1100">
        <v>141312</v>
      </c>
      <c r="J1100">
        <v>595440</v>
      </c>
      <c r="K1100">
        <v>545746</v>
      </c>
      <c r="L1100">
        <v>545523</v>
      </c>
      <c r="M1100" t="str">
        <f t="shared" si="103"/>
        <v>Medium</v>
      </c>
      <c r="N1100">
        <f>VLOOKUP(C1100,Lookup!$A$2:$D$5,MATCH(M1100,Lookup!$A$1:$D$1,0),FALSE)</f>
        <v>8.5000000000000006E-2</v>
      </c>
      <c r="O1100">
        <f t="shared" si="104"/>
        <v>46369.455000000002</v>
      </c>
      <c r="P1100" s="7">
        <f t="shared" si="105"/>
        <v>0.91654238882171168</v>
      </c>
      <c r="Q1100" s="7">
        <f t="shared" si="106"/>
        <v>10266.206896551725</v>
      </c>
      <c r="R1100">
        <f t="shared" si="107"/>
        <v>3.0475234181639617</v>
      </c>
    </row>
    <row r="1101" spans="1:18" x14ac:dyDescent="0.25">
      <c r="A1101" t="s">
        <v>659</v>
      </c>
      <c r="B1101" t="s">
        <v>660</v>
      </c>
      <c r="C1101" t="s">
        <v>17</v>
      </c>
      <c r="D1101">
        <v>12414</v>
      </c>
      <c r="E1101" s="1">
        <v>44104</v>
      </c>
      <c r="F1101" s="2">
        <f t="shared" si="102"/>
        <v>2020</v>
      </c>
      <c r="G1101">
        <v>65</v>
      </c>
      <c r="H1101" s="3">
        <v>684187</v>
      </c>
      <c r="I1101">
        <v>34820</v>
      </c>
      <c r="J1101">
        <v>684187</v>
      </c>
      <c r="K1101">
        <v>620239</v>
      </c>
      <c r="L1101">
        <v>619671</v>
      </c>
      <c r="M1101" t="str">
        <f t="shared" si="103"/>
        <v>Medium</v>
      </c>
      <c r="N1101">
        <f>VLOOKUP(C1101,Lookup!$A$2:$D$5,MATCH(M1101,Lookup!$A$1:$D$1,0),FALSE)</f>
        <v>8.5000000000000006E-2</v>
      </c>
      <c r="O1101">
        <f t="shared" si="104"/>
        <v>52672.035000000003</v>
      </c>
      <c r="P1101" s="7">
        <f t="shared" si="105"/>
        <v>0.90653432468024098</v>
      </c>
      <c r="Q1101" s="7">
        <f t="shared" si="106"/>
        <v>10525.953846153847</v>
      </c>
      <c r="R1101">
        <f t="shared" si="107"/>
        <v>0.66107185720088468</v>
      </c>
    </row>
    <row r="1102" spans="1:18" x14ac:dyDescent="0.25">
      <c r="A1102" t="s">
        <v>659</v>
      </c>
      <c r="B1102" t="s">
        <v>660</v>
      </c>
      <c r="C1102" t="s">
        <v>17</v>
      </c>
      <c r="D1102">
        <v>12414</v>
      </c>
      <c r="E1102" s="1">
        <v>44469</v>
      </c>
      <c r="F1102" s="2">
        <f t="shared" si="102"/>
        <v>2021</v>
      </c>
      <c r="G1102">
        <v>134</v>
      </c>
      <c r="H1102" s="3">
        <v>974012</v>
      </c>
      <c r="I1102">
        <v>367</v>
      </c>
      <c r="J1102">
        <v>974012</v>
      </c>
      <c r="K1102">
        <v>904972</v>
      </c>
      <c r="L1102">
        <v>832387</v>
      </c>
      <c r="M1102" t="str">
        <f t="shared" si="103"/>
        <v>Medium</v>
      </c>
      <c r="N1102">
        <f>VLOOKUP(C1102,Lookup!$A$2:$D$5,MATCH(M1102,Lookup!$A$1:$D$1,0),FALSE)</f>
        <v>8.5000000000000006E-2</v>
      </c>
      <c r="O1102">
        <f t="shared" si="104"/>
        <v>70752.895000000004</v>
      </c>
      <c r="P1102" s="7">
        <f t="shared" si="105"/>
        <v>0.92911791641170749</v>
      </c>
      <c r="Q1102" s="7">
        <f t="shared" si="106"/>
        <v>7268.746268656716</v>
      </c>
      <c r="R1102">
        <f t="shared" si="107"/>
        <v>5.1870669037641492E-3</v>
      </c>
    </row>
    <row r="1103" spans="1:18" x14ac:dyDescent="0.25">
      <c r="A1103" t="s">
        <v>661</v>
      </c>
      <c r="B1103" t="s">
        <v>662</v>
      </c>
      <c r="C1103" t="s">
        <v>20</v>
      </c>
      <c r="D1103">
        <v>1301</v>
      </c>
      <c r="E1103" s="1">
        <v>43738</v>
      </c>
      <c r="F1103" s="2">
        <f t="shared" si="102"/>
        <v>2019</v>
      </c>
      <c r="G1103">
        <v>96</v>
      </c>
      <c r="H1103" s="3">
        <v>656888</v>
      </c>
      <c r="I1103">
        <v>57516</v>
      </c>
      <c r="J1103">
        <v>656888</v>
      </c>
      <c r="K1103">
        <v>579570</v>
      </c>
      <c r="L1103">
        <v>555919</v>
      </c>
      <c r="M1103" t="str">
        <f t="shared" si="103"/>
        <v>Medium</v>
      </c>
      <c r="N1103">
        <f>VLOOKUP(C1103,Lookup!$A$2:$D$5,MATCH(M1103,Lookup!$A$1:$D$1,0),FALSE)</f>
        <v>8.5000000000000006E-2</v>
      </c>
      <c r="O1103">
        <f t="shared" si="104"/>
        <v>47253.115000000005</v>
      </c>
      <c r="P1103" s="7">
        <f t="shared" si="105"/>
        <v>0.88229652543508175</v>
      </c>
      <c r="Q1103" s="7">
        <f t="shared" si="106"/>
        <v>6842.583333333333</v>
      </c>
      <c r="R1103">
        <f t="shared" si="107"/>
        <v>1.2171895969186368</v>
      </c>
    </row>
    <row r="1104" spans="1:18" x14ac:dyDescent="0.25">
      <c r="A1104" t="s">
        <v>661</v>
      </c>
      <c r="B1104" t="s">
        <v>662</v>
      </c>
      <c r="C1104" t="s">
        <v>20</v>
      </c>
      <c r="D1104">
        <v>1301</v>
      </c>
      <c r="E1104" s="1">
        <v>44104</v>
      </c>
      <c r="F1104" s="2">
        <f t="shared" si="102"/>
        <v>2020</v>
      </c>
      <c r="G1104">
        <v>99</v>
      </c>
      <c r="H1104" s="3">
        <v>732349</v>
      </c>
      <c r="I1104">
        <v>105323</v>
      </c>
      <c r="J1104">
        <v>732349</v>
      </c>
      <c r="K1104">
        <v>650696</v>
      </c>
      <c r="L1104">
        <v>631357</v>
      </c>
      <c r="M1104" t="str">
        <f t="shared" si="103"/>
        <v>Medium</v>
      </c>
      <c r="N1104">
        <f>VLOOKUP(C1104,Lookup!$A$2:$D$5,MATCH(M1104,Lookup!$A$1:$D$1,0),FALSE)</f>
        <v>8.5000000000000006E-2</v>
      </c>
      <c r="O1104">
        <f t="shared" si="104"/>
        <v>53665.345000000001</v>
      </c>
      <c r="P1104" s="7">
        <f t="shared" si="105"/>
        <v>0.88850534376369739</v>
      </c>
      <c r="Q1104" s="7">
        <f t="shared" si="106"/>
        <v>7397.4646464646466</v>
      </c>
      <c r="R1104">
        <f t="shared" si="107"/>
        <v>1.9625887059889393</v>
      </c>
    </row>
    <row r="1105" spans="1:18" x14ac:dyDescent="0.25">
      <c r="A1105" t="s">
        <v>661</v>
      </c>
      <c r="B1105" t="s">
        <v>662</v>
      </c>
      <c r="C1105" t="s">
        <v>20</v>
      </c>
      <c r="D1105">
        <v>1301</v>
      </c>
      <c r="E1105" s="1">
        <v>44469</v>
      </c>
      <c r="F1105" s="2">
        <f t="shared" si="102"/>
        <v>2021</v>
      </c>
      <c r="G1105">
        <v>104</v>
      </c>
      <c r="H1105" s="3">
        <v>808523</v>
      </c>
      <c r="I1105">
        <v>174845</v>
      </c>
      <c r="J1105">
        <v>808523</v>
      </c>
      <c r="K1105">
        <v>724368</v>
      </c>
      <c r="L1105">
        <v>711081</v>
      </c>
      <c r="M1105" t="str">
        <f t="shared" si="103"/>
        <v>Medium</v>
      </c>
      <c r="N1105">
        <f>VLOOKUP(C1105,Lookup!$A$2:$D$5,MATCH(M1105,Lookup!$A$1:$D$1,0),FALSE)</f>
        <v>8.5000000000000006E-2</v>
      </c>
      <c r="O1105">
        <f t="shared" si="104"/>
        <v>60441.885000000002</v>
      </c>
      <c r="P1105" s="7">
        <f t="shared" si="105"/>
        <v>0.89591514403424521</v>
      </c>
      <c r="Q1105" s="7">
        <f t="shared" si="106"/>
        <v>7774.2596153846152</v>
      </c>
      <c r="R1105">
        <f t="shared" si="107"/>
        <v>2.8927787410998183</v>
      </c>
    </row>
    <row r="1106" spans="1:18" x14ac:dyDescent="0.25">
      <c r="A1106" t="s">
        <v>663</v>
      </c>
      <c r="B1106" t="s">
        <v>662</v>
      </c>
      <c r="C1106" t="s">
        <v>20</v>
      </c>
      <c r="D1106">
        <v>1301</v>
      </c>
      <c r="E1106" s="1">
        <v>43738</v>
      </c>
      <c r="F1106" s="2">
        <f t="shared" si="102"/>
        <v>2019</v>
      </c>
      <c r="G1106">
        <v>166</v>
      </c>
      <c r="H1106" s="3">
        <v>874454</v>
      </c>
      <c r="I1106">
        <v>17750</v>
      </c>
      <c r="J1106">
        <v>874455</v>
      </c>
      <c r="K1106">
        <v>769014</v>
      </c>
      <c r="L1106">
        <v>725500</v>
      </c>
      <c r="M1106" t="str">
        <f t="shared" si="103"/>
        <v>Medium</v>
      </c>
      <c r="N1106">
        <f>VLOOKUP(C1106,Lookup!$A$2:$D$5,MATCH(M1106,Lookup!$A$1:$D$1,0),FALSE)</f>
        <v>8.5000000000000006E-2</v>
      </c>
      <c r="O1106">
        <f t="shared" si="104"/>
        <v>61667.500000000007</v>
      </c>
      <c r="P1106" s="7">
        <f t="shared" si="105"/>
        <v>0.87942190212406823</v>
      </c>
      <c r="Q1106" s="7">
        <f t="shared" si="106"/>
        <v>5267.7951807228919</v>
      </c>
      <c r="R1106">
        <f t="shared" si="107"/>
        <v>0.28783394818988928</v>
      </c>
    </row>
    <row r="1107" spans="1:18" x14ac:dyDescent="0.25">
      <c r="A1107" t="s">
        <v>663</v>
      </c>
      <c r="B1107" t="s">
        <v>662</v>
      </c>
      <c r="C1107" t="s">
        <v>20</v>
      </c>
      <c r="D1107">
        <v>1301</v>
      </c>
      <c r="E1107" s="1">
        <v>44104</v>
      </c>
      <c r="F1107" s="2">
        <f t="shared" si="102"/>
        <v>2020</v>
      </c>
      <c r="G1107">
        <v>155</v>
      </c>
      <c r="H1107" s="3">
        <v>994372</v>
      </c>
      <c r="I1107">
        <v>73590</v>
      </c>
      <c r="J1107">
        <v>994373</v>
      </c>
      <c r="K1107">
        <v>881038</v>
      </c>
      <c r="L1107">
        <v>840929</v>
      </c>
      <c r="M1107" t="str">
        <f t="shared" si="103"/>
        <v>Medium</v>
      </c>
      <c r="N1107">
        <f>VLOOKUP(C1107,Lookup!$A$2:$D$5,MATCH(M1107,Lookup!$A$1:$D$1,0),FALSE)</f>
        <v>8.5000000000000006E-2</v>
      </c>
      <c r="O1107">
        <f t="shared" si="104"/>
        <v>71478.965000000011</v>
      </c>
      <c r="P1107" s="7">
        <f t="shared" si="105"/>
        <v>0.88602454614570803</v>
      </c>
      <c r="Q1107" s="7">
        <f t="shared" si="106"/>
        <v>6415.3032258064513</v>
      </c>
      <c r="R1107">
        <f t="shared" si="107"/>
        <v>1.0295336537119695</v>
      </c>
    </row>
    <row r="1108" spans="1:18" x14ac:dyDescent="0.25">
      <c r="A1108" t="s">
        <v>663</v>
      </c>
      <c r="B1108" t="s">
        <v>662</v>
      </c>
      <c r="C1108" t="s">
        <v>20</v>
      </c>
      <c r="D1108">
        <v>1301</v>
      </c>
      <c r="E1108" s="1">
        <v>44469</v>
      </c>
      <c r="F1108" s="2">
        <f t="shared" si="102"/>
        <v>2021</v>
      </c>
      <c r="G1108">
        <v>157</v>
      </c>
      <c r="H1108" s="3">
        <v>1123194</v>
      </c>
      <c r="I1108">
        <v>206891</v>
      </c>
      <c r="J1108">
        <v>1123194</v>
      </c>
      <c r="K1108">
        <v>1003558</v>
      </c>
      <c r="L1108">
        <v>982377</v>
      </c>
      <c r="M1108" t="str">
        <f t="shared" si="103"/>
        <v>Large</v>
      </c>
      <c r="N1108">
        <f>VLOOKUP(C1108,Lookup!$A$2:$D$5,MATCH(M1108,Lookup!$A$1:$D$1,0),FALSE)</f>
        <v>0.08</v>
      </c>
      <c r="O1108">
        <f t="shared" si="104"/>
        <v>78590.16</v>
      </c>
      <c r="P1108" s="7">
        <f t="shared" si="105"/>
        <v>0.89348589825088098</v>
      </c>
      <c r="Q1108" s="7">
        <f t="shared" si="106"/>
        <v>7154.1019108280252</v>
      </c>
      <c r="R1108">
        <f t="shared" si="107"/>
        <v>2.6325305865263537</v>
      </c>
    </row>
    <row r="1109" spans="1:18" x14ac:dyDescent="0.25">
      <c r="A1109" t="s">
        <v>664</v>
      </c>
      <c r="B1109" t="s">
        <v>665</v>
      </c>
      <c r="C1109" t="s">
        <v>8</v>
      </c>
      <c r="D1109">
        <v>60450</v>
      </c>
      <c r="E1109" s="1">
        <v>43738</v>
      </c>
      <c r="F1109" s="2">
        <f t="shared" si="102"/>
        <v>2019</v>
      </c>
      <c r="G1109">
        <v>57</v>
      </c>
      <c r="H1109" s="3">
        <v>277932</v>
      </c>
      <c r="I1109">
        <v>57642</v>
      </c>
      <c r="J1109">
        <v>277932</v>
      </c>
      <c r="K1109">
        <v>247201</v>
      </c>
      <c r="L1109">
        <v>245901</v>
      </c>
      <c r="M1109" t="str">
        <f t="shared" si="103"/>
        <v>Medium</v>
      </c>
      <c r="N1109">
        <f>VLOOKUP(C1109,Lookup!$A$2:$D$5,MATCH(M1109,Lookup!$A$1:$D$1,0),FALSE)</f>
        <v>0.08</v>
      </c>
      <c r="O1109">
        <f t="shared" si="104"/>
        <v>19672.080000000002</v>
      </c>
      <c r="P1109" s="7">
        <f t="shared" si="105"/>
        <v>0.88942978858137967</v>
      </c>
      <c r="Q1109" s="7">
        <f t="shared" si="106"/>
        <v>4876</v>
      </c>
      <c r="R1109">
        <f t="shared" si="107"/>
        <v>2.9301426183708075</v>
      </c>
    </row>
    <row r="1110" spans="1:18" x14ac:dyDescent="0.25">
      <c r="A1110" t="s">
        <v>664</v>
      </c>
      <c r="B1110" t="s">
        <v>665</v>
      </c>
      <c r="C1110" t="s">
        <v>8</v>
      </c>
      <c r="D1110">
        <v>60450</v>
      </c>
      <c r="E1110" s="1">
        <v>44104</v>
      </c>
      <c r="F1110" s="2">
        <f t="shared" si="102"/>
        <v>2020</v>
      </c>
      <c r="G1110">
        <v>50</v>
      </c>
      <c r="H1110" s="3">
        <v>319907</v>
      </c>
      <c r="I1110">
        <v>85206</v>
      </c>
      <c r="J1110">
        <v>319907</v>
      </c>
      <c r="K1110">
        <v>286442</v>
      </c>
      <c r="L1110">
        <v>281131</v>
      </c>
      <c r="M1110" t="str">
        <f t="shared" si="103"/>
        <v>Medium</v>
      </c>
      <c r="N1110">
        <f>VLOOKUP(C1110,Lookup!$A$2:$D$5,MATCH(M1110,Lookup!$A$1:$D$1,0),FALSE)</f>
        <v>0.08</v>
      </c>
      <c r="O1110">
        <f t="shared" si="104"/>
        <v>22490.48</v>
      </c>
      <c r="P1110" s="7">
        <f t="shared" si="105"/>
        <v>0.89539147314688328</v>
      </c>
      <c r="Q1110" s="7">
        <f t="shared" si="106"/>
        <v>6398.14</v>
      </c>
      <c r="R1110">
        <f t="shared" si="107"/>
        <v>3.7885363051388854</v>
      </c>
    </row>
    <row r="1111" spans="1:18" x14ac:dyDescent="0.25">
      <c r="A1111" t="s">
        <v>664</v>
      </c>
      <c r="B1111" t="s">
        <v>665</v>
      </c>
      <c r="C1111" t="s">
        <v>8</v>
      </c>
      <c r="D1111">
        <v>60450</v>
      </c>
      <c r="E1111" s="1">
        <v>44469</v>
      </c>
      <c r="F1111" s="2">
        <f t="shared" si="102"/>
        <v>2021</v>
      </c>
      <c r="G1111">
        <v>50</v>
      </c>
      <c r="H1111" s="3">
        <v>408232</v>
      </c>
      <c r="I1111">
        <v>182359</v>
      </c>
      <c r="J1111">
        <v>408232</v>
      </c>
      <c r="K1111">
        <v>372935</v>
      </c>
      <c r="L1111">
        <v>366497</v>
      </c>
      <c r="M1111" t="str">
        <f t="shared" si="103"/>
        <v>Medium</v>
      </c>
      <c r="N1111">
        <f>VLOOKUP(C1111,Lookup!$A$2:$D$5,MATCH(M1111,Lookup!$A$1:$D$1,0),FALSE)</f>
        <v>0.08</v>
      </c>
      <c r="O1111">
        <f t="shared" si="104"/>
        <v>29319.760000000002</v>
      </c>
      <c r="P1111" s="7">
        <f t="shared" si="105"/>
        <v>0.9135369103842913</v>
      </c>
      <c r="Q1111" s="7">
        <f t="shared" si="106"/>
        <v>8164.64</v>
      </c>
      <c r="R1111">
        <f t="shared" si="107"/>
        <v>6.2196620981890707</v>
      </c>
    </row>
    <row r="1112" spans="1:18" x14ac:dyDescent="0.25">
      <c r="A1112" t="s">
        <v>666</v>
      </c>
      <c r="B1112" t="s">
        <v>667</v>
      </c>
      <c r="C1112" t="s">
        <v>8</v>
      </c>
      <c r="D1112">
        <v>62040</v>
      </c>
      <c r="E1112" s="1">
        <v>43738</v>
      </c>
      <c r="F1112" s="2">
        <f t="shared" si="102"/>
        <v>2019</v>
      </c>
      <c r="G1112">
        <v>8</v>
      </c>
      <c r="H1112" s="3">
        <v>37365</v>
      </c>
      <c r="I1112">
        <v>6527</v>
      </c>
      <c r="J1112">
        <v>37365</v>
      </c>
      <c r="K1112">
        <v>30016</v>
      </c>
      <c r="L1112">
        <v>27502</v>
      </c>
      <c r="M1112" t="str">
        <f t="shared" si="103"/>
        <v>Small</v>
      </c>
      <c r="N1112">
        <f>VLOOKUP(C1112,Lookup!$A$2:$D$5,MATCH(M1112,Lookup!$A$1:$D$1,0),FALSE)</f>
        <v>0.09</v>
      </c>
      <c r="O1112">
        <f t="shared" si="104"/>
        <v>2475.1799999999998</v>
      </c>
      <c r="P1112" s="7">
        <f t="shared" si="105"/>
        <v>0.80331861367589996</v>
      </c>
      <c r="Q1112" s="7">
        <f t="shared" si="106"/>
        <v>4670.625</v>
      </c>
      <c r="R1112">
        <f t="shared" si="107"/>
        <v>2.6369799368126765</v>
      </c>
    </row>
    <row r="1113" spans="1:18" x14ac:dyDescent="0.25">
      <c r="A1113" t="s">
        <v>666</v>
      </c>
      <c r="B1113" t="s">
        <v>667</v>
      </c>
      <c r="C1113" t="s">
        <v>8</v>
      </c>
      <c r="D1113">
        <v>62040</v>
      </c>
      <c r="E1113" s="1">
        <v>44104</v>
      </c>
      <c r="F1113" s="2">
        <f t="shared" si="102"/>
        <v>2020</v>
      </c>
      <c r="G1113">
        <v>7</v>
      </c>
      <c r="H1113" s="3">
        <v>37168</v>
      </c>
      <c r="I1113">
        <v>7832</v>
      </c>
      <c r="J1113">
        <v>37168</v>
      </c>
      <c r="K1113">
        <v>30285</v>
      </c>
      <c r="L1113">
        <v>27046</v>
      </c>
      <c r="M1113" t="str">
        <f t="shared" si="103"/>
        <v>Small</v>
      </c>
      <c r="N1113">
        <f>VLOOKUP(C1113,Lookup!$A$2:$D$5,MATCH(M1113,Lookup!$A$1:$D$1,0),FALSE)</f>
        <v>0.09</v>
      </c>
      <c r="O1113">
        <f t="shared" si="104"/>
        <v>2434.14</v>
      </c>
      <c r="P1113" s="7">
        <f t="shared" si="105"/>
        <v>0.81481381833835553</v>
      </c>
      <c r="Q1113" s="7">
        <f t="shared" si="106"/>
        <v>5309.7142857142853</v>
      </c>
      <c r="R1113">
        <f t="shared" si="107"/>
        <v>3.217563492650382</v>
      </c>
    </row>
    <row r="1114" spans="1:18" x14ac:dyDescent="0.25">
      <c r="A1114" t="s">
        <v>666</v>
      </c>
      <c r="B1114" t="s">
        <v>667</v>
      </c>
      <c r="C1114" t="s">
        <v>8</v>
      </c>
      <c r="D1114">
        <v>62040</v>
      </c>
      <c r="E1114" s="1">
        <v>44469</v>
      </c>
      <c r="F1114" s="2">
        <f t="shared" si="102"/>
        <v>2021</v>
      </c>
      <c r="G1114">
        <v>9</v>
      </c>
      <c r="H1114" s="3">
        <v>36549</v>
      </c>
      <c r="I1114">
        <v>9587</v>
      </c>
      <c r="J1114">
        <v>36549</v>
      </c>
      <c r="K1114">
        <v>29816</v>
      </c>
      <c r="L1114">
        <v>29222</v>
      </c>
      <c r="M1114" t="str">
        <f t="shared" si="103"/>
        <v>Small</v>
      </c>
      <c r="N1114">
        <f>VLOOKUP(C1114,Lookup!$A$2:$D$5,MATCH(M1114,Lookup!$A$1:$D$1,0),FALSE)</f>
        <v>0.09</v>
      </c>
      <c r="O1114">
        <f t="shared" si="104"/>
        <v>2629.98</v>
      </c>
      <c r="P1114" s="7">
        <f t="shared" si="105"/>
        <v>0.81578155353087634</v>
      </c>
      <c r="Q1114" s="7">
        <f t="shared" si="106"/>
        <v>4061</v>
      </c>
      <c r="R1114">
        <f t="shared" si="107"/>
        <v>3.6452748690104109</v>
      </c>
    </row>
    <row r="1115" spans="1:18" x14ac:dyDescent="0.25">
      <c r="A1115" t="s">
        <v>668</v>
      </c>
      <c r="B1115" t="s">
        <v>669</v>
      </c>
      <c r="C1115" t="s">
        <v>8</v>
      </c>
      <c r="D1115">
        <v>61378</v>
      </c>
      <c r="E1115" s="1">
        <v>43738</v>
      </c>
      <c r="F1115" s="2">
        <f t="shared" si="102"/>
        <v>2019</v>
      </c>
      <c r="G1115">
        <v>12</v>
      </c>
      <c r="H1115" s="3">
        <v>58448</v>
      </c>
      <c r="I1115">
        <v>8927</v>
      </c>
      <c r="J1115">
        <v>58448</v>
      </c>
      <c r="K1115">
        <v>49149</v>
      </c>
      <c r="L1115">
        <v>49005</v>
      </c>
      <c r="M1115" t="str">
        <f t="shared" si="103"/>
        <v>Small</v>
      </c>
      <c r="N1115">
        <f>VLOOKUP(C1115,Lookup!$A$2:$D$5,MATCH(M1115,Lookup!$A$1:$D$1,0),FALSE)</f>
        <v>0.09</v>
      </c>
      <c r="O1115">
        <f t="shared" si="104"/>
        <v>4410.45</v>
      </c>
      <c r="P1115" s="7">
        <f t="shared" si="105"/>
        <v>0.84090131398850265</v>
      </c>
      <c r="Q1115" s="7">
        <f t="shared" si="106"/>
        <v>4870.666666666667</v>
      </c>
      <c r="R1115">
        <f t="shared" si="107"/>
        <v>2.0240565021709802</v>
      </c>
    </row>
    <row r="1116" spans="1:18" x14ac:dyDescent="0.25">
      <c r="A1116" t="s">
        <v>670</v>
      </c>
      <c r="B1116" t="s">
        <v>16</v>
      </c>
      <c r="C1116" t="s">
        <v>17</v>
      </c>
      <c r="D1116">
        <v>10016</v>
      </c>
      <c r="E1116" s="1">
        <v>43738</v>
      </c>
      <c r="F1116" s="2">
        <f t="shared" si="102"/>
        <v>2019</v>
      </c>
      <c r="G1116">
        <v>140</v>
      </c>
      <c r="H1116" s="3">
        <v>1834740</v>
      </c>
      <c r="I1116">
        <v>769153</v>
      </c>
      <c r="J1116">
        <v>1834740</v>
      </c>
      <c r="K1116">
        <v>1677545</v>
      </c>
      <c r="L1116">
        <v>1648895</v>
      </c>
      <c r="M1116" t="str">
        <f t="shared" si="103"/>
        <v>Large</v>
      </c>
      <c r="N1116">
        <f>VLOOKUP(C1116,Lookup!$A$2:$D$5,MATCH(M1116,Lookup!$A$1:$D$1,0),FALSE)</f>
        <v>0.08</v>
      </c>
      <c r="O1116">
        <f t="shared" si="104"/>
        <v>131911.6</v>
      </c>
      <c r="P1116" s="7">
        <f t="shared" si="105"/>
        <v>0.91432301034479002</v>
      </c>
      <c r="Q1116" s="7">
        <f t="shared" si="106"/>
        <v>13105.285714285714</v>
      </c>
      <c r="R1116">
        <f t="shared" si="107"/>
        <v>5.8308215501896719</v>
      </c>
    </row>
    <row r="1117" spans="1:18" x14ac:dyDescent="0.25">
      <c r="A1117" t="s">
        <v>670</v>
      </c>
      <c r="B1117" t="s">
        <v>16</v>
      </c>
      <c r="C1117" t="s">
        <v>17</v>
      </c>
      <c r="D1117">
        <v>10016</v>
      </c>
      <c r="E1117" s="1">
        <v>44104</v>
      </c>
      <c r="F1117" s="2">
        <f t="shared" si="102"/>
        <v>2020</v>
      </c>
      <c r="G1117">
        <v>140</v>
      </c>
      <c r="H1117" s="3">
        <v>1789285</v>
      </c>
      <c r="I1117">
        <v>377139</v>
      </c>
      <c r="J1117">
        <v>1789285</v>
      </c>
      <c r="K1117">
        <v>1614358</v>
      </c>
      <c r="L1117">
        <v>1485995</v>
      </c>
      <c r="M1117" t="str">
        <f t="shared" si="103"/>
        <v>Large</v>
      </c>
      <c r="N1117">
        <f>VLOOKUP(C1117,Lookup!$A$2:$D$5,MATCH(M1117,Lookup!$A$1:$D$1,0),FALSE)</f>
        <v>0.08</v>
      </c>
      <c r="O1117">
        <f t="shared" si="104"/>
        <v>118879.6</v>
      </c>
      <c r="P1117" s="7">
        <f t="shared" si="105"/>
        <v>0.90223636815823083</v>
      </c>
      <c r="Q1117" s="7">
        <f t="shared" si="106"/>
        <v>12780.607142857143</v>
      </c>
      <c r="R1117">
        <f t="shared" si="107"/>
        <v>3.1724450620627929</v>
      </c>
    </row>
    <row r="1118" spans="1:18" x14ac:dyDescent="0.25">
      <c r="A1118" t="s">
        <v>670</v>
      </c>
      <c r="B1118" t="s">
        <v>16</v>
      </c>
      <c r="C1118" t="s">
        <v>17</v>
      </c>
      <c r="D1118">
        <v>10016</v>
      </c>
      <c r="E1118" s="1">
        <v>44469</v>
      </c>
      <c r="F1118" s="2">
        <f t="shared" si="102"/>
        <v>2021</v>
      </c>
      <c r="G1118">
        <v>151</v>
      </c>
      <c r="H1118" s="3">
        <v>1942084</v>
      </c>
      <c r="I1118">
        <v>438437</v>
      </c>
      <c r="J1118">
        <v>1942084</v>
      </c>
      <c r="K1118">
        <v>1750318</v>
      </c>
      <c r="L1118">
        <v>1615836</v>
      </c>
      <c r="M1118" t="str">
        <f t="shared" si="103"/>
        <v>Large</v>
      </c>
      <c r="N1118">
        <f>VLOOKUP(C1118,Lookup!$A$2:$D$5,MATCH(M1118,Lookup!$A$1:$D$1,0),FALSE)</f>
        <v>0.08</v>
      </c>
      <c r="O1118">
        <f t="shared" si="104"/>
        <v>129266.88</v>
      </c>
      <c r="P1118" s="7">
        <f t="shared" si="105"/>
        <v>0.90125761810508709</v>
      </c>
      <c r="Q1118" s="7">
        <f t="shared" si="106"/>
        <v>12861.48344370861</v>
      </c>
      <c r="R1118">
        <f t="shared" si="107"/>
        <v>3.3917195185650026</v>
      </c>
    </row>
    <row r="1119" spans="1:18" x14ac:dyDescent="0.25">
      <c r="A1119" t="s">
        <v>671</v>
      </c>
      <c r="B1119" t="s">
        <v>47</v>
      </c>
      <c r="C1119" t="s">
        <v>5</v>
      </c>
      <c r="D1119">
        <v>90010</v>
      </c>
      <c r="E1119" s="1">
        <v>43738</v>
      </c>
      <c r="F1119" s="2">
        <f t="shared" si="102"/>
        <v>2019</v>
      </c>
      <c r="G1119">
        <v>635</v>
      </c>
      <c r="H1119" s="3">
        <v>5512619</v>
      </c>
      <c r="I1119">
        <v>150679</v>
      </c>
      <c r="J1119">
        <v>5512619</v>
      </c>
      <c r="K1119">
        <v>4841975</v>
      </c>
      <c r="L1119">
        <v>4697001</v>
      </c>
      <c r="M1119" t="str">
        <f t="shared" si="103"/>
        <v>Large</v>
      </c>
      <c r="N1119">
        <f>VLOOKUP(C1119,Lookup!$A$2:$D$5,MATCH(M1119,Lookup!$A$1:$D$1,0),FALSE)</f>
        <v>0.08</v>
      </c>
      <c r="O1119">
        <f t="shared" si="104"/>
        <v>375760.08</v>
      </c>
      <c r="P1119" s="7">
        <f t="shared" si="105"/>
        <v>0.87834385071778043</v>
      </c>
      <c r="Q1119" s="7">
        <f t="shared" si="106"/>
        <v>8681.2897637795268</v>
      </c>
      <c r="R1119">
        <f t="shared" si="107"/>
        <v>0.40099789205920966</v>
      </c>
    </row>
    <row r="1120" spans="1:18" x14ac:dyDescent="0.25">
      <c r="A1120" t="s">
        <v>671</v>
      </c>
      <c r="B1120" t="s">
        <v>47</v>
      </c>
      <c r="C1120" t="s">
        <v>5</v>
      </c>
      <c r="D1120">
        <v>90010</v>
      </c>
      <c r="E1120" s="1">
        <v>44104</v>
      </c>
      <c r="F1120" s="2">
        <f t="shared" si="102"/>
        <v>2020</v>
      </c>
      <c r="G1120">
        <v>600</v>
      </c>
      <c r="H1120" s="3">
        <v>6103789</v>
      </c>
      <c r="I1120">
        <v>359755</v>
      </c>
      <c r="J1120">
        <v>6103789</v>
      </c>
      <c r="K1120">
        <v>5440560</v>
      </c>
      <c r="L1120">
        <v>5210428</v>
      </c>
      <c r="M1120" t="str">
        <f t="shared" si="103"/>
        <v>Large</v>
      </c>
      <c r="N1120">
        <f>VLOOKUP(C1120,Lookup!$A$2:$D$5,MATCH(M1120,Lookup!$A$1:$D$1,0),FALSE)</f>
        <v>0.08</v>
      </c>
      <c r="O1120">
        <f t="shared" si="104"/>
        <v>416834.24</v>
      </c>
      <c r="P1120" s="7">
        <f t="shared" si="105"/>
        <v>0.89134142743138733</v>
      </c>
      <c r="Q1120" s="7">
        <f t="shared" si="106"/>
        <v>10172.981666666667</v>
      </c>
      <c r="R1120">
        <f t="shared" si="107"/>
        <v>0.86306489601238134</v>
      </c>
    </row>
    <row r="1121" spans="1:18" x14ac:dyDescent="0.25">
      <c r="A1121" t="s">
        <v>671</v>
      </c>
      <c r="B1121" t="s">
        <v>47</v>
      </c>
      <c r="C1121" t="s">
        <v>5</v>
      </c>
      <c r="D1121">
        <v>90010</v>
      </c>
      <c r="E1121" s="1">
        <v>44469</v>
      </c>
      <c r="F1121" s="2">
        <f t="shared" si="102"/>
        <v>2021</v>
      </c>
      <c r="G1121">
        <v>606</v>
      </c>
      <c r="H1121" s="3">
        <v>6775618</v>
      </c>
      <c r="I1121">
        <v>824347</v>
      </c>
      <c r="J1121">
        <v>6775618</v>
      </c>
      <c r="K1121">
        <v>6045980</v>
      </c>
      <c r="L1121">
        <v>5824018</v>
      </c>
      <c r="M1121" t="str">
        <f t="shared" si="103"/>
        <v>Large</v>
      </c>
      <c r="N1121">
        <f>VLOOKUP(C1121,Lookup!$A$2:$D$5,MATCH(M1121,Lookup!$A$1:$D$1,0),FALSE)</f>
        <v>0.08</v>
      </c>
      <c r="O1121">
        <f t="shared" si="104"/>
        <v>465921.44</v>
      </c>
      <c r="P1121" s="7">
        <f t="shared" si="105"/>
        <v>0.89231417709794147</v>
      </c>
      <c r="Q1121" s="7">
        <f t="shared" si="106"/>
        <v>11180.887788778879</v>
      </c>
      <c r="R1121">
        <f t="shared" si="107"/>
        <v>1.7692832508416012</v>
      </c>
    </row>
    <row r="1122" spans="1:18" x14ac:dyDescent="0.25">
      <c r="A1122" t="s">
        <v>672</v>
      </c>
      <c r="B1122" t="s">
        <v>673</v>
      </c>
      <c r="C1122" t="s">
        <v>17</v>
      </c>
      <c r="D1122">
        <v>11040</v>
      </c>
      <c r="E1122" s="1">
        <v>43738</v>
      </c>
      <c r="F1122" s="2">
        <f t="shared" si="102"/>
        <v>2019</v>
      </c>
      <c r="G1122">
        <v>102</v>
      </c>
      <c r="H1122" s="3">
        <v>848837</v>
      </c>
      <c r="I1122">
        <v>66275</v>
      </c>
      <c r="J1122">
        <v>848837</v>
      </c>
      <c r="K1122">
        <v>763623</v>
      </c>
      <c r="L1122">
        <v>651454</v>
      </c>
      <c r="M1122" t="str">
        <f t="shared" si="103"/>
        <v>Medium</v>
      </c>
      <c r="N1122">
        <f>VLOOKUP(C1122,Lookup!$A$2:$D$5,MATCH(M1122,Lookup!$A$1:$D$1,0),FALSE)</f>
        <v>8.5000000000000006E-2</v>
      </c>
      <c r="O1122">
        <f t="shared" si="104"/>
        <v>55373.590000000004</v>
      </c>
      <c r="P1122" s="7">
        <f t="shared" si="105"/>
        <v>0.89961087935610728</v>
      </c>
      <c r="Q1122" s="7">
        <f t="shared" si="106"/>
        <v>8321.9313725490192</v>
      </c>
      <c r="R1122">
        <f t="shared" si="107"/>
        <v>1.1968702047311723</v>
      </c>
    </row>
    <row r="1123" spans="1:18" x14ac:dyDescent="0.25">
      <c r="A1123" t="s">
        <v>672</v>
      </c>
      <c r="B1123" t="s">
        <v>673</v>
      </c>
      <c r="C1123" t="s">
        <v>17</v>
      </c>
      <c r="D1123">
        <v>11040</v>
      </c>
      <c r="E1123" s="1">
        <v>44104</v>
      </c>
      <c r="F1123" s="2">
        <f t="shared" si="102"/>
        <v>2020</v>
      </c>
      <c r="G1123">
        <v>94</v>
      </c>
      <c r="H1123" s="3">
        <v>851606</v>
      </c>
      <c r="I1123">
        <v>80209</v>
      </c>
      <c r="J1123">
        <v>851606</v>
      </c>
      <c r="K1123">
        <v>759814</v>
      </c>
      <c r="L1123">
        <v>665274</v>
      </c>
      <c r="M1123" t="str">
        <f t="shared" si="103"/>
        <v>Medium</v>
      </c>
      <c r="N1123">
        <f>VLOOKUP(C1123,Lookup!$A$2:$D$5,MATCH(M1123,Lookup!$A$1:$D$1,0),FALSE)</f>
        <v>8.5000000000000006E-2</v>
      </c>
      <c r="O1123">
        <f t="shared" si="104"/>
        <v>56548.29</v>
      </c>
      <c r="P1123" s="7">
        <f t="shared" si="105"/>
        <v>0.89221306566651715</v>
      </c>
      <c r="Q1123" s="7">
        <f t="shared" si="106"/>
        <v>9059.6382978723395</v>
      </c>
      <c r="R1123">
        <f t="shared" si="107"/>
        <v>1.4184160122260108</v>
      </c>
    </row>
    <row r="1124" spans="1:18" x14ac:dyDescent="0.25">
      <c r="A1124" t="s">
        <v>672</v>
      </c>
      <c r="B1124" t="s">
        <v>673</v>
      </c>
      <c r="C1124" t="s">
        <v>17</v>
      </c>
      <c r="D1124">
        <v>11040</v>
      </c>
      <c r="E1124" s="1">
        <v>44469</v>
      </c>
      <c r="F1124" s="2">
        <f t="shared" si="102"/>
        <v>2021</v>
      </c>
      <c r="G1124">
        <v>136</v>
      </c>
      <c r="H1124" s="3">
        <v>1484641</v>
      </c>
      <c r="I1124">
        <v>151684</v>
      </c>
      <c r="J1124">
        <v>1484641</v>
      </c>
      <c r="K1124">
        <v>1338409</v>
      </c>
      <c r="L1124">
        <v>1165232</v>
      </c>
      <c r="M1124" t="str">
        <f t="shared" si="103"/>
        <v>Large</v>
      </c>
      <c r="N1124">
        <f>VLOOKUP(C1124,Lookup!$A$2:$D$5,MATCH(M1124,Lookup!$A$1:$D$1,0),FALSE)</f>
        <v>0.08</v>
      </c>
      <c r="O1124">
        <f t="shared" si="104"/>
        <v>93218.559999999998</v>
      </c>
      <c r="P1124" s="7">
        <f t="shared" si="105"/>
        <v>0.90150346110608559</v>
      </c>
      <c r="Q1124" s="7">
        <f t="shared" si="106"/>
        <v>10916.47794117647</v>
      </c>
      <c r="R1124">
        <f t="shared" si="107"/>
        <v>1.6271866890027051</v>
      </c>
    </row>
    <row r="1125" spans="1:18" x14ac:dyDescent="0.25">
      <c r="A1125" t="s">
        <v>674</v>
      </c>
      <c r="B1125" t="s">
        <v>675</v>
      </c>
      <c r="C1125" t="s">
        <v>20</v>
      </c>
      <c r="D1125">
        <v>2301</v>
      </c>
      <c r="E1125" s="1">
        <v>43738</v>
      </c>
      <c r="F1125" s="2">
        <f t="shared" si="102"/>
        <v>2019</v>
      </c>
      <c r="G1125">
        <v>657</v>
      </c>
      <c r="H1125" s="3">
        <v>3818755</v>
      </c>
      <c r="I1125">
        <v>113619</v>
      </c>
      <c r="J1125">
        <v>3818755</v>
      </c>
      <c r="K1125">
        <v>3295806</v>
      </c>
      <c r="L1125">
        <v>2932304</v>
      </c>
      <c r="M1125" t="str">
        <f t="shared" si="103"/>
        <v>Large</v>
      </c>
      <c r="N1125">
        <f>VLOOKUP(C1125,Lookup!$A$2:$D$5,MATCH(M1125,Lookup!$A$1:$D$1,0),FALSE)</f>
        <v>0.08</v>
      </c>
      <c r="O1125">
        <f t="shared" si="104"/>
        <v>234584.32000000001</v>
      </c>
      <c r="P1125" s="7">
        <f t="shared" si="105"/>
        <v>0.86305772431067196</v>
      </c>
      <c r="Q1125" s="7">
        <f t="shared" si="106"/>
        <v>5812.4124809741252</v>
      </c>
      <c r="R1125">
        <f t="shared" si="107"/>
        <v>0.4843418349529926</v>
      </c>
    </row>
    <row r="1126" spans="1:18" x14ac:dyDescent="0.25">
      <c r="A1126" t="s">
        <v>674</v>
      </c>
      <c r="B1126" t="s">
        <v>675</v>
      </c>
      <c r="C1126" t="s">
        <v>20</v>
      </c>
      <c r="D1126">
        <v>2301</v>
      </c>
      <c r="E1126" s="1">
        <v>44104</v>
      </c>
      <c r="F1126" s="2">
        <f t="shared" si="102"/>
        <v>2020</v>
      </c>
      <c r="G1126">
        <v>630</v>
      </c>
      <c r="H1126" s="3">
        <v>4432932</v>
      </c>
      <c r="I1126">
        <v>140402</v>
      </c>
      <c r="J1126">
        <v>4432932</v>
      </c>
      <c r="K1126">
        <v>3871362</v>
      </c>
      <c r="L1126">
        <v>3506440</v>
      </c>
      <c r="M1126" t="str">
        <f t="shared" si="103"/>
        <v>Large</v>
      </c>
      <c r="N1126">
        <f>VLOOKUP(C1126,Lookup!$A$2:$D$5,MATCH(M1126,Lookup!$A$1:$D$1,0),FALSE)</f>
        <v>0.08</v>
      </c>
      <c r="O1126">
        <f t="shared" si="104"/>
        <v>280515.20000000001</v>
      </c>
      <c r="P1126" s="7">
        <f t="shared" si="105"/>
        <v>0.87331860718819965</v>
      </c>
      <c r="Q1126" s="7">
        <f t="shared" si="106"/>
        <v>7036.4</v>
      </c>
      <c r="R1126">
        <f t="shared" si="107"/>
        <v>0.50051476711422405</v>
      </c>
    </row>
    <row r="1127" spans="1:18" x14ac:dyDescent="0.25">
      <c r="A1127" t="s">
        <v>674</v>
      </c>
      <c r="B1127" t="s">
        <v>675</v>
      </c>
      <c r="C1127" t="s">
        <v>20</v>
      </c>
      <c r="D1127">
        <v>2301</v>
      </c>
      <c r="E1127" s="1">
        <v>44469</v>
      </c>
      <c r="F1127" s="2">
        <f t="shared" si="102"/>
        <v>2021</v>
      </c>
      <c r="G1127">
        <v>634</v>
      </c>
      <c r="H1127" s="3">
        <v>4570043</v>
      </c>
      <c r="I1127">
        <v>323728</v>
      </c>
      <c r="J1127">
        <v>4570043</v>
      </c>
      <c r="K1127">
        <v>3939074</v>
      </c>
      <c r="L1127">
        <v>3755688</v>
      </c>
      <c r="M1127" t="str">
        <f t="shared" si="103"/>
        <v>Large</v>
      </c>
      <c r="N1127">
        <f>VLOOKUP(C1127,Lookup!$A$2:$D$5,MATCH(M1127,Lookup!$A$1:$D$1,0),FALSE)</f>
        <v>0.08</v>
      </c>
      <c r="O1127">
        <f t="shared" si="104"/>
        <v>300455.03999999998</v>
      </c>
      <c r="P1127" s="7">
        <f t="shared" si="105"/>
        <v>0.8619336842125993</v>
      </c>
      <c r="Q1127" s="7">
        <f t="shared" si="106"/>
        <v>7208.2697160883281</v>
      </c>
      <c r="R1127">
        <f t="shared" si="107"/>
        <v>1.077459043456219</v>
      </c>
    </row>
    <row r="1128" spans="1:18" x14ac:dyDescent="0.25">
      <c r="A1128" t="s">
        <v>676</v>
      </c>
      <c r="B1128" t="s">
        <v>677</v>
      </c>
      <c r="C1128" t="s">
        <v>8</v>
      </c>
      <c r="D1128">
        <v>62643</v>
      </c>
      <c r="E1128" s="1">
        <v>43738</v>
      </c>
      <c r="F1128" s="2">
        <f t="shared" si="102"/>
        <v>2019</v>
      </c>
      <c r="G1128">
        <v>3</v>
      </c>
      <c r="H1128" s="3">
        <v>16160</v>
      </c>
      <c r="I1128">
        <v>877</v>
      </c>
      <c r="J1128">
        <v>16160</v>
      </c>
      <c r="K1128">
        <v>14090</v>
      </c>
      <c r="L1128">
        <v>14017</v>
      </c>
      <c r="M1128" t="str">
        <f t="shared" si="103"/>
        <v>Small</v>
      </c>
      <c r="N1128">
        <f>VLOOKUP(C1128,Lookup!$A$2:$D$5,MATCH(M1128,Lookup!$A$1:$D$1,0),FALSE)</f>
        <v>0.09</v>
      </c>
      <c r="O1128">
        <f t="shared" si="104"/>
        <v>1261.53</v>
      </c>
      <c r="P1128" s="7">
        <f t="shared" si="105"/>
        <v>0.87190594059405946</v>
      </c>
      <c r="Q1128" s="7">
        <f t="shared" si="106"/>
        <v>5386.666666666667</v>
      </c>
      <c r="R1128">
        <f t="shared" si="107"/>
        <v>0.69518758967285754</v>
      </c>
    </row>
    <row r="1129" spans="1:18" x14ac:dyDescent="0.25">
      <c r="A1129" t="s">
        <v>676</v>
      </c>
      <c r="B1129" t="s">
        <v>677</v>
      </c>
      <c r="C1129" t="s">
        <v>8</v>
      </c>
      <c r="D1129">
        <v>62643</v>
      </c>
      <c r="E1129" s="1">
        <v>44104</v>
      </c>
      <c r="F1129" s="2">
        <f t="shared" si="102"/>
        <v>2020</v>
      </c>
      <c r="G1129">
        <v>3</v>
      </c>
      <c r="H1129" s="3">
        <v>17240</v>
      </c>
      <c r="I1129">
        <v>685</v>
      </c>
      <c r="J1129">
        <v>17240</v>
      </c>
      <c r="K1129">
        <v>15128</v>
      </c>
      <c r="L1129">
        <v>15036</v>
      </c>
      <c r="M1129" t="str">
        <f t="shared" si="103"/>
        <v>Small</v>
      </c>
      <c r="N1129">
        <f>VLOOKUP(C1129,Lookup!$A$2:$D$5,MATCH(M1129,Lookup!$A$1:$D$1,0),FALSE)</f>
        <v>0.09</v>
      </c>
      <c r="O1129">
        <f t="shared" si="104"/>
        <v>1353.24</v>
      </c>
      <c r="P1129" s="7">
        <f t="shared" si="105"/>
        <v>0.87749419953596286</v>
      </c>
      <c r="Q1129" s="7">
        <f t="shared" si="106"/>
        <v>5746.666666666667</v>
      </c>
      <c r="R1129">
        <f t="shared" si="107"/>
        <v>0.50619254529869051</v>
      </c>
    </row>
    <row r="1130" spans="1:18" x14ac:dyDescent="0.25">
      <c r="A1130" t="s">
        <v>676</v>
      </c>
      <c r="B1130" t="s">
        <v>677</v>
      </c>
      <c r="C1130" t="s">
        <v>8</v>
      </c>
      <c r="D1130">
        <v>62643</v>
      </c>
      <c r="E1130" s="1">
        <v>44469</v>
      </c>
      <c r="F1130" s="2">
        <f t="shared" si="102"/>
        <v>2021</v>
      </c>
      <c r="G1130">
        <v>3</v>
      </c>
      <c r="H1130" s="3">
        <v>19114</v>
      </c>
      <c r="I1130">
        <v>1529</v>
      </c>
      <c r="J1130">
        <v>19114</v>
      </c>
      <c r="K1130">
        <v>17129</v>
      </c>
      <c r="L1130">
        <v>17061</v>
      </c>
      <c r="M1130" t="str">
        <f t="shared" si="103"/>
        <v>Small</v>
      </c>
      <c r="N1130">
        <f>VLOOKUP(C1130,Lookup!$A$2:$D$5,MATCH(M1130,Lookup!$A$1:$D$1,0),FALSE)</f>
        <v>0.09</v>
      </c>
      <c r="O1130">
        <f t="shared" si="104"/>
        <v>1535.49</v>
      </c>
      <c r="P1130" s="7">
        <f t="shared" si="105"/>
        <v>0.89614941927383074</v>
      </c>
      <c r="Q1130" s="7">
        <f t="shared" si="106"/>
        <v>6371.333333333333</v>
      </c>
      <c r="R1130">
        <f t="shared" si="107"/>
        <v>0.9957733361988681</v>
      </c>
    </row>
    <row r="1131" spans="1:18" x14ac:dyDescent="0.25">
      <c r="A1131" t="s">
        <v>678</v>
      </c>
      <c r="B1131" t="s">
        <v>679</v>
      </c>
      <c r="C1131" t="s">
        <v>5</v>
      </c>
      <c r="D1131">
        <v>92078</v>
      </c>
      <c r="E1131" s="1">
        <v>43738</v>
      </c>
      <c r="F1131" s="2">
        <f t="shared" si="102"/>
        <v>2019</v>
      </c>
      <c r="G1131">
        <v>4</v>
      </c>
      <c r="H1131" s="3">
        <v>68473</v>
      </c>
      <c r="I1131">
        <v>5018</v>
      </c>
      <c r="J1131">
        <v>68473</v>
      </c>
      <c r="K1131">
        <v>41551</v>
      </c>
      <c r="L1131">
        <v>37790</v>
      </c>
      <c r="M1131" t="str">
        <f t="shared" si="103"/>
        <v>Small</v>
      </c>
      <c r="N1131">
        <f>VLOOKUP(C1131,Lookup!$A$2:$D$5,MATCH(M1131,Lookup!$A$1:$D$1,0),FALSE)</f>
        <v>0.1</v>
      </c>
      <c r="O1131">
        <f t="shared" si="104"/>
        <v>3779</v>
      </c>
      <c r="P1131" s="7">
        <f t="shared" si="105"/>
        <v>0.60682312736407051</v>
      </c>
      <c r="Q1131" s="7">
        <f t="shared" si="106"/>
        <v>17118.25</v>
      </c>
      <c r="R1131">
        <f t="shared" si="107"/>
        <v>1.3278645144218046</v>
      </c>
    </row>
    <row r="1132" spans="1:18" x14ac:dyDescent="0.25">
      <c r="A1132" t="s">
        <v>678</v>
      </c>
      <c r="B1132" t="s">
        <v>679</v>
      </c>
      <c r="C1132" t="s">
        <v>5</v>
      </c>
      <c r="D1132">
        <v>92078</v>
      </c>
      <c r="E1132" s="1">
        <v>44104</v>
      </c>
      <c r="F1132" s="2">
        <f t="shared" si="102"/>
        <v>2020</v>
      </c>
      <c r="G1132">
        <v>5</v>
      </c>
      <c r="H1132" s="3">
        <v>110191</v>
      </c>
      <c r="I1132">
        <v>57502</v>
      </c>
      <c r="J1132">
        <v>110191</v>
      </c>
      <c r="K1132">
        <v>82432</v>
      </c>
      <c r="L1132">
        <v>69525</v>
      </c>
      <c r="M1132" t="str">
        <f t="shared" si="103"/>
        <v>Medium</v>
      </c>
      <c r="N1132">
        <f>VLOOKUP(C1132,Lookup!$A$2:$D$5,MATCH(M1132,Lookup!$A$1:$D$1,0),FALSE)</f>
        <v>0.09</v>
      </c>
      <c r="O1132">
        <f t="shared" si="104"/>
        <v>6257.25</v>
      </c>
      <c r="P1132" s="7">
        <f t="shared" si="105"/>
        <v>0.74808287428192866</v>
      </c>
      <c r="Q1132" s="7">
        <f t="shared" si="106"/>
        <v>22038.2</v>
      </c>
      <c r="R1132">
        <f t="shared" si="107"/>
        <v>9.1896599944064885</v>
      </c>
    </row>
    <row r="1133" spans="1:18" x14ac:dyDescent="0.25">
      <c r="A1133" t="s">
        <v>678</v>
      </c>
      <c r="B1133" t="s">
        <v>679</v>
      </c>
      <c r="C1133" t="s">
        <v>5</v>
      </c>
      <c r="D1133">
        <v>92078</v>
      </c>
      <c r="E1133" s="1">
        <v>44469</v>
      </c>
      <c r="F1133" s="2">
        <f t="shared" si="102"/>
        <v>2021</v>
      </c>
      <c r="G1133">
        <v>7</v>
      </c>
      <c r="H1133" s="3">
        <v>466319</v>
      </c>
      <c r="I1133">
        <v>353410</v>
      </c>
      <c r="J1133">
        <v>466319</v>
      </c>
      <c r="K1133">
        <v>437775</v>
      </c>
      <c r="L1133">
        <v>436008</v>
      </c>
      <c r="M1133" t="str">
        <f t="shared" si="103"/>
        <v>Medium</v>
      </c>
      <c r="N1133">
        <f>VLOOKUP(C1133,Lookup!$A$2:$D$5,MATCH(M1133,Lookup!$A$1:$D$1,0),FALSE)</f>
        <v>0.09</v>
      </c>
      <c r="O1133">
        <f t="shared" si="104"/>
        <v>39240.720000000001</v>
      </c>
      <c r="P1133" s="7">
        <f t="shared" si="105"/>
        <v>0.93878868328333176</v>
      </c>
      <c r="Q1133" s="7">
        <f t="shared" si="106"/>
        <v>66617</v>
      </c>
      <c r="R1133">
        <f t="shared" si="107"/>
        <v>9.0062057984664907</v>
      </c>
    </row>
    <row r="1134" spans="1:18" x14ac:dyDescent="0.25">
      <c r="A1134" t="s">
        <v>680</v>
      </c>
      <c r="B1134" t="s">
        <v>681</v>
      </c>
      <c r="C1134" t="s">
        <v>20</v>
      </c>
      <c r="D1134">
        <v>1830</v>
      </c>
      <c r="E1134" s="1">
        <v>43738</v>
      </c>
      <c r="F1134" s="2">
        <f t="shared" si="102"/>
        <v>2019</v>
      </c>
      <c r="G1134">
        <v>72</v>
      </c>
      <c r="H1134" s="3">
        <v>412900</v>
      </c>
      <c r="I1134">
        <v>25513</v>
      </c>
      <c r="J1134">
        <v>412900</v>
      </c>
      <c r="K1134">
        <v>367425</v>
      </c>
      <c r="L1134">
        <v>343465</v>
      </c>
      <c r="M1134" t="str">
        <f t="shared" si="103"/>
        <v>Medium</v>
      </c>
      <c r="N1134">
        <f>VLOOKUP(C1134,Lookup!$A$2:$D$5,MATCH(M1134,Lookup!$A$1:$D$1,0),FALSE)</f>
        <v>8.5000000000000006E-2</v>
      </c>
      <c r="O1134">
        <f t="shared" si="104"/>
        <v>29194.525000000001</v>
      </c>
      <c r="P1134" s="7">
        <f t="shared" si="105"/>
        <v>0.88986437394042139</v>
      </c>
      <c r="Q1134" s="7">
        <f t="shared" si="106"/>
        <v>5734.7222222222226</v>
      </c>
      <c r="R1134">
        <f t="shared" si="107"/>
        <v>0.87389673234964427</v>
      </c>
    </row>
    <row r="1135" spans="1:18" x14ac:dyDescent="0.25">
      <c r="A1135" t="s">
        <v>680</v>
      </c>
      <c r="B1135" t="s">
        <v>681</v>
      </c>
      <c r="C1135" t="s">
        <v>20</v>
      </c>
      <c r="D1135">
        <v>1830</v>
      </c>
      <c r="E1135" s="1">
        <v>44104</v>
      </c>
      <c r="F1135" s="2">
        <f t="shared" si="102"/>
        <v>2020</v>
      </c>
      <c r="G1135">
        <v>70</v>
      </c>
      <c r="H1135" s="3">
        <v>488757</v>
      </c>
      <c r="I1135">
        <v>70416</v>
      </c>
      <c r="J1135">
        <v>488757</v>
      </c>
      <c r="K1135">
        <v>440147</v>
      </c>
      <c r="L1135">
        <v>412103</v>
      </c>
      <c r="M1135" t="str">
        <f t="shared" si="103"/>
        <v>Medium</v>
      </c>
      <c r="N1135">
        <f>VLOOKUP(C1135,Lookup!$A$2:$D$5,MATCH(M1135,Lookup!$A$1:$D$1,0),FALSE)</f>
        <v>8.5000000000000006E-2</v>
      </c>
      <c r="O1135">
        <f t="shared" si="104"/>
        <v>35028.755000000005</v>
      </c>
      <c r="P1135" s="7">
        <f t="shared" si="105"/>
        <v>0.90054362392763687</v>
      </c>
      <c r="Q1135" s="7">
        <f t="shared" si="106"/>
        <v>6982.2428571428572</v>
      </c>
      <c r="R1135">
        <f t="shared" si="107"/>
        <v>2.0102341633323819</v>
      </c>
    </row>
    <row r="1136" spans="1:18" x14ac:dyDescent="0.25">
      <c r="A1136" t="s">
        <v>680</v>
      </c>
      <c r="B1136" t="s">
        <v>681</v>
      </c>
      <c r="C1136" t="s">
        <v>20</v>
      </c>
      <c r="D1136">
        <v>1830</v>
      </c>
      <c r="E1136" s="1">
        <v>44469</v>
      </c>
      <c r="F1136" s="2">
        <f t="shared" si="102"/>
        <v>2021</v>
      </c>
      <c r="G1136">
        <v>69</v>
      </c>
      <c r="H1136" s="3">
        <v>546469</v>
      </c>
      <c r="I1136">
        <v>87716</v>
      </c>
      <c r="J1136">
        <v>546469</v>
      </c>
      <c r="K1136">
        <v>494160</v>
      </c>
      <c r="L1136">
        <v>473347</v>
      </c>
      <c r="M1136" t="str">
        <f t="shared" si="103"/>
        <v>Medium</v>
      </c>
      <c r="N1136">
        <f>VLOOKUP(C1136,Lookup!$A$2:$D$5,MATCH(M1136,Lookup!$A$1:$D$1,0),FALSE)</f>
        <v>8.5000000000000006E-2</v>
      </c>
      <c r="O1136">
        <f t="shared" si="104"/>
        <v>40234.495000000003</v>
      </c>
      <c r="P1136" s="7">
        <f t="shared" si="105"/>
        <v>0.90427819327354342</v>
      </c>
      <c r="Q1136" s="7">
        <f t="shared" si="106"/>
        <v>7919.840579710145</v>
      </c>
      <c r="R1136">
        <f t="shared" si="107"/>
        <v>2.1801193229839222</v>
      </c>
    </row>
    <row r="1137" spans="1:18" x14ac:dyDescent="0.25">
      <c r="A1137" t="s">
        <v>682</v>
      </c>
      <c r="B1137" t="s">
        <v>378</v>
      </c>
      <c r="C1137" t="s">
        <v>8</v>
      </c>
      <c r="D1137">
        <v>61702</v>
      </c>
      <c r="E1137" s="1">
        <v>43738</v>
      </c>
      <c r="F1137" s="2">
        <f t="shared" si="102"/>
        <v>2019</v>
      </c>
      <c r="G1137">
        <v>669</v>
      </c>
      <c r="H1137" s="3">
        <v>2818116</v>
      </c>
      <c r="I1137">
        <v>107653</v>
      </c>
      <c r="J1137">
        <v>2818116</v>
      </c>
      <c r="K1137">
        <v>2472725</v>
      </c>
      <c r="L1137">
        <v>2401146</v>
      </c>
      <c r="M1137" t="str">
        <f t="shared" si="103"/>
        <v>Large</v>
      </c>
      <c r="N1137">
        <f>VLOOKUP(C1137,Lookup!$A$2:$D$5,MATCH(M1137,Lookup!$A$1:$D$1,0),FALSE)</f>
        <v>7.4999999999999997E-2</v>
      </c>
      <c r="O1137">
        <f t="shared" si="104"/>
        <v>180085.94999999998</v>
      </c>
      <c r="P1137" s="7">
        <f t="shared" si="105"/>
        <v>0.87743904083437307</v>
      </c>
      <c r="Q1137" s="7">
        <f t="shared" si="106"/>
        <v>4212.4304932735422</v>
      </c>
      <c r="R1137">
        <f t="shared" si="107"/>
        <v>0.59778677903523292</v>
      </c>
    </row>
    <row r="1138" spans="1:18" x14ac:dyDescent="0.25">
      <c r="A1138" t="s">
        <v>682</v>
      </c>
      <c r="B1138" t="s">
        <v>378</v>
      </c>
      <c r="C1138" t="s">
        <v>8</v>
      </c>
      <c r="D1138">
        <v>61702</v>
      </c>
      <c r="E1138" s="1">
        <v>44104</v>
      </c>
      <c r="F1138" s="2">
        <f t="shared" si="102"/>
        <v>2020</v>
      </c>
      <c r="G1138">
        <v>680</v>
      </c>
      <c r="H1138" s="3">
        <v>3184069</v>
      </c>
      <c r="I1138">
        <v>189114</v>
      </c>
      <c r="J1138">
        <v>3184069</v>
      </c>
      <c r="K1138">
        <v>2836099</v>
      </c>
      <c r="L1138">
        <v>2753846</v>
      </c>
      <c r="M1138" t="str">
        <f t="shared" si="103"/>
        <v>Large</v>
      </c>
      <c r="N1138">
        <f>VLOOKUP(C1138,Lookup!$A$2:$D$5,MATCH(M1138,Lookup!$A$1:$D$1,0),FALSE)</f>
        <v>7.4999999999999997E-2</v>
      </c>
      <c r="O1138">
        <f t="shared" si="104"/>
        <v>206538.44999999998</v>
      </c>
      <c r="P1138" s="7">
        <f t="shared" si="105"/>
        <v>0.89071530799112708</v>
      </c>
      <c r="Q1138" s="7">
        <f t="shared" si="106"/>
        <v>4682.4544117647056</v>
      </c>
      <c r="R1138">
        <f t="shared" si="107"/>
        <v>0.91563580534278255</v>
      </c>
    </row>
    <row r="1139" spans="1:18" x14ac:dyDescent="0.25">
      <c r="A1139" t="s">
        <v>682</v>
      </c>
      <c r="B1139" t="s">
        <v>378</v>
      </c>
      <c r="C1139" t="s">
        <v>8</v>
      </c>
      <c r="D1139">
        <v>61704</v>
      </c>
      <c r="E1139" s="1">
        <v>44469</v>
      </c>
      <c r="F1139" s="2">
        <f t="shared" si="102"/>
        <v>2021</v>
      </c>
      <c r="G1139">
        <v>687</v>
      </c>
      <c r="H1139" s="3">
        <v>3935438</v>
      </c>
      <c r="I1139">
        <v>460266</v>
      </c>
      <c r="J1139">
        <v>3935438</v>
      </c>
      <c r="K1139">
        <v>3505204</v>
      </c>
      <c r="L1139">
        <v>3433414</v>
      </c>
      <c r="M1139" t="str">
        <f t="shared" si="103"/>
        <v>Large</v>
      </c>
      <c r="N1139">
        <f>VLOOKUP(C1139,Lookup!$A$2:$D$5,MATCH(M1139,Lookup!$A$1:$D$1,0),FALSE)</f>
        <v>7.4999999999999997E-2</v>
      </c>
      <c r="O1139">
        <f t="shared" si="104"/>
        <v>257506.05</v>
      </c>
      <c r="P1139" s="7">
        <f t="shared" si="105"/>
        <v>0.89067697166109594</v>
      </c>
      <c r="Q1139" s="7">
        <f t="shared" si="106"/>
        <v>5728.4395924308592</v>
      </c>
      <c r="R1139">
        <f t="shared" si="107"/>
        <v>1.787398781504357</v>
      </c>
    </row>
    <row r="1140" spans="1:18" x14ac:dyDescent="0.25">
      <c r="A1140" t="s">
        <v>683</v>
      </c>
      <c r="B1140" t="s">
        <v>81</v>
      </c>
      <c r="C1140" t="s">
        <v>5</v>
      </c>
      <c r="D1140">
        <v>95113</v>
      </c>
      <c r="E1140" s="1">
        <v>43738</v>
      </c>
      <c r="F1140" s="2">
        <f t="shared" si="102"/>
        <v>2019</v>
      </c>
      <c r="G1140">
        <v>308</v>
      </c>
      <c r="H1140" s="3">
        <v>3181132</v>
      </c>
      <c r="I1140">
        <v>415783</v>
      </c>
      <c r="J1140">
        <v>3181132</v>
      </c>
      <c r="K1140">
        <v>2767660</v>
      </c>
      <c r="L1140">
        <v>2709807</v>
      </c>
      <c r="M1140" t="str">
        <f t="shared" si="103"/>
        <v>Large</v>
      </c>
      <c r="N1140">
        <f>VLOOKUP(C1140,Lookup!$A$2:$D$5,MATCH(M1140,Lookup!$A$1:$D$1,0),FALSE)</f>
        <v>0.08</v>
      </c>
      <c r="O1140">
        <f t="shared" si="104"/>
        <v>216784.56</v>
      </c>
      <c r="P1140" s="7">
        <f t="shared" si="105"/>
        <v>0.87002362680957601</v>
      </c>
      <c r="Q1140" s="7">
        <f t="shared" si="106"/>
        <v>10328.35064935065</v>
      </c>
      <c r="R1140">
        <f t="shared" si="107"/>
        <v>1.9179548580397054</v>
      </c>
    </row>
    <row r="1141" spans="1:18" x14ac:dyDescent="0.25">
      <c r="A1141" t="s">
        <v>683</v>
      </c>
      <c r="B1141" t="s">
        <v>81</v>
      </c>
      <c r="C1141" t="s">
        <v>5</v>
      </c>
      <c r="D1141">
        <v>95110</v>
      </c>
      <c r="E1141" s="1">
        <v>44104</v>
      </c>
      <c r="F1141" s="2">
        <f t="shared" si="102"/>
        <v>2020</v>
      </c>
      <c r="G1141">
        <v>342</v>
      </c>
      <c r="H1141" s="3">
        <v>4605351</v>
      </c>
      <c r="I1141">
        <v>960268</v>
      </c>
      <c r="J1141">
        <v>4605351</v>
      </c>
      <c r="K1141">
        <v>4010157</v>
      </c>
      <c r="L1141">
        <v>3912098</v>
      </c>
      <c r="M1141" t="str">
        <f t="shared" si="103"/>
        <v>Large</v>
      </c>
      <c r="N1141">
        <f>VLOOKUP(C1141,Lookup!$A$2:$D$5,MATCH(M1141,Lookup!$A$1:$D$1,0),FALSE)</f>
        <v>0.08</v>
      </c>
      <c r="O1141">
        <f t="shared" si="104"/>
        <v>312967.84000000003</v>
      </c>
      <c r="P1141" s="7">
        <f t="shared" si="105"/>
        <v>0.87076033943992548</v>
      </c>
      <c r="Q1141" s="7">
        <f t="shared" si="106"/>
        <v>13465.938596491229</v>
      </c>
      <c r="R1141">
        <f t="shared" si="107"/>
        <v>3.0682641385773053</v>
      </c>
    </row>
    <row r="1142" spans="1:18" x14ac:dyDescent="0.25">
      <c r="A1142" t="s">
        <v>683</v>
      </c>
      <c r="B1142" t="s">
        <v>81</v>
      </c>
      <c r="C1142" t="s">
        <v>5</v>
      </c>
      <c r="D1142">
        <v>95110</v>
      </c>
      <c r="E1142" s="1">
        <v>44469</v>
      </c>
      <c r="F1142" s="2">
        <f t="shared" si="102"/>
        <v>2021</v>
      </c>
      <c r="G1142">
        <v>325</v>
      </c>
      <c r="H1142" s="3">
        <v>5460770</v>
      </c>
      <c r="I1142">
        <v>1621347</v>
      </c>
      <c r="J1142">
        <v>5460770</v>
      </c>
      <c r="K1142">
        <v>4852562</v>
      </c>
      <c r="L1142">
        <v>4746778</v>
      </c>
      <c r="M1142" t="str">
        <f t="shared" si="103"/>
        <v>Large</v>
      </c>
      <c r="N1142">
        <f>VLOOKUP(C1142,Lookup!$A$2:$D$5,MATCH(M1142,Lookup!$A$1:$D$1,0),FALSE)</f>
        <v>0.08</v>
      </c>
      <c r="O1142">
        <f t="shared" si="104"/>
        <v>379742.24</v>
      </c>
      <c r="P1142" s="7">
        <f t="shared" si="105"/>
        <v>0.88862230051805879</v>
      </c>
      <c r="Q1142" s="7">
        <f t="shared" si="106"/>
        <v>16802.369230769229</v>
      </c>
      <c r="R1142">
        <f t="shared" si="107"/>
        <v>4.2695987678378895</v>
      </c>
    </row>
    <row r="1143" spans="1:18" x14ac:dyDescent="0.25">
      <c r="A1143" t="s">
        <v>684</v>
      </c>
      <c r="B1143" t="s">
        <v>685</v>
      </c>
      <c r="C1143" t="s">
        <v>8</v>
      </c>
      <c r="D1143">
        <v>60194</v>
      </c>
      <c r="E1143" s="1">
        <v>43738</v>
      </c>
      <c r="F1143" s="2">
        <f t="shared" si="102"/>
        <v>2019</v>
      </c>
      <c r="G1143">
        <v>17</v>
      </c>
      <c r="H1143" s="3">
        <v>137036</v>
      </c>
      <c r="I1143">
        <v>32922</v>
      </c>
      <c r="J1143">
        <v>137036</v>
      </c>
      <c r="K1143">
        <v>116828</v>
      </c>
      <c r="L1143">
        <v>111275</v>
      </c>
      <c r="M1143" t="str">
        <f t="shared" si="103"/>
        <v>Medium</v>
      </c>
      <c r="N1143">
        <f>VLOOKUP(C1143,Lookup!$A$2:$D$5,MATCH(M1143,Lookup!$A$1:$D$1,0),FALSE)</f>
        <v>0.08</v>
      </c>
      <c r="O1143">
        <f t="shared" si="104"/>
        <v>8902</v>
      </c>
      <c r="P1143" s="7">
        <f t="shared" si="105"/>
        <v>0.85253510026562362</v>
      </c>
      <c r="Q1143" s="7">
        <f t="shared" si="106"/>
        <v>8060.9411764705883</v>
      </c>
      <c r="R1143">
        <f t="shared" si="107"/>
        <v>3.6982700516737812</v>
      </c>
    </row>
    <row r="1144" spans="1:18" x14ac:dyDescent="0.25">
      <c r="A1144" t="s">
        <v>684</v>
      </c>
      <c r="B1144" t="s">
        <v>685</v>
      </c>
      <c r="C1144" t="s">
        <v>8</v>
      </c>
      <c r="D1144">
        <v>60194</v>
      </c>
      <c r="E1144" s="1">
        <v>44104</v>
      </c>
      <c r="F1144" s="2">
        <f t="shared" si="102"/>
        <v>2020</v>
      </c>
      <c r="G1144">
        <v>18</v>
      </c>
      <c r="H1144" s="3">
        <v>144216</v>
      </c>
      <c r="I1144">
        <v>31739</v>
      </c>
      <c r="J1144">
        <v>144216</v>
      </c>
      <c r="K1144">
        <v>123604</v>
      </c>
      <c r="L1144">
        <v>123283</v>
      </c>
      <c r="M1144" t="str">
        <f t="shared" si="103"/>
        <v>Medium</v>
      </c>
      <c r="N1144">
        <f>VLOOKUP(C1144,Lookup!$A$2:$D$5,MATCH(M1144,Lookup!$A$1:$D$1,0),FALSE)</f>
        <v>0.08</v>
      </c>
      <c r="O1144">
        <f t="shared" si="104"/>
        <v>9862.64</v>
      </c>
      <c r="P1144" s="7">
        <f t="shared" si="105"/>
        <v>0.85707549786431458</v>
      </c>
      <c r="Q1144" s="7">
        <f t="shared" si="106"/>
        <v>8012</v>
      </c>
      <c r="R1144">
        <f t="shared" si="107"/>
        <v>3.2181038748245907</v>
      </c>
    </row>
    <row r="1145" spans="1:18" x14ac:dyDescent="0.25">
      <c r="A1145" t="s">
        <v>684</v>
      </c>
      <c r="B1145" t="s">
        <v>685</v>
      </c>
      <c r="C1145" t="s">
        <v>8</v>
      </c>
      <c r="D1145">
        <v>60194</v>
      </c>
      <c r="E1145" s="1">
        <v>44469</v>
      </c>
      <c r="F1145" s="2">
        <f t="shared" si="102"/>
        <v>2021</v>
      </c>
      <c r="G1145">
        <v>16</v>
      </c>
      <c r="H1145" s="3">
        <v>164143</v>
      </c>
      <c r="I1145">
        <v>50552</v>
      </c>
      <c r="J1145">
        <v>164143</v>
      </c>
      <c r="K1145">
        <v>142969</v>
      </c>
      <c r="L1145">
        <v>142761</v>
      </c>
      <c r="M1145" t="str">
        <f t="shared" si="103"/>
        <v>Medium</v>
      </c>
      <c r="N1145">
        <f>VLOOKUP(C1145,Lookup!$A$2:$D$5,MATCH(M1145,Lookup!$A$1:$D$1,0),FALSE)</f>
        <v>0.08</v>
      </c>
      <c r="O1145">
        <f t="shared" si="104"/>
        <v>11420.880000000001</v>
      </c>
      <c r="P1145" s="7">
        <f t="shared" si="105"/>
        <v>0.87100272323522787</v>
      </c>
      <c r="Q1145" s="7">
        <f t="shared" si="106"/>
        <v>10258.9375</v>
      </c>
      <c r="R1145">
        <f t="shared" si="107"/>
        <v>4.4262788856900688</v>
      </c>
    </row>
    <row r="1146" spans="1:18" x14ac:dyDescent="0.25">
      <c r="A1146" t="s">
        <v>686</v>
      </c>
      <c r="B1146" t="s">
        <v>687</v>
      </c>
      <c r="C1146" t="s">
        <v>8</v>
      </c>
      <c r="D1146">
        <v>62439</v>
      </c>
      <c r="E1146" s="1">
        <v>43738</v>
      </c>
      <c r="F1146" s="2">
        <f t="shared" si="102"/>
        <v>2019</v>
      </c>
      <c r="G1146">
        <v>11</v>
      </c>
      <c r="H1146" s="3">
        <v>82200</v>
      </c>
      <c r="I1146">
        <v>8890</v>
      </c>
      <c r="J1146">
        <v>82200</v>
      </c>
      <c r="K1146">
        <v>72319</v>
      </c>
      <c r="L1146">
        <v>72189</v>
      </c>
      <c r="M1146" t="str">
        <f t="shared" si="103"/>
        <v>Small</v>
      </c>
      <c r="N1146">
        <f>VLOOKUP(C1146,Lookup!$A$2:$D$5,MATCH(M1146,Lookup!$A$1:$D$1,0),FALSE)</f>
        <v>0.09</v>
      </c>
      <c r="O1146">
        <f t="shared" si="104"/>
        <v>6497.0099999999993</v>
      </c>
      <c r="P1146" s="7">
        <f t="shared" si="105"/>
        <v>0.87979318734793188</v>
      </c>
      <c r="Q1146" s="7">
        <f t="shared" si="106"/>
        <v>7472.727272727273</v>
      </c>
      <c r="R1146">
        <f t="shared" si="107"/>
        <v>1.3683217356907256</v>
      </c>
    </row>
    <row r="1147" spans="1:18" x14ac:dyDescent="0.25">
      <c r="A1147" t="s">
        <v>686</v>
      </c>
      <c r="B1147" t="s">
        <v>687</v>
      </c>
      <c r="C1147" t="s">
        <v>8</v>
      </c>
      <c r="D1147">
        <v>62439</v>
      </c>
      <c r="E1147" s="1">
        <v>44104</v>
      </c>
      <c r="F1147" s="2">
        <f t="shared" si="102"/>
        <v>2020</v>
      </c>
      <c r="G1147">
        <v>11</v>
      </c>
      <c r="H1147" s="3">
        <v>79214</v>
      </c>
      <c r="I1147">
        <v>18055</v>
      </c>
      <c r="J1147">
        <v>79214</v>
      </c>
      <c r="K1147">
        <v>70058</v>
      </c>
      <c r="L1147">
        <v>69975</v>
      </c>
      <c r="M1147" t="str">
        <f t="shared" si="103"/>
        <v>Small</v>
      </c>
      <c r="N1147">
        <f>VLOOKUP(C1147,Lookup!$A$2:$D$5,MATCH(M1147,Lookup!$A$1:$D$1,0),FALSE)</f>
        <v>0.09</v>
      </c>
      <c r="O1147">
        <f t="shared" si="104"/>
        <v>6297.75</v>
      </c>
      <c r="P1147" s="7">
        <f t="shared" si="105"/>
        <v>0.88441437119701061</v>
      </c>
      <c r="Q1147" s="7">
        <f t="shared" si="106"/>
        <v>7201.272727272727</v>
      </c>
      <c r="R1147">
        <f t="shared" si="107"/>
        <v>2.8668969076257396</v>
      </c>
    </row>
    <row r="1148" spans="1:18" x14ac:dyDescent="0.25">
      <c r="A1148" t="s">
        <v>688</v>
      </c>
      <c r="B1148" t="s">
        <v>689</v>
      </c>
      <c r="C1148" t="s">
        <v>8</v>
      </c>
      <c r="D1148">
        <v>62523</v>
      </c>
      <c r="E1148" s="1">
        <v>43738</v>
      </c>
      <c r="F1148" s="2">
        <f t="shared" si="102"/>
        <v>2019</v>
      </c>
      <c r="G1148">
        <v>144</v>
      </c>
      <c r="H1148" s="3">
        <v>639622</v>
      </c>
      <c r="I1148">
        <v>34165</v>
      </c>
      <c r="J1148">
        <v>639622</v>
      </c>
      <c r="K1148">
        <v>571093</v>
      </c>
      <c r="L1148">
        <v>565335</v>
      </c>
      <c r="M1148" t="str">
        <f t="shared" si="103"/>
        <v>Medium</v>
      </c>
      <c r="N1148">
        <f>VLOOKUP(C1148,Lookup!$A$2:$D$5,MATCH(M1148,Lookup!$A$1:$D$1,0),FALSE)</f>
        <v>0.08</v>
      </c>
      <c r="O1148">
        <f t="shared" si="104"/>
        <v>45226.8</v>
      </c>
      <c r="P1148" s="7">
        <f t="shared" si="105"/>
        <v>0.89286015803083696</v>
      </c>
      <c r="Q1148" s="7">
        <f t="shared" si="106"/>
        <v>4441.8194444444443</v>
      </c>
      <c r="R1148">
        <f t="shared" si="107"/>
        <v>0.75541493097013268</v>
      </c>
    </row>
    <row r="1149" spans="1:18" x14ac:dyDescent="0.25">
      <c r="A1149" t="s">
        <v>688</v>
      </c>
      <c r="B1149" t="s">
        <v>689</v>
      </c>
      <c r="C1149" t="s">
        <v>8</v>
      </c>
      <c r="D1149">
        <v>62523</v>
      </c>
      <c r="E1149" s="1">
        <v>44104</v>
      </c>
      <c r="F1149" s="2">
        <f t="shared" si="102"/>
        <v>2020</v>
      </c>
      <c r="G1149">
        <v>148</v>
      </c>
      <c r="H1149" s="3">
        <v>770287</v>
      </c>
      <c r="I1149">
        <v>141202</v>
      </c>
      <c r="J1149">
        <v>770287</v>
      </c>
      <c r="K1149">
        <v>699492</v>
      </c>
      <c r="L1149">
        <v>637023</v>
      </c>
      <c r="M1149" t="str">
        <f t="shared" si="103"/>
        <v>Medium</v>
      </c>
      <c r="N1149">
        <f>VLOOKUP(C1149,Lookup!$A$2:$D$5,MATCH(M1149,Lookup!$A$1:$D$1,0),FALSE)</f>
        <v>0.08</v>
      </c>
      <c r="O1149">
        <f t="shared" si="104"/>
        <v>50961.840000000004</v>
      </c>
      <c r="P1149" s="7">
        <f t="shared" si="105"/>
        <v>0.90809269791649083</v>
      </c>
      <c r="Q1149" s="7">
        <f t="shared" si="106"/>
        <v>5204.6418918918916</v>
      </c>
      <c r="R1149">
        <f t="shared" si="107"/>
        <v>2.7707398319997862</v>
      </c>
    </row>
    <row r="1150" spans="1:18" x14ac:dyDescent="0.25">
      <c r="A1150" t="s">
        <v>688</v>
      </c>
      <c r="B1150" t="s">
        <v>689</v>
      </c>
      <c r="C1150" t="s">
        <v>8</v>
      </c>
      <c r="D1150">
        <v>62523</v>
      </c>
      <c r="E1150" s="1">
        <v>44469</v>
      </c>
      <c r="F1150" s="2">
        <f t="shared" si="102"/>
        <v>2021</v>
      </c>
      <c r="G1150">
        <v>143</v>
      </c>
      <c r="H1150" s="3">
        <v>764149</v>
      </c>
      <c r="I1150">
        <v>138476</v>
      </c>
      <c r="J1150">
        <v>764149</v>
      </c>
      <c r="K1150">
        <v>691930</v>
      </c>
      <c r="L1150">
        <v>630580</v>
      </c>
      <c r="M1150" t="str">
        <f t="shared" si="103"/>
        <v>Medium</v>
      </c>
      <c r="N1150">
        <f>VLOOKUP(C1150,Lookup!$A$2:$D$5,MATCH(M1150,Lookup!$A$1:$D$1,0),FALSE)</f>
        <v>0.08</v>
      </c>
      <c r="O1150">
        <f t="shared" si="104"/>
        <v>50446.400000000001</v>
      </c>
      <c r="P1150" s="7">
        <f t="shared" si="105"/>
        <v>0.90549094482882264</v>
      </c>
      <c r="Q1150" s="7">
        <f t="shared" si="106"/>
        <v>5343.6993006993007</v>
      </c>
      <c r="R1150">
        <f t="shared" si="107"/>
        <v>2.7450125281486883</v>
      </c>
    </row>
    <row r="1151" spans="1:18" x14ac:dyDescent="0.25">
      <c r="A1151" t="s">
        <v>690</v>
      </c>
      <c r="B1151" t="s">
        <v>691</v>
      </c>
      <c r="C1151" t="s">
        <v>20</v>
      </c>
      <c r="D1151">
        <v>2043</v>
      </c>
      <c r="E1151" s="1">
        <v>43738</v>
      </c>
      <c r="F1151" s="2">
        <f t="shared" si="102"/>
        <v>2019</v>
      </c>
      <c r="G1151">
        <v>85</v>
      </c>
      <c r="H1151" s="3">
        <v>2480411</v>
      </c>
      <c r="I1151">
        <v>231174</v>
      </c>
      <c r="J1151">
        <v>2480411</v>
      </c>
      <c r="K1151">
        <v>2242558</v>
      </c>
      <c r="L1151">
        <v>1714018</v>
      </c>
      <c r="M1151" t="str">
        <f t="shared" si="103"/>
        <v>Large</v>
      </c>
      <c r="N1151">
        <f>VLOOKUP(C1151,Lookup!$A$2:$D$5,MATCH(M1151,Lookup!$A$1:$D$1,0),FALSE)</f>
        <v>0.08</v>
      </c>
      <c r="O1151">
        <f t="shared" si="104"/>
        <v>137121.44</v>
      </c>
      <c r="P1151" s="7">
        <f t="shared" si="105"/>
        <v>0.90410742413253287</v>
      </c>
      <c r="Q1151" s="7">
        <f t="shared" si="106"/>
        <v>29181.305882352943</v>
      </c>
      <c r="R1151">
        <f t="shared" si="107"/>
        <v>1.6859070324815726</v>
      </c>
    </row>
    <row r="1152" spans="1:18" x14ac:dyDescent="0.25">
      <c r="A1152" t="s">
        <v>690</v>
      </c>
      <c r="B1152" t="s">
        <v>691</v>
      </c>
      <c r="C1152" t="s">
        <v>20</v>
      </c>
      <c r="D1152">
        <v>2043</v>
      </c>
      <c r="E1152" s="1">
        <v>44104</v>
      </c>
      <c r="F1152" s="2">
        <f t="shared" si="102"/>
        <v>2020</v>
      </c>
      <c r="G1152">
        <v>86</v>
      </c>
      <c r="H1152" s="3">
        <v>2719181</v>
      </c>
      <c r="I1152">
        <v>236292</v>
      </c>
      <c r="J1152">
        <v>2719181</v>
      </c>
      <c r="K1152">
        <v>2440869</v>
      </c>
      <c r="L1152">
        <v>2035421</v>
      </c>
      <c r="M1152" t="str">
        <f t="shared" si="103"/>
        <v>Large</v>
      </c>
      <c r="N1152">
        <f>VLOOKUP(C1152,Lookup!$A$2:$D$5,MATCH(M1152,Lookup!$A$1:$D$1,0),FALSE)</f>
        <v>0.08</v>
      </c>
      <c r="O1152">
        <f t="shared" si="104"/>
        <v>162833.68</v>
      </c>
      <c r="P1152" s="7">
        <f t="shared" si="105"/>
        <v>0.89764859345516168</v>
      </c>
      <c r="Q1152" s="7">
        <f t="shared" si="106"/>
        <v>31618.383720930233</v>
      </c>
      <c r="R1152">
        <f t="shared" si="107"/>
        <v>1.4511248532858805</v>
      </c>
    </row>
    <row r="1153" spans="1:18" x14ac:dyDescent="0.25">
      <c r="A1153" t="s">
        <v>690</v>
      </c>
      <c r="B1153" t="s">
        <v>691</v>
      </c>
      <c r="C1153" t="s">
        <v>20</v>
      </c>
      <c r="D1153">
        <v>2043</v>
      </c>
      <c r="E1153" s="1">
        <v>44469</v>
      </c>
      <c r="F1153" s="2">
        <f t="shared" si="102"/>
        <v>2021</v>
      </c>
      <c r="G1153">
        <v>72</v>
      </c>
      <c r="H1153" s="3">
        <v>3164872</v>
      </c>
      <c r="I1153">
        <v>219069</v>
      </c>
      <c r="J1153">
        <v>3164872</v>
      </c>
      <c r="K1153">
        <v>2824156</v>
      </c>
      <c r="L1153">
        <v>2425846</v>
      </c>
      <c r="M1153" t="str">
        <f t="shared" si="103"/>
        <v>Large</v>
      </c>
      <c r="N1153">
        <f>VLOOKUP(C1153,Lookup!$A$2:$D$5,MATCH(M1153,Lookup!$A$1:$D$1,0),FALSE)</f>
        <v>0.08</v>
      </c>
      <c r="O1153">
        <f t="shared" si="104"/>
        <v>194067.68</v>
      </c>
      <c r="P1153" s="7">
        <f t="shared" si="105"/>
        <v>0.89234446132418621</v>
      </c>
      <c r="Q1153" s="7">
        <f t="shared" si="106"/>
        <v>43956.555555555555</v>
      </c>
      <c r="R1153">
        <f t="shared" si="107"/>
        <v>1.1288278398546321</v>
      </c>
    </row>
    <row r="1154" spans="1:18" x14ac:dyDescent="0.25">
      <c r="A1154" t="s">
        <v>692</v>
      </c>
      <c r="B1154" t="s">
        <v>693</v>
      </c>
      <c r="C1154" t="s">
        <v>8</v>
      </c>
      <c r="D1154">
        <v>60521</v>
      </c>
      <c r="E1154" s="1">
        <v>43738</v>
      </c>
      <c r="F1154" s="2">
        <f t="shared" ref="F1154:F1217" si="108">YEAR(E1154)</f>
        <v>2019</v>
      </c>
      <c r="G1154">
        <v>176</v>
      </c>
      <c r="H1154" s="3">
        <v>2659294</v>
      </c>
      <c r="I1154">
        <v>144435</v>
      </c>
      <c r="J1154">
        <v>2659294</v>
      </c>
      <c r="K1154">
        <v>2320813</v>
      </c>
      <c r="L1154">
        <v>2216177</v>
      </c>
      <c r="M1154" t="str">
        <f t="shared" ref="M1154:M1217" si="109">IF(H1154&gt;1000000,"Large",IF(H1154&lt;100000,"Small","Medium"))</f>
        <v>Large</v>
      </c>
      <c r="N1154">
        <f>VLOOKUP(C1154,Lookup!$A$2:$D$5,MATCH(M1154,Lookup!$A$1:$D$1,0),FALSE)</f>
        <v>7.4999999999999997E-2</v>
      </c>
      <c r="O1154">
        <f t="shared" ref="O1154:O1217" si="110">L1154*N1154</f>
        <v>166213.27499999999</v>
      </c>
      <c r="P1154" s="7">
        <f t="shared" ref="P1154:P1217" si="111">K1154/H1154</f>
        <v>0.87271772132001957</v>
      </c>
      <c r="Q1154" s="7">
        <f t="shared" ref="Q1154:Q1217" si="112">H1154/G1154</f>
        <v>15109.625</v>
      </c>
      <c r="R1154">
        <f t="shared" ref="R1154:R1217" si="113">I1154/O1154</f>
        <v>0.86897391318473216</v>
      </c>
    </row>
    <row r="1155" spans="1:18" x14ac:dyDescent="0.25">
      <c r="A1155" t="s">
        <v>1372</v>
      </c>
      <c r="B1155" t="s">
        <v>693</v>
      </c>
      <c r="C1155" t="s">
        <v>8</v>
      </c>
      <c r="D1155">
        <v>60521</v>
      </c>
      <c r="E1155" s="1">
        <v>44104</v>
      </c>
      <c r="F1155" s="2">
        <f t="shared" si="108"/>
        <v>2020</v>
      </c>
      <c r="G1155">
        <v>212</v>
      </c>
      <c r="H1155" s="3">
        <v>3829564</v>
      </c>
      <c r="I1155">
        <v>414320</v>
      </c>
      <c r="J1155">
        <v>3829564</v>
      </c>
      <c r="K1155">
        <v>3402969</v>
      </c>
      <c r="L1155">
        <v>3194650</v>
      </c>
      <c r="M1155" t="str">
        <f t="shared" si="109"/>
        <v>Large</v>
      </c>
      <c r="N1155">
        <f>VLOOKUP(C1155,Lookup!$A$2:$D$5,MATCH(M1155,Lookup!$A$1:$D$1,0),FALSE)</f>
        <v>7.4999999999999997E-2</v>
      </c>
      <c r="O1155">
        <f t="shared" si="110"/>
        <v>239598.75</v>
      </c>
      <c r="P1155" s="7">
        <f t="shared" si="111"/>
        <v>0.88860481245384593</v>
      </c>
      <c r="Q1155" s="7">
        <f t="shared" si="112"/>
        <v>18063.981132075471</v>
      </c>
      <c r="R1155">
        <f t="shared" si="113"/>
        <v>1.7292243803442213</v>
      </c>
    </row>
    <row r="1156" spans="1:18" x14ac:dyDescent="0.25">
      <c r="A1156" t="s">
        <v>1372</v>
      </c>
      <c r="B1156" t="s">
        <v>693</v>
      </c>
      <c r="C1156" t="s">
        <v>8</v>
      </c>
      <c r="D1156">
        <v>60521</v>
      </c>
      <c r="E1156" s="1">
        <v>44469</v>
      </c>
      <c r="F1156" s="2">
        <f t="shared" si="108"/>
        <v>2021</v>
      </c>
      <c r="G1156">
        <v>208</v>
      </c>
      <c r="H1156" s="3">
        <v>4087990</v>
      </c>
      <c r="I1156">
        <v>372263</v>
      </c>
      <c r="J1156">
        <v>4087990</v>
      </c>
      <c r="K1156">
        <v>3631879</v>
      </c>
      <c r="L1156">
        <v>3439721</v>
      </c>
      <c r="M1156" t="str">
        <f t="shared" si="109"/>
        <v>Large</v>
      </c>
      <c r="N1156">
        <f>VLOOKUP(C1156,Lookup!$A$2:$D$5,MATCH(M1156,Lookup!$A$1:$D$1,0),FALSE)</f>
        <v>7.4999999999999997E-2</v>
      </c>
      <c r="O1156">
        <f t="shared" si="110"/>
        <v>257979.07499999998</v>
      </c>
      <c r="P1156" s="7">
        <f t="shared" si="111"/>
        <v>0.8884265861707098</v>
      </c>
      <c r="Q1156" s="7">
        <f t="shared" si="112"/>
        <v>19653.798076923078</v>
      </c>
      <c r="R1156">
        <f t="shared" si="113"/>
        <v>1.442996878719718</v>
      </c>
    </row>
    <row r="1157" spans="1:18" x14ac:dyDescent="0.25">
      <c r="A1157" t="s">
        <v>694</v>
      </c>
      <c r="B1157" t="s">
        <v>695</v>
      </c>
      <c r="C1157" t="s">
        <v>8</v>
      </c>
      <c r="D1157">
        <v>61068</v>
      </c>
      <c r="E1157" s="1">
        <v>43738</v>
      </c>
      <c r="F1157" s="2">
        <f t="shared" si="108"/>
        <v>2019</v>
      </c>
      <c r="G1157">
        <v>54</v>
      </c>
      <c r="H1157" s="3">
        <v>187766</v>
      </c>
      <c r="I1157">
        <v>11216</v>
      </c>
      <c r="J1157">
        <v>187766</v>
      </c>
      <c r="K1157">
        <v>167865</v>
      </c>
      <c r="L1157">
        <v>166939</v>
      </c>
      <c r="M1157" t="str">
        <f t="shared" si="109"/>
        <v>Medium</v>
      </c>
      <c r="N1157">
        <f>VLOOKUP(C1157,Lookup!$A$2:$D$5,MATCH(M1157,Lookup!$A$1:$D$1,0),FALSE)</f>
        <v>0.08</v>
      </c>
      <c r="O1157">
        <f t="shared" si="110"/>
        <v>13355.12</v>
      </c>
      <c r="P1157" s="7">
        <f t="shared" si="111"/>
        <v>0.89401169540811432</v>
      </c>
      <c r="Q1157" s="7">
        <f t="shared" si="112"/>
        <v>3477.1481481481483</v>
      </c>
      <c r="R1157">
        <f t="shared" si="113"/>
        <v>0.83982772150306395</v>
      </c>
    </row>
    <row r="1158" spans="1:18" x14ac:dyDescent="0.25">
      <c r="A1158" t="s">
        <v>694</v>
      </c>
      <c r="B1158" t="s">
        <v>695</v>
      </c>
      <c r="C1158" t="s">
        <v>8</v>
      </c>
      <c r="D1158">
        <v>61068</v>
      </c>
      <c r="E1158" s="1">
        <v>44104</v>
      </c>
      <c r="F1158" s="2">
        <f t="shared" si="108"/>
        <v>2020</v>
      </c>
      <c r="G1158">
        <v>53</v>
      </c>
      <c r="H1158" s="3">
        <v>238929</v>
      </c>
      <c r="I1158">
        <v>9349</v>
      </c>
      <c r="J1158">
        <v>238929</v>
      </c>
      <c r="K1158">
        <v>212830</v>
      </c>
      <c r="L1158">
        <v>193110</v>
      </c>
      <c r="M1158" t="str">
        <f t="shared" si="109"/>
        <v>Medium</v>
      </c>
      <c r="N1158">
        <f>VLOOKUP(C1158,Lookup!$A$2:$D$5,MATCH(M1158,Lookup!$A$1:$D$1,0),FALSE)</f>
        <v>0.08</v>
      </c>
      <c r="O1158">
        <f t="shared" si="110"/>
        <v>15448.800000000001</v>
      </c>
      <c r="P1158" s="7">
        <f t="shared" si="111"/>
        <v>0.89076671312398248</v>
      </c>
      <c r="Q1158" s="7">
        <f t="shared" si="112"/>
        <v>4508.0943396226412</v>
      </c>
      <c r="R1158">
        <f t="shared" si="113"/>
        <v>0.60516027134793637</v>
      </c>
    </row>
    <row r="1159" spans="1:18" x14ac:dyDescent="0.25">
      <c r="A1159" t="s">
        <v>694</v>
      </c>
      <c r="B1159" t="s">
        <v>695</v>
      </c>
      <c r="C1159" t="s">
        <v>8</v>
      </c>
      <c r="D1159">
        <v>61068</v>
      </c>
      <c r="E1159" s="1">
        <v>44469</v>
      </c>
      <c r="F1159" s="2">
        <f t="shared" si="108"/>
        <v>2021</v>
      </c>
      <c r="G1159">
        <v>52</v>
      </c>
      <c r="H1159" s="3">
        <v>255939</v>
      </c>
      <c r="I1159">
        <v>24840</v>
      </c>
      <c r="J1159">
        <v>255939</v>
      </c>
      <c r="K1159">
        <v>228332</v>
      </c>
      <c r="L1159">
        <v>210536</v>
      </c>
      <c r="M1159" t="str">
        <f t="shared" si="109"/>
        <v>Medium</v>
      </c>
      <c r="N1159">
        <f>VLOOKUP(C1159,Lookup!$A$2:$D$5,MATCH(M1159,Lookup!$A$1:$D$1,0),FALSE)</f>
        <v>0.08</v>
      </c>
      <c r="O1159">
        <f t="shared" si="110"/>
        <v>16842.88</v>
      </c>
      <c r="P1159" s="7">
        <f t="shared" si="111"/>
        <v>0.8921344539128464</v>
      </c>
      <c r="Q1159" s="7">
        <f t="shared" si="112"/>
        <v>4921.9038461538457</v>
      </c>
      <c r="R1159">
        <f t="shared" si="113"/>
        <v>1.4748071588706919</v>
      </c>
    </row>
    <row r="1160" spans="1:18" x14ac:dyDescent="0.25">
      <c r="A1160" t="s">
        <v>696</v>
      </c>
      <c r="B1160" t="s">
        <v>85</v>
      </c>
      <c r="C1160" t="s">
        <v>5</v>
      </c>
      <c r="D1160">
        <v>92123</v>
      </c>
      <c r="E1160" s="1">
        <v>43738</v>
      </c>
      <c r="F1160" s="2">
        <f t="shared" si="108"/>
        <v>2019</v>
      </c>
      <c r="G1160">
        <v>21</v>
      </c>
      <c r="H1160" s="3">
        <v>175844</v>
      </c>
      <c r="I1160">
        <v>13842</v>
      </c>
      <c r="J1160">
        <v>175844</v>
      </c>
      <c r="K1160">
        <v>151497</v>
      </c>
      <c r="L1160">
        <v>127883</v>
      </c>
      <c r="M1160" t="str">
        <f t="shared" si="109"/>
        <v>Medium</v>
      </c>
      <c r="N1160">
        <f>VLOOKUP(C1160,Lookup!$A$2:$D$5,MATCH(M1160,Lookup!$A$1:$D$1,0),FALSE)</f>
        <v>0.09</v>
      </c>
      <c r="O1160">
        <f t="shared" si="110"/>
        <v>11509.47</v>
      </c>
      <c r="P1160" s="7">
        <f t="shared" si="111"/>
        <v>0.86154204863401651</v>
      </c>
      <c r="Q1160" s="7">
        <f t="shared" si="112"/>
        <v>8373.5238095238092</v>
      </c>
      <c r="R1160">
        <f t="shared" si="113"/>
        <v>1.2026618080589289</v>
      </c>
    </row>
    <row r="1161" spans="1:18" x14ac:dyDescent="0.25">
      <c r="A1161" t="s">
        <v>696</v>
      </c>
      <c r="B1161" t="s">
        <v>85</v>
      </c>
      <c r="C1161" t="s">
        <v>5</v>
      </c>
      <c r="D1161">
        <v>92123</v>
      </c>
      <c r="E1161" s="1">
        <v>44104</v>
      </c>
      <c r="F1161" s="2">
        <f t="shared" si="108"/>
        <v>2020</v>
      </c>
      <c r="G1161">
        <v>23</v>
      </c>
      <c r="H1161" s="3">
        <v>205853</v>
      </c>
      <c r="I1161">
        <v>25500</v>
      </c>
      <c r="J1161">
        <v>205853</v>
      </c>
      <c r="K1161">
        <v>181208</v>
      </c>
      <c r="L1161">
        <v>159373</v>
      </c>
      <c r="M1161" t="str">
        <f t="shared" si="109"/>
        <v>Medium</v>
      </c>
      <c r="N1161">
        <f>VLOOKUP(C1161,Lookup!$A$2:$D$5,MATCH(M1161,Lookup!$A$1:$D$1,0),FALSE)</f>
        <v>0.09</v>
      </c>
      <c r="O1161">
        <f t="shared" si="110"/>
        <v>14343.57</v>
      </c>
      <c r="P1161" s="7">
        <f t="shared" si="111"/>
        <v>0.8802786454411643</v>
      </c>
      <c r="Q1161" s="7">
        <f t="shared" si="112"/>
        <v>8950.1304347826081</v>
      </c>
      <c r="R1161">
        <f t="shared" si="113"/>
        <v>1.7778000874259337</v>
      </c>
    </row>
    <row r="1162" spans="1:18" x14ac:dyDescent="0.25">
      <c r="A1162" t="s">
        <v>696</v>
      </c>
      <c r="B1162" t="s">
        <v>85</v>
      </c>
      <c r="C1162" t="s">
        <v>5</v>
      </c>
      <c r="D1162">
        <v>92123</v>
      </c>
      <c r="E1162" s="1">
        <v>44469</v>
      </c>
      <c r="F1162" s="2">
        <f t="shared" si="108"/>
        <v>2021</v>
      </c>
      <c r="G1162">
        <v>24</v>
      </c>
      <c r="H1162" s="3">
        <v>200860</v>
      </c>
      <c r="I1162">
        <v>21646</v>
      </c>
      <c r="J1162">
        <v>200860</v>
      </c>
      <c r="K1162">
        <v>173966</v>
      </c>
      <c r="L1162">
        <v>152921</v>
      </c>
      <c r="M1162" t="str">
        <f t="shared" si="109"/>
        <v>Medium</v>
      </c>
      <c r="N1162">
        <f>VLOOKUP(C1162,Lookup!$A$2:$D$5,MATCH(M1162,Lookup!$A$1:$D$1,0),FALSE)</f>
        <v>0.09</v>
      </c>
      <c r="O1162">
        <f t="shared" si="110"/>
        <v>13762.89</v>
      </c>
      <c r="P1162" s="7">
        <f t="shared" si="111"/>
        <v>0.86610574529523054</v>
      </c>
      <c r="Q1162" s="7">
        <f t="shared" si="112"/>
        <v>8369.1666666666661</v>
      </c>
      <c r="R1162">
        <f t="shared" si="113"/>
        <v>1.5727801355674571</v>
      </c>
    </row>
    <row r="1163" spans="1:18" x14ac:dyDescent="0.25">
      <c r="A1163" t="s">
        <v>697</v>
      </c>
      <c r="B1163" t="s">
        <v>386</v>
      </c>
      <c r="C1163" t="s">
        <v>8</v>
      </c>
      <c r="D1163">
        <v>60014</v>
      </c>
      <c r="E1163" s="1">
        <v>43738</v>
      </c>
      <c r="F1163" s="2">
        <f t="shared" si="108"/>
        <v>2019</v>
      </c>
      <c r="G1163">
        <v>168</v>
      </c>
      <c r="H1163" s="3">
        <v>603667</v>
      </c>
      <c r="I1163">
        <v>33630</v>
      </c>
      <c r="J1163">
        <v>603668</v>
      </c>
      <c r="K1163">
        <v>525542</v>
      </c>
      <c r="L1163">
        <v>511202</v>
      </c>
      <c r="M1163" t="str">
        <f t="shared" si="109"/>
        <v>Medium</v>
      </c>
      <c r="N1163">
        <f>VLOOKUP(C1163,Lookup!$A$2:$D$5,MATCH(M1163,Lookup!$A$1:$D$1,0),FALSE)</f>
        <v>0.08</v>
      </c>
      <c r="O1163">
        <f t="shared" si="110"/>
        <v>40896.160000000003</v>
      </c>
      <c r="P1163" s="7">
        <f t="shared" si="111"/>
        <v>0.87058262253858498</v>
      </c>
      <c r="Q1163" s="7">
        <f t="shared" si="112"/>
        <v>3593.2559523809523</v>
      </c>
      <c r="R1163">
        <f t="shared" si="113"/>
        <v>0.82232659496637328</v>
      </c>
    </row>
    <row r="1164" spans="1:18" x14ac:dyDescent="0.25">
      <c r="A1164" t="s">
        <v>697</v>
      </c>
      <c r="B1164" t="s">
        <v>386</v>
      </c>
      <c r="C1164" t="s">
        <v>8</v>
      </c>
      <c r="D1164">
        <v>60014</v>
      </c>
      <c r="E1164" s="1">
        <v>44104</v>
      </c>
      <c r="F1164" s="2">
        <f t="shared" si="108"/>
        <v>2020</v>
      </c>
      <c r="G1164">
        <v>161</v>
      </c>
      <c r="H1164" s="3">
        <v>690027</v>
      </c>
      <c r="I1164">
        <v>76598</v>
      </c>
      <c r="J1164">
        <v>690027</v>
      </c>
      <c r="K1164">
        <v>609207</v>
      </c>
      <c r="L1164">
        <v>587216</v>
      </c>
      <c r="M1164" t="str">
        <f t="shared" si="109"/>
        <v>Medium</v>
      </c>
      <c r="N1164">
        <f>VLOOKUP(C1164,Lookup!$A$2:$D$5,MATCH(M1164,Lookup!$A$1:$D$1,0),FALSE)</f>
        <v>0.08</v>
      </c>
      <c r="O1164">
        <f t="shared" si="110"/>
        <v>46977.279999999999</v>
      </c>
      <c r="P1164" s="7">
        <f t="shared" si="111"/>
        <v>0.88287414840288858</v>
      </c>
      <c r="Q1164" s="7">
        <f t="shared" si="112"/>
        <v>4285.8819875776398</v>
      </c>
      <c r="R1164">
        <f t="shared" si="113"/>
        <v>1.6305328873872647</v>
      </c>
    </row>
    <row r="1165" spans="1:18" x14ac:dyDescent="0.25">
      <c r="A1165" t="s">
        <v>697</v>
      </c>
      <c r="B1165" t="s">
        <v>386</v>
      </c>
      <c r="C1165" t="s">
        <v>8</v>
      </c>
      <c r="D1165">
        <v>60014</v>
      </c>
      <c r="E1165" s="1">
        <v>44469</v>
      </c>
      <c r="F1165" s="2">
        <f t="shared" si="108"/>
        <v>2021</v>
      </c>
      <c r="G1165">
        <v>146</v>
      </c>
      <c r="H1165" s="3">
        <v>781267</v>
      </c>
      <c r="I1165">
        <v>188833</v>
      </c>
      <c r="J1165">
        <v>781267</v>
      </c>
      <c r="K1165">
        <v>701414</v>
      </c>
      <c r="L1165">
        <v>690426</v>
      </c>
      <c r="M1165" t="str">
        <f t="shared" si="109"/>
        <v>Medium</v>
      </c>
      <c r="N1165">
        <f>VLOOKUP(C1165,Lookup!$A$2:$D$5,MATCH(M1165,Lookup!$A$1:$D$1,0),FALSE)</f>
        <v>0.08</v>
      </c>
      <c r="O1165">
        <f t="shared" si="110"/>
        <v>55234.080000000002</v>
      </c>
      <c r="P1165" s="7">
        <f t="shared" si="111"/>
        <v>0.89779038408124234</v>
      </c>
      <c r="Q1165" s="7">
        <f t="shared" si="112"/>
        <v>5351.1438356164381</v>
      </c>
      <c r="R1165">
        <f t="shared" si="113"/>
        <v>3.4187769579940501</v>
      </c>
    </row>
    <row r="1166" spans="1:18" x14ac:dyDescent="0.25">
      <c r="A1166" t="s">
        <v>698</v>
      </c>
      <c r="B1166" t="s">
        <v>699</v>
      </c>
      <c r="C1166" t="s">
        <v>8</v>
      </c>
      <c r="D1166">
        <v>60950</v>
      </c>
      <c r="E1166" s="1">
        <v>43738</v>
      </c>
      <c r="F1166" s="2">
        <f t="shared" si="108"/>
        <v>2019</v>
      </c>
      <c r="G1166">
        <v>88</v>
      </c>
      <c r="H1166" s="3">
        <v>396808</v>
      </c>
      <c r="I1166">
        <v>80945</v>
      </c>
      <c r="J1166">
        <v>396808</v>
      </c>
      <c r="K1166">
        <v>359895</v>
      </c>
      <c r="L1166">
        <v>344651</v>
      </c>
      <c r="M1166" t="str">
        <f t="shared" si="109"/>
        <v>Medium</v>
      </c>
      <c r="N1166">
        <f>VLOOKUP(C1166,Lookup!$A$2:$D$5,MATCH(M1166,Lookup!$A$1:$D$1,0),FALSE)</f>
        <v>0.08</v>
      </c>
      <c r="O1166">
        <f t="shared" si="110"/>
        <v>27572.080000000002</v>
      </c>
      <c r="P1166" s="7">
        <f t="shared" si="111"/>
        <v>0.90697516179109294</v>
      </c>
      <c r="Q1166" s="7">
        <f t="shared" si="112"/>
        <v>4509.181818181818</v>
      </c>
      <c r="R1166">
        <f t="shared" si="113"/>
        <v>2.9357596525180543</v>
      </c>
    </row>
    <row r="1167" spans="1:18" x14ac:dyDescent="0.25">
      <c r="A1167" t="s">
        <v>700</v>
      </c>
      <c r="B1167" t="s">
        <v>701</v>
      </c>
      <c r="C1167" t="s">
        <v>20</v>
      </c>
      <c r="D1167">
        <v>1540</v>
      </c>
      <c r="E1167" s="1">
        <v>43738</v>
      </c>
      <c r="F1167" s="2">
        <f t="shared" si="108"/>
        <v>2019</v>
      </c>
      <c r="G1167">
        <v>120</v>
      </c>
      <c r="H1167" s="3">
        <v>796973</v>
      </c>
      <c r="I1167">
        <v>57796</v>
      </c>
      <c r="J1167">
        <v>796973</v>
      </c>
      <c r="K1167">
        <v>714812</v>
      </c>
      <c r="L1167">
        <v>681797</v>
      </c>
      <c r="M1167" t="str">
        <f t="shared" si="109"/>
        <v>Medium</v>
      </c>
      <c r="N1167">
        <f>VLOOKUP(C1167,Lookup!$A$2:$D$5,MATCH(M1167,Lookup!$A$1:$D$1,0),FALSE)</f>
        <v>8.5000000000000006E-2</v>
      </c>
      <c r="O1167">
        <f t="shared" si="110"/>
        <v>57952.745000000003</v>
      </c>
      <c r="P1167" s="7">
        <f t="shared" si="111"/>
        <v>0.89690867821118159</v>
      </c>
      <c r="Q1167" s="7">
        <f t="shared" si="112"/>
        <v>6641.4416666666666</v>
      </c>
      <c r="R1167">
        <f t="shared" si="113"/>
        <v>0.99729529636603054</v>
      </c>
    </row>
    <row r="1168" spans="1:18" x14ac:dyDescent="0.25">
      <c r="A1168" t="s">
        <v>700</v>
      </c>
      <c r="B1168" t="s">
        <v>701</v>
      </c>
      <c r="C1168" t="s">
        <v>20</v>
      </c>
      <c r="D1168">
        <v>1540</v>
      </c>
      <c r="E1168" s="1">
        <v>44104</v>
      </c>
      <c r="F1168" s="2">
        <f t="shared" si="108"/>
        <v>2020</v>
      </c>
      <c r="G1168">
        <v>155</v>
      </c>
      <c r="H1168" s="3">
        <v>1228602</v>
      </c>
      <c r="I1168">
        <v>252367</v>
      </c>
      <c r="J1168">
        <v>1228602</v>
      </c>
      <c r="K1168">
        <v>1102913</v>
      </c>
      <c r="L1168">
        <v>1063005</v>
      </c>
      <c r="M1168" t="str">
        <f t="shared" si="109"/>
        <v>Large</v>
      </c>
      <c r="N1168">
        <f>VLOOKUP(C1168,Lookup!$A$2:$D$5,MATCH(M1168,Lookup!$A$1:$D$1,0),FALSE)</f>
        <v>0.08</v>
      </c>
      <c r="O1168">
        <f t="shared" si="110"/>
        <v>85040.400000000009</v>
      </c>
      <c r="P1168" s="7">
        <f t="shared" si="111"/>
        <v>0.89769754566572413</v>
      </c>
      <c r="Q1168" s="7">
        <f t="shared" si="112"/>
        <v>7926.4645161290318</v>
      </c>
      <c r="R1168">
        <f t="shared" si="113"/>
        <v>2.9676130403902143</v>
      </c>
    </row>
    <row r="1169" spans="1:18" x14ac:dyDescent="0.25">
      <c r="A1169" t="s">
        <v>700</v>
      </c>
      <c r="B1169" t="s">
        <v>701</v>
      </c>
      <c r="C1169" t="s">
        <v>20</v>
      </c>
      <c r="D1169">
        <v>1540</v>
      </c>
      <c r="E1169" s="1">
        <v>44469</v>
      </c>
      <c r="F1169" s="2">
        <f t="shared" si="108"/>
        <v>2021</v>
      </c>
      <c r="G1169">
        <v>149</v>
      </c>
      <c r="H1169" s="3">
        <v>1351976</v>
      </c>
      <c r="I1169">
        <v>410847</v>
      </c>
      <c r="J1169">
        <v>1351976</v>
      </c>
      <c r="K1169">
        <v>1219483</v>
      </c>
      <c r="L1169">
        <v>1201549</v>
      </c>
      <c r="M1169" t="str">
        <f t="shared" si="109"/>
        <v>Large</v>
      </c>
      <c r="N1169">
        <f>VLOOKUP(C1169,Lookup!$A$2:$D$5,MATCH(M1169,Lookup!$A$1:$D$1,0),FALSE)</f>
        <v>0.08</v>
      </c>
      <c r="O1169">
        <f t="shared" si="110"/>
        <v>96123.92</v>
      </c>
      <c r="P1169" s="7">
        <f t="shared" si="111"/>
        <v>0.90200047929844906</v>
      </c>
      <c r="Q1169" s="7">
        <f t="shared" si="112"/>
        <v>9073.6644295302012</v>
      </c>
      <c r="R1169">
        <f t="shared" si="113"/>
        <v>4.2741390488444502</v>
      </c>
    </row>
    <row r="1170" spans="1:18" x14ac:dyDescent="0.25">
      <c r="A1170" t="s">
        <v>702</v>
      </c>
      <c r="B1170" t="s">
        <v>434</v>
      </c>
      <c r="C1170" t="s">
        <v>8</v>
      </c>
      <c r="D1170">
        <v>61301</v>
      </c>
      <c r="E1170" s="1">
        <v>43738</v>
      </c>
      <c r="F1170" s="2">
        <f t="shared" si="108"/>
        <v>2019</v>
      </c>
      <c r="G1170">
        <v>45</v>
      </c>
      <c r="H1170" s="3">
        <v>218932</v>
      </c>
      <c r="I1170">
        <v>31312</v>
      </c>
      <c r="J1170">
        <v>218932</v>
      </c>
      <c r="K1170">
        <v>192988</v>
      </c>
      <c r="L1170">
        <v>191203</v>
      </c>
      <c r="M1170" t="str">
        <f t="shared" si="109"/>
        <v>Medium</v>
      </c>
      <c r="N1170">
        <f>VLOOKUP(C1170,Lookup!$A$2:$D$5,MATCH(M1170,Lookup!$A$1:$D$1,0),FALSE)</f>
        <v>0.08</v>
      </c>
      <c r="O1170">
        <f t="shared" si="110"/>
        <v>15296.24</v>
      </c>
      <c r="P1170" s="7">
        <f t="shared" si="111"/>
        <v>0.88149745126340595</v>
      </c>
      <c r="Q1170" s="7">
        <f t="shared" si="112"/>
        <v>4865.1555555555551</v>
      </c>
      <c r="R1170">
        <f t="shared" si="113"/>
        <v>2.0470390108941805</v>
      </c>
    </row>
    <row r="1171" spans="1:18" x14ac:dyDescent="0.25">
      <c r="A1171" t="s">
        <v>702</v>
      </c>
      <c r="B1171" t="s">
        <v>434</v>
      </c>
      <c r="C1171" t="s">
        <v>8</v>
      </c>
      <c r="D1171">
        <v>61301</v>
      </c>
      <c r="E1171" s="1">
        <v>44104</v>
      </c>
      <c r="F1171" s="2">
        <f t="shared" si="108"/>
        <v>2020</v>
      </c>
      <c r="G1171">
        <v>46</v>
      </c>
      <c r="H1171" s="3">
        <v>300262</v>
      </c>
      <c r="I1171">
        <v>55578</v>
      </c>
      <c r="J1171">
        <v>300262</v>
      </c>
      <c r="K1171">
        <v>271402</v>
      </c>
      <c r="L1171">
        <v>264556</v>
      </c>
      <c r="M1171" t="str">
        <f t="shared" si="109"/>
        <v>Medium</v>
      </c>
      <c r="N1171">
        <f>VLOOKUP(C1171,Lookup!$A$2:$D$5,MATCH(M1171,Lookup!$A$1:$D$1,0),FALSE)</f>
        <v>0.08</v>
      </c>
      <c r="O1171">
        <f t="shared" si="110"/>
        <v>21164.48</v>
      </c>
      <c r="P1171" s="7">
        <f t="shared" si="111"/>
        <v>0.90388394135788075</v>
      </c>
      <c r="Q1171" s="7">
        <f t="shared" si="112"/>
        <v>6527.434782608696</v>
      </c>
      <c r="R1171">
        <f t="shared" si="113"/>
        <v>2.6260035682426404</v>
      </c>
    </row>
    <row r="1172" spans="1:18" x14ac:dyDescent="0.25">
      <c r="A1172" t="s">
        <v>702</v>
      </c>
      <c r="B1172" t="s">
        <v>434</v>
      </c>
      <c r="C1172" t="s">
        <v>8</v>
      </c>
      <c r="D1172">
        <v>61301</v>
      </c>
      <c r="E1172" s="1">
        <v>44469</v>
      </c>
      <c r="F1172" s="2">
        <f t="shared" si="108"/>
        <v>2021</v>
      </c>
      <c r="G1172">
        <v>49</v>
      </c>
      <c r="H1172" s="3">
        <v>321554</v>
      </c>
      <c r="I1172">
        <v>83153</v>
      </c>
      <c r="J1172">
        <v>321554</v>
      </c>
      <c r="K1172">
        <v>292934</v>
      </c>
      <c r="L1172">
        <v>285817</v>
      </c>
      <c r="M1172" t="str">
        <f t="shared" si="109"/>
        <v>Medium</v>
      </c>
      <c r="N1172">
        <f>VLOOKUP(C1172,Lookup!$A$2:$D$5,MATCH(M1172,Lookup!$A$1:$D$1,0),FALSE)</f>
        <v>0.08</v>
      </c>
      <c r="O1172">
        <f t="shared" si="110"/>
        <v>22865.360000000001</v>
      </c>
      <c r="P1172" s="7">
        <f t="shared" si="111"/>
        <v>0.91099473183353341</v>
      </c>
      <c r="Q1172" s="7">
        <f t="shared" si="112"/>
        <v>6562.3265306122448</v>
      </c>
      <c r="R1172">
        <f t="shared" si="113"/>
        <v>3.6366363792216698</v>
      </c>
    </row>
    <row r="1173" spans="1:18" x14ac:dyDescent="0.25">
      <c r="A1173" t="s">
        <v>703</v>
      </c>
      <c r="B1173" t="s">
        <v>28</v>
      </c>
      <c r="C1173" t="s">
        <v>8</v>
      </c>
      <c r="D1173">
        <v>60630</v>
      </c>
      <c r="E1173" s="1">
        <v>43738</v>
      </c>
      <c r="F1173" s="2">
        <f t="shared" si="108"/>
        <v>2019</v>
      </c>
      <c r="G1173">
        <v>83</v>
      </c>
      <c r="H1173" s="3">
        <v>443443</v>
      </c>
      <c r="I1173">
        <v>51450</v>
      </c>
      <c r="J1173">
        <v>443443</v>
      </c>
      <c r="K1173">
        <v>367304</v>
      </c>
      <c r="L1173">
        <v>365578</v>
      </c>
      <c r="M1173" t="str">
        <f t="shared" si="109"/>
        <v>Medium</v>
      </c>
      <c r="N1173">
        <f>VLOOKUP(C1173,Lookup!$A$2:$D$5,MATCH(M1173,Lookup!$A$1:$D$1,0),FALSE)</f>
        <v>0.08</v>
      </c>
      <c r="O1173">
        <f t="shared" si="110"/>
        <v>29246.240000000002</v>
      </c>
      <c r="P1173" s="7">
        <f t="shared" si="111"/>
        <v>0.82830036780375382</v>
      </c>
      <c r="Q1173" s="7">
        <f t="shared" si="112"/>
        <v>5342.6867469879517</v>
      </c>
      <c r="R1173">
        <f t="shared" si="113"/>
        <v>1.7592004989359316</v>
      </c>
    </row>
    <row r="1174" spans="1:18" x14ac:dyDescent="0.25">
      <c r="A1174" t="s">
        <v>703</v>
      </c>
      <c r="B1174" t="s">
        <v>28</v>
      </c>
      <c r="C1174" t="s">
        <v>8</v>
      </c>
      <c r="D1174">
        <v>60630</v>
      </c>
      <c r="E1174" s="1">
        <v>44104</v>
      </c>
      <c r="F1174" s="2">
        <f t="shared" si="108"/>
        <v>2020</v>
      </c>
      <c r="G1174">
        <v>79</v>
      </c>
      <c r="H1174" s="3">
        <v>450331</v>
      </c>
      <c r="I1174">
        <v>56606</v>
      </c>
      <c r="J1174">
        <v>450331</v>
      </c>
      <c r="K1174">
        <v>372705</v>
      </c>
      <c r="L1174">
        <v>366663</v>
      </c>
      <c r="M1174" t="str">
        <f t="shared" si="109"/>
        <v>Medium</v>
      </c>
      <c r="N1174">
        <f>VLOOKUP(C1174,Lookup!$A$2:$D$5,MATCH(M1174,Lookup!$A$1:$D$1,0),FALSE)</f>
        <v>0.08</v>
      </c>
      <c r="O1174">
        <f t="shared" si="110"/>
        <v>29333.040000000001</v>
      </c>
      <c r="P1174" s="7">
        <f t="shared" si="111"/>
        <v>0.82762456948333563</v>
      </c>
      <c r="Q1174" s="7">
        <f t="shared" si="112"/>
        <v>5700.3924050632913</v>
      </c>
      <c r="R1174">
        <f t="shared" si="113"/>
        <v>1.9297692976929768</v>
      </c>
    </row>
    <row r="1175" spans="1:18" x14ac:dyDescent="0.25">
      <c r="A1175" t="s">
        <v>703</v>
      </c>
      <c r="B1175" t="s">
        <v>28</v>
      </c>
      <c r="C1175" t="s">
        <v>8</v>
      </c>
      <c r="D1175">
        <v>60630</v>
      </c>
      <c r="E1175" s="1">
        <v>44469</v>
      </c>
      <c r="F1175" s="2">
        <f t="shared" si="108"/>
        <v>2021</v>
      </c>
      <c r="G1175">
        <v>79</v>
      </c>
      <c r="H1175" s="3">
        <v>528234</v>
      </c>
      <c r="I1175">
        <v>99718</v>
      </c>
      <c r="J1175">
        <v>528234</v>
      </c>
      <c r="K1175">
        <v>436805</v>
      </c>
      <c r="L1175">
        <v>430362</v>
      </c>
      <c r="M1175" t="str">
        <f t="shared" si="109"/>
        <v>Medium</v>
      </c>
      <c r="N1175">
        <f>VLOOKUP(C1175,Lookup!$A$2:$D$5,MATCH(M1175,Lookup!$A$1:$D$1,0),FALSE)</f>
        <v>0.08</v>
      </c>
      <c r="O1175">
        <f t="shared" si="110"/>
        <v>34428.959999999999</v>
      </c>
      <c r="P1175" s="7">
        <f t="shared" si="111"/>
        <v>0.82691572295611415</v>
      </c>
      <c r="Q1175" s="7">
        <f t="shared" si="112"/>
        <v>6686.506329113924</v>
      </c>
      <c r="R1175">
        <f t="shared" si="113"/>
        <v>2.896340754992309</v>
      </c>
    </row>
    <row r="1176" spans="1:18" x14ac:dyDescent="0.25">
      <c r="A1176" t="s">
        <v>704</v>
      </c>
      <c r="B1176" t="s">
        <v>705</v>
      </c>
      <c r="C1176" t="s">
        <v>8</v>
      </c>
      <c r="D1176">
        <v>61348</v>
      </c>
      <c r="E1176" s="1">
        <v>43738</v>
      </c>
      <c r="F1176" s="2">
        <f t="shared" si="108"/>
        <v>2019</v>
      </c>
      <c r="G1176">
        <v>18</v>
      </c>
      <c r="H1176" s="3">
        <v>125486</v>
      </c>
      <c r="I1176">
        <v>11321</v>
      </c>
      <c r="J1176">
        <v>125486</v>
      </c>
      <c r="K1176">
        <v>105382</v>
      </c>
      <c r="L1176">
        <v>86093</v>
      </c>
      <c r="M1176" t="str">
        <f t="shared" si="109"/>
        <v>Medium</v>
      </c>
      <c r="N1176">
        <f>VLOOKUP(C1176,Lookup!$A$2:$D$5,MATCH(M1176,Lookup!$A$1:$D$1,0),FALSE)</f>
        <v>0.08</v>
      </c>
      <c r="O1176">
        <f t="shared" si="110"/>
        <v>6887.4400000000005</v>
      </c>
      <c r="P1176" s="7">
        <f t="shared" si="111"/>
        <v>0.83979089300798493</v>
      </c>
      <c r="Q1176" s="7">
        <f t="shared" si="112"/>
        <v>6971.4444444444443</v>
      </c>
      <c r="R1176">
        <f t="shared" si="113"/>
        <v>1.6437166784756019</v>
      </c>
    </row>
    <row r="1177" spans="1:18" x14ac:dyDescent="0.25">
      <c r="A1177" t="s">
        <v>704</v>
      </c>
      <c r="B1177" t="s">
        <v>705</v>
      </c>
      <c r="C1177" t="s">
        <v>8</v>
      </c>
      <c r="D1177">
        <v>61348</v>
      </c>
      <c r="E1177" s="1">
        <v>44104</v>
      </c>
      <c r="F1177" s="2">
        <f t="shared" si="108"/>
        <v>2020</v>
      </c>
      <c r="G1177">
        <v>19</v>
      </c>
      <c r="H1177" s="3">
        <v>145325</v>
      </c>
      <c r="I1177">
        <v>15234</v>
      </c>
      <c r="J1177">
        <v>145325</v>
      </c>
      <c r="K1177">
        <v>123158</v>
      </c>
      <c r="L1177">
        <v>102983</v>
      </c>
      <c r="M1177" t="str">
        <f t="shared" si="109"/>
        <v>Medium</v>
      </c>
      <c r="N1177">
        <f>VLOOKUP(C1177,Lookup!$A$2:$D$5,MATCH(M1177,Lookup!$A$1:$D$1,0),FALSE)</f>
        <v>0.08</v>
      </c>
      <c r="O1177">
        <f t="shared" si="110"/>
        <v>8238.64</v>
      </c>
      <c r="P1177" s="7">
        <f t="shared" si="111"/>
        <v>0.84746602442800623</v>
      </c>
      <c r="Q1177" s="7">
        <f t="shared" si="112"/>
        <v>7648.6842105263158</v>
      </c>
      <c r="R1177">
        <f t="shared" si="113"/>
        <v>1.8490915976423294</v>
      </c>
    </row>
    <row r="1178" spans="1:18" x14ac:dyDescent="0.25">
      <c r="A1178" t="s">
        <v>704</v>
      </c>
      <c r="B1178" t="s">
        <v>705</v>
      </c>
      <c r="C1178" t="s">
        <v>8</v>
      </c>
      <c r="D1178">
        <v>61348</v>
      </c>
      <c r="E1178" s="1">
        <v>44469</v>
      </c>
      <c r="F1178" s="2">
        <f t="shared" si="108"/>
        <v>2021</v>
      </c>
      <c r="G1178">
        <v>19</v>
      </c>
      <c r="H1178" s="3">
        <v>153177</v>
      </c>
      <c r="I1178">
        <v>4571</v>
      </c>
      <c r="J1178">
        <v>153177</v>
      </c>
      <c r="K1178">
        <v>129684</v>
      </c>
      <c r="L1178">
        <v>109009</v>
      </c>
      <c r="M1178" t="str">
        <f t="shared" si="109"/>
        <v>Medium</v>
      </c>
      <c r="N1178">
        <f>VLOOKUP(C1178,Lookup!$A$2:$D$5,MATCH(M1178,Lookup!$A$1:$D$1,0),FALSE)</f>
        <v>0.08</v>
      </c>
      <c r="O1178">
        <f t="shared" si="110"/>
        <v>8720.7199999999993</v>
      </c>
      <c r="P1178" s="7">
        <f t="shared" si="111"/>
        <v>0.84662841027047142</v>
      </c>
      <c r="Q1178" s="7">
        <f t="shared" si="112"/>
        <v>8061.9473684210525</v>
      </c>
      <c r="R1178">
        <f t="shared" si="113"/>
        <v>0.52415396893834454</v>
      </c>
    </row>
    <row r="1179" spans="1:18" x14ac:dyDescent="0.25">
      <c r="A1179" t="s">
        <v>706</v>
      </c>
      <c r="B1179" t="s">
        <v>707</v>
      </c>
      <c r="C1179" t="s">
        <v>8</v>
      </c>
      <c r="D1179">
        <v>61114</v>
      </c>
      <c r="E1179" s="1">
        <v>43738</v>
      </c>
      <c r="F1179" s="2">
        <f t="shared" si="108"/>
        <v>2019</v>
      </c>
      <c r="G1179">
        <v>86</v>
      </c>
      <c r="H1179" s="3">
        <v>871478</v>
      </c>
      <c r="I1179">
        <v>34301</v>
      </c>
      <c r="J1179">
        <v>871478</v>
      </c>
      <c r="K1179">
        <v>794481</v>
      </c>
      <c r="L1179">
        <v>768267</v>
      </c>
      <c r="M1179" t="str">
        <f t="shared" si="109"/>
        <v>Medium</v>
      </c>
      <c r="N1179">
        <f>VLOOKUP(C1179,Lookup!$A$2:$D$5,MATCH(M1179,Lookup!$A$1:$D$1,0),FALSE)</f>
        <v>0.08</v>
      </c>
      <c r="O1179">
        <f t="shared" si="110"/>
        <v>61461.36</v>
      </c>
      <c r="P1179" s="7">
        <f t="shared" si="111"/>
        <v>0.91164779833799592</v>
      </c>
      <c r="Q1179" s="7">
        <f t="shared" si="112"/>
        <v>10133.465116279071</v>
      </c>
      <c r="R1179">
        <f t="shared" si="113"/>
        <v>0.55809048156435193</v>
      </c>
    </row>
    <row r="1180" spans="1:18" x14ac:dyDescent="0.25">
      <c r="A1180" t="s">
        <v>706</v>
      </c>
      <c r="B1180" t="s">
        <v>707</v>
      </c>
      <c r="C1180" t="s">
        <v>8</v>
      </c>
      <c r="D1180">
        <v>61114</v>
      </c>
      <c r="E1180" s="1">
        <v>44104</v>
      </c>
      <c r="F1180" s="2">
        <f t="shared" si="108"/>
        <v>2020</v>
      </c>
      <c r="G1180">
        <v>97</v>
      </c>
      <c r="H1180" s="3">
        <v>1500012</v>
      </c>
      <c r="I1180">
        <v>20528</v>
      </c>
      <c r="J1180">
        <v>1500012</v>
      </c>
      <c r="K1180">
        <v>1353321</v>
      </c>
      <c r="L1180">
        <v>1307513</v>
      </c>
      <c r="M1180" t="str">
        <f t="shared" si="109"/>
        <v>Large</v>
      </c>
      <c r="N1180">
        <f>VLOOKUP(C1180,Lookup!$A$2:$D$5,MATCH(M1180,Lookup!$A$1:$D$1,0),FALSE)</f>
        <v>7.4999999999999997E-2</v>
      </c>
      <c r="O1180">
        <f t="shared" si="110"/>
        <v>98063.474999999991</v>
      </c>
      <c r="P1180" s="7">
        <f t="shared" si="111"/>
        <v>0.90220678234574125</v>
      </c>
      <c r="Q1180" s="7">
        <f t="shared" si="112"/>
        <v>15464.041237113403</v>
      </c>
      <c r="R1180">
        <f t="shared" si="113"/>
        <v>0.2093338013975132</v>
      </c>
    </row>
    <row r="1181" spans="1:18" x14ac:dyDescent="0.25">
      <c r="A1181" t="s">
        <v>706</v>
      </c>
      <c r="B1181" t="s">
        <v>707</v>
      </c>
      <c r="C1181" t="s">
        <v>8</v>
      </c>
      <c r="D1181">
        <v>61107</v>
      </c>
      <c r="E1181" s="1">
        <v>44469</v>
      </c>
      <c r="F1181" s="2">
        <f t="shared" si="108"/>
        <v>2021</v>
      </c>
      <c r="G1181">
        <v>84</v>
      </c>
      <c r="H1181" s="3">
        <v>1680558</v>
      </c>
      <c r="I1181">
        <v>19775</v>
      </c>
      <c r="J1181">
        <v>1680558</v>
      </c>
      <c r="K1181">
        <v>1529911</v>
      </c>
      <c r="L1181">
        <v>1509847</v>
      </c>
      <c r="M1181" t="str">
        <f t="shared" si="109"/>
        <v>Large</v>
      </c>
      <c r="N1181">
        <f>VLOOKUP(C1181,Lookup!$A$2:$D$5,MATCH(M1181,Lookup!$A$1:$D$1,0),FALSE)</f>
        <v>7.4999999999999997E-2</v>
      </c>
      <c r="O1181">
        <f t="shared" si="110"/>
        <v>113238.52499999999</v>
      </c>
      <c r="P1181" s="7">
        <f t="shared" si="111"/>
        <v>0.91035894030435127</v>
      </c>
      <c r="Q1181" s="7">
        <f t="shared" si="112"/>
        <v>20006.642857142859</v>
      </c>
      <c r="R1181">
        <f t="shared" si="113"/>
        <v>0.17463138097215591</v>
      </c>
    </row>
    <row r="1182" spans="1:18" x14ac:dyDescent="0.25">
      <c r="A1182" t="s">
        <v>708</v>
      </c>
      <c r="B1182" t="s">
        <v>149</v>
      </c>
      <c r="C1182" t="s">
        <v>8</v>
      </c>
      <c r="D1182">
        <v>62701</v>
      </c>
      <c r="E1182" s="1">
        <v>43738</v>
      </c>
      <c r="F1182" s="2">
        <f t="shared" si="108"/>
        <v>2019</v>
      </c>
      <c r="G1182">
        <v>268</v>
      </c>
      <c r="H1182" s="3">
        <v>1185272</v>
      </c>
      <c r="I1182">
        <v>224027</v>
      </c>
      <c r="J1182">
        <v>1185272</v>
      </c>
      <c r="K1182">
        <v>1084737</v>
      </c>
      <c r="L1182">
        <v>1077351</v>
      </c>
      <c r="M1182" t="str">
        <f t="shared" si="109"/>
        <v>Large</v>
      </c>
      <c r="N1182">
        <f>VLOOKUP(C1182,Lookup!$A$2:$D$5,MATCH(M1182,Lookup!$A$1:$D$1,0),FALSE)</f>
        <v>7.4999999999999997E-2</v>
      </c>
      <c r="O1182">
        <f t="shared" si="110"/>
        <v>80801.324999999997</v>
      </c>
      <c r="P1182" s="7">
        <f t="shared" si="111"/>
        <v>0.91517980682914979</v>
      </c>
      <c r="Q1182" s="7">
        <f t="shared" si="112"/>
        <v>4422.6567164179105</v>
      </c>
      <c r="R1182">
        <f t="shared" si="113"/>
        <v>2.7725659201751953</v>
      </c>
    </row>
    <row r="1183" spans="1:18" x14ac:dyDescent="0.25">
      <c r="A1183" t="s">
        <v>1373</v>
      </c>
      <c r="B1183" t="s">
        <v>149</v>
      </c>
      <c r="C1183" t="s">
        <v>8</v>
      </c>
      <c r="D1183">
        <v>62701</v>
      </c>
      <c r="E1183" s="1">
        <v>44104</v>
      </c>
      <c r="F1183" s="2">
        <f t="shared" si="108"/>
        <v>2020</v>
      </c>
      <c r="G1183">
        <v>285</v>
      </c>
      <c r="H1183" s="3">
        <v>1432228</v>
      </c>
      <c r="I1183">
        <v>314179</v>
      </c>
      <c r="J1183">
        <v>1432228</v>
      </c>
      <c r="K1183">
        <v>1317048</v>
      </c>
      <c r="L1183">
        <v>1305433</v>
      </c>
      <c r="M1183" t="str">
        <f t="shared" si="109"/>
        <v>Large</v>
      </c>
      <c r="N1183">
        <f>VLOOKUP(C1183,Lookup!$A$2:$D$5,MATCH(M1183,Lookup!$A$1:$D$1,0),FALSE)</f>
        <v>7.4999999999999997E-2</v>
      </c>
      <c r="O1183">
        <f t="shared" si="110"/>
        <v>97907.474999999991</v>
      </c>
      <c r="P1183" s="7">
        <f t="shared" si="111"/>
        <v>0.91957984343274957</v>
      </c>
      <c r="Q1183" s="7">
        <f t="shared" si="112"/>
        <v>5025.3614035087721</v>
      </c>
      <c r="R1183">
        <f t="shared" si="113"/>
        <v>3.2089378262487109</v>
      </c>
    </row>
    <row r="1184" spans="1:18" x14ac:dyDescent="0.25">
      <c r="A1184" t="s">
        <v>1373</v>
      </c>
      <c r="B1184" t="s">
        <v>149</v>
      </c>
      <c r="C1184" t="s">
        <v>8</v>
      </c>
      <c r="D1184">
        <v>62701</v>
      </c>
      <c r="E1184" s="1">
        <v>44469</v>
      </c>
      <c r="F1184" s="2">
        <f t="shared" si="108"/>
        <v>2021</v>
      </c>
      <c r="G1184">
        <v>275</v>
      </c>
      <c r="H1184" s="3">
        <v>1629399</v>
      </c>
      <c r="I1184">
        <v>553908</v>
      </c>
      <c r="J1184">
        <v>1629399</v>
      </c>
      <c r="K1184">
        <v>1498686</v>
      </c>
      <c r="L1184">
        <v>1492404</v>
      </c>
      <c r="M1184" t="str">
        <f t="shared" si="109"/>
        <v>Large</v>
      </c>
      <c r="N1184">
        <f>VLOOKUP(C1184,Lookup!$A$2:$D$5,MATCH(M1184,Lookup!$A$1:$D$1,0),FALSE)</f>
        <v>7.4999999999999997E-2</v>
      </c>
      <c r="O1184">
        <f t="shared" si="110"/>
        <v>111930.3</v>
      </c>
      <c r="P1184" s="7">
        <f t="shared" si="111"/>
        <v>0.91977839681993179</v>
      </c>
      <c r="Q1184" s="7">
        <f t="shared" si="112"/>
        <v>5925.0872727272726</v>
      </c>
      <c r="R1184">
        <f t="shared" si="113"/>
        <v>4.9486868167064682</v>
      </c>
    </row>
    <row r="1185" spans="1:18" x14ac:dyDescent="0.25">
      <c r="A1185" t="s">
        <v>709</v>
      </c>
      <c r="B1185" t="s">
        <v>16</v>
      </c>
      <c r="C1185" t="s">
        <v>17</v>
      </c>
      <c r="D1185">
        <v>10019</v>
      </c>
      <c r="E1185" s="1">
        <v>43738</v>
      </c>
      <c r="F1185" s="2">
        <f t="shared" si="108"/>
        <v>2019</v>
      </c>
      <c r="G1185">
        <v>301</v>
      </c>
      <c r="H1185" s="3">
        <v>2821957</v>
      </c>
      <c r="I1185">
        <v>250428</v>
      </c>
      <c r="J1185">
        <v>2821957</v>
      </c>
      <c r="K1185">
        <v>2386701</v>
      </c>
      <c r="L1185">
        <v>2162781</v>
      </c>
      <c r="M1185" t="str">
        <f t="shared" si="109"/>
        <v>Large</v>
      </c>
      <c r="N1185">
        <f>VLOOKUP(C1185,Lookup!$A$2:$D$5,MATCH(M1185,Lookup!$A$1:$D$1,0),FALSE)</f>
        <v>0.08</v>
      </c>
      <c r="O1185">
        <f t="shared" si="110"/>
        <v>173022.48</v>
      </c>
      <c r="P1185" s="7">
        <f t="shared" si="111"/>
        <v>0.84576093824250331</v>
      </c>
      <c r="Q1185" s="7">
        <f t="shared" si="112"/>
        <v>9375.2724252491698</v>
      </c>
      <c r="R1185">
        <f t="shared" si="113"/>
        <v>1.4473726188643232</v>
      </c>
    </row>
    <row r="1186" spans="1:18" x14ac:dyDescent="0.25">
      <c r="A1186" t="s">
        <v>709</v>
      </c>
      <c r="B1186" t="s">
        <v>16</v>
      </c>
      <c r="C1186" t="s">
        <v>17</v>
      </c>
      <c r="D1186">
        <v>10019</v>
      </c>
      <c r="E1186" s="1">
        <v>44104</v>
      </c>
      <c r="F1186" s="2">
        <f t="shared" si="108"/>
        <v>2020</v>
      </c>
      <c r="G1186">
        <v>301</v>
      </c>
      <c r="H1186" s="3">
        <v>2986808</v>
      </c>
      <c r="I1186">
        <v>225938</v>
      </c>
      <c r="J1186">
        <v>2986808</v>
      </c>
      <c r="K1186">
        <v>2539991</v>
      </c>
      <c r="L1186">
        <v>2114902</v>
      </c>
      <c r="M1186" t="str">
        <f t="shared" si="109"/>
        <v>Large</v>
      </c>
      <c r="N1186">
        <f>VLOOKUP(C1186,Lookup!$A$2:$D$5,MATCH(M1186,Lookup!$A$1:$D$1,0),FALSE)</f>
        <v>0.08</v>
      </c>
      <c r="O1186">
        <f t="shared" si="110"/>
        <v>169192.16</v>
      </c>
      <c r="P1186" s="7">
        <f t="shared" si="111"/>
        <v>0.85040317288556877</v>
      </c>
      <c r="Q1186" s="7">
        <f t="shared" si="112"/>
        <v>9922.9501661129561</v>
      </c>
      <c r="R1186">
        <f t="shared" si="113"/>
        <v>1.3353928456259438</v>
      </c>
    </row>
    <row r="1187" spans="1:18" x14ac:dyDescent="0.25">
      <c r="A1187" t="s">
        <v>709</v>
      </c>
      <c r="B1187" t="s">
        <v>16</v>
      </c>
      <c r="C1187" t="s">
        <v>17</v>
      </c>
      <c r="D1187">
        <v>10036</v>
      </c>
      <c r="E1187" s="1">
        <v>44469</v>
      </c>
      <c r="F1187" s="2">
        <f t="shared" si="108"/>
        <v>2021</v>
      </c>
      <c r="G1187">
        <v>301</v>
      </c>
      <c r="H1187" s="3">
        <v>3053536</v>
      </c>
      <c r="I1187">
        <v>220308</v>
      </c>
      <c r="J1187">
        <v>3053536</v>
      </c>
      <c r="K1187">
        <v>2649366</v>
      </c>
      <c r="L1187">
        <v>2333971</v>
      </c>
      <c r="M1187" t="str">
        <f t="shared" si="109"/>
        <v>Large</v>
      </c>
      <c r="N1187">
        <f>VLOOKUP(C1187,Lookup!$A$2:$D$5,MATCH(M1187,Lookup!$A$1:$D$1,0),FALSE)</f>
        <v>0.08</v>
      </c>
      <c r="O1187">
        <f t="shared" si="110"/>
        <v>186717.68</v>
      </c>
      <c r="P1187" s="7">
        <f t="shared" si="111"/>
        <v>0.86763869821741091</v>
      </c>
      <c r="Q1187" s="7">
        <f t="shared" si="112"/>
        <v>10144.637873754153</v>
      </c>
      <c r="R1187">
        <f t="shared" si="113"/>
        <v>1.1798989790361578</v>
      </c>
    </row>
    <row r="1188" spans="1:18" x14ac:dyDescent="0.25">
      <c r="A1188" t="s">
        <v>710</v>
      </c>
      <c r="B1188" t="s">
        <v>93</v>
      </c>
      <c r="C1188" t="s">
        <v>5</v>
      </c>
      <c r="D1188">
        <v>92707</v>
      </c>
      <c r="E1188" s="1">
        <v>43738</v>
      </c>
      <c r="F1188" s="2">
        <f t="shared" si="108"/>
        <v>2019</v>
      </c>
      <c r="G1188">
        <v>23</v>
      </c>
      <c r="H1188" s="3">
        <v>110115</v>
      </c>
      <c r="I1188">
        <v>26847</v>
      </c>
      <c r="J1188">
        <v>110115</v>
      </c>
      <c r="K1188">
        <v>83806</v>
      </c>
      <c r="L1188">
        <v>81900</v>
      </c>
      <c r="M1188" t="str">
        <f t="shared" si="109"/>
        <v>Medium</v>
      </c>
      <c r="N1188">
        <f>VLOOKUP(C1188,Lookup!$A$2:$D$5,MATCH(M1188,Lookup!$A$1:$D$1,0),FALSE)</f>
        <v>0.09</v>
      </c>
      <c r="O1188">
        <f t="shared" si="110"/>
        <v>7371</v>
      </c>
      <c r="P1188" s="7">
        <f t="shared" si="111"/>
        <v>0.7610770558052945</v>
      </c>
      <c r="Q1188" s="7">
        <f t="shared" si="112"/>
        <v>4787.608695652174</v>
      </c>
      <c r="R1188">
        <f t="shared" si="113"/>
        <v>3.6422466422466422</v>
      </c>
    </row>
    <row r="1189" spans="1:18" x14ac:dyDescent="0.25">
      <c r="A1189" t="s">
        <v>710</v>
      </c>
      <c r="B1189" t="s">
        <v>93</v>
      </c>
      <c r="C1189" t="s">
        <v>5</v>
      </c>
      <c r="D1189">
        <v>92707</v>
      </c>
      <c r="E1189" s="1">
        <v>44104</v>
      </c>
      <c r="F1189" s="2">
        <f t="shared" si="108"/>
        <v>2020</v>
      </c>
      <c r="G1189">
        <v>25</v>
      </c>
      <c r="H1189" s="3">
        <v>189970</v>
      </c>
      <c r="I1189">
        <v>27952</v>
      </c>
      <c r="J1189">
        <v>189970</v>
      </c>
      <c r="K1189">
        <v>164456</v>
      </c>
      <c r="L1189">
        <v>152688</v>
      </c>
      <c r="M1189" t="str">
        <f t="shared" si="109"/>
        <v>Medium</v>
      </c>
      <c r="N1189">
        <f>VLOOKUP(C1189,Lookup!$A$2:$D$5,MATCH(M1189,Lookup!$A$1:$D$1,0),FALSE)</f>
        <v>0.09</v>
      </c>
      <c r="O1189">
        <f t="shared" si="110"/>
        <v>13741.92</v>
      </c>
      <c r="P1189" s="7">
        <f t="shared" si="111"/>
        <v>0.86569458335526661</v>
      </c>
      <c r="Q1189" s="7">
        <f t="shared" si="112"/>
        <v>7598.8</v>
      </c>
      <c r="R1189">
        <f t="shared" si="113"/>
        <v>2.0340680196071581</v>
      </c>
    </row>
    <row r="1190" spans="1:18" x14ac:dyDescent="0.25">
      <c r="A1190" t="s">
        <v>710</v>
      </c>
      <c r="B1190" t="s">
        <v>93</v>
      </c>
      <c r="C1190" t="s">
        <v>5</v>
      </c>
      <c r="D1190">
        <v>92707</v>
      </c>
      <c r="E1190" s="1">
        <v>44469</v>
      </c>
      <c r="F1190" s="2">
        <f t="shared" si="108"/>
        <v>2021</v>
      </c>
      <c r="G1190">
        <v>25</v>
      </c>
      <c r="H1190" s="3">
        <v>329311</v>
      </c>
      <c r="I1190">
        <v>107900</v>
      </c>
      <c r="J1190">
        <v>329311</v>
      </c>
      <c r="K1190">
        <v>300851</v>
      </c>
      <c r="L1190">
        <v>299408</v>
      </c>
      <c r="M1190" t="str">
        <f t="shared" si="109"/>
        <v>Medium</v>
      </c>
      <c r="N1190">
        <f>VLOOKUP(C1190,Lookup!$A$2:$D$5,MATCH(M1190,Lookup!$A$1:$D$1,0),FALSE)</f>
        <v>0.09</v>
      </c>
      <c r="O1190">
        <f t="shared" si="110"/>
        <v>26946.719999999998</v>
      </c>
      <c r="P1190" s="7">
        <f t="shared" si="111"/>
        <v>0.91357713529156326</v>
      </c>
      <c r="Q1190" s="7">
        <f t="shared" si="112"/>
        <v>13172.44</v>
      </c>
      <c r="R1190">
        <f t="shared" si="113"/>
        <v>4.0041979135122938</v>
      </c>
    </row>
    <row r="1191" spans="1:18" x14ac:dyDescent="0.25">
      <c r="A1191" t="s">
        <v>711</v>
      </c>
      <c r="B1191" t="s">
        <v>439</v>
      </c>
      <c r="C1191" t="s">
        <v>8</v>
      </c>
      <c r="D1191">
        <v>60523</v>
      </c>
      <c r="E1191" s="1">
        <v>43738</v>
      </c>
      <c r="F1191" s="2">
        <f t="shared" si="108"/>
        <v>2019</v>
      </c>
      <c r="G1191">
        <v>279</v>
      </c>
      <c r="H1191" s="3">
        <v>1112405</v>
      </c>
      <c r="I1191">
        <v>25724</v>
      </c>
      <c r="J1191">
        <v>1112405</v>
      </c>
      <c r="K1191">
        <v>971356</v>
      </c>
      <c r="L1191">
        <v>961669</v>
      </c>
      <c r="M1191" t="str">
        <f t="shared" si="109"/>
        <v>Large</v>
      </c>
      <c r="N1191">
        <f>VLOOKUP(C1191,Lookup!$A$2:$D$5,MATCH(M1191,Lookup!$A$1:$D$1,0),FALSE)</f>
        <v>7.4999999999999997E-2</v>
      </c>
      <c r="O1191">
        <f t="shared" si="110"/>
        <v>72125.175000000003</v>
      </c>
      <c r="P1191" s="7">
        <f t="shared" si="111"/>
        <v>0.87320355446083031</v>
      </c>
      <c r="Q1191" s="7">
        <f t="shared" si="112"/>
        <v>3987.1146953405018</v>
      </c>
      <c r="R1191">
        <f t="shared" si="113"/>
        <v>0.35665771348215097</v>
      </c>
    </row>
    <row r="1192" spans="1:18" x14ac:dyDescent="0.25">
      <c r="A1192" t="s">
        <v>711</v>
      </c>
      <c r="B1192" t="s">
        <v>439</v>
      </c>
      <c r="C1192" t="s">
        <v>8</v>
      </c>
      <c r="D1192">
        <v>60523</v>
      </c>
      <c r="E1192" s="1">
        <v>44104</v>
      </c>
      <c r="F1192" s="2">
        <f t="shared" si="108"/>
        <v>2020</v>
      </c>
      <c r="G1192">
        <v>296</v>
      </c>
      <c r="H1192" s="3">
        <v>1252239</v>
      </c>
      <c r="I1192">
        <v>77323</v>
      </c>
      <c r="J1192">
        <v>1252239</v>
      </c>
      <c r="K1192">
        <v>1095199</v>
      </c>
      <c r="L1192">
        <v>1077763</v>
      </c>
      <c r="M1192" t="str">
        <f t="shared" si="109"/>
        <v>Large</v>
      </c>
      <c r="N1192">
        <f>VLOOKUP(C1192,Lookup!$A$2:$D$5,MATCH(M1192,Lookup!$A$1:$D$1,0),FALSE)</f>
        <v>7.4999999999999997E-2</v>
      </c>
      <c r="O1192">
        <f t="shared" si="110"/>
        <v>80832.224999999991</v>
      </c>
      <c r="P1192" s="7">
        <f t="shared" si="111"/>
        <v>0.87459262968171414</v>
      </c>
      <c r="Q1192" s="7">
        <f t="shared" si="112"/>
        <v>4230.5371621621625</v>
      </c>
      <c r="R1192">
        <f t="shared" si="113"/>
        <v>0.95658631195664856</v>
      </c>
    </row>
    <row r="1193" spans="1:18" x14ac:dyDescent="0.25">
      <c r="A1193" t="s">
        <v>711</v>
      </c>
      <c r="B1193" t="s">
        <v>439</v>
      </c>
      <c r="C1193" t="s">
        <v>8</v>
      </c>
      <c r="D1193">
        <v>60523</v>
      </c>
      <c r="E1193" s="1">
        <v>44469</v>
      </c>
      <c r="F1193" s="2">
        <f t="shared" si="108"/>
        <v>2021</v>
      </c>
      <c r="G1193">
        <v>317</v>
      </c>
      <c r="H1193" s="3">
        <v>1294662</v>
      </c>
      <c r="I1193">
        <v>151847</v>
      </c>
      <c r="J1193">
        <v>1294662</v>
      </c>
      <c r="K1193">
        <v>1122751</v>
      </c>
      <c r="L1193">
        <v>1107910</v>
      </c>
      <c r="M1193" t="str">
        <f t="shared" si="109"/>
        <v>Large</v>
      </c>
      <c r="N1193">
        <f>VLOOKUP(C1193,Lookup!$A$2:$D$5,MATCH(M1193,Lookup!$A$1:$D$1,0),FALSE)</f>
        <v>7.4999999999999997E-2</v>
      </c>
      <c r="O1193">
        <f t="shared" si="110"/>
        <v>83093.25</v>
      </c>
      <c r="P1193" s="7">
        <f t="shared" si="111"/>
        <v>0.86721553579235355</v>
      </c>
      <c r="Q1193" s="7">
        <f t="shared" si="112"/>
        <v>4084.1072555205046</v>
      </c>
      <c r="R1193">
        <f t="shared" si="113"/>
        <v>1.8274288224374422</v>
      </c>
    </row>
    <row r="1194" spans="1:18" x14ac:dyDescent="0.25">
      <c r="A1194" t="s">
        <v>712</v>
      </c>
      <c r="B1194" t="s">
        <v>713</v>
      </c>
      <c r="C1194" t="s">
        <v>20</v>
      </c>
      <c r="D1194">
        <v>1950</v>
      </c>
      <c r="E1194" s="1">
        <v>43738</v>
      </c>
      <c r="F1194" s="2">
        <f t="shared" si="108"/>
        <v>2019</v>
      </c>
      <c r="G1194">
        <v>203</v>
      </c>
      <c r="H1194" s="3">
        <v>3609643</v>
      </c>
      <c r="I1194">
        <v>91134</v>
      </c>
      <c r="J1194">
        <v>3609643</v>
      </c>
      <c r="K1194">
        <v>3217983</v>
      </c>
      <c r="L1194">
        <v>2730898</v>
      </c>
      <c r="M1194" t="str">
        <f t="shared" si="109"/>
        <v>Large</v>
      </c>
      <c r="N1194">
        <f>VLOOKUP(C1194,Lookup!$A$2:$D$5,MATCH(M1194,Lookup!$A$1:$D$1,0),FALSE)</f>
        <v>0.08</v>
      </c>
      <c r="O1194">
        <f t="shared" si="110"/>
        <v>218471.84</v>
      </c>
      <c r="P1194" s="7">
        <f t="shared" si="111"/>
        <v>0.89149619505308419</v>
      </c>
      <c r="Q1194" s="7">
        <f t="shared" si="112"/>
        <v>17781.492610837438</v>
      </c>
      <c r="R1194">
        <f t="shared" si="113"/>
        <v>0.41714300570728019</v>
      </c>
    </row>
    <row r="1195" spans="1:18" x14ac:dyDescent="0.25">
      <c r="A1195" t="s">
        <v>712</v>
      </c>
      <c r="B1195" t="s">
        <v>713</v>
      </c>
      <c r="C1195" t="s">
        <v>20</v>
      </c>
      <c r="D1195">
        <v>1950</v>
      </c>
      <c r="E1195" s="1">
        <v>44104</v>
      </c>
      <c r="F1195" s="2">
        <f t="shared" si="108"/>
        <v>2020</v>
      </c>
      <c r="G1195">
        <v>176</v>
      </c>
      <c r="H1195" s="3">
        <v>3869689</v>
      </c>
      <c r="I1195">
        <v>343599</v>
      </c>
      <c r="J1195">
        <v>3869689</v>
      </c>
      <c r="K1195">
        <v>3456920</v>
      </c>
      <c r="L1195">
        <v>2937219</v>
      </c>
      <c r="M1195" t="str">
        <f t="shared" si="109"/>
        <v>Large</v>
      </c>
      <c r="N1195">
        <f>VLOOKUP(C1195,Lookup!$A$2:$D$5,MATCH(M1195,Lookup!$A$1:$D$1,0),FALSE)</f>
        <v>0.08</v>
      </c>
      <c r="O1195">
        <f t="shared" si="110"/>
        <v>234977.52000000002</v>
      </c>
      <c r="P1195" s="7">
        <f t="shared" si="111"/>
        <v>0.89333277170335912</v>
      </c>
      <c r="Q1195" s="7">
        <f t="shared" si="112"/>
        <v>21986.86931818182</v>
      </c>
      <c r="R1195">
        <f t="shared" si="113"/>
        <v>1.4622632837388019</v>
      </c>
    </row>
    <row r="1196" spans="1:18" x14ac:dyDescent="0.25">
      <c r="A1196" t="s">
        <v>712</v>
      </c>
      <c r="B1196" t="s">
        <v>713</v>
      </c>
      <c r="C1196" t="s">
        <v>20</v>
      </c>
      <c r="D1196">
        <v>1950</v>
      </c>
      <c r="E1196" s="1">
        <v>44469</v>
      </c>
      <c r="F1196" s="2">
        <f t="shared" si="108"/>
        <v>2021</v>
      </c>
      <c r="G1196">
        <v>181</v>
      </c>
      <c r="H1196" s="3">
        <v>4347726</v>
      </c>
      <c r="I1196">
        <v>324801</v>
      </c>
      <c r="J1196">
        <v>4347726</v>
      </c>
      <c r="K1196">
        <v>3837283</v>
      </c>
      <c r="L1196">
        <v>3352364</v>
      </c>
      <c r="M1196" t="str">
        <f t="shared" si="109"/>
        <v>Large</v>
      </c>
      <c r="N1196">
        <f>VLOOKUP(C1196,Lookup!$A$2:$D$5,MATCH(M1196,Lookup!$A$1:$D$1,0),FALSE)</f>
        <v>0.08</v>
      </c>
      <c r="O1196">
        <f t="shared" si="110"/>
        <v>268189.12</v>
      </c>
      <c r="P1196" s="7">
        <f t="shared" si="111"/>
        <v>0.88259540734627706</v>
      </c>
      <c r="Q1196" s="7">
        <f t="shared" si="112"/>
        <v>24020.585635359115</v>
      </c>
      <c r="R1196">
        <f t="shared" si="113"/>
        <v>1.2110893984066169</v>
      </c>
    </row>
    <row r="1197" spans="1:18" x14ac:dyDescent="0.25">
      <c r="A1197" t="s">
        <v>714</v>
      </c>
      <c r="B1197" t="s">
        <v>16</v>
      </c>
      <c r="C1197" t="s">
        <v>17</v>
      </c>
      <c r="D1197">
        <v>10022</v>
      </c>
      <c r="E1197" s="1">
        <v>43738</v>
      </c>
      <c r="F1197" s="2">
        <f t="shared" si="108"/>
        <v>2019</v>
      </c>
      <c r="G1197">
        <v>106</v>
      </c>
      <c r="H1197" s="3">
        <v>2051738</v>
      </c>
      <c r="I1197">
        <v>667241</v>
      </c>
      <c r="J1197">
        <v>2051738</v>
      </c>
      <c r="K1197">
        <v>1881347</v>
      </c>
      <c r="L1197">
        <v>1760221</v>
      </c>
      <c r="M1197" t="str">
        <f t="shared" si="109"/>
        <v>Large</v>
      </c>
      <c r="N1197">
        <f>VLOOKUP(C1197,Lookup!$A$2:$D$5,MATCH(M1197,Lookup!$A$1:$D$1,0),FALSE)</f>
        <v>0.08</v>
      </c>
      <c r="O1197">
        <f t="shared" si="110"/>
        <v>140817.68</v>
      </c>
      <c r="P1197" s="7">
        <f t="shared" si="111"/>
        <v>0.91695284680597622</v>
      </c>
      <c r="Q1197" s="7">
        <f t="shared" si="112"/>
        <v>19356.018867924529</v>
      </c>
      <c r="R1197">
        <f t="shared" si="113"/>
        <v>4.7383325730121388</v>
      </c>
    </row>
    <row r="1198" spans="1:18" x14ac:dyDescent="0.25">
      <c r="A1198" t="s">
        <v>714</v>
      </c>
      <c r="B1198" t="s">
        <v>16</v>
      </c>
      <c r="C1198" t="s">
        <v>17</v>
      </c>
      <c r="D1198">
        <v>10022</v>
      </c>
      <c r="E1198" s="1">
        <v>44104</v>
      </c>
      <c r="F1198" s="2">
        <f t="shared" si="108"/>
        <v>2020</v>
      </c>
      <c r="G1198">
        <v>106</v>
      </c>
      <c r="H1198" s="3">
        <v>2093736</v>
      </c>
      <c r="I1198">
        <v>661959</v>
      </c>
      <c r="J1198">
        <v>2093736</v>
      </c>
      <c r="K1198">
        <v>1914041</v>
      </c>
      <c r="L1198">
        <v>1789433</v>
      </c>
      <c r="M1198" t="str">
        <f t="shared" si="109"/>
        <v>Large</v>
      </c>
      <c r="N1198">
        <f>VLOOKUP(C1198,Lookup!$A$2:$D$5,MATCH(M1198,Lookup!$A$1:$D$1,0),FALSE)</f>
        <v>0.08</v>
      </c>
      <c r="O1198">
        <f t="shared" si="110"/>
        <v>143154.64000000001</v>
      </c>
      <c r="P1198" s="7">
        <f t="shared" si="111"/>
        <v>0.91417494851308856</v>
      </c>
      <c r="Q1198" s="7">
        <f t="shared" si="112"/>
        <v>19752.226415094341</v>
      </c>
      <c r="R1198">
        <f t="shared" si="113"/>
        <v>4.6240834387205325</v>
      </c>
    </row>
    <row r="1199" spans="1:18" x14ac:dyDescent="0.25">
      <c r="A1199" t="s">
        <v>714</v>
      </c>
      <c r="B1199" t="s">
        <v>16</v>
      </c>
      <c r="C1199" t="s">
        <v>17</v>
      </c>
      <c r="D1199">
        <v>10022</v>
      </c>
      <c r="E1199" s="1">
        <v>44469</v>
      </c>
      <c r="F1199" s="2">
        <f t="shared" si="108"/>
        <v>2021</v>
      </c>
      <c r="G1199">
        <v>112</v>
      </c>
      <c r="H1199" s="3">
        <v>2297961</v>
      </c>
      <c r="I1199">
        <v>906140</v>
      </c>
      <c r="J1199">
        <v>2297961</v>
      </c>
      <c r="K1199">
        <v>2111648</v>
      </c>
      <c r="L1199">
        <v>1988812</v>
      </c>
      <c r="M1199" t="str">
        <f t="shared" si="109"/>
        <v>Large</v>
      </c>
      <c r="N1199">
        <f>VLOOKUP(C1199,Lookup!$A$2:$D$5,MATCH(M1199,Lookup!$A$1:$D$1,0),FALSE)</f>
        <v>0.08</v>
      </c>
      <c r="O1199">
        <f t="shared" si="110"/>
        <v>159104.95999999999</v>
      </c>
      <c r="P1199" s="7">
        <f t="shared" si="111"/>
        <v>0.9189224708339262</v>
      </c>
      <c r="Q1199" s="7">
        <f t="shared" si="112"/>
        <v>20517.508928571428</v>
      </c>
      <c r="R1199">
        <f t="shared" si="113"/>
        <v>5.6952341397779183</v>
      </c>
    </row>
    <row r="1200" spans="1:18" x14ac:dyDescent="0.25">
      <c r="A1200" t="s">
        <v>715</v>
      </c>
      <c r="B1200" t="s">
        <v>28</v>
      </c>
      <c r="C1200" t="s">
        <v>8</v>
      </c>
      <c r="D1200">
        <v>60640</v>
      </c>
      <c r="E1200" s="1">
        <v>43738</v>
      </c>
      <c r="F1200" s="2">
        <f t="shared" si="108"/>
        <v>2019</v>
      </c>
      <c r="G1200">
        <v>110</v>
      </c>
      <c r="H1200" s="3">
        <v>648663</v>
      </c>
      <c r="I1200">
        <v>40085</v>
      </c>
      <c r="J1200">
        <v>648663</v>
      </c>
      <c r="K1200">
        <v>566147</v>
      </c>
      <c r="L1200">
        <v>552456</v>
      </c>
      <c r="M1200" t="str">
        <f t="shared" si="109"/>
        <v>Medium</v>
      </c>
      <c r="N1200">
        <f>VLOOKUP(C1200,Lookup!$A$2:$D$5,MATCH(M1200,Lookup!$A$1:$D$1,0),FALSE)</f>
        <v>0.08</v>
      </c>
      <c r="O1200">
        <f t="shared" si="110"/>
        <v>44196.480000000003</v>
      </c>
      <c r="P1200" s="7">
        <f t="shared" si="111"/>
        <v>0.87279064784024984</v>
      </c>
      <c r="Q1200" s="7">
        <f t="shared" si="112"/>
        <v>5896.9363636363632</v>
      </c>
      <c r="R1200">
        <f t="shared" si="113"/>
        <v>0.90697268198734371</v>
      </c>
    </row>
    <row r="1201" spans="1:18" x14ac:dyDescent="0.25">
      <c r="A1201" t="s">
        <v>715</v>
      </c>
      <c r="B1201" t="s">
        <v>28</v>
      </c>
      <c r="C1201" t="s">
        <v>8</v>
      </c>
      <c r="D1201">
        <v>60640</v>
      </c>
      <c r="E1201" s="1">
        <v>44104</v>
      </c>
      <c r="F1201" s="2">
        <f t="shared" si="108"/>
        <v>2020</v>
      </c>
      <c r="G1201">
        <v>122</v>
      </c>
      <c r="H1201" s="3">
        <v>754137</v>
      </c>
      <c r="I1201">
        <v>26906</v>
      </c>
      <c r="J1201">
        <v>754137</v>
      </c>
      <c r="K1201">
        <v>668901</v>
      </c>
      <c r="L1201">
        <v>617269</v>
      </c>
      <c r="M1201" t="str">
        <f t="shared" si="109"/>
        <v>Medium</v>
      </c>
      <c r="N1201">
        <f>VLOOKUP(C1201,Lookup!$A$2:$D$5,MATCH(M1201,Lookup!$A$1:$D$1,0),FALSE)</f>
        <v>0.08</v>
      </c>
      <c r="O1201">
        <f t="shared" si="110"/>
        <v>49381.520000000004</v>
      </c>
      <c r="P1201" s="7">
        <f t="shared" si="111"/>
        <v>0.88697544345390822</v>
      </c>
      <c r="Q1201" s="7">
        <f t="shared" si="112"/>
        <v>6181.4508196721308</v>
      </c>
      <c r="R1201">
        <f t="shared" si="113"/>
        <v>0.54485969650184918</v>
      </c>
    </row>
    <row r="1202" spans="1:18" x14ac:dyDescent="0.25">
      <c r="A1202" t="s">
        <v>715</v>
      </c>
      <c r="B1202" t="s">
        <v>28</v>
      </c>
      <c r="C1202" t="s">
        <v>8</v>
      </c>
      <c r="D1202">
        <v>60640</v>
      </c>
      <c r="E1202" s="1">
        <v>44469</v>
      </c>
      <c r="F1202" s="2">
        <f t="shared" si="108"/>
        <v>2021</v>
      </c>
      <c r="G1202">
        <v>117</v>
      </c>
      <c r="H1202" s="3">
        <v>836562</v>
      </c>
      <c r="I1202">
        <v>36569</v>
      </c>
      <c r="J1202">
        <v>836562</v>
      </c>
      <c r="K1202">
        <v>739106</v>
      </c>
      <c r="L1202">
        <v>719590</v>
      </c>
      <c r="M1202" t="str">
        <f t="shared" si="109"/>
        <v>Medium</v>
      </c>
      <c r="N1202">
        <f>VLOOKUP(C1202,Lookup!$A$2:$D$5,MATCH(M1202,Lookup!$A$1:$D$1,0),FALSE)</f>
        <v>0.08</v>
      </c>
      <c r="O1202">
        <f t="shared" si="110"/>
        <v>57567.200000000004</v>
      </c>
      <c r="P1202" s="7">
        <f t="shared" si="111"/>
        <v>0.88350415151536887</v>
      </c>
      <c r="Q1202" s="7">
        <f t="shared" si="112"/>
        <v>7150.1025641025644</v>
      </c>
      <c r="R1202">
        <f t="shared" si="113"/>
        <v>0.63524020622854671</v>
      </c>
    </row>
    <row r="1203" spans="1:18" x14ac:dyDescent="0.25">
      <c r="A1203" t="s">
        <v>716</v>
      </c>
      <c r="B1203" t="s">
        <v>459</v>
      </c>
      <c r="C1203" t="s">
        <v>5</v>
      </c>
      <c r="D1203">
        <v>90802</v>
      </c>
      <c r="E1203" s="1">
        <v>43738</v>
      </c>
      <c r="F1203" s="2">
        <f t="shared" si="108"/>
        <v>2019</v>
      </c>
      <c r="G1203">
        <v>42</v>
      </c>
      <c r="H1203" s="3">
        <v>327171</v>
      </c>
      <c r="I1203">
        <v>5874</v>
      </c>
      <c r="J1203">
        <v>327171</v>
      </c>
      <c r="K1203">
        <v>286656</v>
      </c>
      <c r="L1203">
        <v>228905</v>
      </c>
      <c r="M1203" t="str">
        <f t="shared" si="109"/>
        <v>Medium</v>
      </c>
      <c r="N1203">
        <f>VLOOKUP(C1203,Lookup!$A$2:$D$5,MATCH(M1203,Lookup!$A$1:$D$1,0),FALSE)</f>
        <v>0.09</v>
      </c>
      <c r="O1203">
        <f t="shared" si="110"/>
        <v>20601.45</v>
      </c>
      <c r="P1203" s="7">
        <f t="shared" si="111"/>
        <v>0.87616567483059316</v>
      </c>
      <c r="Q1203" s="7">
        <f t="shared" si="112"/>
        <v>7789.7857142857147</v>
      </c>
      <c r="R1203">
        <f t="shared" si="113"/>
        <v>0.28512556155027924</v>
      </c>
    </row>
    <row r="1204" spans="1:18" x14ac:dyDescent="0.25">
      <c r="A1204" t="s">
        <v>716</v>
      </c>
      <c r="B1204" t="s">
        <v>459</v>
      </c>
      <c r="C1204" t="s">
        <v>5</v>
      </c>
      <c r="D1204">
        <v>90802</v>
      </c>
      <c r="E1204" s="1">
        <v>44104</v>
      </c>
      <c r="F1204" s="2">
        <f t="shared" si="108"/>
        <v>2020</v>
      </c>
      <c r="G1204">
        <v>42</v>
      </c>
      <c r="H1204" s="3">
        <v>440906</v>
      </c>
      <c r="I1204">
        <v>2429</v>
      </c>
      <c r="J1204">
        <v>440906</v>
      </c>
      <c r="K1204">
        <v>384514</v>
      </c>
      <c r="L1204">
        <v>313058</v>
      </c>
      <c r="M1204" t="str">
        <f t="shared" si="109"/>
        <v>Medium</v>
      </c>
      <c r="N1204">
        <f>VLOOKUP(C1204,Lookup!$A$2:$D$5,MATCH(M1204,Lookup!$A$1:$D$1,0),FALSE)</f>
        <v>0.09</v>
      </c>
      <c r="O1204">
        <f t="shared" si="110"/>
        <v>28175.219999999998</v>
      </c>
      <c r="P1204" s="7">
        <f t="shared" si="111"/>
        <v>0.872099721936195</v>
      </c>
      <c r="Q1204" s="7">
        <f t="shared" si="112"/>
        <v>10497.761904761905</v>
      </c>
      <c r="R1204">
        <f t="shared" si="113"/>
        <v>8.6210506963210948E-2</v>
      </c>
    </row>
    <row r="1205" spans="1:18" x14ac:dyDescent="0.25">
      <c r="A1205" t="s">
        <v>716</v>
      </c>
      <c r="B1205" t="s">
        <v>459</v>
      </c>
      <c r="C1205" t="s">
        <v>5</v>
      </c>
      <c r="D1205">
        <v>90802</v>
      </c>
      <c r="E1205" s="1">
        <v>44469</v>
      </c>
      <c r="F1205" s="2">
        <f t="shared" si="108"/>
        <v>2021</v>
      </c>
      <c r="G1205">
        <v>43</v>
      </c>
      <c r="H1205" s="3">
        <v>512969</v>
      </c>
      <c r="I1205">
        <v>4624</v>
      </c>
      <c r="J1205">
        <v>512969</v>
      </c>
      <c r="K1205">
        <v>440933</v>
      </c>
      <c r="L1205">
        <v>311554</v>
      </c>
      <c r="M1205" t="str">
        <f t="shared" si="109"/>
        <v>Medium</v>
      </c>
      <c r="N1205">
        <f>VLOOKUP(C1205,Lookup!$A$2:$D$5,MATCH(M1205,Lookup!$A$1:$D$1,0),FALSE)</f>
        <v>0.09</v>
      </c>
      <c r="O1205">
        <f t="shared" si="110"/>
        <v>28039.86</v>
      </c>
      <c r="P1205" s="7">
        <f t="shared" si="111"/>
        <v>0.85957046137290949</v>
      </c>
      <c r="Q1205" s="7">
        <f t="shared" si="112"/>
        <v>11929.511627906977</v>
      </c>
      <c r="R1205">
        <f t="shared" si="113"/>
        <v>0.16490809868522882</v>
      </c>
    </row>
    <row r="1206" spans="1:18" x14ac:dyDescent="0.25">
      <c r="A1206" t="s">
        <v>717</v>
      </c>
      <c r="B1206" t="s">
        <v>718</v>
      </c>
      <c r="C1206" t="s">
        <v>8</v>
      </c>
      <c r="D1206">
        <v>61441</v>
      </c>
      <c r="E1206" s="1">
        <v>43738</v>
      </c>
      <c r="F1206" s="2">
        <f t="shared" si="108"/>
        <v>2019</v>
      </c>
      <c r="G1206">
        <v>34</v>
      </c>
      <c r="H1206" s="3">
        <v>142482</v>
      </c>
      <c r="I1206">
        <v>12304</v>
      </c>
      <c r="J1206">
        <v>142482</v>
      </c>
      <c r="K1206">
        <v>129678</v>
      </c>
      <c r="L1206">
        <v>129227</v>
      </c>
      <c r="M1206" t="str">
        <f t="shared" si="109"/>
        <v>Medium</v>
      </c>
      <c r="N1206">
        <f>VLOOKUP(C1206,Lookup!$A$2:$D$5,MATCH(M1206,Lookup!$A$1:$D$1,0),FALSE)</f>
        <v>0.08</v>
      </c>
      <c r="O1206">
        <f t="shared" si="110"/>
        <v>10338.16</v>
      </c>
      <c r="P1206" s="7">
        <f t="shared" si="111"/>
        <v>0.91013601718111758</v>
      </c>
      <c r="Q1206" s="7">
        <f t="shared" si="112"/>
        <v>4190.6470588235297</v>
      </c>
      <c r="R1206">
        <f t="shared" si="113"/>
        <v>1.1901537604370604</v>
      </c>
    </row>
    <row r="1207" spans="1:18" x14ac:dyDescent="0.25">
      <c r="A1207" t="s">
        <v>717</v>
      </c>
      <c r="B1207" t="s">
        <v>718</v>
      </c>
      <c r="C1207" t="s">
        <v>8</v>
      </c>
      <c r="D1207">
        <v>61441</v>
      </c>
      <c r="E1207" s="1">
        <v>44104</v>
      </c>
      <c r="F1207" s="2">
        <f t="shared" si="108"/>
        <v>2020</v>
      </c>
      <c r="G1207">
        <v>36</v>
      </c>
      <c r="H1207" s="3">
        <v>181697</v>
      </c>
      <c r="I1207">
        <v>38533</v>
      </c>
      <c r="J1207">
        <v>181697</v>
      </c>
      <c r="K1207">
        <v>167242</v>
      </c>
      <c r="L1207">
        <v>166743</v>
      </c>
      <c r="M1207" t="str">
        <f t="shared" si="109"/>
        <v>Medium</v>
      </c>
      <c r="N1207">
        <f>VLOOKUP(C1207,Lookup!$A$2:$D$5,MATCH(M1207,Lookup!$A$1:$D$1,0),FALSE)</f>
        <v>0.08</v>
      </c>
      <c r="O1207">
        <f t="shared" si="110"/>
        <v>13339.44</v>
      </c>
      <c r="P1207" s="7">
        <f t="shared" si="111"/>
        <v>0.92044447624341619</v>
      </c>
      <c r="Q1207" s="7">
        <f t="shared" si="112"/>
        <v>5047.1388888888887</v>
      </c>
      <c r="R1207">
        <f t="shared" si="113"/>
        <v>2.8886519973851974</v>
      </c>
    </row>
    <row r="1208" spans="1:18" x14ac:dyDescent="0.25">
      <c r="A1208" t="s">
        <v>717</v>
      </c>
      <c r="B1208" t="s">
        <v>718</v>
      </c>
      <c r="C1208" t="s">
        <v>8</v>
      </c>
      <c r="D1208">
        <v>61441</v>
      </c>
      <c r="E1208" s="1">
        <v>44469</v>
      </c>
      <c r="F1208" s="2">
        <f t="shared" si="108"/>
        <v>2021</v>
      </c>
      <c r="G1208">
        <v>37</v>
      </c>
      <c r="H1208" s="3">
        <v>189028</v>
      </c>
      <c r="I1208">
        <v>42180</v>
      </c>
      <c r="J1208">
        <v>189028</v>
      </c>
      <c r="K1208">
        <v>173000</v>
      </c>
      <c r="L1208">
        <v>172426</v>
      </c>
      <c r="M1208" t="str">
        <f t="shared" si="109"/>
        <v>Medium</v>
      </c>
      <c r="N1208">
        <f>VLOOKUP(C1208,Lookup!$A$2:$D$5,MATCH(M1208,Lookup!$A$1:$D$1,0),FALSE)</f>
        <v>0.08</v>
      </c>
      <c r="O1208">
        <f t="shared" si="110"/>
        <v>13794.08</v>
      </c>
      <c r="P1208" s="7">
        <f t="shared" si="111"/>
        <v>0.91520832892481541</v>
      </c>
      <c r="Q1208" s="7">
        <f t="shared" si="112"/>
        <v>5108.864864864865</v>
      </c>
      <c r="R1208">
        <f t="shared" si="113"/>
        <v>3.0578335053878187</v>
      </c>
    </row>
    <row r="1209" spans="1:18" x14ac:dyDescent="0.25">
      <c r="A1209" t="s">
        <v>719</v>
      </c>
      <c r="B1209" t="s">
        <v>720</v>
      </c>
      <c r="C1209" t="s">
        <v>8</v>
      </c>
      <c r="D1209">
        <v>60945</v>
      </c>
      <c r="E1209" s="1">
        <v>43738</v>
      </c>
      <c r="F1209" s="2">
        <f t="shared" si="108"/>
        <v>2019</v>
      </c>
      <c r="G1209">
        <v>24</v>
      </c>
      <c r="H1209" s="3">
        <v>113303</v>
      </c>
      <c r="I1209">
        <v>13697</v>
      </c>
      <c r="J1209">
        <v>113304</v>
      </c>
      <c r="K1209">
        <v>102802</v>
      </c>
      <c r="L1209">
        <v>102190</v>
      </c>
      <c r="M1209" t="str">
        <f t="shared" si="109"/>
        <v>Medium</v>
      </c>
      <c r="N1209">
        <f>VLOOKUP(C1209,Lookup!$A$2:$D$5,MATCH(M1209,Lookup!$A$1:$D$1,0),FALSE)</f>
        <v>0.08</v>
      </c>
      <c r="O1209">
        <f t="shared" si="110"/>
        <v>8175.2</v>
      </c>
      <c r="P1209" s="7">
        <f t="shared" si="111"/>
        <v>0.90731931193348803</v>
      </c>
      <c r="Q1209" s="7">
        <f t="shared" si="112"/>
        <v>4720.958333333333</v>
      </c>
      <c r="R1209">
        <f t="shared" si="113"/>
        <v>1.6754330169292495</v>
      </c>
    </row>
    <row r="1210" spans="1:18" x14ac:dyDescent="0.25">
      <c r="A1210" t="s">
        <v>719</v>
      </c>
      <c r="B1210" t="s">
        <v>720</v>
      </c>
      <c r="C1210" t="s">
        <v>8</v>
      </c>
      <c r="D1210">
        <v>60945</v>
      </c>
      <c r="E1210" s="1">
        <v>44104</v>
      </c>
      <c r="F1210" s="2">
        <f t="shared" si="108"/>
        <v>2020</v>
      </c>
      <c r="G1210">
        <v>26</v>
      </c>
      <c r="H1210" s="3">
        <v>120550</v>
      </c>
      <c r="I1210">
        <v>12202</v>
      </c>
      <c r="J1210">
        <v>120550</v>
      </c>
      <c r="K1210">
        <v>109696</v>
      </c>
      <c r="L1210">
        <v>109072</v>
      </c>
      <c r="M1210" t="str">
        <f t="shared" si="109"/>
        <v>Medium</v>
      </c>
      <c r="N1210">
        <f>VLOOKUP(C1210,Lookup!$A$2:$D$5,MATCH(M1210,Lookup!$A$1:$D$1,0),FALSE)</f>
        <v>0.08</v>
      </c>
      <c r="O1210">
        <f t="shared" si="110"/>
        <v>8725.76</v>
      </c>
      <c r="P1210" s="7">
        <f t="shared" si="111"/>
        <v>0.90996267109083373</v>
      </c>
      <c r="Q1210" s="7">
        <f t="shared" si="112"/>
        <v>4636.5384615384619</v>
      </c>
      <c r="R1210">
        <f t="shared" si="113"/>
        <v>1.3983882206249083</v>
      </c>
    </row>
    <row r="1211" spans="1:18" x14ac:dyDescent="0.25">
      <c r="A1211" t="s">
        <v>719</v>
      </c>
      <c r="B1211" t="s">
        <v>720</v>
      </c>
      <c r="C1211" t="s">
        <v>8</v>
      </c>
      <c r="D1211">
        <v>60945</v>
      </c>
      <c r="E1211" s="1">
        <v>44469</v>
      </c>
      <c r="F1211" s="2">
        <f t="shared" si="108"/>
        <v>2021</v>
      </c>
      <c r="G1211">
        <v>25</v>
      </c>
      <c r="H1211" s="3">
        <v>140337</v>
      </c>
      <c r="I1211">
        <v>11321</v>
      </c>
      <c r="J1211">
        <v>140337</v>
      </c>
      <c r="K1211">
        <v>129225</v>
      </c>
      <c r="L1211">
        <v>128604</v>
      </c>
      <c r="M1211" t="str">
        <f t="shared" si="109"/>
        <v>Medium</v>
      </c>
      <c r="N1211">
        <f>VLOOKUP(C1211,Lookup!$A$2:$D$5,MATCH(M1211,Lookup!$A$1:$D$1,0),FALSE)</f>
        <v>0.08</v>
      </c>
      <c r="O1211">
        <f t="shared" si="110"/>
        <v>10288.32</v>
      </c>
      <c r="P1211" s="7">
        <f t="shared" si="111"/>
        <v>0.92081917099553223</v>
      </c>
      <c r="Q1211" s="7">
        <f t="shared" si="112"/>
        <v>5613.48</v>
      </c>
      <c r="R1211">
        <f t="shared" si="113"/>
        <v>1.1003740163603</v>
      </c>
    </row>
    <row r="1212" spans="1:18" x14ac:dyDescent="0.25">
      <c r="A1212" t="s">
        <v>721</v>
      </c>
      <c r="B1212" t="s">
        <v>722</v>
      </c>
      <c r="C1212" t="s">
        <v>8</v>
      </c>
      <c r="D1212">
        <v>60970</v>
      </c>
      <c r="E1212" s="1">
        <v>43738</v>
      </c>
      <c r="F1212" s="2">
        <f t="shared" si="108"/>
        <v>2019</v>
      </c>
      <c r="G1212">
        <v>105</v>
      </c>
      <c r="H1212" s="3">
        <v>678205</v>
      </c>
      <c r="I1212">
        <v>12376</v>
      </c>
      <c r="J1212">
        <v>678204</v>
      </c>
      <c r="K1212">
        <v>600148</v>
      </c>
      <c r="L1212">
        <v>559598</v>
      </c>
      <c r="M1212" t="str">
        <f t="shared" si="109"/>
        <v>Medium</v>
      </c>
      <c r="N1212">
        <f>VLOOKUP(C1212,Lookup!$A$2:$D$5,MATCH(M1212,Lookup!$A$1:$D$1,0),FALSE)</f>
        <v>0.08</v>
      </c>
      <c r="O1212">
        <f t="shared" si="110"/>
        <v>44767.840000000004</v>
      </c>
      <c r="P1212" s="7">
        <f t="shared" si="111"/>
        <v>0.88490648107872993</v>
      </c>
      <c r="Q1212" s="7">
        <f t="shared" si="112"/>
        <v>6459.0952380952385</v>
      </c>
      <c r="R1212">
        <f t="shared" si="113"/>
        <v>0.27644845049481948</v>
      </c>
    </row>
    <row r="1213" spans="1:18" x14ac:dyDescent="0.25">
      <c r="A1213" t="s">
        <v>721</v>
      </c>
      <c r="B1213" t="s">
        <v>722</v>
      </c>
      <c r="C1213" t="s">
        <v>8</v>
      </c>
      <c r="D1213">
        <v>60970</v>
      </c>
      <c r="E1213" s="1">
        <v>44104</v>
      </c>
      <c r="F1213" s="2">
        <f t="shared" si="108"/>
        <v>2020</v>
      </c>
      <c r="G1213">
        <v>109</v>
      </c>
      <c r="H1213" s="3">
        <v>726004</v>
      </c>
      <c r="I1213">
        <v>18696</v>
      </c>
      <c r="J1213">
        <v>726004</v>
      </c>
      <c r="K1213">
        <v>643889</v>
      </c>
      <c r="L1213">
        <v>605145</v>
      </c>
      <c r="M1213" t="str">
        <f t="shared" si="109"/>
        <v>Medium</v>
      </c>
      <c r="N1213">
        <f>VLOOKUP(C1213,Lookup!$A$2:$D$5,MATCH(M1213,Lookup!$A$1:$D$1,0),FALSE)</f>
        <v>0.08</v>
      </c>
      <c r="O1213">
        <f t="shared" si="110"/>
        <v>48411.6</v>
      </c>
      <c r="P1213" s="7">
        <f t="shared" si="111"/>
        <v>0.88689456256439358</v>
      </c>
      <c r="Q1213" s="7">
        <f t="shared" si="112"/>
        <v>6660.5871559633024</v>
      </c>
      <c r="R1213">
        <f t="shared" si="113"/>
        <v>0.38618843417693283</v>
      </c>
    </row>
    <row r="1214" spans="1:18" x14ac:dyDescent="0.25">
      <c r="A1214" t="s">
        <v>721</v>
      </c>
      <c r="B1214" t="s">
        <v>722</v>
      </c>
      <c r="C1214" t="s">
        <v>8</v>
      </c>
      <c r="D1214">
        <v>60970</v>
      </c>
      <c r="E1214" s="1">
        <v>44469</v>
      </c>
      <c r="F1214" s="2">
        <f t="shared" si="108"/>
        <v>2021</v>
      </c>
      <c r="G1214">
        <v>110</v>
      </c>
      <c r="H1214" s="3">
        <v>767055</v>
      </c>
      <c r="I1214">
        <v>31161</v>
      </c>
      <c r="J1214">
        <v>767055</v>
      </c>
      <c r="K1214">
        <v>685373</v>
      </c>
      <c r="L1214">
        <v>643910</v>
      </c>
      <c r="M1214" t="str">
        <f t="shared" si="109"/>
        <v>Medium</v>
      </c>
      <c r="N1214">
        <f>VLOOKUP(C1214,Lookup!$A$2:$D$5,MATCH(M1214,Lookup!$A$1:$D$1,0),FALSE)</f>
        <v>0.08</v>
      </c>
      <c r="O1214">
        <f t="shared" si="110"/>
        <v>51512.800000000003</v>
      </c>
      <c r="P1214" s="7">
        <f t="shared" si="111"/>
        <v>0.89351219925559444</v>
      </c>
      <c r="Q1214" s="7">
        <f t="shared" si="112"/>
        <v>6973.227272727273</v>
      </c>
      <c r="R1214">
        <f t="shared" si="113"/>
        <v>0.60491761270985067</v>
      </c>
    </row>
    <row r="1215" spans="1:18" x14ac:dyDescent="0.25">
      <c r="A1215" t="s">
        <v>723</v>
      </c>
      <c r="B1215" t="s">
        <v>16</v>
      </c>
      <c r="C1215" t="s">
        <v>17</v>
      </c>
      <c r="D1215">
        <v>10017</v>
      </c>
      <c r="E1215" s="1">
        <v>43738</v>
      </c>
      <c r="F1215" s="2">
        <f t="shared" si="108"/>
        <v>2019</v>
      </c>
      <c r="G1215">
        <v>581</v>
      </c>
      <c r="H1215" s="3">
        <v>9701571</v>
      </c>
      <c r="I1215">
        <v>101114</v>
      </c>
      <c r="J1215">
        <v>9701571</v>
      </c>
      <c r="K1215">
        <v>8650043</v>
      </c>
      <c r="L1215">
        <v>7914537</v>
      </c>
      <c r="M1215" t="str">
        <f t="shared" si="109"/>
        <v>Large</v>
      </c>
      <c r="N1215">
        <f>VLOOKUP(C1215,Lookup!$A$2:$D$5,MATCH(M1215,Lookup!$A$1:$D$1,0),FALSE)</f>
        <v>0.08</v>
      </c>
      <c r="O1215">
        <f t="shared" si="110"/>
        <v>633162.96</v>
      </c>
      <c r="P1215" s="7">
        <f t="shared" si="111"/>
        <v>0.89161260583466329</v>
      </c>
      <c r="Q1215" s="7">
        <f t="shared" si="112"/>
        <v>16698.056798623064</v>
      </c>
      <c r="R1215">
        <f t="shared" si="113"/>
        <v>0.15969664428885733</v>
      </c>
    </row>
    <row r="1216" spans="1:18" x14ac:dyDescent="0.25">
      <c r="A1216" t="s">
        <v>723</v>
      </c>
      <c r="B1216" t="s">
        <v>16</v>
      </c>
      <c r="C1216" t="s">
        <v>17</v>
      </c>
      <c r="D1216">
        <v>10017</v>
      </c>
      <c r="E1216" s="1">
        <v>44104</v>
      </c>
      <c r="F1216" s="2">
        <f t="shared" si="108"/>
        <v>2020</v>
      </c>
      <c r="G1216">
        <v>562</v>
      </c>
      <c r="H1216" s="3">
        <v>10669451</v>
      </c>
      <c r="I1216">
        <v>322188</v>
      </c>
      <c r="J1216">
        <v>10669451</v>
      </c>
      <c r="K1216">
        <v>9529462</v>
      </c>
      <c r="L1216">
        <v>8783160</v>
      </c>
      <c r="M1216" t="str">
        <f t="shared" si="109"/>
        <v>Large</v>
      </c>
      <c r="N1216">
        <f>VLOOKUP(C1216,Lookup!$A$2:$D$5,MATCH(M1216,Lookup!$A$1:$D$1,0),FALSE)</f>
        <v>0.08</v>
      </c>
      <c r="O1216">
        <f t="shared" si="110"/>
        <v>702652.8</v>
      </c>
      <c r="P1216" s="7">
        <f t="shared" si="111"/>
        <v>0.89315392141545047</v>
      </c>
      <c r="Q1216" s="7">
        <f t="shared" si="112"/>
        <v>18984.788256227759</v>
      </c>
      <c r="R1216">
        <f t="shared" si="113"/>
        <v>0.45853087043842988</v>
      </c>
    </row>
    <row r="1217" spans="1:18" x14ac:dyDescent="0.25">
      <c r="A1217" t="s">
        <v>723</v>
      </c>
      <c r="B1217" t="s">
        <v>16</v>
      </c>
      <c r="C1217" t="s">
        <v>17</v>
      </c>
      <c r="D1217">
        <v>10036</v>
      </c>
      <c r="E1217" s="1">
        <v>44469</v>
      </c>
      <c r="F1217" s="2">
        <f t="shared" si="108"/>
        <v>2021</v>
      </c>
      <c r="G1217">
        <v>557</v>
      </c>
      <c r="H1217" s="3">
        <v>11724992</v>
      </c>
      <c r="I1217">
        <v>565007</v>
      </c>
      <c r="J1217">
        <v>11724992</v>
      </c>
      <c r="K1217">
        <v>10589426</v>
      </c>
      <c r="L1217">
        <v>10233912</v>
      </c>
      <c r="M1217" t="str">
        <f t="shared" si="109"/>
        <v>Large</v>
      </c>
      <c r="N1217">
        <f>VLOOKUP(C1217,Lookup!$A$2:$D$5,MATCH(M1217,Lookup!$A$1:$D$1,0),FALSE)</f>
        <v>0.08</v>
      </c>
      <c r="O1217">
        <f t="shared" si="110"/>
        <v>818712.96</v>
      </c>
      <c r="P1217" s="7">
        <f t="shared" si="111"/>
        <v>0.90314995524090758</v>
      </c>
      <c r="Q1217" s="7">
        <f t="shared" si="112"/>
        <v>21050.254937163376</v>
      </c>
      <c r="R1217">
        <f t="shared" si="113"/>
        <v>0.69011610613810248</v>
      </c>
    </row>
    <row r="1218" spans="1:18" x14ac:dyDescent="0.25">
      <c r="A1218" t="s">
        <v>724</v>
      </c>
      <c r="B1218" t="s">
        <v>725</v>
      </c>
      <c r="C1218" t="s">
        <v>8</v>
      </c>
      <c r="D1218">
        <v>60143</v>
      </c>
      <c r="E1218" s="1">
        <v>43738</v>
      </c>
      <c r="F1218" s="2">
        <f t="shared" ref="F1218:F1281" si="114">YEAR(E1218)</f>
        <v>2019</v>
      </c>
      <c r="G1218">
        <v>95</v>
      </c>
      <c r="H1218" s="3">
        <v>579164</v>
      </c>
      <c r="I1218">
        <v>70426</v>
      </c>
      <c r="J1218">
        <v>579164</v>
      </c>
      <c r="K1218">
        <v>522894</v>
      </c>
      <c r="L1218">
        <v>520490</v>
      </c>
      <c r="M1218" t="str">
        <f t="shared" ref="M1218:M1281" si="115">IF(H1218&gt;1000000,"Large",IF(H1218&lt;100000,"Small","Medium"))</f>
        <v>Medium</v>
      </c>
      <c r="N1218">
        <f>VLOOKUP(C1218,Lookup!$A$2:$D$5,MATCH(M1218,Lookup!$A$1:$D$1,0),FALSE)</f>
        <v>0.08</v>
      </c>
      <c r="O1218">
        <f t="shared" ref="O1218:O1281" si="116">L1218*N1218</f>
        <v>41639.200000000004</v>
      </c>
      <c r="P1218" s="7">
        <f t="shared" ref="P1218:P1281" si="117">K1218/H1218</f>
        <v>0.90284271812474537</v>
      </c>
      <c r="Q1218" s="7">
        <f t="shared" ref="Q1218:Q1281" si="118">H1218/G1218</f>
        <v>6096.4631578947365</v>
      </c>
      <c r="R1218">
        <f t="shared" ref="R1218:R1281" si="119">I1218/O1218</f>
        <v>1.6913389306230666</v>
      </c>
    </row>
    <row r="1219" spans="1:18" x14ac:dyDescent="0.25">
      <c r="A1219" t="s">
        <v>724</v>
      </c>
      <c r="B1219" t="s">
        <v>725</v>
      </c>
      <c r="C1219" t="s">
        <v>8</v>
      </c>
      <c r="D1219">
        <v>60143</v>
      </c>
      <c r="E1219" s="1">
        <v>44104</v>
      </c>
      <c r="F1219" s="2">
        <f t="shared" si="114"/>
        <v>2020</v>
      </c>
      <c r="G1219">
        <v>94</v>
      </c>
      <c r="H1219" s="3">
        <v>696246</v>
      </c>
      <c r="I1219">
        <v>32236</v>
      </c>
      <c r="J1219">
        <v>696246</v>
      </c>
      <c r="K1219">
        <v>633248</v>
      </c>
      <c r="L1219">
        <v>591858</v>
      </c>
      <c r="M1219" t="str">
        <f t="shared" si="115"/>
        <v>Medium</v>
      </c>
      <c r="N1219">
        <f>VLOOKUP(C1219,Lookup!$A$2:$D$5,MATCH(M1219,Lookup!$A$1:$D$1,0),FALSE)</f>
        <v>0.08</v>
      </c>
      <c r="O1219">
        <f t="shared" si="116"/>
        <v>47348.639999999999</v>
      </c>
      <c r="P1219" s="7">
        <f t="shared" si="117"/>
        <v>0.90951761302757939</v>
      </c>
      <c r="Q1219" s="7">
        <f t="shared" si="118"/>
        <v>7406.8723404255315</v>
      </c>
      <c r="R1219">
        <f t="shared" si="119"/>
        <v>0.68082208908217845</v>
      </c>
    </row>
    <row r="1220" spans="1:18" x14ac:dyDescent="0.25">
      <c r="A1220" t="s">
        <v>724</v>
      </c>
      <c r="B1220" t="s">
        <v>725</v>
      </c>
      <c r="C1220" t="s">
        <v>8</v>
      </c>
      <c r="D1220">
        <v>60143</v>
      </c>
      <c r="E1220" s="1">
        <v>44469</v>
      </c>
      <c r="F1220" s="2">
        <f t="shared" si="114"/>
        <v>2021</v>
      </c>
      <c r="G1220">
        <v>95</v>
      </c>
      <c r="H1220" s="3">
        <v>734832</v>
      </c>
      <c r="I1220">
        <v>35396</v>
      </c>
      <c r="J1220">
        <v>734832</v>
      </c>
      <c r="K1220">
        <v>669382</v>
      </c>
      <c r="L1220">
        <v>663985</v>
      </c>
      <c r="M1220" t="str">
        <f t="shared" si="115"/>
        <v>Medium</v>
      </c>
      <c r="N1220">
        <f>VLOOKUP(C1220,Lookup!$A$2:$D$5,MATCH(M1220,Lookup!$A$1:$D$1,0),FALSE)</f>
        <v>0.08</v>
      </c>
      <c r="O1220">
        <f t="shared" si="116"/>
        <v>53118.8</v>
      </c>
      <c r="P1220" s="7">
        <f t="shared" si="117"/>
        <v>0.91093202255753691</v>
      </c>
      <c r="Q1220" s="7">
        <f t="shared" si="118"/>
        <v>7735.0736842105262</v>
      </c>
      <c r="R1220">
        <f t="shared" si="119"/>
        <v>0.66635541465545156</v>
      </c>
    </row>
    <row r="1221" spans="1:18" x14ac:dyDescent="0.25">
      <c r="A1221" t="s">
        <v>726</v>
      </c>
      <c r="B1221" t="s">
        <v>727</v>
      </c>
      <c r="C1221" t="s">
        <v>17</v>
      </c>
      <c r="D1221">
        <v>12748</v>
      </c>
      <c r="E1221" s="1">
        <v>43738</v>
      </c>
      <c r="F1221" s="2">
        <f t="shared" si="114"/>
        <v>2019</v>
      </c>
      <c r="G1221">
        <v>126</v>
      </c>
      <c r="H1221" s="3">
        <v>512116</v>
      </c>
      <c r="I1221">
        <v>72350</v>
      </c>
      <c r="J1221">
        <v>512115</v>
      </c>
      <c r="K1221">
        <v>454220</v>
      </c>
      <c r="L1221">
        <v>447620</v>
      </c>
      <c r="M1221" t="str">
        <f t="shared" si="115"/>
        <v>Medium</v>
      </c>
      <c r="N1221">
        <f>VLOOKUP(C1221,Lookup!$A$2:$D$5,MATCH(M1221,Lookup!$A$1:$D$1,0),FALSE)</f>
        <v>8.5000000000000006E-2</v>
      </c>
      <c r="O1221">
        <f t="shared" si="116"/>
        <v>38047.700000000004</v>
      </c>
      <c r="P1221" s="7">
        <f t="shared" si="117"/>
        <v>0.88694748845964588</v>
      </c>
      <c r="Q1221" s="7">
        <f t="shared" si="118"/>
        <v>4064.4126984126983</v>
      </c>
      <c r="R1221">
        <f t="shared" si="119"/>
        <v>1.9015604096962495</v>
      </c>
    </row>
    <row r="1222" spans="1:18" x14ac:dyDescent="0.25">
      <c r="A1222" t="s">
        <v>726</v>
      </c>
      <c r="B1222" t="s">
        <v>727</v>
      </c>
      <c r="C1222" t="s">
        <v>17</v>
      </c>
      <c r="D1222">
        <v>12748</v>
      </c>
      <c r="E1222" s="1">
        <v>44104</v>
      </c>
      <c r="F1222" s="2">
        <f t="shared" si="114"/>
        <v>2020</v>
      </c>
      <c r="G1222">
        <v>122</v>
      </c>
      <c r="H1222" s="3">
        <v>594735</v>
      </c>
      <c r="I1222">
        <v>110065</v>
      </c>
      <c r="J1222">
        <v>594734</v>
      </c>
      <c r="K1222">
        <v>533099</v>
      </c>
      <c r="L1222">
        <v>526803</v>
      </c>
      <c r="M1222" t="str">
        <f t="shared" si="115"/>
        <v>Medium</v>
      </c>
      <c r="N1222">
        <f>VLOOKUP(C1222,Lookup!$A$2:$D$5,MATCH(M1222,Lookup!$A$1:$D$1,0),FALSE)</f>
        <v>8.5000000000000006E-2</v>
      </c>
      <c r="O1222">
        <f t="shared" si="116"/>
        <v>44778.255000000005</v>
      </c>
      <c r="P1222" s="7">
        <f t="shared" si="117"/>
        <v>0.89636392679092369</v>
      </c>
      <c r="Q1222" s="7">
        <f t="shared" si="118"/>
        <v>4874.877049180328</v>
      </c>
      <c r="R1222">
        <f t="shared" si="119"/>
        <v>2.4580010989709176</v>
      </c>
    </row>
    <row r="1223" spans="1:18" x14ac:dyDescent="0.25">
      <c r="A1223" t="s">
        <v>726</v>
      </c>
      <c r="B1223" t="s">
        <v>727</v>
      </c>
      <c r="C1223" t="s">
        <v>17</v>
      </c>
      <c r="D1223">
        <v>12748</v>
      </c>
      <c r="E1223" s="1">
        <v>44469</v>
      </c>
      <c r="F1223" s="2">
        <f t="shared" si="114"/>
        <v>2021</v>
      </c>
      <c r="G1223">
        <v>115</v>
      </c>
      <c r="H1223" s="3">
        <v>681801</v>
      </c>
      <c r="I1223">
        <v>165330</v>
      </c>
      <c r="J1223">
        <v>681801</v>
      </c>
      <c r="K1223">
        <v>616857</v>
      </c>
      <c r="L1223">
        <v>609982</v>
      </c>
      <c r="M1223" t="str">
        <f t="shared" si="115"/>
        <v>Medium</v>
      </c>
      <c r="N1223">
        <f>VLOOKUP(C1223,Lookup!$A$2:$D$5,MATCH(M1223,Lookup!$A$1:$D$1,0),FALSE)</f>
        <v>8.5000000000000006E-2</v>
      </c>
      <c r="O1223">
        <f t="shared" si="116"/>
        <v>51848.47</v>
      </c>
      <c r="P1223" s="7">
        <f t="shared" si="117"/>
        <v>0.90474639960927017</v>
      </c>
      <c r="Q1223" s="7">
        <f t="shared" si="118"/>
        <v>5928.7043478260866</v>
      </c>
      <c r="R1223">
        <f t="shared" si="119"/>
        <v>3.1887151154122773</v>
      </c>
    </row>
    <row r="1224" spans="1:18" x14ac:dyDescent="0.25">
      <c r="A1224" t="s">
        <v>728</v>
      </c>
      <c r="B1224" t="s">
        <v>729</v>
      </c>
      <c r="C1224" t="s">
        <v>8</v>
      </c>
      <c r="D1224">
        <v>62052</v>
      </c>
      <c r="E1224" s="1">
        <v>43738</v>
      </c>
      <c r="F1224" s="2">
        <f t="shared" si="114"/>
        <v>2019</v>
      </c>
      <c r="G1224">
        <v>31</v>
      </c>
      <c r="H1224" s="3">
        <v>154917</v>
      </c>
      <c r="I1224">
        <v>13771</v>
      </c>
      <c r="J1224">
        <v>154917</v>
      </c>
      <c r="K1224">
        <v>132939</v>
      </c>
      <c r="L1224">
        <v>130445</v>
      </c>
      <c r="M1224" t="str">
        <f t="shared" si="115"/>
        <v>Medium</v>
      </c>
      <c r="N1224">
        <f>VLOOKUP(C1224,Lookup!$A$2:$D$5,MATCH(M1224,Lookup!$A$1:$D$1,0),FALSE)</f>
        <v>0.08</v>
      </c>
      <c r="O1224">
        <f t="shared" si="116"/>
        <v>10435.6</v>
      </c>
      <c r="P1224" s="7">
        <f t="shared" si="117"/>
        <v>0.8581304827746471</v>
      </c>
      <c r="Q1224" s="7">
        <f t="shared" si="118"/>
        <v>4997.322580645161</v>
      </c>
      <c r="R1224">
        <f t="shared" si="119"/>
        <v>1.3196174632987083</v>
      </c>
    </row>
    <row r="1225" spans="1:18" x14ac:dyDescent="0.25">
      <c r="A1225" t="s">
        <v>728</v>
      </c>
      <c r="B1225" t="s">
        <v>729</v>
      </c>
      <c r="C1225" t="s">
        <v>8</v>
      </c>
      <c r="D1225">
        <v>62052</v>
      </c>
      <c r="E1225" s="1">
        <v>44104</v>
      </c>
      <c r="F1225" s="2">
        <f t="shared" si="114"/>
        <v>2020</v>
      </c>
      <c r="G1225">
        <v>32</v>
      </c>
      <c r="H1225" s="3">
        <v>188508</v>
      </c>
      <c r="I1225">
        <v>35983</v>
      </c>
      <c r="J1225">
        <v>188508</v>
      </c>
      <c r="K1225">
        <v>164703</v>
      </c>
      <c r="L1225">
        <v>157662</v>
      </c>
      <c r="M1225" t="str">
        <f t="shared" si="115"/>
        <v>Medium</v>
      </c>
      <c r="N1225">
        <f>VLOOKUP(C1225,Lookup!$A$2:$D$5,MATCH(M1225,Lookup!$A$1:$D$1,0),FALSE)</f>
        <v>0.08</v>
      </c>
      <c r="O1225">
        <f t="shared" si="116"/>
        <v>12612.960000000001</v>
      </c>
      <c r="P1225" s="7">
        <f t="shared" si="117"/>
        <v>0.87371888726207902</v>
      </c>
      <c r="Q1225" s="7">
        <f t="shared" si="118"/>
        <v>5890.875</v>
      </c>
      <c r="R1225">
        <f t="shared" si="119"/>
        <v>2.8528592812472247</v>
      </c>
    </row>
    <row r="1226" spans="1:18" x14ac:dyDescent="0.25">
      <c r="A1226" t="s">
        <v>728</v>
      </c>
      <c r="B1226" t="s">
        <v>729</v>
      </c>
      <c r="C1226" t="s">
        <v>8</v>
      </c>
      <c r="D1226">
        <v>62052</v>
      </c>
      <c r="E1226" s="1">
        <v>44469</v>
      </c>
      <c r="F1226" s="2">
        <f t="shared" si="114"/>
        <v>2021</v>
      </c>
      <c r="G1226">
        <v>29</v>
      </c>
      <c r="H1226" s="3">
        <v>179611</v>
      </c>
      <c r="I1226">
        <v>29439</v>
      </c>
      <c r="J1226">
        <v>179611</v>
      </c>
      <c r="K1226">
        <v>155196</v>
      </c>
      <c r="L1226">
        <v>152614</v>
      </c>
      <c r="M1226" t="str">
        <f t="shared" si="115"/>
        <v>Medium</v>
      </c>
      <c r="N1226">
        <f>VLOOKUP(C1226,Lookup!$A$2:$D$5,MATCH(M1226,Lookup!$A$1:$D$1,0),FALSE)</f>
        <v>0.08</v>
      </c>
      <c r="O1226">
        <f t="shared" si="116"/>
        <v>12209.12</v>
      </c>
      <c r="P1226" s="7">
        <f t="shared" si="117"/>
        <v>0.86406734554119735</v>
      </c>
      <c r="Q1226" s="7">
        <f t="shared" si="118"/>
        <v>6193.4827586206893</v>
      </c>
      <c r="R1226">
        <f t="shared" si="119"/>
        <v>2.4112302934200005</v>
      </c>
    </row>
    <row r="1227" spans="1:18" x14ac:dyDescent="0.25">
      <c r="A1227" t="s">
        <v>730</v>
      </c>
      <c r="B1227" t="s">
        <v>731</v>
      </c>
      <c r="C1227" t="s">
        <v>8</v>
      </c>
      <c r="D1227">
        <v>62854</v>
      </c>
      <c r="E1227" s="1">
        <v>43738</v>
      </c>
      <c r="F1227" s="2">
        <f t="shared" si="114"/>
        <v>2019</v>
      </c>
      <c r="G1227">
        <v>9</v>
      </c>
      <c r="H1227" s="3">
        <v>48574</v>
      </c>
      <c r="I1227">
        <v>1669</v>
      </c>
      <c r="J1227">
        <v>48574</v>
      </c>
      <c r="K1227">
        <v>41929</v>
      </c>
      <c r="L1227">
        <v>41795</v>
      </c>
      <c r="M1227" t="str">
        <f t="shared" si="115"/>
        <v>Small</v>
      </c>
      <c r="N1227">
        <f>VLOOKUP(C1227,Lookup!$A$2:$D$5,MATCH(M1227,Lookup!$A$1:$D$1,0),FALSE)</f>
        <v>0.09</v>
      </c>
      <c r="O1227">
        <f t="shared" si="116"/>
        <v>3761.5499999999997</v>
      </c>
      <c r="P1227" s="7">
        <f t="shared" si="117"/>
        <v>0.86319841890723437</v>
      </c>
      <c r="Q1227" s="7">
        <f t="shared" si="118"/>
        <v>5397.1111111111113</v>
      </c>
      <c r="R1227">
        <f t="shared" si="119"/>
        <v>0.44370007044968168</v>
      </c>
    </row>
    <row r="1228" spans="1:18" x14ac:dyDescent="0.25">
      <c r="A1228" t="s">
        <v>730</v>
      </c>
      <c r="B1228" t="s">
        <v>731</v>
      </c>
      <c r="C1228" t="s">
        <v>8</v>
      </c>
      <c r="D1228">
        <v>62854</v>
      </c>
      <c r="E1228" s="1">
        <v>44104</v>
      </c>
      <c r="F1228" s="2">
        <f t="shared" si="114"/>
        <v>2020</v>
      </c>
      <c r="G1228">
        <v>9</v>
      </c>
      <c r="H1228" s="3">
        <v>53123</v>
      </c>
      <c r="I1228">
        <v>2332</v>
      </c>
      <c r="J1228">
        <v>53123</v>
      </c>
      <c r="K1228">
        <v>45832</v>
      </c>
      <c r="L1228">
        <v>45701</v>
      </c>
      <c r="M1228" t="str">
        <f t="shared" si="115"/>
        <v>Small</v>
      </c>
      <c r="N1228">
        <f>VLOOKUP(C1228,Lookup!$A$2:$D$5,MATCH(M1228,Lookup!$A$1:$D$1,0),FALSE)</f>
        <v>0.09</v>
      </c>
      <c r="O1228">
        <f t="shared" si="116"/>
        <v>4113.09</v>
      </c>
      <c r="P1228" s="7">
        <f t="shared" si="117"/>
        <v>0.86275248009336825</v>
      </c>
      <c r="Q1228" s="7">
        <f t="shared" si="118"/>
        <v>5902.5555555555557</v>
      </c>
      <c r="R1228">
        <f t="shared" si="119"/>
        <v>0.56697033130809193</v>
      </c>
    </row>
    <row r="1229" spans="1:18" x14ac:dyDescent="0.25">
      <c r="A1229" t="s">
        <v>730</v>
      </c>
      <c r="B1229" t="s">
        <v>731</v>
      </c>
      <c r="C1229" t="s">
        <v>8</v>
      </c>
      <c r="D1229">
        <v>62854</v>
      </c>
      <c r="E1229" s="1">
        <v>44469</v>
      </c>
      <c r="F1229" s="2">
        <f t="shared" si="114"/>
        <v>2021</v>
      </c>
      <c r="G1229">
        <v>8</v>
      </c>
      <c r="H1229" s="3">
        <v>59077</v>
      </c>
      <c r="I1229">
        <v>9358</v>
      </c>
      <c r="J1229">
        <v>59077</v>
      </c>
      <c r="K1229">
        <v>51201</v>
      </c>
      <c r="L1229">
        <v>51092</v>
      </c>
      <c r="M1229" t="str">
        <f t="shared" si="115"/>
        <v>Small</v>
      </c>
      <c r="N1229">
        <f>VLOOKUP(C1229,Lookup!$A$2:$D$5,MATCH(M1229,Lookup!$A$1:$D$1,0),FALSE)</f>
        <v>0.09</v>
      </c>
      <c r="O1229">
        <f t="shared" si="116"/>
        <v>4598.28</v>
      </c>
      <c r="P1229" s="7">
        <f t="shared" si="117"/>
        <v>0.86668246525720671</v>
      </c>
      <c r="Q1229" s="7">
        <f t="shared" si="118"/>
        <v>7384.625</v>
      </c>
      <c r="R1229">
        <f t="shared" si="119"/>
        <v>2.0351087798046228</v>
      </c>
    </row>
    <row r="1230" spans="1:18" x14ac:dyDescent="0.25">
      <c r="A1230" t="s">
        <v>732</v>
      </c>
      <c r="B1230" t="s">
        <v>434</v>
      </c>
      <c r="C1230" t="s">
        <v>8</v>
      </c>
      <c r="D1230">
        <v>61301</v>
      </c>
      <c r="E1230" s="1">
        <v>43738</v>
      </c>
      <c r="F1230" s="2">
        <f t="shared" si="114"/>
        <v>2019</v>
      </c>
      <c r="G1230">
        <v>31</v>
      </c>
      <c r="H1230" s="3">
        <v>141089</v>
      </c>
      <c r="I1230">
        <v>6009</v>
      </c>
      <c r="J1230">
        <v>141089</v>
      </c>
      <c r="K1230">
        <v>127304</v>
      </c>
      <c r="L1230">
        <v>97330</v>
      </c>
      <c r="M1230" t="str">
        <f t="shared" si="115"/>
        <v>Medium</v>
      </c>
      <c r="N1230">
        <f>VLOOKUP(C1230,Lookup!$A$2:$D$5,MATCH(M1230,Lookup!$A$1:$D$1,0),FALSE)</f>
        <v>0.08</v>
      </c>
      <c r="O1230">
        <f t="shared" si="116"/>
        <v>7786.4000000000005</v>
      </c>
      <c r="P1230" s="7">
        <f t="shared" si="117"/>
        <v>0.90229571405283193</v>
      </c>
      <c r="Q1230" s="7">
        <f t="shared" si="118"/>
        <v>4551.2580645161288</v>
      </c>
      <c r="R1230">
        <f t="shared" si="119"/>
        <v>0.77173019623959715</v>
      </c>
    </row>
    <row r="1231" spans="1:18" x14ac:dyDescent="0.25">
      <c r="A1231" t="s">
        <v>732</v>
      </c>
      <c r="B1231" t="s">
        <v>434</v>
      </c>
      <c r="C1231" t="s">
        <v>8</v>
      </c>
      <c r="D1231">
        <v>61301</v>
      </c>
      <c r="E1231" s="1">
        <v>44104</v>
      </c>
      <c r="F1231" s="2">
        <f t="shared" si="114"/>
        <v>2020</v>
      </c>
      <c r="G1231">
        <v>30</v>
      </c>
      <c r="H1231" s="3">
        <v>155715</v>
      </c>
      <c r="I1231">
        <v>22852</v>
      </c>
      <c r="J1231">
        <v>155716</v>
      </c>
      <c r="K1231">
        <v>139971</v>
      </c>
      <c r="L1231">
        <v>103944</v>
      </c>
      <c r="M1231" t="str">
        <f t="shared" si="115"/>
        <v>Medium</v>
      </c>
      <c r="N1231">
        <f>VLOOKUP(C1231,Lookup!$A$2:$D$5,MATCH(M1231,Lookup!$A$1:$D$1,0),FALSE)</f>
        <v>0.08</v>
      </c>
      <c r="O1231">
        <f t="shared" si="116"/>
        <v>8315.52</v>
      </c>
      <c r="P1231" s="7">
        <f t="shared" si="117"/>
        <v>0.89889220691648208</v>
      </c>
      <c r="Q1231" s="7">
        <f t="shared" si="118"/>
        <v>5190.5</v>
      </c>
      <c r="R1231">
        <f t="shared" si="119"/>
        <v>2.7481143692757639</v>
      </c>
    </row>
    <row r="1232" spans="1:18" x14ac:dyDescent="0.25">
      <c r="A1232" t="s">
        <v>732</v>
      </c>
      <c r="B1232" t="s">
        <v>434</v>
      </c>
      <c r="C1232" t="s">
        <v>8</v>
      </c>
      <c r="D1232">
        <v>61301</v>
      </c>
      <c r="E1232" s="1">
        <v>44469</v>
      </c>
      <c r="F1232" s="2">
        <f t="shared" si="114"/>
        <v>2021</v>
      </c>
      <c r="G1232">
        <v>28</v>
      </c>
      <c r="H1232" s="3">
        <v>182584</v>
      </c>
      <c r="I1232">
        <v>16284</v>
      </c>
      <c r="J1232">
        <v>182584</v>
      </c>
      <c r="K1232">
        <v>166343</v>
      </c>
      <c r="L1232">
        <v>126037</v>
      </c>
      <c r="M1232" t="str">
        <f t="shared" si="115"/>
        <v>Medium</v>
      </c>
      <c r="N1232">
        <f>VLOOKUP(C1232,Lookup!$A$2:$D$5,MATCH(M1232,Lookup!$A$1:$D$1,0),FALSE)</f>
        <v>0.08</v>
      </c>
      <c r="O1232">
        <f t="shared" si="116"/>
        <v>10082.960000000001</v>
      </c>
      <c r="P1232" s="7">
        <f t="shared" si="117"/>
        <v>0.91104916093414534</v>
      </c>
      <c r="Q1232" s="7">
        <f t="shared" si="118"/>
        <v>6520.8571428571431</v>
      </c>
      <c r="R1232">
        <f t="shared" si="119"/>
        <v>1.6150019438736243</v>
      </c>
    </row>
    <row r="1233" spans="1:18" x14ac:dyDescent="0.25">
      <c r="A1233" t="s">
        <v>733</v>
      </c>
      <c r="B1233" t="s">
        <v>734</v>
      </c>
      <c r="C1233" t="s">
        <v>8</v>
      </c>
      <c r="D1233">
        <v>60045</v>
      </c>
      <c r="E1233" s="1">
        <v>43738</v>
      </c>
      <c r="F1233" s="2">
        <f t="shared" si="114"/>
        <v>2019</v>
      </c>
      <c r="G1233">
        <v>505</v>
      </c>
      <c r="H1233" s="3">
        <v>4296635</v>
      </c>
      <c r="I1233">
        <v>374376</v>
      </c>
      <c r="J1233">
        <v>4296635</v>
      </c>
      <c r="K1233">
        <v>3847528</v>
      </c>
      <c r="L1233">
        <v>3416604</v>
      </c>
      <c r="M1233" t="str">
        <f t="shared" si="115"/>
        <v>Large</v>
      </c>
      <c r="N1233">
        <f>VLOOKUP(C1233,Lookup!$A$2:$D$5,MATCH(M1233,Lookup!$A$1:$D$1,0),FALSE)</f>
        <v>7.4999999999999997E-2</v>
      </c>
      <c r="O1233">
        <f t="shared" si="116"/>
        <v>256245.3</v>
      </c>
      <c r="P1233" s="7">
        <f t="shared" si="117"/>
        <v>0.89547471451496341</v>
      </c>
      <c r="Q1233" s="7">
        <f t="shared" si="118"/>
        <v>8508.1881188118805</v>
      </c>
      <c r="R1233">
        <f t="shared" si="119"/>
        <v>1.4610063091888905</v>
      </c>
    </row>
    <row r="1234" spans="1:18" x14ac:dyDescent="0.25">
      <c r="A1234" t="s">
        <v>733</v>
      </c>
      <c r="B1234" t="s">
        <v>734</v>
      </c>
      <c r="C1234" t="s">
        <v>8</v>
      </c>
      <c r="D1234">
        <v>60045</v>
      </c>
      <c r="E1234" s="1">
        <v>44104</v>
      </c>
      <c r="F1234" s="2">
        <f t="shared" si="114"/>
        <v>2020</v>
      </c>
      <c r="G1234">
        <v>565</v>
      </c>
      <c r="H1234" s="3">
        <v>5427430</v>
      </c>
      <c r="I1234">
        <v>609968</v>
      </c>
      <c r="J1234">
        <v>5427430</v>
      </c>
      <c r="K1234">
        <v>4934509</v>
      </c>
      <c r="L1234">
        <v>4250743</v>
      </c>
      <c r="M1234" t="str">
        <f t="shared" si="115"/>
        <v>Large</v>
      </c>
      <c r="N1234">
        <f>VLOOKUP(C1234,Lookup!$A$2:$D$5,MATCH(M1234,Lookup!$A$1:$D$1,0),FALSE)</f>
        <v>7.4999999999999997E-2</v>
      </c>
      <c r="O1234">
        <f t="shared" si="116"/>
        <v>318805.72499999998</v>
      </c>
      <c r="P1234" s="7">
        <f t="shared" si="117"/>
        <v>0.90917966698787456</v>
      </c>
      <c r="Q1234" s="7">
        <f t="shared" si="118"/>
        <v>9606.070796460177</v>
      </c>
      <c r="R1234">
        <f t="shared" si="119"/>
        <v>1.9132906098220164</v>
      </c>
    </row>
    <row r="1235" spans="1:18" x14ac:dyDescent="0.25">
      <c r="A1235" t="s">
        <v>733</v>
      </c>
      <c r="B1235" t="s">
        <v>734</v>
      </c>
      <c r="C1235" t="s">
        <v>8</v>
      </c>
      <c r="D1235">
        <v>60045</v>
      </c>
      <c r="E1235" s="1">
        <v>44469</v>
      </c>
      <c r="F1235" s="2">
        <f t="shared" si="114"/>
        <v>2021</v>
      </c>
      <c r="G1235">
        <v>565</v>
      </c>
      <c r="H1235" s="3">
        <v>6048383</v>
      </c>
      <c r="I1235">
        <v>858574</v>
      </c>
      <c r="J1235">
        <v>6048383</v>
      </c>
      <c r="K1235">
        <v>5453886</v>
      </c>
      <c r="L1235">
        <v>4820415</v>
      </c>
      <c r="M1235" t="str">
        <f t="shared" si="115"/>
        <v>Large</v>
      </c>
      <c r="N1235">
        <f>VLOOKUP(C1235,Lookup!$A$2:$D$5,MATCH(M1235,Lookup!$A$1:$D$1,0),FALSE)</f>
        <v>7.4999999999999997E-2</v>
      </c>
      <c r="O1235">
        <f t="shared" si="116"/>
        <v>361531.125</v>
      </c>
      <c r="P1235" s="7">
        <f t="shared" si="117"/>
        <v>0.90170976275807935</v>
      </c>
      <c r="Q1235" s="7">
        <f t="shared" si="118"/>
        <v>10705.102654867256</v>
      </c>
      <c r="R1235">
        <f t="shared" si="119"/>
        <v>2.3748273402462927</v>
      </c>
    </row>
    <row r="1236" spans="1:18" x14ac:dyDescent="0.25">
      <c r="A1236" t="s">
        <v>735</v>
      </c>
      <c r="B1236" t="s">
        <v>736</v>
      </c>
      <c r="C1236" t="s">
        <v>17</v>
      </c>
      <c r="D1236">
        <v>14048</v>
      </c>
      <c r="E1236" s="1">
        <v>43738</v>
      </c>
      <c r="F1236" s="2">
        <f t="shared" si="114"/>
        <v>2019</v>
      </c>
      <c r="G1236">
        <v>113</v>
      </c>
      <c r="H1236" s="3">
        <v>596896</v>
      </c>
      <c r="I1236">
        <v>20516</v>
      </c>
      <c r="J1236">
        <v>596896</v>
      </c>
      <c r="K1236">
        <v>518417</v>
      </c>
      <c r="L1236">
        <v>475039</v>
      </c>
      <c r="M1236" t="str">
        <f t="shared" si="115"/>
        <v>Medium</v>
      </c>
      <c r="N1236">
        <f>VLOOKUP(C1236,Lookup!$A$2:$D$5,MATCH(M1236,Lookup!$A$1:$D$1,0),FALSE)</f>
        <v>8.5000000000000006E-2</v>
      </c>
      <c r="O1236">
        <f t="shared" si="116"/>
        <v>40378.315000000002</v>
      </c>
      <c r="P1236" s="7">
        <f t="shared" si="117"/>
        <v>0.86852148447970834</v>
      </c>
      <c r="Q1236" s="7">
        <f t="shared" si="118"/>
        <v>5282.2654867256633</v>
      </c>
      <c r="R1236">
        <f t="shared" si="119"/>
        <v>0.508094505677119</v>
      </c>
    </row>
    <row r="1237" spans="1:18" x14ac:dyDescent="0.25">
      <c r="A1237" t="s">
        <v>735</v>
      </c>
      <c r="B1237" t="s">
        <v>736</v>
      </c>
      <c r="C1237" t="s">
        <v>17</v>
      </c>
      <c r="D1237">
        <v>14048</v>
      </c>
      <c r="E1237" s="1">
        <v>44104</v>
      </c>
      <c r="F1237" s="2">
        <f t="shared" si="114"/>
        <v>2020</v>
      </c>
      <c r="G1237">
        <v>113</v>
      </c>
      <c r="H1237" s="3">
        <v>682763</v>
      </c>
      <c r="I1237">
        <v>71096</v>
      </c>
      <c r="J1237">
        <v>682763</v>
      </c>
      <c r="K1237">
        <v>601463</v>
      </c>
      <c r="L1237">
        <v>559369</v>
      </c>
      <c r="M1237" t="str">
        <f t="shared" si="115"/>
        <v>Medium</v>
      </c>
      <c r="N1237">
        <f>VLOOKUP(C1237,Lookup!$A$2:$D$5,MATCH(M1237,Lookup!$A$1:$D$1,0),FALSE)</f>
        <v>8.5000000000000006E-2</v>
      </c>
      <c r="O1237">
        <f t="shared" si="116"/>
        <v>47546.365000000005</v>
      </c>
      <c r="P1237" s="7">
        <f t="shared" si="117"/>
        <v>0.88092500618809166</v>
      </c>
      <c r="Q1237" s="7">
        <f t="shared" si="118"/>
        <v>6042.1504424778759</v>
      </c>
      <c r="R1237">
        <f t="shared" si="119"/>
        <v>1.4952983261706756</v>
      </c>
    </row>
    <row r="1238" spans="1:18" x14ac:dyDescent="0.25">
      <c r="A1238" t="s">
        <v>735</v>
      </c>
      <c r="B1238" t="s">
        <v>736</v>
      </c>
      <c r="C1238" t="s">
        <v>17</v>
      </c>
      <c r="D1238">
        <v>14048</v>
      </c>
      <c r="E1238" s="1">
        <v>44469</v>
      </c>
      <c r="F1238" s="2">
        <f t="shared" si="114"/>
        <v>2021</v>
      </c>
      <c r="G1238">
        <v>111</v>
      </c>
      <c r="H1238" s="3">
        <v>708725</v>
      </c>
      <c r="I1238">
        <v>60721</v>
      </c>
      <c r="J1238">
        <v>708725</v>
      </c>
      <c r="K1238">
        <v>625416</v>
      </c>
      <c r="L1238">
        <v>594809</v>
      </c>
      <c r="M1238" t="str">
        <f t="shared" si="115"/>
        <v>Medium</v>
      </c>
      <c r="N1238">
        <f>VLOOKUP(C1238,Lookup!$A$2:$D$5,MATCH(M1238,Lookup!$A$1:$D$1,0),FALSE)</f>
        <v>8.5000000000000006E-2</v>
      </c>
      <c r="O1238">
        <f t="shared" si="116"/>
        <v>50558.765000000007</v>
      </c>
      <c r="P1238" s="7">
        <f t="shared" si="117"/>
        <v>0.88245229108610534</v>
      </c>
      <c r="Q1238" s="7">
        <f t="shared" si="118"/>
        <v>6384.9099099099103</v>
      </c>
      <c r="R1238">
        <f t="shared" si="119"/>
        <v>1.2009984816678174</v>
      </c>
    </row>
    <row r="1239" spans="1:18" x14ac:dyDescent="0.25">
      <c r="A1239" t="s">
        <v>737</v>
      </c>
      <c r="B1239" t="s">
        <v>28</v>
      </c>
      <c r="C1239" t="s">
        <v>8</v>
      </c>
      <c r="D1239">
        <v>60601</v>
      </c>
      <c r="E1239" s="1">
        <v>43738</v>
      </c>
      <c r="F1239" s="2">
        <f t="shared" si="114"/>
        <v>2019</v>
      </c>
      <c r="G1239">
        <v>170</v>
      </c>
      <c r="H1239" s="3">
        <v>1775819</v>
      </c>
      <c r="I1239">
        <v>170360</v>
      </c>
      <c r="J1239">
        <v>1775819</v>
      </c>
      <c r="K1239">
        <v>1571073</v>
      </c>
      <c r="L1239">
        <v>1442343</v>
      </c>
      <c r="M1239" t="str">
        <f t="shared" si="115"/>
        <v>Large</v>
      </c>
      <c r="N1239">
        <f>VLOOKUP(C1239,Lookup!$A$2:$D$5,MATCH(M1239,Lookup!$A$1:$D$1,0),FALSE)</f>
        <v>7.4999999999999997E-2</v>
      </c>
      <c r="O1239">
        <f t="shared" si="116"/>
        <v>108175.72499999999</v>
      </c>
      <c r="P1239" s="7">
        <f t="shared" si="117"/>
        <v>0.88470333969847148</v>
      </c>
      <c r="Q1239" s="7">
        <f t="shared" si="118"/>
        <v>10445.994117647058</v>
      </c>
      <c r="R1239">
        <f t="shared" si="119"/>
        <v>1.5748450033498738</v>
      </c>
    </row>
    <row r="1240" spans="1:18" x14ac:dyDescent="0.25">
      <c r="A1240" t="s">
        <v>737</v>
      </c>
      <c r="B1240" t="s">
        <v>28</v>
      </c>
      <c r="C1240" t="s">
        <v>8</v>
      </c>
      <c r="D1240">
        <v>60601</v>
      </c>
      <c r="E1240" s="1">
        <v>44104</v>
      </c>
      <c r="F1240" s="2">
        <f t="shared" si="114"/>
        <v>2020</v>
      </c>
      <c r="G1240">
        <v>174</v>
      </c>
      <c r="H1240" s="3">
        <v>2084252</v>
      </c>
      <c r="I1240">
        <v>298146</v>
      </c>
      <c r="J1240">
        <v>2084252</v>
      </c>
      <c r="K1240">
        <v>1876667</v>
      </c>
      <c r="L1240">
        <v>1743832</v>
      </c>
      <c r="M1240" t="str">
        <f t="shared" si="115"/>
        <v>Large</v>
      </c>
      <c r="N1240">
        <f>VLOOKUP(C1240,Lookup!$A$2:$D$5,MATCH(M1240,Lookup!$A$1:$D$1,0),FALSE)</f>
        <v>7.4999999999999997E-2</v>
      </c>
      <c r="O1240">
        <f t="shared" si="116"/>
        <v>130787.4</v>
      </c>
      <c r="P1240" s="7">
        <f t="shared" si="117"/>
        <v>0.9004031182409804</v>
      </c>
      <c r="Q1240" s="7">
        <f t="shared" si="118"/>
        <v>11978.459770114943</v>
      </c>
      <c r="R1240">
        <f t="shared" si="119"/>
        <v>2.2796232664614484</v>
      </c>
    </row>
    <row r="1241" spans="1:18" x14ac:dyDescent="0.25">
      <c r="A1241" t="s">
        <v>737</v>
      </c>
      <c r="B1241" t="s">
        <v>28</v>
      </c>
      <c r="C1241" t="s">
        <v>8</v>
      </c>
      <c r="D1241">
        <v>60601</v>
      </c>
      <c r="E1241" s="1">
        <v>44469</v>
      </c>
      <c r="F1241" s="2">
        <f t="shared" si="114"/>
        <v>2021</v>
      </c>
      <c r="G1241">
        <v>187</v>
      </c>
      <c r="H1241" s="3">
        <v>2298808</v>
      </c>
      <c r="I1241">
        <v>399799</v>
      </c>
      <c r="J1241">
        <v>2298808</v>
      </c>
      <c r="K1241">
        <v>2075765</v>
      </c>
      <c r="L1241">
        <v>1953118</v>
      </c>
      <c r="M1241" t="str">
        <f t="shared" si="115"/>
        <v>Large</v>
      </c>
      <c r="N1241">
        <f>VLOOKUP(C1241,Lookup!$A$2:$D$5,MATCH(M1241,Lookup!$A$1:$D$1,0),FALSE)</f>
        <v>7.4999999999999997E-2</v>
      </c>
      <c r="O1241">
        <f t="shared" si="116"/>
        <v>146483.85</v>
      </c>
      <c r="P1241" s="7">
        <f t="shared" si="117"/>
        <v>0.90297449808770458</v>
      </c>
      <c r="Q1241" s="7">
        <f t="shared" si="118"/>
        <v>12293.09090909091</v>
      </c>
      <c r="R1241">
        <f t="shared" si="119"/>
        <v>2.7293042884932364</v>
      </c>
    </row>
    <row r="1242" spans="1:18" x14ac:dyDescent="0.25">
      <c r="A1242" t="s">
        <v>738</v>
      </c>
      <c r="B1242" t="s">
        <v>739</v>
      </c>
      <c r="C1242" t="s">
        <v>20</v>
      </c>
      <c r="D1242">
        <v>2476</v>
      </c>
      <c r="E1242" s="1">
        <v>43738</v>
      </c>
      <c r="F1242" s="2">
        <f t="shared" si="114"/>
        <v>2019</v>
      </c>
      <c r="G1242">
        <v>239</v>
      </c>
      <c r="H1242" s="3">
        <v>1545344</v>
      </c>
      <c r="I1242">
        <v>84056</v>
      </c>
      <c r="J1242">
        <v>1545344</v>
      </c>
      <c r="K1242">
        <v>1369287</v>
      </c>
      <c r="L1242">
        <v>1187348</v>
      </c>
      <c r="M1242" t="str">
        <f t="shared" si="115"/>
        <v>Large</v>
      </c>
      <c r="N1242">
        <f>VLOOKUP(C1242,Lookup!$A$2:$D$5,MATCH(M1242,Lookup!$A$1:$D$1,0),FALSE)</f>
        <v>0.08</v>
      </c>
      <c r="O1242">
        <f t="shared" si="116"/>
        <v>94987.839999999997</v>
      </c>
      <c r="P1242" s="7">
        <f t="shared" si="117"/>
        <v>0.88607261554708849</v>
      </c>
      <c r="Q1242" s="7">
        <f t="shared" si="118"/>
        <v>6465.8744769874475</v>
      </c>
      <c r="R1242">
        <f t="shared" si="119"/>
        <v>0.88491326889841904</v>
      </c>
    </row>
    <row r="1243" spans="1:18" x14ac:dyDescent="0.25">
      <c r="A1243" t="s">
        <v>738</v>
      </c>
      <c r="B1243" t="s">
        <v>739</v>
      </c>
      <c r="C1243" t="s">
        <v>20</v>
      </c>
      <c r="D1243">
        <v>2476</v>
      </c>
      <c r="E1243" s="1">
        <v>44104</v>
      </c>
      <c r="F1243" s="2">
        <f t="shared" si="114"/>
        <v>2020</v>
      </c>
      <c r="G1243">
        <v>300</v>
      </c>
      <c r="H1243" s="3">
        <v>1999550</v>
      </c>
      <c r="I1243">
        <v>136109</v>
      </c>
      <c r="J1243">
        <v>1999550</v>
      </c>
      <c r="K1243">
        <v>1773901</v>
      </c>
      <c r="L1243">
        <v>1593616</v>
      </c>
      <c r="M1243" t="str">
        <f t="shared" si="115"/>
        <v>Large</v>
      </c>
      <c r="N1243">
        <f>VLOOKUP(C1243,Lookup!$A$2:$D$5,MATCH(M1243,Lookup!$A$1:$D$1,0),FALSE)</f>
        <v>0.08</v>
      </c>
      <c r="O1243">
        <f t="shared" si="116"/>
        <v>127489.28</v>
      </c>
      <c r="P1243" s="7">
        <f t="shared" si="117"/>
        <v>0.88715010877447431</v>
      </c>
      <c r="Q1243" s="7">
        <f t="shared" si="118"/>
        <v>6665.166666666667</v>
      </c>
      <c r="R1243">
        <f t="shared" si="119"/>
        <v>1.0676113317135369</v>
      </c>
    </row>
    <row r="1244" spans="1:18" x14ac:dyDescent="0.25">
      <c r="A1244" t="s">
        <v>738</v>
      </c>
      <c r="B1244" t="s">
        <v>739</v>
      </c>
      <c r="C1244" t="s">
        <v>20</v>
      </c>
      <c r="D1244">
        <v>2474</v>
      </c>
      <c r="E1244" s="1">
        <v>44469</v>
      </c>
      <c r="F1244" s="2">
        <f t="shared" si="114"/>
        <v>2021</v>
      </c>
      <c r="G1244">
        <v>392</v>
      </c>
      <c r="H1244" s="3">
        <v>2774556</v>
      </c>
      <c r="I1244">
        <v>161222</v>
      </c>
      <c r="J1244">
        <v>2774556</v>
      </c>
      <c r="K1244">
        <v>2427119</v>
      </c>
      <c r="L1244">
        <v>2328944</v>
      </c>
      <c r="M1244" t="str">
        <f t="shared" si="115"/>
        <v>Large</v>
      </c>
      <c r="N1244">
        <f>VLOOKUP(C1244,Lookup!$A$2:$D$5,MATCH(M1244,Lookup!$A$1:$D$1,0),FALSE)</f>
        <v>0.08</v>
      </c>
      <c r="O1244">
        <f t="shared" si="116"/>
        <v>186315.51999999999</v>
      </c>
      <c r="P1244" s="7">
        <f t="shared" si="117"/>
        <v>0.87477744186817641</v>
      </c>
      <c r="Q1244" s="7">
        <f t="shared" si="118"/>
        <v>7077.9489795918371</v>
      </c>
      <c r="R1244">
        <f t="shared" si="119"/>
        <v>0.86531707074107411</v>
      </c>
    </row>
    <row r="1245" spans="1:18" x14ac:dyDescent="0.25">
      <c r="A1245" t="s">
        <v>740</v>
      </c>
      <c r="B1245" t="s">
        <v>741</v>
      </c>
      <c r="C1245" t="s">
        <v>20</v>
      </c>
      <c r="D1245">
        <v>1238</v>
      </c>
      <c r="E1245" s="1">
        <v>43738</v>
      </c>
      <c r="F1245" s="2">
        <f t="shared" si="114"/>
        <v>2019</v>
      </c>
      <c r="G1245">
        <v>76</v>
      </c>
      <c r="H1245" s="3">
        <v>400354</v>
      </c>
      <c r="I1245">
        <v>16211</v>
      </c>
      <c r="J1245">
        <v>400354</v>
      </c>
      <c r="K1245">
        <v>366071</v>
      </c>
      <c r="L1245">
        <v>329650</v>
      </c>
      <c r="M1245" t="str">
        <f t="shared" si="115"/>
        <v>Medium</v>
      </c>
      <c r="N1245">
        <f>VLOOKUP(C1245,Lookup!$A$2:$D$5,MATCH(M1245,Lookup!$A$1:$D$1,0),FALSE)</f>
        <v>8.5000000000000006E-2</v>
      </c>
      <c r="O1245">
        <f t="shared" si="116"/>
        <v>28020.250000000004</v>
      </c>
      <c r="P1245" s="7">
        <f t="shared" si="117"/>
        <v>0.91436828406859927</v>
      </c>
      <c r="Q1245" s="7">
        <f t="shared" si="118"/>
        <v>5267.8157894736842</v>
      </c>
      <c r="R1245">
        <f t="shared" si="119"/>
        <v>0.57854587307393757</v>
      </c>
    </row>
    <row r="1246" spans="1:18" x14ac:dyDescent="0.25">
      <c r="A1246" t="s">
        <v>740</v>
      </c>
      <c r="B1246" t="s">
        <v>741</v>
      </c>
      <c r="C1246" t="s">
        <v>20</v>
      </c>
      <c r="D1246">
        <v>1238</v>
      </c>
      <c r="E1246" s="1">
        <v>44104</v>
      </c>
      <c r="F1246" s="2">
        <f t="shared" si="114"/>
        <v>2020</v>
      </c>
      <c r="G1246">
        <v>79</v>
      </c>
      <c r="H1246" s="3">
        <v>448584</v>
      </c>
      <c r="I1246">
        <v>45357</v>
      </c>
      <c r="J1246">
        <v>448584</v>
      </c>
      <c r="K1246">
        <v>412266</v>
      </c>
      <c r="L1246">
        <v>381657</v>
      </c>
      <c r="M1246" t="str">
        <f t="shared" si="115"/>
        <v>Medium</v>
      </c>
      <c r="N1246">
        <f>VLOOKUP(C1246,Lookup!$A$2:$D$5,MATCH(M1246,Lookup!$A$1:$D$1,0),FALSE)</f>
        <v>8.5000000000000006E-2</v>
      </c>
      <c r="O1246">
        <f t="shared" si="116"/>
        <v>32440.845000000001</v>
      </c>
      <c r="P1246" s="7">
        <f t="shared" si="117"/>
        <v>0.91903857471510353</v>
      </c>
      <c r="Q1246" s="7">
        <f t="shared" si="118"/>
        <v>5678.2784810126586</v>
      </c>
      <c r="R1246">
        <f t="shared" si="119"/>
        <v>1.3981448387056501</v>
      </c>
    </row>
    <row r="1247" spans="1:18" x14ac:dyDescent="0.25">
      <c r="A1247" t="s">
        <v>740</v>
      </c>
      <c r="B1247" t="s">
        <v>741</v>
      </c>
      <c r="C1247" t="s">
        <v>20</v>
      </c>
      <c r="D1247">
        <v>1238</v>
      </c>
      <c r="E1247" s="1">
        <v>44469</v>
      </c>
      <c r="F1247" s="2">
        <f t="shared" si="114"/>
        <v>2021</v>
      </c>
      <c r="G1247">
        <v>75</v>
      </c>
      <c r="H1247" s="3">
        <v>514282</v>
      </c>
      <c r="I1247">
        <v>62917</v>
      </c>
      <c r="J1247">
        <v>514282</v>
      </c>
      <c r="K1247">
        <v>473798</v>
      </c>
      <c r="L1247">
        <v>452513</v>
      </c>
      <c r="M1247" t="str">
        <f t="shared" si="115"/>
        <v>Medium</v>
      </c>
      <c r="N1247">
        <f>VLOOKUP(C1247,Lookup!$A$2:$D$5,MATCH(M1247,Lookup!$A$1:$D$1,0),FALSE)</f>
        <v>8.5000000000000006E-2</v>
      </c>
      <c r="O1247">
        <f t="shared" si="116"/>
        <v>38463.605000000003</v>
      </c>
      <c r="P1247" s="7">
        <f t="shared" si="117"/>
        <v>0.92128054258169645</v>
      </c>
      <c r="Q1247" s="7">
        <f t="shared" si="118"/>
        <v>6857.0933333333332</v>
      </c>
      <c r="R1247">
        <f t="shared" si="119"/>
        <v>1.6357541109316196</v>
      </c>
    </row>
    <row r="1248" spans="1:18" x14ac:dyDescent="0.25">
      <c r="A1248" t="s">
        <v>742</v>
      </c>
      <c r="B1248" t="s">
        <v>743</v>
      </c>
      <c r="C1248" t="s">
        <v>8</v>
      </c>
      <c r="D1248">
        <v>62930</v>
      </c>
      <c r="E1248" s="1">
        <v>43738</v>
      </c>
      <c r="F1248" s="2">
        <f t="shared" si="114"/>
        <v>2019</v>
      </c>
      <c r="G1248">
        <v>148</v>
      </c>
      <c r="H1248" s="3">
        <v>477198</v>
      </c>
      <c r="I1248">
        <v>22932</v>
      </c>
      <c r="J1248">
        <v>477199</v>
      </c>
      <c r="K1248">
        <v>421474</v>
      </c>
      <c r="L1248">
        <v>416279</v>
      </c>
      <c r="M1248" t="str">
        <f t="shared" si="115"/>
        <v>Medium</v>
      </c>
      <c r="N1248">
        <f>VLOOKUP(C1248,Lookup!$A$2:$D$5,MATCH(M1248,Lookup!$A$1:$D$1,0),FALSE)</f>
        <v>0.08</v>
      </c>
      <c r="O1248">
        <f t="shared" si="116"/>
        <v>33302.32</v>
      </c>
      <c r="P1248" s="7">
        <f t="shared" si="117"/>
        <v>0.88322666901370084</v>
      </c>
      <c r="Q1248" s="7">
        <f t="shared" si="118"/>
        <v>3224.3108108108108</v>
      </c>
      <c r="R1248">
        <f t="shared" si="119"/>
        <v>0.68860067406715209</v>
      </c>
    </row>
    <row r="1249" spans="1:18" x14ac:dyDescent="0.25">
      <c r="A1249" t="s">
        <v>742</v>
      </c>
      <c r="B1249" t="s">
        <v>743</v>
      </c>
      <c r="C1249" t="s">
        <v>8</v>
      </c>
      <c r="D1249">
        <v>62930</v>
      </c>
      <c r="E1249" s="1">
        <v>44104</v>
      </c>
      <c r="F1249" s="2">
        <f t="shared" si="114"/>
        <v>2020</v>
      </c>
      <c r="G1249">
        <v>136</v>
      </c>
      <c r="H1249" s="3">
        <v>576756</v>
      </c>
      <c r="I1249">
        <v>37647</v>
      </c>
      <c r="J1249">
        <v>576756</v>
      </c>
      <c r="K1249">
        <v>513965</v>
      </c>
      <c r="L1249">
        <v>502863</v>
      </c>
      <c r="M1249" t="str">
        <f t="shared" si="115"/>
        <v>Medium</v>
      </c>
      <c r="N1249">
        <f>VLOOKUP(C1249,Lookup!$A$2:$D$5,MATCH(M1249,Lookup!$A$1:$D$1,0),FALSE)</f>
        <v>0.08</v>
      </c>
      <c r="O1249">
        <f t="shared" si="116"/>
        <v>40229.040000000001</v>
      </c>
      <c r="P1249" s="7">
        <f t="shared" si="117"/>
        <v>0.89113073812842869</v>
      </c>
      <c r="Q1249" s="7">
        <f t="shared" si="118"/>
        <v>4240.8529411764703</v>
      </c>
      <c r="R1249">
        <f t="shared" si="119"/>
        <v>0.9358165146371874</v>
      </c>
    </row>
    <row r="1250" spans="1:18" x14ac:dyDescent="0.25">
      <c r="A1250" t="s">
        <v>742</v>
      </c>
      <c r="B1250" t="s">
        <v>743</v>
      </c>
      <c r="C1250" t="s">
        <v>8</v>
      </c>
      <c r="D1250">
        <v>62930</v>
      </c>
      <c r="E1250" s="1">
        <v>44469</v>
      </c>
      <c r="F1250" s="2">
        <f t="shared" si="114"/>
        <v>2021</v>
      </c>
      <c r="G1250">
        <v>160</v>
      </c>
      <c r="H1250" s="3">
        <v>627646</v>
      </c>
      <c r="I1250">
        <v>76469</v>
      </c>
      <c r="J1250">
        <v>627646</v>
      </c>
      <c r="K1250">
        <v>557272</v>
      </c>
      <c r="L1250">
        <v>548305</v>
      </c>
      <c r="M1250" t="str">
        <f t="shared" si="115"/>
        <v>Medium</v>
      </c>
      <c r="N1250">
        <f>VLOOKUP(C1250,Lookup!$A$2:$D$5,MATCH(M1250,Lookup!$A$1:$D$1,0),FALSE)</f>
        <v>0.08</v>
      </c>
      <c r="O1250">
        <f t="shared" si="116"/>
        <v>43864.4</v>
      </c>
      <c r="P1250" s="7">
        <f t="shared" si="117"/>
        <v>0.88787628695156184</v>
      </c>
      <c r="Q1250" s="7">
        <f t="shared" si="118"/>
        <v>3922.7874999999999</v>
      </c>
      <c r="R1250">
        <f t="shared" si="119"/>
        <v>1.7433043652711537</v>
      </c>
    </row>
    <row r="1251" spans="1:18" x14ac:dyDescent="0.25">
      <c r="A1251" t="s">
        <v>744</v>
      </c>
      <c r="B1251" t="s">
        <v>309</v>
      </c>
      <c r="C1251" t="s">
        <v>8</v>
      </c>
      <c r="D1251">
        <v>61048</v>
      </c>
      <c r="E1251" s="1">
        <v>43738</v>
      </c>
      <c r="F1251" s="2">
        <f t="shared" si="114"/>
        <v>2019</v>
      </c>
      <c r="G1251">
        <v>11</v>
      </c>
      <c r="H1251" s="3">
        <v>89929</v>
      </c>
      <c r="I1251">
        <v>4089</v>
      </c>
      <c r="J1251">
        <v>89929</v>
      </c>
      <c r="K1251">
        <v>78893</v>
      </c>
      <c r="L1251">
        <v>77282</v>
      </c>
      <c r="M1251" t="str">
        <f t="shared" si="115"/>
        <v>Small</v>
      </c>
      <c r="N1251">
        <f>VLOOKUP(C1251,Lookup!$A$2:$D$5,MATCH(M1251,Lookup!$A$1:$D$1,0),FALSE)</f>
        <v>0.09</v>
      </c>
      <c r="O1251">
        <f t="shared" si="116"/>
        <v>6955.38</v>
      </c>
      <c r="P1251" s="7">
        <f t="shared" si="117"/>
        <v>0.87728096609547535</v>
      </c>
      <c r="Q1251" s="7">
        <f t="shared" si="118"/>
        <v>8175.363636363636</v>
      </c>
      <c r="R1251">
        <f t="shared" si="119"/>
        <v>0.58789023748522728</v>
      </c>
    </row>
    <row r="1252" spans="1:18" x14ac:dyDescent="0.25">
      <c r="A1252" t="s">
        <v>744</v>
      </c>
      <c r="B1252" t="s">
        <v>309</v>
      </c>
      <c r="C1252" t="s">
        <v>8</v>
      </c>
      <c r="D1252">
        <v>61048</v>
      </c>
      <c r="E1252" s="1">
        <v>44104</v>
      </c>
      <c r="F1252" s="2">
        <f t="shared" si="114"/>
        <v>2020</v>
      </c>
      <c r="G1252">
        <v>10</v>
      </c>
      <c r="H1252" s="3">
        <v>94220</v>
      </c>
      <c r="I1252">
        <v>3538</v>
      </c>
      <c r="J1252">
        <v>94220</v>
      </c>
      <c r="K1252">
        <v>82811</v>
      </c>
      <c r="L1252">
        <v>78250</v>
      </c>
      <c r="M1252" t="str">
        <f t="shared" si="115"/>
        <v>Small</v>
      </c>
      <c r="N1252">
        <f>VLOOKUP(C1252,Lookup!$A$2:$D$5,MATCH(M1252,Lookup!$A$1:$D$1,0),FALSE)</f>
        <v>0.09</v>
      </c>
      <c r="O1252">
        <f t="shared" si="116"/>
        <v>7042.5</v>
      </c>
      <c r="P1252" s="7">
        <f t="shared" si="117"/>
        <v>0.87891105922309487</v>
      </c>
      <c r="Q1252" s="7">
        <f t="shared" si="118"/>
        <v>9422</v>
      </c>
      <c r="R1252">
        <f t="shared" si="119"/>
        <v>0.50237841675541361</v>
      </c>
    </row>
    <row r="1253" spans="1:18" x14ac:dyDescent="0.25">
      <c r="A1253" t="s">
        <v>744</v>
      </c>
      <c r="B1253" t="s">
        <v>309</v>
      </c>
      <c r="C1253" t="s">
        <v>8</v>
      </c>
      <c r="D1253">
        <v>61048</v>
      </c>
      <c r="E1253" s="1">
        <v>44469</v>
      </c>
      <c r="F1253" s="2">
        <f t="shared" si="114"/>
        <v>2021</v>
      </c>
      <c r="G1253">
        <v>9</v>
      </c>
      <c r="H1253" s="3">
        <v>96065</v>
      </c>
      <c r="I1253">
        <v>10685</v>
      </c>
      <c r="J1253">
        <v>96065</v>
      </c>
      <c r="K1253">
        <v>84470</v>
      </c>
      <c r="L1253">
        <v>84002</v>
      </c>
      <c r="M1253" t="str">
        <f t="shared" si="115"/>
        <v>Small</v>
      </c>
      <c r="N1253">
        <f>VLOOKUP(C1253,Lookup!$A$2:$D$5,MATCH(M1253,Lookup!$A$1:$D$1,0),FALSE)</f>
        <v>0.09</v>
      </c>
      <c r="O1253">
        <f t="shared" si="116"/>
        <v>7560.1799999999994</v>
      </c>
      <c r="P1253" s="7">
        <f t="shared" si="117"/>
        <v>0.87930047363764119</v>
      </c>
      <c r="Q1253" s="7">
        <f t="shared" si="118"/>
        <v>10673.888888888889</v>
      </c>
      <c r="R1253">
        <f t="shared" si="119"/>
        <v>1.4133261377374613</v>
      </c>
    </row>
    <row r="1254" spans="1:18" x14ac:dyDescent="0.25">
      <c r="A1254" t="s">
        <v>745</v>
      </c>
      <c r="B1254" t="s">
        <v>746</v>
      </c>
      <c r="C1254" t="s">
        <v>8</v>
      </c>
      <c r="D1254">
        <v>62347</v>
      </c>
      <c r="E1254" s="1">
        <v>43738</v>
      </c>
      <c r="F1254" s="2">
        <f t="shared" si="114"/>
        <v>2019</v>
      </c>
      <c r="G1254">
        <v>26</v>
      </c>
      <c r="H1254" s="3">
        <v>101240</v>
      </c>
      <c r="I1254">
        <v>12324</v>
      </c>
      <c r="J1254">
        <v>101240</v>
      </c>
      <c r="K1254">
        <v>88605</v>
      </c>
      <c r="L1254">
        <v>87445</v>
      </c>
      <c r="M1254" t="str">
        <f t="shared" si="115"/>
        <v>Medium</v>
      </c>
      <c r="N1254">
        <f>VLOOKUP(C1254,Lookup!$A$2:$D$5,MATCH(M1254,Lookup!$A$1:$D$1,0),FALSE)</f>
        <v>0.08</v>
      </c>
      <c r="O1254">
        <f t="shared" si="116"/>
        <v>6995.6</v>
      </c>
      <c r="P1254" s="7">
        <f t="shared" si="117"/>
        <v>0.87519755037534575</v>
      </c>
      <c r="Q1254" s="7">
        <f t="shared" si="118"/>
        <v>3893.8461538461538</v>
      </c>
      <c r="R1254">
        <f t="shared" si="119"/>
        <v>1.7616787695122647</v>
      </c>
    </row>
    <row r="1255" spans="1:18" x14ac:dyDescent="0.25">
      <c r="A1255" t="s">
        <v>745</v>
      </c>
      <c r="B1255" t="s">
        <v>747</v>
      </c>
      <c r="C1255" t="s">
        <v>5</v>
      </c>
      <c r="D1255">
        <v>94080</v>
      </c>
      <c r="E1255" s="1">
        <v>43738</v>
      </c>
      <c r="F1255" s="2">
        <f t="shared" si="114"/>
        <v>2019</v>
      </c>
      <c r="G1255">
        <v>45</v>
      </c>
      <c r="H1255" s="3">
        <v>271168</v>
      </c>
      <c r="I1255">
        <v>11587</v>
      </c>
      <c r="J1255">
        <v>271168</v>
      </c>
      <c r="K1255">
        <v>235405</v>
      </c>
      <c r="L1255">
        <v>233789</v>
      </c>
      <c r="M1255" t="str">
        <f t="shared" si="115"/>
        <v>Medium</v>
      </c>
      <c r="N1255">
        <f>VLOOKUP(C1255,Lookup!$A$2:$D$5,MATCH(M1255,Lookup!$A$1:$D$1,0),FALSE)</f>
        <v>0.09</v>
      </c>
      <c r="O1255">
        <f t="shared" si="116"/>
        <v>21041.01</v>
      </c>
      <c r="P1255" s="7">
        <f t="shared" si="117"/>
        <v>0.86811496931791365</v>
      </c>
      <c r="Q1255" s="7">
        <f t="shared" si="118"/>
        <v>6025.9555555555553</v>
      </c>
      <c r="R1255">
        <f t="shared" si="119"/>
        <v>0.5506864927111389</v>
      </c>
    </row>
    <row r="1256" spans="1:18" x14ac:dyDescent="0.25">
      <c r="A1256" t="s">
        <v>745</v>
      </c>
      <c r="B1256" t="s">
        <v>746</v>
      </c>
      <c r="C1256" t="s">
        <v>8</v>
      </c>
      <c r="D1256">
        <v>62347</v>
      </c>
      <c r="E1256" s="1">
        <v>44104</v>
      </c>
      <c r="F1256" s="2">
        <f t="shared" si="114"/>
        <v>2020</v>
      </c>
      <c r="G1256">
        <v>26</v>
      </c>
      <c r="H1256" s="3">
        <v>114870</v>
      </c>
      <c r="I1256">
        <v>23187</v>
      </c>
      <c r="J1256">
        <v>114870</v>
      </c>
      <c r="K1256">
        <v>101112</v>
      </c>
      <c r="L1256">
        <v>100017</v>
      </c>
      <c r="M1256" t="str">
        <f t="shared" si="115"/>
        <v>Medium</v>
      </c>
      <c r="N1256">
        <f>VLOOKUP(C1256,Lookup!$A$2:$D$5,MATCH(M1256,Lookup!$A$1:$D$1,0),FALSE)</f>
        <v>0.08</v>
      </c>
      <c r="O1256">
        <f t="shared" si="116"/>
        <v>8001.3600000000006</v>
      </c>
      <c r="P1256" s="7">
        <f t="shared" si="117"/>
        <v>0.88022982501958735</v>
      </c>
      <c r="Q1256" s="7">
        <f t="shared" si="118"/>
        <v>4418.0769230769229</v>
      </c>
      <c r="R1256">
        <f t="shared" si="119"/>
        <v>2.8978823599988002</v>
      </c>
    </row>
    <row r="1257" spans="1:18" x14ac:dyDescent="0.25">
      <c r="A1257" t="s">
        <v>745</v>
      </c>
      <c r="B1257" t="s">
        <v>747</v>
      </c>
      <c r="C1257" t="s">
        <v>5</v>
      </c>
      <c r="D1257">
        <v>94080</v>
      </c>
      <c r="E1257" s="1">
        <v>44104</v>
      </c>
      <c r="F1257" s="2">
        <f t="shared" si="114"/>
        <v>2020</v>
      </c>
      <c r="G1257">
        <v>44</v>
      </c>
      <c r="H1257" s="3">
        <v>300029</v>
      </c>
      <c r="I1257">
        <v>34517</v>
      </c>
      <c r="J1257">
        <v>300029</v>
      </c>
      <c r="K1257">
        <v>263975</v>
      </c>
      <c r="L1257">
        <v>262520</v>
      </c>
      <c r="M1257" t="str">
        <f t="shared" si="115"/>
        <v>Medium</v>
      </c>
      <c r="N1257">
        <f>VLOOKUP(C1257,Lookup!$A$2:$D$5,MATCH(M1257,Lookup!$A$1:$D$1,0),FALSE)</f>
        <v>0.09</v>
      </c>
      <c r="O1257">
        <f t="shared" si="116"/>
        <v>23626.799999999999</v>
      </c>
      <c r="P1257" s="7">
        <f t="shared" si="117"/>
        <v>0.87983161627709316</v>
      </c>
      <c r="Q1257" s="7">
        <f t="shared" si="118"/>
        <v>6818.840909090909</v>
      </c>
      <c r="R1257">
        <f t="shared" si="119"/>
        <v>1.4609257284101107</v>
      </c>
    </row>
    <row r="1258" spans="1:18" x14ac:dyDescent="0.25">
      <c r="A1258" t="s">
        <v>745</v>
      </c>
      <c r="B1258" t="s">
        <v>746</v>
      </c>
      <c r="C1258" t="s">
        <v>8</v>
      </c>
      <c r="D1258">
        <v>62347</v>
      </c>
      <c r="E1258" s="1">
        <v>44469</v>
      </c>
      <c r="F1258" s="2">
        <f t="shared" si="114"/>
        <v>2021</v>
      </c>
      <c r="G1258">
        <v>26</v>
      </c>
      <c r="H1258" s="3">
        <v>124883</v>
      </c>
      <c r="I1258">
        <v>26527</v>
      </c>
      <c r="J1258">
        <v>124883</v>
      </c>
      <c r="K1258">
        <v>110206</v>
      </c>
      <c r="L1258">
        <v>109062</v>
      </c>
      <c r="M1258" t="str">
        <f t="shared" si="115"/>
        <v>Medium</v>
      </c>
      <c r="N1258">
        <f>VLOOKUP(C1258,Lookup!$A$2:$D$5,MATCH(M1258,Lookup!$A$1:$D$1,0),FALSE)</f>
        <v>0.08</v>
      </c>
      <c r="O1258">
        <f t="shared" si="116"/>
        <v>8724.9600000000009</v>
      </c>
      <c r="P1258" s="7">
        <f t="shared" si="117"/>
        <v>0.88247399565993767</v>
      </c>
      <c r="Q1258" s="7">
        <f t="shared" si="118"/>
        <v>4803.1923076923076</v>
      </c>
      <c r="R1258">
        <f t="shared" si="119"/>
        <v>3.0403577781445414</v>
      </c>
    </row>
    <row r="1259" spans="1:18" x14ac:dyDescent="0.25">
      <c r="A1259" t="s">
        <v>745</v>
      </c>
      <c r="B1259" t="s">
        <v>747</v>
      </c>
      <c r="C1259" t="s">
        <v>5</v>
      </c>
      <c r="D1259">
        <v>94080</v>
      </c>
      <c r="E1259" s="1">
        <v>44469</v>
      </c>
      <c r="F1259" s="2">
        <f t="shared" si="114"/>
        <v>2021</v>
      </c>
      <c r="G1259">
        <v>41</v>
      </c>
      <c r="H1259" s="3">
        <v>298232</v>
      </c>
      <c r="I1259">
        <v>27936</v>
      </c>
      <c r="J1259">
        <v>298232</v>
      </c>
      <c r="K1259">
        <v>261964</v>
      </c>
      <c r="L1259">
        <v>260854</v>
      </c>
      <c r="M1259" t="str">
        <f t="shared" si="115"/>
        <v>Medium</v>
      </c>
      <c r="N1259">
        <f>VLOOKUP(C1259,Lookup!$A$2:$D$5,MATCH(M1259,Lookup!$A$1:$D$1,0),FALSE)</f>
        <v>0.09</v>
      </c>
      <c r="O1259">
        <f t="shared" si="116"/>
        <v>23476.86</v>
      </c>
      <c r="P1259" s="7">
        <f t="shared" si="117"/>
        <v>0.87838997827194931</v>
      </c>
      <c r="Q1259" s="7">
        <f t="shared" si="118"/>
        <v>7273.9512195121952</v>
      </c>
      <c r="R1259">
        <f t="shared" si="119"/>
        <v>1.1899376662807548</v>
      </c>
    </row>
    <row r="1260" spans="1:18" x14ac:dyDescent="0.25">
      <c r="A1260" t="s">
        <v>748</v>
      </c>
      <c r="B1260" t="s">
        <v>28</v>
      </c>
      <c r="C1260" t="s">
        <v>8</v>
      </c>
      <c r="D1260">
        <v>60647</v>
      </c>
      <c r="E1260" s="1">
        <v>43738</v>
      </c>
      <c r="F1260" s="2">
        <f t="shared" si="114"/>
        <v>2019</v>
      </c>
      <c r="G1260">
        <v>102</v>
      </c>
      <c r="H1260" s="3">
        <v>825661</v>
      </c>
      <c r="I1260">
        <v>3098</v>
      </c>
      <c r="J1260">
        <v>825661</v>
      </c>
      <c r="K1260">
        <v>626568</v>
      </c>
      <c r="L1260">
        <v>617062</v>
      </c>
      <c r="M1260" t="str">
        <f t="shared" si="115"/>
        <v>Medium</v>
      </c>
      <c r="N1260">
        <f>VLOOKUP(C1260,Lookup!$A$2:$D$5,MATCH(M1260,Lookup!$A$1:$D$1,0),FALSE)</f>
        <v>0.08</v>
      </c>
      <c r="O1260">
        <f t="shared" si="116"/>
        <v>49364.959999999999</v>
      </c>
      <c r="P1260" s="7">
        <f t="shared" si="117"/>
        <v>0.75886834911664713</v>
      </c>
      <c r="Q1260" s="7">
        <f t="shared" si="118"/>
        <v>8094.7156862745096</v>
      </c>
      <c r="R1260">
        <f t="shared" si="119"/>
        <v>6.2757064930266324E-2</v>
      </c>
    </row>
    <row r="1261" spans="1:18" x14ac:dyDescent="0.25">
      <c r="A1261" t="s">
        <v>748</v>
      </c>
      <c r="B1261" t="s">
        <v>28</v>
      </c>
      <c r="C1261" t="s">
        <v>8</v>
      </c>
      <c r="D1261">
        <v>60647</v>
      </c>
      <c r="E1261" s="1">
        <v>44104</v>
      </c>
      <c r="F1261" s="2">
        <f t="shared" si="114"/>
        <v>2020</v>
      </c>
      <c r="G1261">
        <v>104</v>
      </c>
      <c r="H1261" s="3">
        <v>868509</v>
      </c>
      <c r="I1261">
        <v>24684</v>
      </c>
      <c r="J1261">
        <v>868508</v>
      </c>
      <c r="K1261">
        <v>662475</v>
      </c>
      <c r="L1261">
        <v>651019</v>
      </c>
      <c r="M1261" t="str">
        <f t="shared" si="115"/>
        <v>Medium</v>
      </c>
      <c r="N1261">
        <f>VLOOKUP(C1261,Lookup!$A$2:$D$5,MATCH(M1261,Lookup!$A$1:$D$1,0),FALSE)</f>
        <v>0.08</v>
      </c>
      <c r="O1261">
        <f t="shared" si="116"/>
        <v>52081.520000000004</v>
      </c>
      <c r="P1261" s="7">
        <f t="shared" si="117"/>
        <v>0.76277275192312344</v>
      </c>
      <c r="Q1261" s="7">
        <f t="shared" si="118"/>
        <v>8351.0480769230762</v>
      </c>
      <c r="R1261">
        <f t="shared" si="119"/>
        <v>0.47394930101886423</v>
      </c>
    </row>
    <row r="1262" spans="1:18" x14ac:dyDescent="0.25">
      <c r="A1262" t="s">
        <v>748</v>
      </c>
      <c r="B1262" t="s">
        <v>28</v>
      </c>
      <c r="C1262" t="s">
        <v>8</v>
      </c>
      <c r="D1262">
        <v>60647</v>
      </c>
      <c r="E1262" s="1">
        <v>44469</v>
      </c>
      <c r="F1262" s="2">
        <f t="shared" si="114"/>
        <v>2021</v>
      </c>
      <c r="G1262">
        <v>101</v>
      </c>
      <c r="H1262" s="3">
        <v>901046</v>
      </c>
      <c r="I1262">
        <v>4183</v>
      </c>
      <c r="J1262">
        <v>901046</v>
      </c>
      <c r="K1262">
        <v>695311</v>
      </c>
      <c r="L1262">
        <v>684231</v>
      </c>
      <c r="M1262" t="str">
        <f t="shared" si="115"/>
        <v>Medium</v>
      </c>
      <c r="N1262">
        <f>VLOOKUP(C1262,Lookup!$A$2:$D$5,MATCH(M1262,Lookup!$A$1:$D$1,0),FALSE)</f>
        <v>0.08</v>
      </c>
      <c r="O1262">
        <f t="shared" si="116"/>
        <v>54738.48</v>
      </c>
      <c r="P1262" s="7">
        <f t="shared" si="117"/>
        <v>0.77167092468087095</v>
      </c>
      <c r="Q1262" s="7">
        <f t="shared" si="118"/>
        <v>8921.2475247524744</v>
      </c>
      <c r="R1262">
        <f t="shared" si="119"/>
        <v>7.6417905648823267E-2</v>
      </c>
    </row>
    <row r="1263" spans="1:18" x14ac:dyDescent="0.25">
      <c r="A1263" t="s">
        <v>749</v>
      </c>
      <c r="B1263" t="s">
        <v>750</v>
      </c>
      <c r="C1263" t="s">
        <v>8</v>
      </c>
      <c r="D1263">
        <v>60048</v>
      </c>
      <c r="E1263" s="1">
        <v>43738</v>
      </c>
      <c r="F1263" s="2">
        <f t="shared" si="114"/>
        <v>2019</v>
      </c>
      <c r="G1263">
        <v>99</v>
      </c>
      <c r="H1263" s="3">
        <v>1684632</v>
      </c>
      <c r="I1263">
        <v>63792</v>
      </c>
      <c r="J1263">
        <v>1684632</v>
      </c>
      <c r="K1263">
        <v>1519838</v>
      </c>
      <c r="L1263">
        <v>1423712</v>
      </c>
      <c r="M1263" t="str">
        <f t="shared" si="115"/>
        <v>Large</v>
      </c>
      <c r="N1263">
        <f>VLOOKUP(C1263,Lookup!$A$2:$D$5,MATCH(M1263,Lookup!$A$1:$D$1,0),FALSE)</f>
        <v>7.4999999999999997E-2</v>
      </c>
      <c r="O1263">
        <f t="shared" si="116"/>
        <v>106778.4</v>
      </c>
      <c r="P1263" s="7">
        <f t="shared" si="117"/>
        <v>0.9021780424448782</v>
      </c>
      <c r="Q1263" s="7">
        <f t="shared" si="118"/>
        <v>17016.484848484848</v>
      </c>
      <c r="R1263">
        <f t="shared" si="119"/>
        <v>0.5974241981524353</v>
      </c>
    </row>
    <row r="1264" spans="1:18" x14ac:dyDescent="0.25">
      <c r="A1264" t="s">
        <v>1374</v>
      </c>
      <c r="B1264" t="s">
        <v>750</v>
      </c>
      <c r="C1264" t="s">
        <v>8</v>
      </c>
      <c r="D1264">
        <v>60048</v>
      </c>
      <c r="E1264" s="1">
        <v>44104</v>
      </c>
      <c r="F1264" s="2">
        <f t="shared" si="114"/>
        <v>2020</v>
      </c>
      <c r="G1264">
        <v>98</v>
      </c>
      <c r="H1264" s="3">
        <v>2044230</v>
      </c>
      <c r="I1264">
        <v>271686</v>
      </c>
      <c r="J1264">
        <v>2044230</v>
      </c>
      <c r="K1264">
        <v>1873699</v>
      </c>
      <c r="L1264">
        <v>1709106</v>
      </c>
      <c r="M1264" t="str">
        <f t="shared" si="115"/>
        <v>Large</v>
      </c>
      <c r="N1264">
        <f>VLOOKUP(C1264,Lookup!$A$2:$D$5,MATCH(M1264,Lookup!$A$1:$D$1,0),FALSE)</f>
        <v>7.4999999999999997E-2</v>
      </c>
      <c r="O1264">
        <f t="shared" si="116"/>
        <v>128182.95</v>
      </c>
      <c r="P1264" s="7">
        <f t="shared" si="117"/>
        <v>0.91657934772506033</v>
      </c>
      <c r="Q1264" s="7">
        <f t="shared" si="118"/>
        <v>20859.489795918369</v>
      </c>
      <c r="R1264">
        <f t="shared" si="119"/>
        <v>2.1195174553245968</v>
      </c>
    </row>
    <row r="1265" spans="1:18" x14ac:dyDescent="0.25">
      <c r="A1265" t="s">
        <v>1374</v>
      </c>
      <c r="B1265" t="s">
        <v>750</v>
      </c>
      <c r="C1265" t="s">
        <v>8</v>
      </c>
      <c r="D1265">
        <v>60048</v>
      </c>
      <c r="E1265" s="1">
        <v>44469</v>
      </c>
      <c r="F1265" s="2">
        <f t="shared" si="114"/>
        <v>2021</v>
      </c>
      <c r="G1265">
        <v>81</v>
      </c>
      <c r="H1265" s="3">
        <v>2249267</v>
      </c>
      <c r="I1265">
        <v>259551</v>
      </c>
      <c r="J1265">
        <v>2249267</v>
      </c>
      <c r="K1265">
        <v>2057555</v>
      </c>
      <c r="L1265">
        <v>1898251</v>
      </c>
      <c r="M1265" t="str">
        <f t="shared" si="115"/>
        <v>Large</v>
      </c>
      <c r="N1265">
        <f>VLOOKUP(C1265,Lookup!$A$2:$D$5,MATCH(M1265,Lookup!$A$1:$D$1,0),FALSE)</f>
        <v>7.4999999999999997E-2</v>
      </c>
      <c r="O1265">
        <f t="shared" si="116"/>
        <v>142368.82499999998</v>
      </c>
      <c r="P1265" s="7">
        <f t="shared" si="117"/>
        <v>0.91476689961663071</v>
      </c>
      <c r="Q1265" s="7">
        <f t="shared" si="118"/>
        <v>27768.728395061727</v>
      </c>
      <c r="R1265">
        <f t="shared" si="119"/>
        <v>1.8230887274654408</v>
      </c>
    </row>
    <row r="1266" spans="1:18" x14ac:dyDescent="0.25">
      <c r="A1266" t="s">
        <v>751</v>
      </c>
      <c r="B1266" t="s">
        <v>752</v>
      </c>
      <c r="C1266" t="s">
        <v>5</v>
      </c>
      <c r="D1266">
        <v>95060</v>
      </c>
      <c r="E1266" s="1">
        <v>43738</v>
      </c>
      <c r="F1266" s="2">
        <f t="shared" si="114"/>
        <v>2019</v>
      </c>
      <c r="G1266">
        <v>31</v>
      </c>
      <c r="H1266" s="3">
        <v>321822</v>
      </c>
      <c r="I1266">
        <v>73588</v>
      </c>
      <c r="J1266">
        <v>321822</v>
      </c>
      <c r="K1266">
        <v>278958</v>
      </c>
      <c r="L1266">
        <v>276995</v>
      </c>
      <c r="M1266" t="str">
        <f t="shared" si="115"/>
        <v>Medium</v>
      </c>
      <c r="N1266">
        <f>VLOOKUP(C1266,Lookup!$A$2:$D$5,MATCH(M1266,Lookup!$A$1:$D$1,0),FALSE)</f>
        <v>0.09</v>
      </c>
      <c r="O1266">
        <f t="shared" si="116"/>
        <v>24929.55</v>
      </c>
      <c r="P1266" s="7">
        <f t="shared" si="117"/>
        <v>0.86680835990081473</v>
      </c>
      <c r="Q1266" s="7">
        <f t="shared" si="118"/>
        <v>10381.354838709678</v>
      </c>
      <c r="R1266">
        <f t="shared" si="119"/>
        <v>2.9518382802738117</v>
      </c>
    </row>
    <row r="1267" spans="1:18" x14ac:dyDescent="0.25">
      <c r="A1267" t="s">
        <v>753</v>
      </c>
      <c r="B1267" t="s">
        <v>754</v>
      </c>
      <c r="C1267" t="s">
        <v>8</v>
      </c>
      <c r="D1267">
        <v>60451</v>
      </c>
      <c r="E1267" s="1">
        <v>43738</v>
      </c>
      <c r="F1267" s="2">
        <f t="shared" si="114"/>
        <v>2019</v>
      </c>
      <c r="G1267">
        <v>34</v>
      </c>
      <c r="H1267" s="3">
        <v>225194</v>
      </c>
      <c r="I1267">
        <v>37932</v>
      </c>
      <c r="J1267">
        <v>225194</v>
      </c>
      <c r="K1267">
        <v>199125</v>
      </c>
      <c r="L1267">
        <v>197452</v>
      </c>
      <c r="M1267" t="str">
        <f t="shared" si="115"/>
        <v>Medium</v>
      </c>
      <c r="N1267">
        <f>VLOOKUP(C1267,Lookup!$A$2:$D$5,MATCH(M1267,Lookup!$A$1:$D$1,0),FALSE)</f>
        <v>0.08</v>
      </c>
      <c r="O1267">
        <f t="shared" si="116"/>
        <v>15796.16</v>
      </c>
      <c r="P1267" s="7">
        <f t="shared" si="117"/>
        <v>0.88423759069957464</v>
      </c>
      <c r="Q1267" s="7">
        <f t="shared" si="118"/>
        <v>6623.3529411764703</v>
      </c>
      <c r="R1267">
        <f t="shared" si="119"/>
        <v>2.4013431112371615</v>
      </c>
    </row>
    <row r="1268" spans="1:18" x14ac:dyDescent="0.25">
      <c r="A1268" t="s">
        <v>753</v>
      </c>
      <c r="B1268" t="s">
        <v>754</v>
      </c>
      <c r="C1268" t="s">
        <v>8</v>
      </c>
      <c r="D1268">
        <v>60451</v>
      </c>
      <c r="E1268" s="1">
        <v>44104</v>
      </c>
      <c r="F1268" s="2">
        <f t="shared" si="114"/>
        <v>2020</v>
      </c>
      <c r="G1268">
        <v>35</v>
      </c>
      <c r="H1268" s="3">
        <v>257306</v>
      </c>
      <c r="I1268">
        <v>40180</v>
      </c>
      <c r="J1268">
        <v>257306</v>
      </c>
      <c r="K1268">
        <v>227916</v>
      </c>
      <c r="L1268">
        <v>226013</v>
      </c>
      <c r="M1268" t="str">
        <f t="shared" si="115"/>
        <v>Medium</v>
      </c>
      <c r="N1268">
        <f>VLOOKUP(C1268,Lookup!$A$2:$D$5,MATCH(M1268,Lookup!$A$1:$D$1,0),FALSE)</f>
        <v>0.08</v>
      </c>
      <c r="O1268">
        <f t="shared" si="116"/>
        <v>18081.04</v>
      </c>
      <c r="P1268" s="7">
        <f t="shared" si="117"/>
        <v>0.88577802305426223</v>
      </c>
      <c r="Q1268" s="7">
        <f t="shared" si="118"/>
        <v>7351.6</v>
      </c>
      <c r="R1268">
        <f t="shared" si="119"/>
        <v>2.222217306084163</v>
      </c>
    </row>
    <row r="1269" spans="1:18" x14ac:dyDescent="0.25">
      <c r="A1269" t="s">
        <v>753</v>
      </c>
      <c r="B1269" t="s">
        <v>754</v>
      </c>
      <c r="C1269" t="s">
        <v>8</v>
      </c>
      <c r="D1269">
        <v>60451</v>
      </c>
      <c r="E1269" s="1">
        <v>44469</v>
      </c>
      <c r="F1269" s="2">
        <f t="shared" si="114"/>
        <v>2021</v>
      </c>
      <c r="G1269">
        <v>34</v>
      </c>
      <c r="H1269" s="3">
        <v>278430</v>
      </c>
      <c r="I1269">
        <v>77568</v>
      </c>
      <c r="J1269">
        <v>278430</v>
      </c>
      <c r="K1269">
        <v>247602</v>
      </c>
      <c r="L1269">
        <v>245158</v>
      </c>
      <c r="M1269" t="str">
        <f t="shared" si="115"/>
        <v>Medium</v>
      </c>
      <c r="N1269">
        <f>VLOOKUP(C1269,Lookup!$A$2:$D$5,MATCH(M1269,Lookup!$A$1:$D$1,0),FALSE)</f>
        <v>0.08</v>
      </c>
      <c r="O1269">
        <f t="shared" si="116"/>
        <v>19612.64</v>
      </c>
      <c r="P1269" s="7">
        <f t="shared" si="117"/>
        <v>0.88927917250296307</v>
      </c>
      <c r="Q1269" s="7">
        <f t="shared" si="118"/>
        <v>8189.1176470588234</v>
      </c>
      <c r="R1269">
        <f t="shared" si="119"/>
        <v>3.9550004486902326</v>
      </c>
    </row>
    <row r="1270" spans="1:18" x14ac:dyDescent="0.25">
      <c r="A1270" t="s">
        <v>755</v>
      </c>
      <c r="B1270" t="s">
        <v>756</v>
      </c>
      <c r="C1270" t="s">
        <v>8</v>
      </c>
      <c r="D1270">
        <v>60532</v>
      </c>
      <c r="E1270" s="1">
        <v>43738</v>
      </c>
      <c r="F1270" s="2">
        <f t="shared" si="114"/>
        <v>2019</v>
      </c>
      <c r="G1270">
        <v>60</v>
      </c>
      <c r="H1270" s="3">
        <v>505730</v>
      </c>
      <c r="I1270">
        <v>28131</v>
      </c>
      <c r="J1270">
        <v>505730</v>
      </c>
      <c r="K1270">
        <v>379238</v>
      </c>
      <c r="L1270">
        <v>372276</v>
      </c>
      <c r="M1270" t="str">
        <f t="shared" si="115"/>
        <v>Medium</v>
      </c>
      <c r="N1270">
        <f>VLOOKUP(C1270,Lookup!$A$2:$D$5,MATCH(M1270,Lookup!$A$1:$D$1,0),FALSE)</f>
        <v>0.08</v>
      </c>
      <c r="O1270">
        <f t="shared" si="116"/>
        <v>29782.080000000002</v>
      </c>
      <c r="P1270" s="7">
        <f t="shared" si="117"/>
        <v>0.74988234828861255</v>
      </c>
      <c r="Q1270" s="7">
        <f t="shared" si="118"/>
        <v>8428.8333333333339</v>
      </c>
      <c r="R1270">
        <f t="shared" si="119"/>
        <v>0.94456129323405214</v>
      </c>
    </row>
    <row r="1271" spans="1:18" x14ac:dyDescent="0.25">
      <c r="A1271" t="s">
        <v>755</v>
      </c>
      <c r="B1271" t="s">
        <v>756</v>
      </c>
      <c r="C1271" t="s">
        <v>8</v>
      </c>
      <c r="D1271">
        <v>60532</v>
      </c>
      <c r="E1271" s="1">
        <v>44104</v>
      </c>
      <c r="F1271" s="2">
        <f t="shared" si="114"/>
        <v>2020</v>
      </c>
      <c r="G1271">
        <v>57</v>
      </c>
      <c r="H1271" s="3">
        <v>577252</v>
      </c>
      <c r="I1271">
        <v>42416</v>
      </c>
      <c r="J1271">
        <v>577252</v>
      </c>
      <c r="K1271">
        <v>445031</v>
      </c>
      <c r="L1271">
        <v>404129</v>
      </c>
      <c r="M1271" t="str">
        <f t="shared" si="115"/>
        <v>Medium</v>
      </c>
      <c r="N1271">
        <f>VLOOKUP(C1271,Lookup!$A$2:$D$5,MATCH(M1271,Lookup!$A$1:$D$1,0),FALSE)</f>
        <v>0.08</v>
      </c>
      <c r="O1271">
        <f t="shared" si="116"/>
        <v>32330.32</v>
      </c>
      <c r="P1271" s="7">
        <f t="shared" si="117"/>
        <v>0.770947523785106</v>
      </c>
      <c r="Q1271" s="7">
        <f t="shared" si="118"/>
        <v>10127.228070175439</v>
      </c>
      <c r="R1271">
        <f t="shared" si="119"/>
        <v>1.3119573205585346</v>
      </c>
    </row>
    <row r="1272" spans="1:18" x14ac:dyDescent="0.25">
      <c r="A1272" t="s">
        <v>755</v>
      </c>
      <c r="B1272" t="s">
        <v>756</v>
      </c>
      <c r="C1272" t="s">
        <v>8</v>
      </c>
      <c r="D1272">
        <v>60532</v>
      </c>
      <c r="E1272" s="1">
        <v>44469</v>
      </c>
      <c r="F1272" s="2">
        <f t="shared" si="114"/>
        <v>2021</v>
      </c>
      <c r="G1272">
        <v>60</v>
      </c>
      <c r="H1272" s="3">
        <v>606739</v>
      </c>
      <c r="I1272">
        <v>27101</v>
      </c>
      <c r="J1272">
        <v>606739</v>
      </c>
      <c r="K1272">
        <v>470338</v>
      </c>
      <c r="L1272">
        <v>428113</v>
      </c>
      <c r="M1272" t="str">
        <f t="shared" si="115"/>
        <v>Medium</v>
      </c>
      <c r="N1272">
        <f>VLOOKUP(C1272,Lookup!$A$2:$D$5,MATCH(M1272,Lookup!$A$1:$D$1,0),FALSE)</f>
        <v>0.08</v>
      </c>
      <c r="O1272">
        <f t="shared" si="116"/>
        <v>34249.040000000001</v>
      </c>
      <c r="P1272" s="7">
        <f t="shared" si="117"/>
        <v>0.77518999108348075</v>
      </c>
      <c r="Q1272" s="7">
        <f t="shared" si="118"/>
        <v>10112.316666666668</v>
      </c>
      <c r="R1272">
        <f t="shared" si="119"/>
        <v>0.79129225227918798</v>
      </c>
    </row>
    <row r="1273" spans="1:18" x14ac:dyDescent="0.25">
      <c r="A1273" t="s">
        <v>757</v>
      </c>
      <c r="B1273" t="s">
        <v>758</v>
      </c>
      <c r="C1273" t="s">
        <v>8</v>
      </c>
      <c r="D1273">
        <v>61859</v>
      </c>
      <c r="E1273" s="1">
        <v>43738</v>
      </c>
      <c r="F1273" s="2">
        <f t="shared" si="114"/>
        <v>2019</v>
      </c>
      <c r="G1273">
        <v>42</v>
      </c>
      <c r="H1273" s="3">
        <v>207404</v>
      </c>
      <c r="I1273">
        <v>25816</v>
      </c>
      <c r="J1273">
        <v>207404</v>
      </c>
      <c r="K1273">
        <v>188166</v>
      </c>
      <c r="L1273">
        <v>186017</v>
      </c>
      <c r="M1273" t="str">
        <f t="shared" si="115"/>
        <v>Medium</v>
      </c>
      <c r="N1273">
        <f>VLOOKUP(C1273,Lookup!$A$2:$D$5,MATCH(M1273,Lookup!$A$1:$D$1,0),FALSE)</f>
        <v>0.08</v>
      </c>
      <c r="O1273">
        <f t="shared" si="116"/>
        <v>14881.36</v>
      </c>
      <c r="P1273" s="7">
        <f t="shared" si="117"/>
        <v>0.9072438332915469</v>
      </c>
      <c r="Q1273" s="7">
        <f t="shared" si="118"/>
        <v>4938.1904761904761</v>
      </c>
      <c r="R1273">
        <f t="shared" si="119"/>
        <v>1.7347876806958502</v>
      </c>
    </row>
    <row r="1274" spans="1:18" x14ac:dyDescent="0.25">
      <c r="A1274" t="s">
        <v>757</v>
      </c>
      <c r="B1274" t="s">
        <v>758</v>
      </c>
      <c r="C1274" t="s">
        <v>8</v>
      </c>
      <c r="D1274">
        <v>61859</v>
      </c>
      <c r="E1274" s="1">
        <v>44104</v>
      </c>
      <c r="F1274" s="2">
        <f t="shared" si="114"/>
        <v>2020</v>
      </c>
      <c r="G1274">
        <v>42</v>
      </c>
      <c r="H1274" s="3">
        <v>218608</v>
      </c>
      <c r="I1274">
        <v>33609</v>
      </c>
      <c r="J1274">
        <v>218608</v>
      </c>
      <c r="K1274">
        <v>199481</v>
      </c>
      <c r="L1274">
        <v>195223</v>
      </c>
      <c r="M1274" t="str">
        <f t="shared" si="115"/>
        <v>Medium</v>
      </c>
      <c r="N1274">
        <f>VLOOKUP(C1274,Lookup!$A$2:$D$5,MATCH(M1274,Lookup!$A$1:$D$1,0),FALSE)</f>
        <v>0.08</v>
      </c>
      <c r="O1274">
        <f t="shared" si="116"/>
        <v>15617.84</v>
      </c>
      <c r="P1274" s="7">
        <f t="shared" si="117"/>
        <v>0.9125054892776111</v>
      </c>
      <c r="Q1274" s="7">
        <f t="shared" si="118"/>
        <v>5204.9523809523807</v>
      </c>
      <c r="R1274">
        <f t="shared" si="119"/>
        <v>2.1519621151196322</v>
      </c>
    </row>
    <row r="1275" spans="1:18" x14ac:dyDescent="0.25">
      <c r="A1275" t="s">
        <v>757</v>
      </c>
      <c r="B1275" t="s">
        <v>758</v>
      </c>
      <c r="C1275" t="s">
        <v>8</v>
      </c>
      <c r="D1275">
        <v>61859</v>
      </c>
      <c r="E1275" s="1">
        <v>44469</v>
      </c>
      <c r="F1275" s="2">
        <f t="shared" si="114"/>
        <v>2021</v>
      </c>
      <c r="G1275">
        <v>43</v>
      </c>
      <c r="H1275" s="3">
        <v>255774</v>
      </c>
      <c r="I1275">
        <v>64036</v>
      </c>
      <c r="J1275">
        <v>255774</v>
      </c>
      <c r="K1275">
        <v>234896</v>
      </c>
      <c r="L1275">
        <v>233814</v>
      </c>
      <c r="M1275" t="str">
        <f t="shared" si="115"/>
        <v>Medium</v>
      </c>
      <c r="N1275">
        <f>VLOOKUP(C1275,Lookup!$A$2:$D$5,MATCH(M1275,Lookup!$A$1:$D$1,0),FALSE)</f>
        <v>0.08</v>
      </c>
      <c r="O1275">
        <f t="shared" si="116"/>
        <v>18705.12</v>
      </c>
      <c r="P1275" s="7">
        <f t="shared" si="117"/>
        <v>0.91837325138598924</v>
      </c>
      <c r="Q1275" s="7">
        <f t="shared" si="118"/>
        <v>5948.2325581395353</v>
      </c>
      <c r="R1275">
        <f t="shared" si="119"/>
        <v>3.4234476977426502</v>
      </c>
    </row>
    <row r="1276" spans="1:18" x14ac:dyDescent="0.25">
      <c r="A1276" t="s">
        <v>759</v>
      </c>
      <c r="B1276" t="s">
        <v>760</v>
      </c>
      <c r="C1276" t="s">
        <v>8</v>
      </c>
      <c r="D1276">
        <v>61924</v>
      </c>
      <c r="E1276" s="1">
        <v>43738</v>
      </c>
      <c r="F1276" s="2">
        <f t="shared" si="114"/>
        <v>2019</v>
      </c>
      <c r="G1276">
        <v>39</v>
      </c>
      <c r="H1276" s="3">
        <v>186586</v>
      </c>
      <c r="I1276">
        <v>41640</v>
      </c>
      <c r="J1276">
        <v>186586</v>
      </c>
      <c r="K1276">
        <v>169981</v>
      </c>
      <c r="L1276">
        <v>165990</v>
      </c>
      <c r="M1276" t="str">
        <f t="shared" si="115"/>
        <v>Medium</v>
      </c>
      <c r="N1276">
        <f>VLOOKUP(C1276,Lookup!$A$2:$D$5,MATCH(M1276,Lookup!$A$1:$D$1,0),FALSE)</f>
        <v>0.08</v>
      </c>
      <c r="O1276">
        <f t="shared" si="116"/>
        <v>13279.2</v>
      </c>
      <c r="P1276" s="7">
        <f t="shared" si="117"/>
        <v>0.91100618481558104</v>
      </c>
      <c r="Q1276" s="7">
        <f t="shared" si="118"/>
        <v>4784.2564102564102</v>
      </c>
      <c r="R1276">
        <f t="shared" si="119"/>
        <v>3.1357310681366344</v>
      </c>
    </row>
    <row r="1277" spans="1:18" x14ac:dyDescent="0.25">
      <c r="A1277" t="s">
        <v>759</v>
      </c>
      <c r="B1277" t="s">
        <v>760</v>
      </c>
      <c r="C1277" t="s">
        <v>8</v>
      </c>
      <c r="D1277">
        <v>61924</v>
      </c>
      <c r="E1277" s="1">
        <v>44104</v>
      </c>
      <c r="F1277" s="2">
        <f t="shared" si="114"/>
        <v>2020</v>
      </c>
      <c r="G1277">
        <v>39</v>
      </c>
      <c r="H1277" s="3">
        <v>202599</v>
      </c>
      <c r="I1277">
        <v>39664</v>
      </c>
      <c r="J1277">
        <v>202599</v>
      </c>
      <c r="K1277">
        <v>184863</v>
      </c>
      <c r="L1277">
        <v>176660</v>
      </c>
      <c r="M1277" t="str">
        <f t="shared" si="115"/>
        <v>Medium</v>
      </c>
      <c r="N1277">
        <f>VLOOKUP(C1277,Lookup!$A$2:$D$5,MATCH(M1277,Lookup!$A$1:$D$1,0),FALSE)</f>
        <v>0.08</v>
      </c>
      <c r="O1277">
        <f t="shared" si="116"/>
        <v>14132.800000000001</v>
      </c>
      <c r="P1277" s="7">
        <f t="shared" si="117"/>
        <v>0.91245761331497199</v>
      </c>
      <c r="Q1277" s="7">
        <f t="shared" si="118"/>
        <v>5194.8461538461543</v>
      </c>
      <c r="R1277">
        <f t="shared" si="119"/>
        <v>2.8065210007924826</v>
      </c>
    </row>
    <row r="1278" spans="1:18" x14ac:dyDescent="0.25">
      <c r="A1278" t="s">
        <v>759</v>
      </c>
      <c r="B1278" t="s">
        <v>760</v>
      </c>
      <c r="C1278" t="s">
        <v>8</v>
      </c>
      <c r="D1278">
        <v>61924</v>
      </c>
      <c r="E1278" s="1">
        <v>44469</v>
      </c>
      <c r="F1278" s="2">
        <f t="shared" si="114"/>
        <v>2021</v>
      </c>
      <c r="G1278">
        <v>42</v>
      </c>
      <c r="H1278" s="3">
        <v>219970</v>
      </c>
      <c r="I1278">
        <v>45011</v>
      </c>
      <c r="J1278">
        <v>219970</v>
      </c>
      <c r="K1278">
        <v>200133</v>
      </c>
      <c r="L1278">
        <v>196145</v>
      </c>
      <c r="M1278" t="str">
        <f t="shared" si="115"/>
        <v>Medium</v>
      </c>
      <c r="N1278">
        <f>VLOOKUP(C1278,Lookup!$A$2:$D$5,MATCH(M1278,Lookup!$A$1:$D$1,0),FALSE)</f>
        <v>0.08</v>
      </c>
      <c r="O1278">
        <f t="shared" si="116"/>
        <v>15691.6</v>
      </c>
      <c r="P1278" s="7">
        <f t="shared" si="117"/>
        <v>0.90981952084375139</v>
      </c>
      <c r="Q1278" s="7">
        <f t="shared" si="118"/>
        <v>5237.3809523809523</v>
      </c>
      <c r="R1278">
        <f t="shared" si="119"/>
        <v>2.8684774019220476</v>
      </c>
    </row>
    <row r="1279" spans="1:18" x14ac:dyDescent="0.25">
      <c r="A1279" t="s">
        <v>761</v>
      </c>
      <c r="B1279" t="s">
        <v>28</v>
      </c>
      <c r="C1279" t="s">
        <v>8</v>
      </c>
      <c r="D1279">
        <v>60638</v>
      </c>
      <c r="E1279" s="1">
        <v>43738</v>
      </c>
      <c r="F1279" s="2">
        <f t="shared" si="114"/>
        <v>2019</v>
      </c>
      <c r="G1279">
        <v>15</v>
      </c>
      <c r="H1279" s="3">
        <v>61513</v>
      </c>
      <c r="I1279">
        <v>27404</v>
      </c>
      <c r="J1279">
        <v>61513</v>
      </c>
      <c r="K1279">
        <v>43606</v>
      </c>
      <c r="L1279">
        <v>43399</v>
      </c>
      <c r="M1279" t="str">
        <f t="shared" si="115"/>
        <v>Small</v>
      </c>
      <c r="N1279">
        <f>VLOOKUP(C1279,Lookup!$A$2:$D$5,MATCH(M1279,Lookup!$A$1:$D$1,0),FALSE)</f>
        <v>0.09</v>
      </c>
      <c r="O1279">
        <f t="shared" si="116"/>
        <v>3905.91</v>
      </c>
      <c r="P1279" s="7">
        <f t="shared" si="117"/>
        <v>0.70889080356997702</v>
      </c>
      <c r="Q1279" s="7">
        <f t="shared" si="118"/>
        <v>4100.8666666666668</v>
      </c>
      <c r="R1279">
        <f t="shared" si="119"/>
        <v>7.0160346756581697</v>
      </c>
    </row>
    <row r="1280" spans="1:18" x14ac:dyDescent="0.25">
      <c r="A1280" t="s">
        <v>761</v>
      </c>
      <c r="B1280" t="s">
        <v>28</v>
      </c>
      <c r="C1280" t="s">
        <v>8</v>
      </c>
      <c r="D1280">
        <v>60638</v>
      </c>
      <c r="E1280" s="1">
        <v>44104</v>
      </c>
      <c r="F1280" s="2">
        <f t="shared" si="114"/>
        <v>2020</v>
      </c>
      <c r="G1280">
        <v>14</v>
      </c>
      <c r="H1280" s="3">
        <v>63878</v>
      </c>
      <c r="I1280">
        <v>28880</v>
      </c>
      <c r="J1280">
        <v>63878</v>
      </c>
      <c r="K1280">
        <v>49561</v>
      </c>
      <c r="L1280">
        <v>43701</v>
      </c>
      <c r="M1280" t="str">
        <f t="shared" si="115"/>
        <v>Small</v>
      </c>
      <c r="N1280">
        <f>VLOOKUP(C1280,Lookup!$A$2:$D$5,MATCH(M1280,Lookup!$A$1:$D$1,0),FALSE)</f>
        <v>0.09</v>
      </c>
      <c r="O1280">
        <f t="shared" si="116"/>
        <v>3933.0899999999997</v>
      </c>
      <c r="P1280" s="7">
        <f t="shared" si="117"/>
        <v>0.77586962647546887</v>
      </c>
      <c r="Q1280" s="7">
        <f t="shared" si="118"/>
        <v>4562.7142857142853</v>
      </c>
      <c r="R1280">
        <f t="shared" si="119"/>
        <v>7.3428271410010968</v>
      </c>
    </row>
    <row r="1281" spans="1:18" x14ac:dyDescent="0.25">
      <c r="A1281" t="s">
        <v>762</v>
      </c>
      <c r="B1281" t="s">
        <v>41</v>
      </c>
      <c r="C1281" t="s">
        <v>5</v>
      </c>
      <c r="D1281">
        <v>95401</v>
      </c>
      <c r="E1281" s="1">
        <v>43738</v>
      </c>
      <c r="F1281" s="2">
        <f t="shared" si="114"/>
        <v>2019</v>
      </c>
      <c r="G1281">
        <v>274</v>
      </c>
      <c r="H1281" s="3">
        <v>7158637</v>
      </c>
      <c r="I1281">
        <v>167365</v>
      </c>
      <c r="J1281">
        <v>7158637</v>
      </c>
      <c r="K1281">
        <v>6412870</v>
      </c>
      <c r="L1281">
        <v>5403809</v>
      </c>
      <c r="M1281" t="str">
        <f t="shared" si="115"/>
        <v>Large</v>
      </c>
      <c r="N1281">
        <f>VLOOKUP(C1281,Lookup!$A$2:$D$5,MATCH(M1281,Lookup!$A$1:$D$1,0),FALSE)</f>
        <v>0.08</v>
      </c>
      <c r="O1281">
        <f t="shared" si="116"/>
        <v>432304.72000000003</v>
      </c>
      <c r="P1281" s="7">
        <f t="shared" si="117"/>
        <v>0.89582276626123103</v>
      </c>
      <c r="Q1281" s="7">
        <f t="shared" si="118"/>
        <v>26126.412408759123</v>
      </c>
      <c r="R1281">
        <f t="shared" si="119"/>
        <v>0.38714590023444573</v>
      </c>
    </row>
    <row r="1282" spans="1:18" x14ac:dyDescent="0.25">
      <c r="A1282" t="s">
        <v>762</v>
      </c>
      <c r="B1282" t="s">
        <v>41</v>
      </c>
      <c r="C1282" t="s">
        <v>5</v>
      </c>
      <c r="D1282">
        <v>95401</v>
      </c>
      <c r="E1282" s="1">
        <v>44104</v>
      </c>
      <c r="F1282" s="2">
        <f t="shared" ref="F1282:F1345" si="120">YEAR(E1282)</f>
        <v>2020</v>
      </c>
      <c r="G1282">
        <v>282</v>
      </c>
      <c r="H1282" s="3">
        <v>7067694</v>
      </c>
      <c r="I1282">
        <v>214065</v>
      </c>
      <c r="J1282">
        <v>7067694</v>
      </c>
      <c r="K1282">
        <v>6316417</v>
      </c>
      <c r="L1282">
        <v>5314445</v>
      </c>
      <c r="M1282" t="str">
        <f t="shared" ref="M1282:M1345" si="121">IF(H1282&gt;1000000,"Large",IF(H1282&lt;100000,"Small","Medium"))</f>
        <v>Large</v>
      </c>
      <c r="N1282">
        <f>VLOOKUP(C1282,Lookup!$A$2:$D$5,MATCH(M1282,Lookup!$A$1:$D$1,0),FALSE)</f>
        <v>0.08</v>
      </c>
      <c r="O1282">
        <f t="shared" ref="O1282:O1345" si="122">L1282*N1282</f>
        <v>425155.60000000003</v>
      </c>
      <c r="P1282" s="7">
        <f t="shared" ref="P1282:P1345" si="123">K1282/H1282</f>
        <v>0.89370267020615213</v>
      </c>
      <c r="Q1282" s="7">
        <f t="shared" ref="Q1282:Q1345" si="124">H1282/G1282</f>
        <v>25062.744680851065</v>
      </c>
      <c r="R1282">
        <f t="shared" ref="R1282:R1345" si="125">I1282/O1282</f>
        <v>0.50349801343319944</v>
      </c>
    </row>
    <row r="1283" spans="1:18" x14ac:dyDescent="0.25">
      <c r="A1283" t="s">
        <v>762</v>
      </c>
      <c r="B1283" t="s">
        <v>41</v>
      </c>
      <c r="C1283" t="s">
        <v>5</v>
      </c>
      <c r="D1283">
        <v>95401</v>
      </c>
      <c r="E1283" s="1">
        <v>44469</v>
      </c>
      <c r="F1283" s="2">
        <f t="shared" si="120"/>
        <v>2021</v>
      </c>
      <c r="G1283">
        <v>277</v>
      </c>
      <c r="H1283" s="3">
        <v>7217866</v>
      </c>
      <c r="I1283">
        <v>131225</v>
      </c>
      <c r="J1283">
        <v>7217866</v>
      </c>
      <c r="K1283">
        <v>6430109</v>
      </c>
      <c r="L1283">
        <v>5641588</v>
      </c>
      <c r="M1283" t="str">
        <f t="shared" si="121"/>
        <v>Large</v>
      </c>
      <c r="N1283">
        <f>VLOOKUP(C1283,Lookup!$A$2:$D$5,MATCH(M1283,Lookup!$A$1:$D$1,0),FALSE)</f>
        <v>0.08</v>
      </c>
      <c r="O1283">
        <f t="shared" si="122"/>
        <v>451327.04000000004</v>
      </c>
      <c r="P1283" s="7">
        <f t="shared" si="123"/>
        <v>0.89086012403111947</v>
      </c>
      <c r="Q1283" s="7">
        <f t="shared" si="124"/>
        <v>26057.277978339349</v>
      </c>
      <c r="R1283">
        <f t="shared" si="125"/>
        <v>0.29075368495537068</v>
      </c>
    </row>
    <row r="1284" spans="1:18" x14ac:dyDescent="0.25">
      <c r="A1284" t="s">
        <v>763</v>
      </c>
      <c r="B1284" t="s">
        <v>16</v>
      </c>
      <c r="C1284" t="s">
        <v>17</v>
      </c>
      <c r="D1284">
        <v>10022</v>
      </c>
      <c r="E1284" s="1">
        <v>43738</v>
      </c>
      <c r="F1284" s="2">
        <f t="shared" si="120"/>
        <v>2019</v>
      </c>
      <c r="G1284">
        <v>25</v>
      </c>
      <c r="H1284" s="3">
        <v>431856</v>
      </c>
      <c r="I1284">
        <v>23617</v>
      </c>
      <c r="J1284">
        <v>431856</v>
      </c>
      <c r="K1284">
        <v>379988</v>
      </c>
      <c r="L1284">
        <v>377075</v>
      </c>
      <c r="M1284" t="str">
        <f t="shared" si="121"/>
        <v>Medium</v>
      </c>
      <c r="N1284">
        <f>VLOOKUP(C1284,Lookup!$A$2:$D$5,MATCH(M1284,Lookup!$A$1:$D$1,0),FALSE)</f>
        <v>8.5000000000000006E-2</v>
      </c>
      <c r="O1284">
        <f t="shared" si="122"/>
        <v>32051.375000000004</v>
      </c>
      <c r="P1284" s="7">
        <f t="shared" si="123"/>
        <v>0.87989515023526366</v>
      </c>
      <c r="Q1284" s="7">
        <f t="shared" si="124"/>
        <v>17274.240000000002</v>
      </c>
      <c r="R1284">
        <f t="shared" si="125"/>
        <v>0.73684826314003682</v>
      </c>
    </row>
    <row r="1285" spans="1:18" x14ac:dyDescent="0.25">
      <c r="A1285" t="s">
        <v>763</v>
      </c>
      <c r="B1285" t="s">
        <v>16</v>
      </c>
      <c r="C1285" t="s">
        <v>17</v>
      </c>
      <c r="D1285">
        <v>10022</v>
      </c>
      <c r="E1285" s="1">
        <v>44104</v>
      </c>
      <c r="F1285" s="2">
        <f t="shared" si="120"/>
        <v>2020</v>
      </c>
      <c r="G1285">
        <v>28</v>
      </c>
      <c r="H1285" s="3">
        <v>363513</v>
      </c>
      <c r="I1285">
        <v>48388</v>
      </c>
      <c r="J1285">
        <v>363513</v>
      </c>
      <c r="K1285">
        <v>318978</v>
      </c>
      <c r="L1285">
        <v>313856</v>
      </c>
      <c r="M1285" t="str">
        <f t="shared" si="121"/>
        <v>Medium</v>
      </c>
      <c r="N1285">
        <f>VLOOKUP(C1285,Lookup!$A$2:$D$5,MATCH(M1285,Lookup!$A$1:$D$1,0),FALSE)</f>
        <v>8.5000000000000006E-2</v>
      </c>
      <c r="O1285">
        <f t="shared" si="122"/>
        <v>26677.760000000002</v>
      </c>
      <c r="P1285" s="7">
        <f t="shared" si="123"/>
        <v>0.87748718752836896</v>
      </c>
      <c r="Q1285" s="7">
        <f t="shared" si="124"/>
        <v>12982.607142857143</v>
      </c>
      <c r="R1285">
        <f t="shared" si="125"/>
        <v>1.8137954610881872</v>
      </c>
    </row>
    <row r="1286" spans="1:18" x14ac:dyDescent="0.25">
      <c r="A1286" t="s">
        <v>763</v>
      </c>
      <c r="B1286" t="s">
        <v>16</v>
      </c>
      <c r="C1286" t="s">
        <v>17</v>
      </c>
      <c r="D1286">
        <v>10022</v>
      </c>
      <c r="E1286" s="1">
        <v>44469</v>
      </c>
      <c r="F1286" s="2">
        <f t="shared" si="120"/>
        <v>2021</v>
      </c>
      <c r="G1286">
        <v>24</v>
      </c>
      <c r="H1286" s="3">
        <v>382989</v>
      </c>
      <c r="I1286">
        <v>95609</v>
      </c>
      <c r="J1286">
        <v>382989</v>
      </c>
      <c r="K1286">
        <v>340262</v>
      </c>
      <c r="L1286">
        <v>333363</v>
      </c>
      <c r="M1286" t="str">
        <f t="shared" si="121"/>
        <v>Medium</v>
      </c>
      <c r="N1286">
        <f>VLOOKUP(C1286,Lookup!$A$2:$D$5,MATCH(M1286,Lookup!$A$1:$D$1,0),FALSE)</f>
        <v>8.5000000000000006E-2</v>
      </c>
      <c r="O1286">
        <f t="shared" si="122"/>
        <v>28335.855000000003</v>
      </c>
      <c r="P1286" s="7">
        <f t="shared" si="123"/>
        <v>0.88843804913457047</v>
      </c>
      <c r="Q1286" s="7">
        <f t="shared" si="124"/>
        <v>15957.875</v>
      </c>
      <c r="R1286">
        <f t="shared" si="125"/>
        <v>3.3741349961029936</v>
      </c>
    </row>
    <row r="1287" spans="1:18" x14ac:dyDescent="0.25">
      <c r="A1287" t="s">
        <v>764</v>
      </c>
      <c r="B1287" t="s">
        <v>765</v>
      </c>
      <c r="C1287" t="s">
        <v>17</v>
      </c>
      <c r="D1287">
        <v>10541</v>
      </c>
      <c r="E1287" s="1">
        <v>43738</v>
      </c>
      <c r="F1287" s="2">
        <f t="shared" si="120"/>
        <v>2019</v>
      </c>
      <c r="G1287">
        <v>118</v>
      </c>
      <c r="H1287" s="3">
        <v>1341751</v>
      </c>
      <c r="I1287">
        <v>27502</v>
      </c>
      <c r="J1287">
        <v>1341751</v>
      </c>
      <c r="K1287">
        <v>1204908</v>
      </c>
      <c r="L1287">
        <v>1090303</v>
      </c>
      <c r="M1287" t="str">
        <f t="shared" si="121"/>
        <v>Large</v>
      </c>
      <c r="N1287">
        <f>VLOOKUP(C1287,Lookup!$A$2:$D$5,MATCH(M1287,Lookup!$A$1:$D$1,0),FALSE)</f>
        <v>0.08</v>
      </c>
      <c r="O1287">
        <f t="shared" si="122"/>
        <v>87224.24</v>
      </c>
      <c r="P1287" s="7">
        <f t="shared" si="123"/>
        <v>0.89801162808896728</v>
      </c>
      <c r="Q1287" s="7">
        <f t="shared" si="124"/>
        <v>11370.771186440677</v>
      </c>
      <c r="R1287">
        <f t="shared" si="125"/>
        <v>0.31530226001395939</v>
      </c>
    </row>
    <row r="1288" spans="1:18" x14ac:dyDescent="0.25">
      <c r="A1288" t="s">
        <v>764</v>
      </c>
      <c r="B1288" t="s">
        <v>765</v>
      </c>
      <c r="C1288" t="s">
        <v>17</v>
      </c>
      <c r="D1288">
        <v>10541</v>
      </c>
      <c r="E1288" s="1">
        <v>44104</v>
      </c>
      <c r="F1288" s="2">
        <f t="shared" si="120"/>
        <v>2020</v>
      </c>
      <c r="G1288">
        <v>118</v>
      </c>
      <c r="H1288" s="3">
        <v>1615134</v>
      </c>
      <c r="I1288">
        <v>139034</v>
      </c>
      <c r="J1288">
        <v>1615134</v>
      </c>
      <c r="K1288">
        <v>1468257</v>
      </c>
      <c r="L1288">
        <v>1395572</v>
      </c>
      <c r="M1288" t="str">
        <f t="shared" si="121"/>
        <v>Large</v>
      </c>
      <c r="N1288">
        <f>VLOOKUP(C1288,Lookup!$A$2:$D$5,MATCH(M1288,Lookup!$A$1:$D$1,0),FALSE)</f>
        <v>0.08</v>
      </c>
      <c r="O1288">
        <f t="shared" si="122"/>
        <v>111645.76000000001</v>
      </c>
      <c r="P1288" s="7">
        <f t="shared" si="123"/>
        <v>0.90906203448134959</v>
      </c>
      <c r="Q1288" s="7">
        <f t="shared" si="124"/>
        <v>13687.576271186441</v>
      </c>
      <c r="R1288">
        <f t="shared" si="125"/>
        <v>1.2453137494876652</v>
      </c>
    </row>
    <row r="1289" spans="1:18" x14ac:dyDescent="0.25">
      <c r="A1289" t="s">
        <v>764</v>
      </c>
      <c r="B1289" t="s">
        <v>765</v>
      </c>
      <c r="C1289" t="s">
        <v>17</v>
      </c>
      <c r="D1289">
        <v>10541</v>
      </c>
      <c r="E1289" s="1">
        <v>44469</v>
      </c>
      <c r="F1289" s="2">
        <f t="shared" si="120"/>
        <v>2021</v>
      </c>
      <c r="G1289">
        <v>112</v>
      </c>
      <c r="H1289" s="3">
        <v>1663906</v>
      </c>
      <c r="I1289">
        <v>146275</v>
      </c>
      <c r="J1289">
        <v>1663906</v>
      </c>
      <c r="K1289">
        <v>1514524</v>
      </c>
      <c r="L1289">
        <v>1465877</v>
      </c>
      <c r="M1289" t="str">
        <f t="shared" si="121"/>
        <v>Large</v>
      </c>
      <c r="N1289">
        <f>VLOOKUP(C1289,Lookup!$A$2:$D$5,MATCH(M1289,Lookup!$A$1:$D$1,0),FALSE)</f>
        <v>0.08</v>
      </c>
      <c r="O1289">
        <f t="shared" si="122"/>
        <v>117270.16</v>
      </c>
      <c r="P1289" s="7">
        <f t="shared" si="123"/>
        <v>0.91022209187297842</v>
      </c>
      <c r="Q1289" s="7">
        <f t="shared" si="124"/>
        <v>14856.303571428571</v>
      </c>
      <c r="R1289">
        <f t="shared" si="125"/>
        <v>1.247333507518025</v>
      </c>
    </row>
    <row r="1290" spans="1:18" x14ac:dyDescent="0.25">
      <c r="A1290" t="s">
        <v>766</v>
      </c>
      <c r="B1290" t="s">
        <v>767</v>
      </c>
      <c r="C1290" t="s">
        <v>20</v>
      </c>
      <c r="D1290">
        <v>1752</v>
      </c>
      <c r="E1290" s="1">
        <v>43738</v>
      </c>
      <c r="F1290" s="2">
        <f t="shared" si="120"/>
        <v>2019</v>
      </c>
      <c r="G1290">
        <v>175</v>
      </c>
      <c r="H1290" s="3">
        <v>1032828</v>
      </c>
      <c r="I1290">
        <v>49159</v>
      </c>
      <c r="J1290">
        <v>1032828</v>
      </c>
      <c r="K1290">
        <v>907648</v>
      </c>
      <c r="L1290">
        <v>823490</v>
      </c>
      <c r="M1290" t="str">
        <f t="shared" si="121"/>
        <v>Large</v>
      </c>
      <c r="N1290">
        <f>VLOOKUP(C1290,Lookup!$A$2:$D$5,MATCH(M1290,Lookup!$A$1:$D$1,0),FALSE)</f>
        <v>0.08</v>
      </c>
      <c r="O1290">
        <f t="shared" si="122"/>
        <v>65879.199999999997</v>
      </c>
      <c r="P1290" s="7">
        <f t="shared" si="123"/>
        <v>0.8787987932162955</v>
      </c>
      <c r="Q1290" s="7">
        <f t="shared" si="124"/>
        <v>5901.8742857142861</v>
      </c>
      <c r="R1290">
        <f t="shared" si="125"/>
        <v>0.74619910381425403</v>
      </c>
    </row>
    <row r="1291" spans="1:18" x14ac:dyDescent="0.25">
      <c r="A1291" t="s">
        <v>766</v>
      </c>
      <c r="B1291" t="s">
        <v>767</v>
      </c>
      <c r="C1291" t="s">
        <v>20</v>
      </c>
      <c r="D1291">
        <v>1752</v>
      </c>
      <c r="E1291" s="1">
        <v>44104</v>
      </c>
      <c r="F1291" s="2">
        <f t="shared" si="120"/>
        <v>2020</v>
      </c>
      <c r="G1291">
        <v>179</v>
      </c>
      <c r="H1291" s="3">
        <v>1192676</v>
      </c>
      <c r="I1291">
        <v>50365</v>
      </c>
      <c r="J1291">
        <v>1192676</v>
      </c>
      <c r="K1291">
        <v>1060898</v>
      </c>
      <c r="L1291">
        <v>969143</v>
      </c>
      <c r="M1291" t="str">
        <f t="shared" si="121"/>
        <v>Large</v>
      </c>
      <c r="N1291">
        <f>VLOOKUP(C1291,Lookup!$A$2:$D$5,MATCH(M1291,Lookup!$A$1:$D$1,0),FALSE)</f>
        <v>0.08</v>
      </c>
      <c r="O1291">
        <f t="shared" si="122"/>
        <v>77531.44</v>
      </c>
      <c r="P1291" s="7">
        <f t="shared" si="123"/>
        <v>0.88951064664670032</v>
      </c>
      <c r="Q1291" s="7">
        <f t="shared" si="124"/>
        <v>6662.9944134078214</v>
      </c>
      <c r="R1291">
        <f t="shared" si="125"/>
        <v>0.64960743667343213</v>
      </c>
    </row>
    <row r="1292" spans="1:18" x14ac:dyDescent="0.25">
      <c r="A1292" t="s">
        <v>766</v>
      </c>
      <c r="B1292" t="s">
        <v>767</v>
      </c>
      <c r="C1292" t="s">
        <v>20</v>
      </c>
      <c r="D1292">
        <v>1752</v>
      </c>
      <c r="E1292" s="1">
        <v>44469</v>
      </c>
      <c r="F1292" s="2">
        <f t="shared" si="120"/>
        <v>2021</v>
      </c>
      <c r="G1292">
        <v>174</v>
      </c>
      <c r="H1292" s="3">
        <v>1317892</v>
      </c>
      <c r="I1292">
        <v>85518</v>
      </c>
      <c r="J1292">
        <v>1317892</v>
      </c>
      <c r="K1292">
        <v>1180051</v>
      </c>
      <c r="L1292">
        <v>1122226</v>
      </c>
      <c r="M1292" t="str">
        <f t="shared" si="121"/>
        <v>Large</v>
      </c>
      <c r="N1292">
        <f>VLOOKUP(C1292,Lookup!$A$2:$D$5,MATCH(M1292,Lookup!$A$1:$D$1,0),FALSE)</f>
        <v>0.08</v>
      </c>
      <c r="O1292">
        <f t="shared" si="122"/>
        <v>89778.08</v>
      </c>
      <c r="P1292" s="7">
        <f t="shared" si="123"/>
        <v>0.89540796969706171</v>
      </c>
      <c r="Q1292" s="7">
        <f t="shared" si="124"/>
        <v>7574.0919540229888</v>
      </c>
      <c r="R1292">
        <f t="shared" si="125"/>
        <v>0.9525487735981879</v>
      </c>
    </row>
    <row r="1293" spans="1:18" x14ac:dyDescent="0.25">
      <c r="A1293" t="s">
        <v>768</v>
      </c>
      <c r="B1293" t="s">
        <v>769</v>
      </c>
      <c r="C1293" t="s">
        <v>5</v>
      </c>
      <c r="D1293">
        <v>90274</v>
      </c>
      <c r="E1293" s="1">
        <v>43738</v>
      </c>
      <c r="F1293" s="2">
        <f t="shared" si="120"/>
        <v>2019</v>
      </c>
      <c r="G1293">
        <v>76</v>
      </c>
      <c r="H1293" s="3">
        <v>1231343</v>
      </c>
      <c r="I1293">
        <v>24225</v>
      </c>
      <c r="J1293">
        <v>1231343</v>
      </c>
      <c r="K1293">
        <v>1077915</v>
      </c>
      <c r="L1293">
        <v>779326</v>
      </c>
      <c r="M1293" t="str">
        <f t="shared" si="121"/>
        <v>Large</v>
      </c>
      <c r="N1293">
        <f>VLOOKUP(C1293,Lookup!$A$2:$D$5,MATCH(M1293,Lookup!$A$1:$D$1,0),FALSE)</f>
        <v>0.08</v>
      </c>
      <c r="O1293">
        <f t="shared" si="122"/>
        <v>62346.080000000002</v>
      </c>
      <c r="P1293" s="7">
        <f t="shared" si="123"/>
        <v>0.87539783797041115</v>
      </c>
      <c r="Q1293" s="7">
        <f t="shared" si="124"/>
        <v>16201.881578947368</v>
      </c>
      <c r="R1293">
        <f t="shared" si="125"/>
        <v>0.38855690686567623</v>
      </c>
    </row>
    <row r="1294" spans="1:18" x14ac:dyDescent="0.25">
      <c r="A1294" t="s">
        <v>768</v>
      </c>
      <c r="B1294" t="s">
        <v>769</v>
      </c>
      <c r="C1294" t="s">
        <v>5</v>
      </c>
      <c r="D1294">
        <v>90274</v>
      </c>
      <c r="E1294" s="1">
        <v>44104</v>
      </c>
      <c r="F1294" s="2">
        <f t="shared" si="120"/>
        <v>2020</v>
      </c>
      <c r="G1294">
        <v>72</v>
      </c>
      <c r="H1294" s="3">
        <v>1282413</v>
      </c>
      <c r="I1294">
        <v>10157</v>
      </c>
      <c r="J1294">
        <v>1282413</v>
      </c>
      <c r="K1294">
        <v>1118409</v>
      </c>
      <c r="L1294">
        <v>814275</v>
      </c>
      <c r="M1294" t="str">
        <f t="shared" si="121"/>
        <v>Large</v>
      </c>
      <c r="N1294">
        <f>VLOOKUP(C1294,Lookup!$A$2:$D$5,MATCH(M1294,Lookup!$A$1:$D$1,0),FALSE)</f>
        <v>0.08</v>
      </c>
      <c r="O1294">
        <f t="shared" si="122"/>
        <v>65142</v>
      </c>
      <c r="P1294" s="7">
        <f t="shared" si="123"/>
        <v>0.87211296204888755</v>
      </c>
      <c r="Q1294" s="7">
        <f t="shared" si="124"/>
        <v>17811.291666666668</v>
      </c>
      <c r="R1294">
        <f t="shared" si="125"/>
        <v>0.15592091124006019</v>
      </c>
    </row>
    <row r="1295" spans="1:18" x14ac:dyDescent="0.25">
      <c r="A1295" t="s">
        <v>768</v>
      </c>
      <c r="B1295" t="s">
        <v>769</v>
      </c>
      <c r="C1295" t="s">
        <v>5</v>
      </c>
      <c r="D1295">
        <v>90274</v>
      </c>
      <c r="E1295" s="1">
        <v>44469</v>
      </c>
      <c r="F1295" s="2">
        <f t="shared" si="120"/>
        <v>2021</v>
      </c>
      <c r="G1295">
        <v>72</v>
      </c>
      <c r="H1295" s="3">
        <v>1427795</v>
      </c>
      <c r="I1295">
        <v>158339</v>
      </c>
      <c r="J1295">
        <v>1427795</v>
      </c>
      <c r="K1295">
        <v>1252027</v>
      </c>
      <c r="L1295">
        <v>974000</v>
      </c>
      <c r="M1295" t="str">
        <f t="shared" si="121"/>
        <v>Large</v>
      </c>
      <c r="N1295">
        <f>VLOOKUP(C1295,Lookup!$A$2:$D$5,MATCH(M1295,Lookup!$A$1:$D$1,0),FALSE)</f>
        <v>0.08</v>
      </c>
      <c r="O1295">
        <f t="shared" si="122"/>
        <v>77920</v>
      </c>
      <c r="P1295" s="7">
        <f t="shared" si="123"/>
        <v>0.87689549270028255</v>
      </c>
      <c r="Q1295" s="7">
        <f t="shared" si="124"/>
        <v>19830.486111111109</v>
      </c>
      <c r="R1295">
        <f t="shared" si="125"/>
        <v>2.0320713552361398</v>
      </c>
    </row>
    <row r="1296" spans="1:18" x14ac:dyDescent="0.25">
      <c r="A1296" t="s">
        <v>770</v>
      </c>
      <c r="B1296" t="s">
        <v>771</v>
      </c>
      <c r="C1296" t="s">
        <v>20</v>
      </c>
      <c r="D1296">
        <v>2048</v>
      </c>
      <c r="E1296" s="1">
        <v>43738</v>
      </c>
      <c r="F1296" s="2">
        <f t="shared" si="120"/>
        <v>2019</v>
      </c>
      <c r="G1296">
        <v>84</v>
      </c>
      <c r="H1296" s="3">
        <v>527235</v>
      </c>
      <c r="I1296">
        <v>50088</v>
      </c>
      <c r="J1296">
        <v>527235</v>
      </c>
      <c r="K1296">
        <v>471036</v>
      </c>
      <c r="L1296">
        <v>423975</v>
      </c>
      <c r="M1296" t="str">
        <f t="shared" si="121"/>
        <v>Medium</v>
      </c>
      <c r="N1296">
        <f>VLOOKUP(C1296,Lookup!$A$2:$D$5,MATCH(M1296,Lookup!$A$1:$D$1,0),FALSE)</f>
        <v>8.5000000000000006E-2</v>
      </c>
      <c r="O1296">
        <f t="shared" si="122"/>
        <v>36037.875</v>
      </c>
      <c r="P1296" s="7">
        <f t="shared" si="123"/>
        <v>0.89340806281828788</v>
      </c>
      <c r="Q1296" s="7">
        <f t="shared" si="124"/>
        <v>6276.6071428571431</v>
      </c>
      <c r="R1296">
        <f t="shared" si="125"/>
        <v>1.3898710731417987</v>
      </c>
    </row>
    <row r="1297" spans="1:18" x14ac:dyDescent="0.25">
      <c r="A1297" t="s">
        <v>770</v>
      </c>
      <c r="B1297" t="s">
        <v>771</v>
      </c>
      <c r="C1297" t="s">
        <v>20</v>
      </c>
      <c r="D1297">
        <v>2048</v>
      </c>
      <c r="E1297" s="1">
        <v>44104</v>
      </c>
      <c r="F1297" s="2">
        <f t="shared" si="120"/>
        <v>2020</v>
      </c>
      <c r="G1297">
        <v>79</v>
      </c>
      <c r="H1297" s="3">
        <v>592070</v>
      </c>
      <c r="I1297">
        <v>106202</v>
      </c>
      <c r="J1297">
        <v>592069</v>
      </c>
      <c r="K1297">
        <v>532884</v>
      </c>
      <c r="L1297">
        <v>503346</v>
      </c>
      <c r="M1297" t="str">
        <f t="shared" si="121"/>
        <v>Medium</v>
      </c>
      <c r="N1297">
        <f>VLOOKUP(C1297,Lookup!$A$2:$D$5,MATCH(M1297,Lookup!$A$1:$D$1,0),FALSE)</f>
        <v>8.5000000000000006E-2</v>
      </c>
      <c r="O1297">
        <f t="shared" si="122"/>
        <v>42784.41</v>
      </c>
      <c r="P1297" s="7">
        <f t="shared" si="123"/>
        <v>0.90003546877902951</v>
      </c>
      <c r="Q1297" s="7">
        <f t="shared" si="124"/>
        <v>7494.5569620253164</v>
      </c>
      <c r="R1297">
        <f t="shared" si="125"/>
        <v>2.4822593089398683</v>
      </c>
    </row>
    <row r="1298" spans="1:18" x14ac:dyDescent="0.25">
      <c r="A1298" t="s">
        <v>772</v>
      </c>
      <c r="B1298" t="s">
        <v>773</v>
      </c>
      <c r="C1298" t="s">
        <v>17</v>
      </c>
      <c r="D1298">
        <v>14203</v>
      </c>
      <c r="E1298" s="1">
        <v>43738</v>
      </c>
      <c r="F1298" s="2">
        <f t="shared" si="120"/>
        <v>2019</v>
      </c>
      <c r="G1298">
        <v>16885</v>
      </c>
      <c r="H1298" s="3">
        <v>125040594</v>
      </c>
      <c r="I1298">
        <v>14244075</v>
      </c>
      <c r="J1298">
        <v>125040594</v>
      </c>
      <c r="K1298">
        <v>109814856</v>
      </c>
      <c r="L1298">
        <v>96701239</v>
      </c>
      <c r="M1298" t="str">
        <f t="shared" si="121"/>
        <v>Large</v>
      </c>
      <c r="N1298">
        <f>VLOOKUP(C1298,Lookup!$A$2:$D$5,MATCH(M1298,Lookup!$A$1:$D$1,0),FALSE)</f>
        <v>0.08</v>
      </c>
      <c r="O1298">
        <f t="shared" si="122"/>
        <v>7736099.1200000001</v>
      </c>
      <c r="P1298" s="7">
        <f t="shared" si="123"/>
        <v>0.87823363986898528</v>
      </c>
      <c r="Q1298" s="7">
        <f t="shared" si="124"/>
        <v>7405.4245780278352</v>
      </c>
      <c r="R1298">
        <f t="shared" si="125"/>
        <v>1.8412477372704603</v>
      </c>
    </row>
    <row r="1299" spans="1:18" x14ac:dyDescent="0.25">
      <c r="A1299" t="s">
        <v>772</v>
      </c>
      <c r="B1299" t="s">
        <v>773</v>
      </c>
      <c r="C1299" t="s">
        <v>17</v>
      </c>
      <c r="D1299">
        <v>14203</v>
      </c>
      <c r="E1299" s="1">
        <v>44104</v>
      </c>
      <c r="F1299" s="2">
        <f t="shared" si="120"/>
        <v>2020</v>
      </c>
      <c r="G1299">
        <v>16323</v>
      </c>
      <c r="H1299" s="3">
        <v>138246208</v>
      </c>
      <c r="I1299">
        <v>21603178</v>
      </c>
      <c r="J1299">
        <v>138246208</v>
      </c>
      <c r="K1299">
        <v>122347524</v>
      </c>
      <c r="L1299">
        <v>116427052</v>
      </c>
      <c r="M1299" t="str">
        <f t="shared" si="121"/>
        <v>Large</v>
      </c>
      <c r="N1299">
        <f>VLOOKUP(C1299,Lookup!$A$2:$D$5,MATCH(M1299,Lookup!$A$1:$D$1,0),FALSE)</f>
        <v>0.08</v>
      </c>
      <c r="O1299">
        <f t="shared" si="122"/>
        <v>9314164.1600000001</v>
      </c>
      <c r="P1299" s="7">
        <f t="shared" si="123"/>
        <v>0.88499732303688217</v>
      </c>
      <c r="Q1299" s="7">
        <f t="shared" si="124"/>
        <v>8469.4117502910012</v>
      </c>
      <c r="R1299">
        <f t="shared" si="125"/>
        <v>2.3193898699762663</v>
      </c>
    </row>
    <row r="1300" spans="1:18" x14ac:dyDescent="0.25">
      <c r="A1300" t="s">
        <v>772</v>
      </c>
      <c r="B1300" t="s">
        <v>773</v>
      </c>
      <c r="C1300" t="s">
        <v>17</v>
      </c>
      <c r="D1300">
        <v>14203</v>
      </c>
      <c r="E1300" s="1">
        <v>44469</v>
      </c>
      <c r="F1300" s="2">
        <f t="shared" si="120"/>
        <v>2021</v>
      </c>
      <c r="G1300">
        <v>16441</v>
      </c>
      <c r="H1300" s="3">
        <v>151507667</v>
      </c>
      <c r="I1300">
        <v>39834226</v>
      </c>
      <c r="J1300">
        <v>151507667</v>
      </c>
      <c r="K1300">
        <v>135032604</v>
      </c>
      <c r="L1300">
        <v>130812096</v>
      </c>
      <c r="M1300" t="str">
        <f t="shared" si="121"/>
        <v>Large</v>
      </c>
      <c r="N1300">
        <f>VLOOKUP(C1300,Lookup!$A$2:$D$5,MATCH(M1300,Lookup!$A$1:$D$1,0),FALSE)</f>
        <v>0.08</v>
      </c>
      <c r="O1300">
        <f t="shared" si="122"/>
        <v>10464967.68</v>
      </c>
      <c r="P1300" s="7">
        <f t="shared" si="123"/>
        <v>0.89125921264433439</v>
      </c>
      <c r="Q1300" s="7">
        <f t="shared" si="124"/>
        <v>9215.2342923179858</v>
      </c>
      <c r="R1300">
        <f t="shared" si="125"/>
        <v>3.8064356449116143</v>
      </c>
    </row>
    <row r="1301" spans="1:18" x14ac:dyDescent="0.25">
      <c r="A1301" t="s">
        <v>774</v>
      </c>
      <c r="B1301" t="s">
        <v>47</v>
      </c>
      <c r="C1301" t="s">
        <v>5</v>
      </c>
      <c r="D1301">
        <v>90071</v>
      </c>
      <c r="E1301" s="1">
        <v>43738</v>
      </c>
      <c r="F1301" s="2">
        <f t="shared" si="120"/>
        <v>2019</v>
      </c>
      <c r="G1301">
        <v>283</v>
      </c>
      <c r="H1301" s="3">
        <v>4491983</v>
      </c>
      <c r="I1301">
        <v>1694629</v>
      </c>
      <c r="J1301">
        <v>4491983</v>
      </c>
      <c r="K1301">
        <v>4116403</v>
      </c>
      <c r="L1301">
        <v>3897592</v>
      </c>
      <c r="M1301" t="str">
        <f t="shared" si="121"/>
        <v>Large</v>
      </c>
      <c r="N1301">
        <f>VLOOKUP(C1301,Lookup!$A$2:$D$5,MATCH(M1301,Lookup!$A$1:$D$1,0),FALSE)</f>
        <v>0.08</v>
      </c>
      <c r="O1301">
        <f t="shared" si="122"/>
        <v>311807.35999999999</v>
      </c>
      <c r="P1301" s="7">
        <f t="shared" si="123"/>
        <v>0.91638881981521303</v>
      </c>
      <c r="Q1301" s="7">
        <f t="shared" si="124"/>
        <v>15872.73144876325</v>
      </c>
      <c r="R1301">
        <f t="shared" si="125"/>
        <v>5.4348588820995118</v>
      </c>
    </row>
    <row r="1302" spans="1:18" x14ac:dyDescent="0.25">
      <c r="A1302" t="s">
        <v>774</v>
      </c>
      <c r="B1302" t="s">
        <v>47</v>
      </c>
      <c r="C1302" t="s">
        <v>5</v>
      </c>
      <c r="D1302">
        <v>90071</v>
      </c>
      <c r="E1302" s="1">
        <v>44104</v>
      </c>
      <c r="F1302" s="2">
        <f t="shared" si="120"/>
        <v>2020</v>
      </c>
      <c r="G1302">
        <v>284</v>
      </c>
      <c r="H1302" s="3">
        <v>4011529</v>
      </c>
      <c r="I1302">
        <v>705975</v>
      </c>
      <c r="J1302">
        <v>4011529</v>
      </c>
      <c r="K1302">
        <v>3624017</v>
      </c>
      <c r="L1302">
        <v>3160712</v>
      </c>
      <c r="M1302" t="str">
        <f t="shared" si="121"/>
        <v>Large</v>
      </c>
      <c r="N1302">
        <f>VLOOKUP(C1302,Lookup!$A$2:$D$5,MATCH(M1302,Lookup!$A$1:$D$1,0),FALSE)</f>
        <v>0.08</v>
      </c>
      <c r="O1302">
        <f t="shared" si="122"/>
        <v>252856.95999999999</v>
      </c>
      <c r="P1302" s="7">
        <f t="shared" si="123"/>
        <v>0.90340042412755839</v>
      </c>
      <c r="Q1302" s="7">
        <f t="shared" si="124"/>
        <v>14125.102112676057</v>
      </c>
      <c r="R1302">
        <f t="shared" si="125"/>
        <v>2.7919935444925068</v>
      </c>
    </row>
    <row r="1303" spans="1:18" x14ac:dyDescent="0.25">
      <c r="A1303" t="s">
        <v>774</v>
      </c>
      <c r="B1303" t="s">
        <v>47</v>
      </c>
      <c r="C1303" t="s">
        <v>5</v>
      </c>
      <c r="D1303">
        <v>90071</v>
      </c>
      <c r="E1303" s="1">
        <v>44469</v>
      </c>
      <c r="F1303" s="2">
        <f t="shared" si="120"/>
        <v>2021</v>
      </c>
      <c r="G1303">
        <v>331</v>
      </c>
      <c r="H1303" s="3">
        <v>3866706</v>
      </c>
      <c r="I1303">
        <v>1100387</v>
      </c>
      <c r="J1303">
        <v>3866706</v>
      </c>
      <c r="K1303">
        <v>3469488</v>
      </c>
      <c r="L1303">
        <v>3146038</v>
      </c>
      <c r="M1303" t="str">
        <f t="shared" si="121"/>
        <v>Large</v>
      </c>
      <c r="N1303">
        <f>VLOOKUP(C1303,Lookup!$A$2:$D$5,MATCH(M1303,Lookup!$A$1:$D$1,0),FALSE)</f>
        <v>0.08</v>
      </c>
      <c r="O1303">
        <f t="shared" si="122"/>
        <v>251683.04</v>
      </c>
      <c r="P1303" s="7">
        <f t="shared" si="123"/>
        <v>0.89727225188571358</v>
      </c>
      <c r="Q1303" s="7">
        <f t="shared" si="124"/>
        <v>11681.891238670694</v>
      </c>
      <c r="R1303">
        <f t="shared" si="125"/>
        <v>4.3721142274823128</v>
      </c>
    </row>
    <row r="1304" spans="1:18" x14ac:dyDescent="0.25">
      <c r="A1304" t="s">
        <v>775</v>
      </c>
      <c r="B1304" t="s">
        <v>776</v>
      </c>
      <c r="C1304" t="s">
        <v>17</v>
      </c>
      <c r="D1304">
        <v>14843</v>
      </c>
      <c r="E1304" s="1">
        <v>43738</v>
      </c>
      <c r="F1304" s="2">
        <f t="shared" si="120"/>
        <v>2019</v>
      </c>
      <c r="G1304">
        <v>29</v>
      </c>
      <c r="H1304" s="3">
        <v>84221</v>
      </c>
      <c r="I1304">
        <v>2952</v>
      </c>
      <c r="J1304">
        <v>84221</v>
      </c>
      <c r="K1304">
        <v>76148</v>
      </c>
      <c r="L1304">
        <v>69306</v>
      </c>
      <c r="M1304" t="str">
        <f t="shared" si="121"/>
        <v>Small</v>
      </c>
      <c r="N1304">
        <f>VLOOKUP(C1304,Lookup!$A$2:$D$5,MATCH(M1304,Lookup!$A$1:$D$1,0),FALSE)</f>
        <v>0.09</v>
      </c>
      <c r="O1304">
        <f t="shared" si="122"/>
        <v>6237.54</v>
      </c>
      <c r="P1304" s="7">
        <f t="shared" si="123"/>
        <v>0.90414504695978437</v>
      </c>
      <c r="Q1304" s="7">
        <f t="shared" si="124"/>
        <v>2904.1724137931033</v>
      </c>
      <c r="R1304">
        <f t="shared" si="125"/>
        <v>0.47326349810983176</v>
      </c>
    </row>
    <row r="1305" spans="1:18" x14ac:dyDescent="0.25">
      <c r="A1305" t="s">
        <v>775</v>
      </c>
      <c r="B1305" t="s">
        <v>776</v>
      </c>
      <c r="C1305" t="s">
        <v>17</v>
      </c>
      <c r="D1305">
        <v>14843</v>
      </c>
      <c r="E1305" s="1">
        <v>44104</v>
      </c>
      <c r="F1305" s="2">
        <f t="shared" si="120"/>
        <v>2020</v>
      </c>
      <c r="G1305">
        <v>27</v>
      </c>
      <c r="H1305" s="3">
        <v>93935</v>
      </c>
      <c r="I1305">
        <v>2766</v>
      </c>
      <c r="J1305">
        <v>93935</v>
      </c>
      <c r="K1305">
        <v>85224</v>
      </c>
      <c r="L1305">
        <v>78416</v>
      </c>
      <c r="M1305" t="str">
        <f t="shared" si="121"/>
        <v>Small</v>
      </c>
      <c r="N1305">
        <f>VLOOKUP(C1305,Lookup!$A$2:$D$5,MATCH(M1305,Lookup!$A$1:$D$1,0),FALSE)</f>
        <v>0.09</v>
      </c>
      <c r="O1305">
        <f t="shared" si="122"/>
        <v>7057.44</v>
      </c>
      <c r="P1305" s="7">
        <f t="shared" si="123"/>
        <v>0.9072656624261457</v>
      </c>
      <c r="Q1305" s="7">
        <f t="shared" si="124"/>
        <v>3479.0740740740739</v>
      </c>
      <c r="R1305">
        <f t="shared" si="125"/>
        <v>0.39192681765626064</v>
      </c>
    </row>
    <row r="1306" spans="1:18" x14ac:dyDescent="0.25">
      <c r="A1306" t="s">
        <v>775</v>
      </c>
      <c r="B1306" t="s">
        <v>776</v>
      </c>
      <c r="C1306" t="s">
        <v>17</v>
      </c>
      <c r="D1306">
        <v>14843</v>
      </c>
      <c r="E1306" s="1">
        <v>44469</v>
      </c>
      <c r="F1306" s="2">
        <f t="shared" si="120"/>
        <v>2021</v>
      </c>
      <c r="G1306">
        <v>29</v>
      </c>
      <c r="H1306" s="3">
        <v>103244</v>
      </c>
      <c r="I1306">
        <v>4299</v>
      </c>
      <c r="J1306">
        <v>103244</v>
      </c>
      <c r="K1306">
        <v>93339</v>
      </c>
      <c r="L1306">
        <v>88938</v>
      </c>
      <c r="M1306" t="str">
        <f t="shared" si="121"/>
        <v>Medium</v>
      </c>
      <c r="N1306">
        <f>VLOOKUP(C1306,Lookup!$A$2:$D$5,MATCH(M1306,Lookup!$A$1:$D$1,0),FALSE)</f>
        <v>8.5000000000000006E-2</v>
      </c>
      <c r="O1306">
        <f t="shared" si="122"/>
        <v>7559.7300000000005</v>
      </c>
      <c r="P1306" s="7">
        <f t="shared" si="123"/>
        <v>0.90406222153345472</v>
      </c>
      <c r="Q1306" s="7">
        <f t="shared" si="124"/>
        <v>3560.1379310344828</v>
      </c>
      <c r="R1306">
        <f t="shared" si="125"/>
        <v>0.56867110333305548</v>
      </c>
    </row>
    <row r="1307" spans="1:18" x14ac:dyDescent="0.25">
      <c r="A1307" t="s">
        <v>777</v>
      </c>
      <c r="B1307" t="s">
        <v>778</v>
      </c>
      <c r="C1307" t="s">
        <v>20</v>
      </c>
      <c r="D1307">
        <v>1945</v>
      </c>
      <c r="E1307" s="1">
        <v>43738</v>
      </c>
      <c r="F1307" s="2">
        <f t="shared" si="120"/>
        <v>2019</v>
      </c>
      <c r="G1307">
        <v>49</v>
      </c>
      <c r="H1307" s="3">
        <v>214934</v>
      </c>
      <c r="I1307">
        <v>9518</v>
      </c>
      <c r="J1307">
        <v>214934</v>
      </c>
      <c r="K1307">
        <v>195574</v>
      </c>
      <c r="L1307">
        <v>182247</v>
      </c>
      <c r="M1307" t="str">
        <f t="shared" si="121"/>
        <v>Medium</v>
      </c>
      <c r="N1307">
        <f>VLOOKUP(C1307,Lookup!$A$2:$D$5,MATCH(M1307,Lookup!$A$1:$D$1,0),FALSE)</f>
        <v>8.5000000000000006E-2</v>
      </c>
      <c r="O1307">
        <f t="shared" si="122"/>
        <v>15490.995000000001</v>
      </c>
      <c r="P1307" s="7">
        <f t="shared" si="123"/>
        <v>0.90992583769901458</v>
      </c>
      <c r="Q1307" s="7">
        <f t="shared" si="124"/>
        <v>4386.408163265306</v>
      </c>
      <c r="R1307">
        <f t="shared" si="125"/>
        <v>0.61442147518606771</v>
      </c>
    </row>
    <row r="1308" spans="1:18" x14ac:dyDescent="0.25">
      <c r="A1308" t="s">
        <v>777</v>
      </c>
      <c r="B1308" t="s">
        <v>778</v>
      </c>
      <c r="C1308" t="s">
        <v>20</v>
      </c>
      <c r="D1308">
        <v>1945</v>
      </c>
      <c r="E1308" s="1">
        <v>44104</v>
      </c>
      <c r="F1308" s="2">
        <f t="shared" si="120"/>
        <v>2020</v>
      </c>
      <c r="G1308">
        <v>50</v>
      </c>
      <c r="H1308" s="3">
        <v>244421</v>
      </c>
      <c r="I1308">
        <v>30026</v>
      </c>
      <c r="J1308">
        <v>244421</v>
      </c>
      <c r="K1308">
        <v>225179</v>
      </c>
      <c r="L1308">
        <v>218636</v>
      </c>
      <c r="M1308" t="str">
        <f t="shared" si="121"/>
        <v>Medium</v>
      </c>
      <c r="N1308">
        <f>VLOOKUP(C1308,Lookup!$A$2:$D$5,MATCH(M1308,Lookup!$A$1:$D$1,0),FALSE)</f>
        <v>8.5000000000000006E-2</v>
      </c>
      <c r="O1308">
        <f t="shared" si="122"/>
        <v>18584.060000000001</v>
      </c>
      <c r="P1308" s="7">
        <f t="shared" si="123"/>
        <v>0.92127517684650662</v>
      </c>
      <c r="Q1308" s="7">
        <f t="shared" si="124"/>
        <v>4888.42</v>
      </c>
      <c r="R1308">
        <f t="shared" si="125"/>
        <v>1.6156857005412164</v>
      </c>
    </row>
    <row r="1309" spans="1:18" x14ac:dyDescent="0.25">
      <c r="A1309" t="s">
        <v>777</v>
      </c>
      <c r="B1309" t="s">
        <v>778</v>
      </c>
      <c r="C1309" t="s">
        <v>20</v>
      </c>
      <c r="D1309">
        <v>1945</v>
      </c>
      <c r="E1309" s="1">
        <v>44469</v>
      </c>
      <c r="F1309" s="2">
        <f t="shared" si="120"/>
        <v>2021</v>
      </c>
      <c r="G1309">
        <v>50</v>
      </c>
      <c r="H1309" s="3">
        <v>285339</v>
      </c>
      <c r="I1309">
        <v>78936</v>
      </c>
      <c r="J1309">
        <v>285339</v>
      </c>
      <c r="K1309">
        <v>265945</v>
      </c>
      <c r="L1309">
        <v>258267</v>
      </c>
      <c r="M1309" t="str">
        <f t="shared" si="121"/>
        <v>Medium</v>
      </c>
      <c r="N1309">
        <f>VLOOKUP(C1309,Lookup!$A$2:$D$5,MATCH(M1309,Lookup!$A$1:$D$1,0),FALSE)</f>
        <v>8.5000000000000006E-2</v>
      </c>
      <c r="O1309">
        <f t="shared" si="122"/>
        <v>21952.695000000003</v>
      </c>
      <c r="P1309" s="7">
        <f t="shared" si="123"/>
        <v>0.9320317236690393</v>
      </c>
      <c r="Q1309" s="7">
        <f t="shared" si="124"/>
        <v>5706.78</v>
      </c>
      <c r="R1309">
        <f t="shared" si="125"/>
        <v>3.595731640238248</v>
      </c>
    </row>
    <row r="1310" spans="1:18" x14ac:dyDescent="0.25">
      <c r="A1310" t="s">
        <v>779</v>
      </c>
      <c r="B1310" t="s">
        <v>149</v>
      </c>
      <c r="C1310" t="s">
        <v>8</v>
      </c>
      <c r="D1310">
        <v>62704</v>
      </c>
      <c r="E1310" s="1">
        <v>43738</v>
      </c>
      <c r="F1310" s="2">
        <f t="shared" si="120"/>
        <v>2019</v>
      </c>
      <c r="G1310">
        <v>201</v>
      </c>
      <c r="H1310" s="3">
        <v>630735</v>
      </c>
      <c r="I1310">
        <v>50462</v>
      </c>
      <c r="J1310">
        <v>630735</v>
      </c>
      <c r="K1310">
        <v>557505</v>
      </c>
      <c r="L1310">
        <v>537011</v>
      </c>
      <c r="M1310" t="str">
        <f t="shared" si="121"/>
        <v>Medium</v>
      </c>
      <c r="N1310">
        <f>VLOOKUP(C1310,Lookup!$A$2:$D$5,MATCH(M1310,Lookup!$A$1:$D$1,0),FALSE)</f>
        <v>0.08</v>
      </c>
      <c r="O1310">
        <f t="shared" si="122"/>
        <v>42960.88</v>
      </c>
      <c r="P1310" s="7">
        <f t="shared" si="123"/>
        <v>0.88389735784441958</v>
      </c>
      <c r="Q1310" s="7">
        <f t="shared" si="124"/>
        <v>3137.9850746268658</v>
      </c>
      <c r="R1310">
        <f t="shared" si="125"/>
        <v>1.1746034997420911</v>
      </c>
    </row>
    <row r="1311" spans="1:18" x14ac:dyDescent="0.25">
      <c r="A1311" t="s">
        <v>779</v>
      </c>
      <c r="B1311" t="s">
        <v>149</v>
      </c>
      <c r="C1311" t="s">
        <v>8</v>
      </c>
      <c r="D1311">
        <v>62704</v>
      </c>
      <c r="E1311" s="1">
        <v>44104</v>
      </c>
      <c r="F1311" s="2">
        <f t="shared" si="120"/>
        <v>2020</v>
      </c>
      <c r="G1311">
        <v>189</v>
      </c>
      <c r="H1311" s="3">
        <v>684159</v>
      </c>
      <c r="I1311">
        <v>87226</v>
      </c>
      <c r="J1311">
        <v>684159</v>
      </c>
      <c r="K1311">
        <v>608579</v>
      </c>
      <c r="L1311">
        <v>582254</v>
      </c>
      <c r="M1311" t="str">
        <f t="shared" si="121"/>
        <v>Medium</v>
      </c>
      <c r="N1311">
        <f>VLOOKUP(C1311,Lookup!$A$2:$D$5,MATCH(M1311,Lookup!$A$1:$D$1,0),FALSE)</f>
        <v>0.08</v>
      </c>
      <c r="O1311">
        <f t="shared" si="122"/>
        <v>46580.32</v>
      </c>
      <c r="P1311" s="7">
        <f t="shared" si="123"/>
        <v>0.88952860373100406</v>
      </c>
      <c r="Q1311" s="7">
        <f t="shared" si="124"/>
        <v>3619.8888888888887</v>
      </c>
      <c r="R1311">
        <f t="shared" si="125"/>
        <v>1.8725934042531267</v>
      </c>
    </row>
    <row r="1312" spans="1:18" x14ac:dyDescent="0.25">
      <c r="A1312" t="s">
        <v>779</v>
      </c>
      <c r="B1312" t="s">
        <v>149</v>
      </c>
      <c r="C1312" t="s">
        <v>8</v>
      </c>
      <c r="D1312">
        <v>62704</v>
      </c>
      <c r="E1312" s="1">
        <v>44469</v>
      </c>
      <c r="F1312" s="2">
        <f t="shared" si="120"/>
        <v>2021</v>
      </c>
      <c r="G1312">
        <v>185</v>
      </c>
      <c r="H1312" s="3">
        <v>720191</v>
      </c>
      <c r="I1312">
        <v>148367</v>
      </c>
      <c r="J1312">
        <v>720191</v>
      </c>
      <c r="K1312">
        <v>646175</v>
      </c>
      <c r="L1312">
        <v>608428</v>
      </c>
      <c r="M1312" t="str">
        <f t="shared" si="121"/>
        <v>Medium</v>
      </c>
      <c r="N1312">
        <f>VLOOKUP(C1312,Lookup!$A$2:$D$5,MATCH(M1312,Lookup!$A$1:$D$1,0),FALSE)</f>
        <v>0.08</v>
      </c>
      <c r="O1312">
        <f t="shared" si="122"/>
        <v>48674.239999999998</v>
      </c>
      <c r="P1312" s="7">
        <f t="shared" si="123"/>
        <v>0.8972272633232018</v>
      </c>
      <c r="Q1312" s="7">
        <f t="shared" si="124"/>
        <v>3892.9243243243245</v>
      </c>
      <c r="R1312">
        <f t="shared" si="125"/>
        <v>3.0481626420874779</v>
      </c>
    </row>
    <row r="1313" spans="1:18" x14ac:dyDescent="0.25">
      <c r="A1313" t="s">
        <v>780</v>
      </c>
      <c r="B1313" t="s">
        <v>28</v>
      </c>
      <c r="C1313" t="s">
        <v>8</v>
      </c>
      <c r="D1313">
        <v>60636</v>
      </c>
      <c r="E1313" s="1">
        <v>43738</v>
      </c>
      <c r="F1313" s="2">
        <f t="shared" si="120"/>
        <v>2019</v>
      </c>
      <c r="G1313">
        <v>339</v>
      </c>
      <c r="H1313" s="3">
        <v>1598767</v>
      </c>
      <c r="I1313">
        <v>60786</v>
      </c>
      <c r="J1313">
        <v>1598767</v>
      </c>
      <c r="K1313">
        <v>1421292</v>
      </c>
      <c r="L1313">
        <v>1351416</v>
      </c>
      <c r="M1313" t="str">
        <f t="shared" si="121"/>
        <v>Large</v>
      </c>
      <c r="N1313">
        <f>VLOOKUP(C1313,Lookup!$A$2:$D$5,MATCH(M1313,Lookup!$A$1:$D$1,0),FALSE)</f>
        <v>7.4999999999999997E-2</v>
      </c>
      <c r="O1313">
        <f t="shared" si="122"/>
        <v>101356.2</v>
      </c>
      <c r="P1313" s="7">
        <f t="shared" si="123"/>
        <v>0.88899257990689073</v>
      </c>
      <c r="Q1313" s="7">
        <f t="shared" si="124"/>
        <v>4716.1268436578175</v>
      </c>
      <c r="R1313">
        <f t="shared" si="125"/>
        <v>0.59972650908380543</v>
      </c>
    </row>
    <row r="1314" spans="1:18" x14ac:dyDescent="0.25">
      <c r="A1314" t="s">
        <v>780</v>
      </c>
      <c r="B1314" t="s">
        <v>28</v>
      </c>
      <c r="C1314" t="s">
        <v>8</v>
      </c>
      <c r="D1314">
        <v>60636</v>
      </c>
      <c r="E1314" s="1">
        <v>44104</v>
      </c>
      <c r="F1314" s="2">
        <f t="shared" si="120"/>
        <v>2020</v>
      </c>
      <c r="G1314">
        <v>332</v>
      </c>
      <c r="H1314" s="3">
        <v>1796031</v>
      </c>
      <c r="I1314">
        <v>53024</v>
      </c>
      <c r="J1314">
        <v>1796031</v>
      </c>
      <c r="K1314">
        <v>1616805</v>
      </c>
      <c r="L1314">
        <v>1525539</v>
      </c>
      <c r="M1314" t="str">
        <f t="shared" si="121"/>
        <v>Large</v>
      </c>
      <c r="N1314">
        <f>VLOOKUP(C1314,Lookup!$A$2:$D$5,MATCH(M1314,Lookup!$A$1:$D$1,0),FALSE)</f>
        <v>7.4999999999999997E-2</v>
      </c>
      <c r="O1314">
        <f t="shared" si="122"/>
        <v>114415.425</v>
      </c>
      <c r="P1314" s="7">
        <f t="shared" si="123"/>
        <v>0.90020996296834521</v>
      </c>
      <c r="Q1314" s="7">
        <f t="shared" si="124"/>
        <v>5409.7319277108436</v>
      </c>
      <c r="R1314">
        <f t="shared" si="125"/>
        <v>0.46343401687316199</v>
      </c>
    </row>
    <row r="1315" spans="1:18" x14ac:dyDescent="0.25">
      <c r="A1315" t="s">
        <v>780</v>
      </c>
      <c r="B1315" t="s">
        <v>28</v>
      </c>
      <c r="C1315" t="s">
        <v>8</v>
      </c>
      <c r="D1315">
        <v>60636</v>
      </c>
      <c r="E1315" s="1">
        <v>44469</v>
      </c>
      <c r="F1315" s="2">
        <f t="shared" si="120"/>
        <v>2021</v>
      </c>
      <c r="G1315">
        <v>305</v>
      </c>
      <c r="H1315" s="3">
        <v>1980279</v>
      </c>
      <c r="I1315">
        <v>94897</v>
      </c>
      <c r="J1315">
        <v>1980279</v>
      </c>
      <c r="K1315">
        <v>1800065</v>
      </c>
      <c r="L1315">
        <v>1696186</v>
      </c>
      <c r="M1315" t="str">
        <f t="shared" si="121"/>
        <v>Large</v>
      </c>
      <c r="N1315">
        <f>VLOOKUP(C1315,Lookup!$A$2:$D$5,MATCH(M1315,Lookup!$A$1:$D$1,0),FALSE)</f>
        <v>7.4999999999999997E-2</v>
      </c>
      <c r="O1315">
        <f t="shared" si="122"/>
        <v>127213.95</v>
      </c>
      <c r="P1315" s="7">
        <f t="shared" si="123"/>
        <v>0.90899565162282692</v>
      </c>
      <c r="Q1315" s="7">
        <f t="shared" si="124"/>
        <v>6492.7180327868855</v>
      </c>
      <c r="R1315">
        <f t="shared" si="125"/>
        <v>0.74596378777641914</v>
      </c>
    </row>
    <row r="1316" spans="1:18" x14ac:dyDescent="0.25">
      <c r="A1316" t="s">
        <v>781</v>
      </c>
      <c r="B1316" t="s">
        <v>782</v>
      </c>
      <c r="C1316" t="s">
        <v>8</v>
      </c>
      <c r="D1316">
        <v>61341</v>
      </c>
      <c r="E1316" s="1">
        <v>43738</v>
      </c>
      <c r="F1316" s="2">
        <f t="shared" si="120"/>
        <v>2019</v>
      </c>
      <c r="G1316">
        <v>9</v>
      </c>
      <c r="H1316" s="3">
        <v>63549</v>
      </c>
      <c r="I1316">
        <v>1625</v>
      </c>
      <c r="J1316">
        <v>63549</v>
      </c>
      <c r="K1316">
        <v>56983</v>
      </c>
      <c r="L1316">
        <v>56469</v>
      </c>
      <c r="M1316" t="str">
        <f t="shared" si="121"/>
        <v>Small</v>
      </c>
      <c r="N1316">
        <f>VLOOKUP(C1316,Lookup!$A$2:$D$5,MATCH(M1316,Lookup!$A$1:$D$1,0),FALSE)</f>
        <v>0.09</v>
      </c>
      <c r="O1316">
        <f t="shared" si="122"/>
        <v>5082.21</v>
      </c>
      <c r="P1316" s="7">
        <f t="shared" si="123"/>
        <v>0.89667815386552108</v>
      </c>
      <c r="Q1316" s="7">
        <f t="shared" si="124"/>
        <v>7061</v>
      </c>
      <c r="R1316">
        <f t="shared" si="125"/>
        <v>0.31974278906223869</v>
      </c>
    </row>
    <row r="1317" spans="1:18" x14ac:dyDescent="0.25">
      <c r="A1317" t="s">
        <v>781</v>
      </c>
      <c r="B1317" t="s">
        <v>782</v>
      </c>
      <c r="C1317" t="s">
        <v>8</v>
      </c>
      <c r="D1317">
        <v>61341</v>
      </c>
      <c r="E1317" s="1">
        <v>44104</v>
      </c>
      <c r="F1317" s="2">
        <f t="shared" si="120"/>
        <v>2020</v>
      </c>
      <c r="G1317">
        <v>9</v>
      </c>
      <c r="H1317" s="3">
        <v>66082</v>
      </c>
      <c r="I1317">
        <v>4949</v>
      </c>
      <c r="J1317">
        <v>66082</v>
      </c>
      <c r="K1317">
        <v>59060</v>
      </c>
      <c r="L1317">
        <v>58697</v>
      </c>
      <c r="M1317" t="str">
        <f t="shared" si="121"/>
        <v>Small</v>
      </c>
      <c r="N1317">
        <f>VLOOKUP(C1317,Lookup!$A$2:$D$5,MATCH(M1317,Lookup!$A$1:$D$1,0),FALSE)</f>
        <v>0.09</v>
      </c>
      <c r="O1317">
        <f t="shared" si="122"/>
        <v>5282.73</v>
      </c>
      <c r="P1317" s="7">
        <f t="shared" si="123"/>
        <v>0.893738082987803</v>
      </c>
      <c r="Q1317" s="7">
        <f t="shared" si="124"/>
        <v>7342.4444444444443</v>
      </c>
      <c r="R1317">
        <f t="shared" si="125"/>
        <v>0.9368262243196227</v>
      </c>
    </row>
    <row r="1318" spans="1:18" x14ac:dyDescent="0.25">
      <c r="A1318" t="s">
        <v>781</v>
      </c>
      <c r="B1318" t="s">
        <v>782</v>
      </c>
      <c r="C1318" t="s">
        <v>8</v>
      </c>
      <c r="D1318">
        <v>61341</v>
      </c>
      <c r="E1318" s="1">
        <v>44469</v>
      </c>
      <c r="F1318" s="2">
        <f t="shared" si="120"/>
        <v>2021</v>
      </c>
      <c r="G1318">
        <v>11</v>
      </c>
      <c r="H1318" s="3">
        <v>72714</v>
      </c>
      <c r="I1318">
        <v>3093</v>
      </c>
      <c r="J1318">
        <v>72714</v>
      </c>
      <c r="K1318">
        <v>66121</v>
      </c>
      <c r="L1318">
        <v>65818</v>
      </c>
      <c r="M1318" t="str">
        <f t="shared" si="121"/>
        <v>Small</v>
      </c>
      <c r="N1318">
        <f>VLOOKUP(C1318,Lookup!$A$2:$D$5,MATCH(M1318,Lookup!$A$1:$D$1,0),FALSE)</f>
        <v>0.09</v>
      </c>
      <c r="O1318">
        <f t="shared" si="122"/>
        <v>5923.62</v>
      </c>
      <c r="P1318" s="7">
        <f t="shared" si="123"/>
        <v>0.90932970267073743</v>
      </c>
      <c r="Q1318" s="7">
        <f t="shared" si="124"/>
        <v>6610.363636363636</v>
      </c>
      <c r="R1318">
        <f t="shared" si="125"/>
        <v>0.52214693042430138</v>
      </c>
    </row>
    <row r="1319" spans="1:18" x14ac:dyDescent="0.25">
      <c r="A1319" t="s">
        <v>1394</v>
      </c>
      <c r="B1319" t="s">
        <v>784</v>
      </c>
      <c r="C1319" t="s">
        <v>20</v>
      </c>
      <c r="D1319">
        <v>2539</v>
      </c>
      <c r="E1319" s="1">
        <v>44469</v>
      </c>
      <c r="F1319" s="2">
        <f t="shared" si="120"/>
        <v>2021</v>
      </c>
      <c r="G1319">
        <v>102</v>
      </c>
      <c r="H1319" s="3">
        <v>1204459</v>
      </c>
      <c r="I1319">
        <v>84678</v>
      </c>
      <c r="J1319">
        <v>1204459</v>
      </c>
      <c r="K1319">
        <v>1083650</v>
      </c>
      <c r="L1319">
        <v>1029652</v>
      </c>
      <c r="M1319" t="str">
        <f t="shared" si="121"/>
        <v>Large</v>
      </c>
      <c r="N1319">
        <f>VLOOKUP(C1319,Lookup!$A$2:$D$5,MATCH(M1319,Lookup!$A$1:$D$1,0),FALSE)</f>
        <v>0.08</v>
      </c>
      <c r="O1319">
        <f t="shared" si="122"/>
        <v>82372.160000000003</v>
      </c>
      <c r="P1319" s="7">
        <f t="shared" si="123"/>
        <v>0.89969853685347534</v>
      </c>
      <c r="Q1319" s="7">
        <f t="shared" si="124"/>
        <v>11808.421568627451</v>
      </c>
      <c r="R1319">
        <f t="shared" si="125"/>
        <v>1.0279929529588638</v>
      </c>
    </row>
    <row r="1320" spans="1:18" x14ac:dyDescent="0.25">
      <c r="A1320" t="s">
        <v>783</v>
      </c>
      <c r="B1320" t="s">
        <v>784</v>
      </c>
      <c r="C1320" t="s">
        <v>20</v>
      </c>
      <c r="D1320">
        <v>2539</v>
      </c>
      <c r="E1320" s="1">
        <v>43738</v>
      </c>
      <c r="F1320" s="2">
        <f t="shared" si="120"/>
        <v>2019</v>
      </c>
      <c r="G1320">
        <v>107</v>
      </c>
      <c r="H1320" s="3">
        <v>832109</v>
      </c>
      <c r="I1320">
        <v>36416</v>
      </c>
      <c r="J1320">
        <v>832109</v>
      </c>
      <c r="K1320">
        <v>724779</v>
      </c>
      <c r="L1320">
        <v>674360</v>
      </c>
      <c r="M1320" t="str">
        <f t="shared" si="121"/>
        <v>Medium</v>
      </c>
      <c r="N1320">
        <f>VLOOKUP(C1320,Lookup!$A$2:$D$5,MATCH(M1320,Lookup!$A$1:$D$1,0),FALSE)</f>
        <v>8.5000000000000006E-2</v>
      </c>
      <c r="O1320">
        <f t="shared" si="122"/>
        <v>57320.600000000006</v>
      </c>
      <c r="P1320" s="7">
        <f t="shared" si="123"/>
        <v>0.87101449449531254</v>
      </c>
      <c r="Q1320" s="7">
        <f t="shared" si="124"/>
        <v>7776.7196261682247</v>
      </c>
      <c r="R1320">
        <f t="shared" si="125"/>
        <v>0.63530388725868181</v>
      </c>
    </row>
    <row r="1321" spans="1:18" x14ac:dyDescent="0.25">
      <c r="A1321" t="s">
        <v>783</v>
      </c>
      <c r="B1321" t="s">
        <v>784</v>
      </c>
      <c r="C1321" t="s">
        <v>20</v>
      </c>
      <c r="D1321">
        <v>2539</v>
      </c>
      <c r="E1321" s="1">
        <v>44104</v>
      </c>
      <c r="F1321" s="2">
        <f t="shared" si="120"/>
        <v>2020</v>
      </c>
      <c r="G1321">
        <v>104</v>
      </c>
      <c r="H1321" s="3">
        <v>1030389</v>
      </c>
      <c r="I1321">
        <v>103155</v>
      </c>
      <c r="J1321">
        <v>1030389</v>
      </c>
      <c r="K1321">
        <v>916027</v>
      </c>
      <c r="L1321">
        <v>854164</v>
      </c>
      <c r="M1321" t="str">
        <f t="shared" si="121"/>
        <v>Large</v>
      </c>
      <c r="N1321">
        <f>VLOOKUP(C1321,Lookup!$A$2:$D$5,MATCH(M1321,Lookup!$A$1:$D$1,0),FALSE)</f>
        <v>0.08</v>
      </c>
      <c r="O1321">
        <f t="shared" si="122"/>
        <v>68333.119999999995</v>
      </c>
      <c r="P1321" s="7">
        <f t="shared" si="123"/>
        <v>0.88901084930060392</v>
      </c>
      <c r="Q1321" s="7">
        <f t="shared" si="124"/>
        <v>9907.586538461539</v>
      </c>
      <c r="R1321">
        <f t="shared" si="125"/>
        <v>1.5095900787202459</v>
      </c>
    </row>
    <row r="1322" spans="1:18" x14ac:dyDescent="0.25">
      <c r="A1322" t="s">
        <v>785</v>
      </c>
      <c r="B1322" t="s">
        <v>14</v>
      </c>
      <c r="C1322" t="s">
        <v>8</v>
      </c>
      <c r="D1322">
        <v>62664</v>
      </c>
      <c r="E1322" s="1">
        <v>43738</v>
      </c>
      <c r="F1322" s="2">
        <f t="shared" si="120"/>
        <v>2019</v>
      </c>
      <c r="G1322">
        <v>10</v>
      </c>
      <c r="H1322" s="3">
        <v>71539</v>
      </c>
      <c r="I1322">
        <v>3465</v>
      </c>
      <c r="J1322">
        <v>71539</v>
      </c>
      <c r="K1322">
        <v>58423</v>
      </c>
      <c r="L1322">
        <v>58352</v>
      </c>
      <c r="M1322" t="str">
        <f t="shared" si="121"/>
        <v>Small</v>
      </c>
      <c r="N1322">
        <f>VLOOKUP(C1322,Lookup!$A$2:$D$5,MATCH(M1322,Lookup!$A$1:$D$1,0),FALSE)</f>
        <v>0.09</v>
      </c>
      <c r="O1322">
        <f t="shared" si="122"/>
        <v>5251.6799999999994</v>
      </c>
      <c r="P1322" s="7">
        <f t="shared" si="123"/>
        <v>0.8166594444988049</v>
      </c>
      <c r="Q1322" s="7">
        <f t="shared" si="124"/>
        <v>7153.9</v>
      </c>
      <c r="R1322">
        <f t="shared" si="125"/>
        <v>0.65978886756238009</v>
      </c>
    </row>
    <row r="1323" spans="1:18" x14ac:dyDescent="0.25">
      <c r="A1323" t="s">
        <v>785</v>
      </c>
      <c r="B1323" t="s">
        <v>14</v>
      </c>
      <c r="C1323" t="s">
        <v>8</v>
      </c>
      <c r="D1323">
        <v>62664</v>
      </c>
      <c r="E1323" s="1">
        <v>44104</v>
      </c>
      <c r="F1323" s="2">
        <f t="shared" si="120"/>
        <v>2020</v>
      </c>
      <c r="G1323">
        <v>10</v>
      </c>
      <c r="H1323" s="3">
        <v>73237</v>
      </c>
      <c r="I1323">
        <v>4387</v>
      </c>
      <c r="J1323">
        <v>73237</v>
      </c>
      <c r="K1323">
        <v>59477</v>
      </c>
      <c r="L1323">
        <v>59409</v>
      </c>
      <c r="M1323" t="str">
        <f t="shared" si="121"/>
        <v>Small</v>
      </c>
      <c r="N1323">
        <f>VLOOKUP(C1323,Lookup!$A$2:$D$5,MATCH(M1323,Lookup!$A$1:$D$1,0),FALSE)</f>
        <v>0.09</v>
      </c>
      <c r="O1323">
        <f t="shared" si="122"/>
        <v>5346.8099999999995</v>
      </c>
      <c r="P1323" s="7">
        <f t="shared" si="123"/>
        <v>0.81211682619440995</v>
      </c>
      <c r="Q1323" s="7">
        <f t="shared" si="124"/>
        <v>7323.7</v>
      </c>
      <c r="R1323">
        <f t="shared" si="125"/>
        <v>0.82048922628632781</v>
      </c>
    </row>
    <row r="1324" spans="1:18" x14ac:dyDescent="0.25">
      <c r="A1324" t="s">
        <v>785</v>
      </c>
      <c r="B1324" t="s">
        <v>14</v>
      </c>
      <c r="C1324" t="s">
        <v>8</v>
      </c>
      <c r="D1324">
        <v>62664</v>
      </c>
      <c r="E1324" s="1">
        <v>44469</v>
      </c>
      <c r="F1324" s="2">
        <f t="shared" si="120"/>
        <v>2021</v>
      </c>
      <c r="G1324">
        <v>10</v>
      </c>
      <c r="H1324" s="3">
        <v>85964</v>
      </c>
      <c r="I1324">
        <v>13238</v>
      </c>
      <c r="J1324">
        <v>85964</v>
      </c>
      <c r="K1324">
        <v>72105</v>
      </c>
      <c r="L1324">
        <v>71725</v>
      </c>
      <c r="M1324" t="str">
        <f t="shared" si="121"/>
        <v>Small</v>
      </c>
      <c r="N1324">
        <f>VLOOKUP(C1324,Lookup!$A$2:$D$5,MATCH(M1324,Lookup!$A$1:$D$1,0),FALSE)</f>
        <v>0.09</v>
      </c>
      <c r="O1324">
        <f t="shared" si="122"/>
        <v>6455.25</v>
      </c>
      <c r="P1324" s="7">
        <f t="shared" si="123"/>
        <v>0.83878135033269741</v>
      </c>
      <c r="Q1324" s="7">
        <f t="shared" si="124"/>
        <v>8596.4</v>
      </c>
      <c r="R1324">
        <f t="shared" si="125"/>
        <v>2.0507338987645714</v>
      </c>
    </row>
    <row r="1325" spans="1:18" x14ac:dyDescent="0.25">
      <c r="A1325" t="s">
        <v>786</v>
      </c>
      <c r="B1325" t="s">
        <v>787</v>
      </c>
      <c r="C1325" t="s">
        <v>17</v>
      </c>
      <c r="D1325">
        <v>11378</v>
      </c>
      <c r="E1325" s="1">
        <v>43738</v>
      </c>
      <c r="F1325" s="2">
        <f t="shared" si="120"/>
        <v>2019</v>
      </c>
      <c r="G1325">
        <v>199</v>
      </c>
      <c r="H1325" s="3">
        <v>1966997</v>
      </c>
      <c r="I1325">
        <v>112044</v>
      </c>
      <c r="J1325">
        <v>1966997</v>
      </c>
      <c r="K1325">
        <v>1327672</v>
      </c>
      <c r="L1325">
        <v>1270228</v>
      </c>
      <c r="M1325" t="str">
        <f t="shared" si="121"/>
        <v>Large</v>
      </c>
      <c r="N1325">
        <f>VLOOKUP(C1325,Lookup!$A$2:$D$5,MATCH(M1325,Lookup!$A$1:$D$1,0),FALSE)</f>
        <v>0.08</v>
      </c>
      <c r="O1325">
        <f t="shared" si="122"/>
        <v>101618.24000000001</v>
      </c>
      <c r="P1325" s="7">
        <f t="shared" si="123"/>
        <v>0.67497408486133936</v>
      </c>
      <c r="Q1325" s="7">
        <f t="shared" si="124"/>
        <v>9884.4070351758801</v>
      </c>
      <c r="R1325">
        <f t="shared" si="125"/>
        <v>1.1025973289834581</v>
      </c>
    </row>
    <row r="1326" spans="1:18" x14ac:dyDescent="0.25">
      <c r="A1326" t="s">
        <v>786</v>
      </c>
      <c r="B1326" t="s">
        <v>787</v>
      </c>
      <c r="C1326" t="s">
        <v>17</v>
      </c>
      <c r="D1326">
        <v>11378</v>
      </c>
      <c r="E1326" s="1">
        <v>44104</v>
      </c>
      <c r="F1326" s="2">
        <f t="shared" si="120"/>
        <v>2020</v>
      </c>
      <c r="G1326">
        <v>196</v>
      </c>
      <c r="H1326" s="3">
        <v>2027347</v>
      </c>
      <c r="I1326">
        <v>183498</v>
      </c>
      <c r="J1326">
        <v>2027347</v>
      </c>
      <c r="K1326">
        <v>1371444</v>
      </c>
      <c r="L1326">
        <v>1332546</v>
      </c>
      <c r="M1326" t="str">
        <f t="shared" si="121"/>
        <v>Large</v>
      </c>
      <c r="N1326">
        <f>VLOOKUP(C1326,Lookup!$A$2:$D$5,MATCH(M1326,Lookup!$A$1:$D$1,0),FALSE)</f>
        <v>0.08</v>
      </c>
      <c r="O1326">
        <f t="shared" si="122"/>
        <v>106603.68000000001</v>
      </c>
      <c r="P1326" s="7">
        <f t="shared" si="123"/>
        <v>0.67647225659938826</v>
      </c>
      <c r="Q1326" s="7">
        <f t="shared" si="124"/>
        <v>10343.607142857143</v>
      </c>
      <c r="R1326">
        <f t="shared" si="125"/>
        <v>1.7213101836634532</v>
      </c>
    </row>
    <row r="1327" spans="1:18" x14ac:dyDescent="0.25">
      <c r="A1327" t="s">
        <v>786</v>
      </c>
      <c r="B1327" t="s">
        <v>787</v>
      </c>
      <c r="C1327" t="s">
        <v>17</v>
      </c>
      <c r="D1327">
        <v>11378</v>
      </c>
      <c r="E1327" s="1">
        <v>44469</v>
      </c>
      <c r="F1327" s="2">
        <f t="shared" si="120"/>
        <v>2021</v>
      </c>
      <c r="G1327">
        <v>196</v>
      </c>
      <c r="H1327" s="3">
        <v>2167530</v>
      </c>
      <c r="I1327">
        <v>280369</v>
      </c>
      <c r="J1327">
        <v>2167530</v>
      </c>
      <c r="K1327">
        <v>1489944</v>
      </c>
      <c r="L1327">
        <v>1450723</v>
      </c>
      <c r="M1327" t="str">
        <f t="shared" si="121"/>
        <v>Large</v>
      </c>
      <c r="N1327">
        <f>VLOOKUP(C1327,Lookup!$A$2:$D$5,MATCH(M1327,Lookup!$A$1:$D$1,0),FALSE)</f>
        <v>0.08</v>
      </c>
      <c r="O1327">
        <f t="shared" si="122"/>
        <v>116057.84</v>
      </c>
      <c r="P1327" s="7">
        <f t="shared" si="123"/>
        <v>0.68739256204066379</v>
      </c>
      <c r="Q1327" s="7">
        <f t="shared" si="124"/>
        <v>11058.826530612245</v>
      </c>
      <c r="R1327">
        <f t="shared" si="125"/>
        <v>2.415769585234397</v>
      </c>
    </row>
    <row r="1328" spans="1:18" x14ac:dyDescent="0.25">
      <c r="A1328" t="s">
        <v>788</v>
      </c>
      <c r="B1328" t="s">
        <v>789</v>
      </c>
      <c r="C1328" t="s">
        <v>17</v>
      </c>
      <c r="D1328">
        <v>13662</v>
      </c>
      <c r="E1328" s="1">
        <v>43738</v>
      </c>
      <c r="F1328" s="2">
        <f t="shared" si="120"/>
        <v>2019</v>
      </c>
      <c r="G1328">
        <v>24</v>
      </c>
      <c r="H1328" s="3">
        <v>165513</v>
      </c>
      <c r="I1328">
        <v>5118</v>
      </c>
      <c r="J1328">
        <v>165513</v>
      </c>
      <c r="K1328">
        <v>143450</v>
      </c>
      <c r="L1328">
        <v>117091</v>
      </c>
      <c r="M1328" t="str">
        <f t="shared" si="121"/>
        <v>Medium</v>
      </c>
      <c r="N1328">
        <f>VLOOKUP(C1328,Lookup!$A$2:$D$5,MATCH(M1328,Lookup!$A$1:$D$1,0),FALSE)</f>
        <v>8.5000000000000006E-2</v>
      </c>
      <c r="O1328">
        <f t="shared" si="122"/>
        <v>9952.7350000000006</v>
      </c>
      <c r="P1328" s="7">
        <f t="shared" si="123"/>
        <v>0.86669929250270372</v>
      </c>
      <c r="Q1328" s="7">
        <f t="shared" si="124"/>
        <v>6896.375</v>
      </c>
      <c r="R1328">
        <f t="shared" si="125"/>
        <v>0.51423051050791568</v>
      </c>
    </row>
    <row r="1329" spans="1:18" x14ac:dyDescent="0.25">
      <c r="A1329" t="s">
        <v>788</v>
      </c>
      <c r="B1329" t="s">
        <v>789</v>
      </c>
      <c r="C1329" t="s">
        <v>17</v>
      </c>
      <c r="D1329">
        <v>13662</v>
      </c>
      <c r="E1329" s="1">
        <v>44104</v>
      </c>
      <c r="F1329" s="2">
        <f t="shared" si="120"/>
        <v>2020</v>
      </c>
      <c r="G1329">
        <v>26</v>
      </c>
      <c r="H1329" s="3">
        <v>179892</v>
      </c>
      <c r="I1329">
        <v>20964</v>
      </c>
      <c r="J1329">
        <v>179892</v>
      </c>
      <c r="K1329">
        <v>156997</v>
      </c>
      <c r="L1329">
        <v>128608</v>
      </c>
      <c r="M1329" t="str">
        <f t="shared" si="121"/>
        <v>Medium</v>
      </c>
      <c r="N1329">
        <f>VLOOKUP(C1329,Lookup!$A$2:$D$5,MATCH(M1329,Lookup!$A$1:$D$1,0),FALSE)</f>
        <v>8.5000000000000006E-2</v>
      </c>
      <c r="O1329">
        <f t="shared" si="122"/>
        <v>10931.68</v>
      </c>
      <c r="P1329" s="7">
        <f t="shared" si="123"/>
        <v>0.8727291930713984</v>
      </c>
      <c r="Q1329" s="7">
        <f t="shared" si="124"/>
        <v>6918.9230769230771</v>
      </c>
      <c r="R1329">
        <f t="shared" si="125"/>
        <v>1.9177290224375392</v>
      </c>
    </row>
    <row r="1330" spans="1:18" x14ac:dyDescent="0.25">
      <c r="A1330" t="s">
        <v>788</v>
      </c>
      <c r="B1330" t="s">
        <v>789</v>
      </c>
      <c r="C1330" t="s">
        <v>17</v>
      </c>
      <c r="D1330">
        <v>13662</v>
      </c>
      <c r="E1330" s="1">
        <v>44469</v>
      </c>
      <c r="F1330" s="2">
        <f t="shared" si="120"/>
        <v>2021</v>
      </c>
      <c r="G1330">
        <v>24</v>
      </c>
      <c r="H1330" s="3">
        <v>179437</v>
      </c>
      <c r="I1330">
        <v>23367</v>
      </c>
      <c r="J1330">
        <v>179437</v>
      </c>
      <c r="K1330">
        <v>155710</v>
      </c>
      <c r="L1330">
        <v>134320</v>
      </c>
      <c r="M1330" t="str">
        <f t="shared" si="121"/>
        <v>Medium</v>
      </c>
      <c r="N1330">
        <f>VLOOKUP(C1330,Lookup!$A$2:$D$5,MATCH(M1330,Lookup!$A$1:$D$1,0),FALSE)</f>
        <v>8.5000000000000006E-2</v>
      </c>
      <c r="O1330">
        <f t="shared" si="122"/>
        <v>11417.2</v>
      </c>
      <c r="P1330" s="7">
        <f t="shared" si="123"/>
        <v>0.86776974648483873</v>
      </c>
      <c r="Q1330" s="7">
        <f t="shared" si="124"/>
        <v>7476.541666666667</v>
      </c>
      <c r="R1330">
        <f t="shared" si="125"/>
        <v>2.0466489156710925</v>
      </c>
    </row>
    <row r="1331" spans="1:18" x14ac:dyDescent="0.25">
      <c r="A1331" t="s">
        <v>790</v>
      </c>
      <c r="B1331" t="s">
        <v>791</v>
      </c>
      <c r="C1331" t="s">
        <v>8</v>
      </c>
      <c r="D1331">
        <v>60050</v>
      </c>
      <c r="E1331" s="1">
        <v>43738</v>
      </c>
      <c r="F1331" s="2">
        <f t="shared" si="120"/>
        <v>2019</v>
      </c>
      <c r="G1331">
        <v>51</v>
      </c>
      <c r="H1331" s="3">
        <v>230251</v>
      </c>
      <c r="I1331">
        <v>8648</v>
      </c>
      <c r="J1331">
        <v>230251</v>
      </c>
      <c r="K1331">
        <v>208386</v>
      </c>
      <c r="L1331">
        <v>185120</v>
      </c>
      <c r="M1331" t="str">
        <f t="shared" si="121"/>
        <v>Medium</v>
      </c>
      <c r="N1331">
        <f>VLOOKUP(C1331,Lookup!$A$2:$D$5,MATCH(M1331,Lookup!$A$1:$D$1,0),FALSE)</f>
        <v>0.08</v>
      </c>
      <c r="O1331">
        <f t="shared" si="122"/>
        <v>14809.6</v>
      </c>
      <c r="P1331" s="7">
        <f t="shared" si="123"/>
        <v>0.90503841459971945</v>
      </c>
      <c r="Q1331" s="7">
        <f t="shared" si="124"/>
        <v>4514.7254901960787</v>
      </c>
      <c r="R1331">
        <f t="shared" si="125"/>
        <v>0.58394554883318928</v>
      </c>
    </row>
    <row r="1332" spans="1:18" x14ac:dyDescent="0.25">
      <c r="A1332" t="s">
        <v>790</v>
      </c>
      <c r="B1332" t="s">
        <v>791</v>
      </c>
      <c r="C1332" t="s">
        <v>8</v>
      </c>
      <c r="D1332">
        <v>60050</v>
      </c>
      <c r="E1332" s="1">
        <v>44104</v>
      </c>
      <c r="F1332" s="2">
        <f t="shared" si="120"/>
        <v>2020</v>
      </c>
      <c r="G1332">
        <v>48</v>
      </c>
      <c r="H1332" s="3">
        <v>261641</v>
      </c>
      <c r="I1332">
        <v>12620</v>
      </c>
      <c r="J1332">
        <v>261641</v>
      </c>
      <c r="K1332">
        <v>239365</v>
      </c>
      <c r="L1332">
        <v>215910</v>
      </c>
      <c r="M1332" t="str">
        <f t="shared" si="121"/>
        <v>Medium</v>
      </c>
      <c r="N1332">
        <f>VLOOKUP(C1332,Lookup!$A$2:$D$5,MATCH(M1332,Lookup!$A$1:$D$1,0),FALSE)</f>
        <v>0.08</v>
      </c>
      <c r="O1332">
        <f t="shared" si="122"/>
        <v>17272.8</v>
      </c>
      <c r="P1332" s="7">
        <f t="shared" si="123"/>
        <v>0.91486043853983134</v>
      </c>
      <c r="Q1332" s="7">
        <f t="shared" si="124"/>
        <v>5450.854166666667</v>
      </c>
      <c r="R1332">
        <f t="shared" si="125"/>
        <v>0.7306285026168311</v>
      </c>
    </row>
    <row r="1333" spans="1:18" x14ac:dyDescent="0.25">
      <c r="A1333" t="s">
        <v>790</v>
      </c>
      <c r="B1333" t="s">
        <v>791</v>
      </c>
      <c r="C1333" t="s">
        <v>8</v>
      </c>
      <c r="D1333">
        <v>60050</v>
      </c>
      <c r="E1333" s="1">
        <v>44469</v>
      </c>
      <c r="F1333" s="2">
        <f t="shared" si="120"/>
        <v>2021</v>
      </c>
      <c r="G1333">
        <v>51</v>
      </c>
      <c r="H1333" s="3">
        <v>272760</v>
      </c>
      <c r="I1333">
        <v>9821</v>
      </c>
      <c r="J1333">
        <v>272760</v>
      </c>
      <c r="K1333">
        <v>247738</v>
      </c>
      <c r="L1333">
        <v>230754</v>
      </c>
      <c r="M1333" t="str">
        <f t="shared" si="121"/>
        <v>Medium</v>
      </c>
      <c r="N1333">
        <f>VLOOKUP(C1333,Lookup!$A$2:$D$5,MATCH(M1333,Lookup!$A$1:$D$1,0),FALSE)</f>
        <v>0.08</v>
      </c>
      <c r="O1333">
        <f t="shared" si="122"/>
        <v>18460.32</v>
      </c>
      <c r="P1333" s="7">
        <f t="shared" si="123"/>
        <v>0.90826367502566363</v>
      </c>
      <c r="Q1333" s="7">
        <f t="shared" si="124"/>
        <v>5348.2352941176468</v>
      </c>
      <c r="R1333">
        <f t="shared" si="125"/>
        <v>0.53200594572575122</v>
      </c>
    </row>
    <row r="1334" spans="1:18" x14ac:dyDescent="0.25">
      <c r="A1334" t="s">
        <v>792</v>
      </c>
      <c r="B1334" t="s">
        <v>793</v>
      </c>
      <c r="C1334" t="s">
        <v>5</v>
      </c>
      <c r="D1334">
        <v>94596</v>
      </c>
      <c r="E1334" s="1">
        <v>43738</v>
      </c>
      <c r="F1334" s="2">
        <f t="shared" si="120"/>
        <v>2019</v>
      </c>
      <c r="G1334">
        <v>2338</v>
      </c>
      <c r="H1334" s="3">
        <v>17299341</v>
      </c>
      <c r="I1334">
        <v>2142787</v>
      </c>
      <c r="J1334">
        <v>17299341</v>
      </c>
      <c r="K1334">
        <v>15036173</v>
      </c>
      <c r="L1334">
        <v>14668158</v>
      </c>
      <c r="M1334" t="str">
        <f t="shared" si="121"/>
        <v>Large</v>
      </c>
      <c r="N1334">
        <f>VLOOKUP(C1334,Lookup!$A$2:$D$5,MATCH(M1334,Lookup!$A$1:$D$1,0),FALSE)</f>
        <v>0.08</v>
      </c>
      <c r="O1334">
        <f t="shared" si="122"/>
        <v>1173452.6400000001</v>
      </c>
      <c r="P1334" s="7">
        <f t="shared" si="123"/>
        <v>0.86917605705327161</v>
      </c>
      <c r="Q1334" s="7">
        <f t="shared" si="124"/>
        <v>7399.2048759623613</v>
      </c>
      <c r="R1334">
        <f t="shared" si="125"/>
        <v>1.8260532440405943</v>
      </c>
    </row>
    <row r="1335" spans="1:18" x14ac:dyDescent="0.25">
      <c r="A1335" t="s">
        <v>792</v>
      </c>
      <c r="B1335" t="s">
        <v>793</v>
      </c>
      <c r="C1335" t="s">
        <v>5</v>
      </c>
      <c r="D1335">
        <v>94596</v>
      </c>
      <c r="E1335" s="1">
        <v>44104</v>
      </c>
      <c r="F1335" s="2">
        <f t="shared" si="120"/>
        <v>2020</v>
      </c>
      <c r="G1335">
        <v>1962</v>
      </c>
      <c r="H1335" s="3">
        <v>18539337</v>
      </c>
      <c r="I1335">
        <v>918271</v>
      </c>
      <c r="J1335">
        <v>18539337</v>
      </c>
      <c r="K1335">
        <v>16116245</v>
      </c>
      <c r="L1335">
        <v>15773408</v>
      </c>
      <c r="M1335" t="str">
        <f t="shared" si="121"/>
        <v>Large</v>
      </c>
      <c r="N1335">
        <f>VLOOKUP(C1335,Lookup!$A$2:$D$5,MATCH(M1335,Lookup!$A$1:$D$1,0),FALSE)</f>
        <v>0.08</v>
      </c>
      <c r="O1335">
        <f t="shared" si="122"/>
        <v>1261872.6400000001</v>
      </c>
      <c r="P1335" s="7">
        <f t="shared" si="123"/>
        <v>0.86929996471826365</v>
      </c>
      <c r="Q1335" s="7">
        <f t="shared" si="124"/>
        <v>9449.2033639143738</v>
      </c>
      <c r="R1335">
        <f t="shared" si="125"/>
        <v>0.72770497662902012</v>
      </c>
    </row>
    <row r="1336" spans="1:18" x14ac:dyDescent="0.25">
      <c r="A1336" t="s">
        <v>792</v>
      </c>
      <c r="B1336" t="s">
        <v>793</v>
      </c>
      <c r="C1336" t="s">
        <v>5</v>
      </c>
      <c r="D1336">
        <v>94596</v>
      </c>
      <c r="E1336" s="1">
        <v>44469</v>
      </c>
      <c r="F1336" s="2">
        <f t="shared" si="120"/>
        <v>2021</v>
      </c>
      <c r="G1336">
        <v>1808</v>
      </c>
      <c r="H1336" s="3">
        <v>19052469</v>
      </c>
      <c r="I1336">
        <v>955488</v>
      </c>
      <c r="J1336">
        <v>19052469</v>
      </c>
      <c r="K1336">
        <v>16646293</v>
      </c>
      <c r="L1336">
        <v>16351217</v>
      </c>
      <c r="M1336" t="str">
        <f t="shared" si="121"/>
        <v>Large</v>
      </c>
      <c r="N1336">
        <f>VLOOKUP(C1336,Lookup!$A$2:$D$5,MATCH(M1336,Lookup!$A$1:$D$1,0),FALSE)</f>
        <v>0.08</v>
      </c>
      <c r="O1336">
        <f t="shared" si="122"/>
        <v>1308097.3600000001</v>
      </c>
      <c r="P1336" s="7">
        <f t="shared" si="123"/>
        <v>0.87370791680595306</v>
      </c>
      <c r="Q1336" s="7">
        <f t="shared" si="124"/>
        <v>10537.870022123894</v>
      </c>
      <c r="R1336">
        <f t="shared" si="125"/>
        <v>0.73044104301227242</v>
      </c>
    </row>
    <row r="1337" spans="1:18" x14ac:dyDescent="0.25">
      <c r="A1337" t="s">
        <v>794</v>
      </c>
      <c r="B1337" t="s">
        <v>210</v>
      </c>
      <c r="C1337" t="s">
        <v>20</v>
      </c>
      <c r="D1337">
        <v>2780</v>
      </c>
      <c r="E1337" s="1">
        <v>43738</v>
      </c>
      <c r="F1337" s="2">
        <f t="shared" si="120"/>
        <v>2019</v>
      </c>
      <c r="G1337">
        <v>98</v>
      </c>
      <c r="H1337" s="3">
        <v>611946</v>
      </c>
      <c r="I1337">
        <v>13759</v>
      </c>
      <c r="J1337">
        <v>611945</v>
      </c>
      <c r="K1337">
        <v>551570</v>
      </c>
      <c r="L1337">
        <v>446631</v>
      </c>
      <c r="M1337" t="str">
        <f t="shared" si="121"/>
        <v>Medium</v>
      </c>
      <c r="N1337">
        <f>VLOOKUP(C1337,Lookup!$A$2:$D$5,MATCH(M1337,Lookup!$A$1:$D$1,0),FALSE)</f>
        <v>8.5000000000000006E-2</v>
      </c>
      <c r="O1337">
        <f t="shared" si="122"/>
        <v>37963.635000000002</v>
      </c>
      <c r="P1337" s="7">
        <f t="shared" si="123"/>
        <v>0.90133769973167566</v>
      </c>
      <c r="Q1337" s="7">
        <f t="shared" si="124"/>
        <v>6244.3469387755104</v>
      </c>
      <c r="R1337">
        <f t="shared" si="125"/>
        <v>0.36242577930169223</v>
      </c>
    </row>
    <row r="1338" spans="1:18" x14ac:dyDescent="0.25">
      <c r="A1338" t="s">
        <v>794</v>
      </c>
      <c r="B1338" t="s">
        <v>210</v>
      </c>
      <c r="C1338" t="s">
        <v>20</v>
      </c>
      <c r="D1338">
        <v>2780</v>
      </c>
      <c r="E1338" s="1">
        <v>44104</v>
      </c>
      <c r="F1338" s="2">
        <f t="shared" si="120"/>
        <v>2020</v>
      </c>
      <c r="G1338">
        <v>98</v>
      </c>
      <c r="H1338" s="3">
        <v>665598</v>
      </c>
      <c r="I1338">
        <v>18869</v>
      </c>
      <c r="J1338">
        <v>665598</v>
      </c>
      <c r="K1338">
        <v>598725</v>
      </c>
      <c r="L1338">
        <v>505166</v>
      </c>
      <c r="M1338" t="str">
        <f t="shared" si="121"/>
        <v>Medium</v>
      </c>
      <c r="N1338">
        <f>VLOOKUP(C1338,Lookup!$A$2:$D$5,MATCH(M1338,Lookup!$A$1:$D$1,0),FALSE)</f>
        <v>8.5000000000000006E-2</v>
      </c>
      <c r="O1338">
        <f t="shared" si="122"/>
        <v>42939.11</v>
      </c>
      <c r="P1338" s="7">
        <f t="shared" si="123"/>
        <v>0.89952944570145943</v>
      </c>
      <c r="Q1338" s="7">
        <f t="shared" si="124"/>
        <v>6791.8163265306121</v>
      </c>
      <c r="R1338">
        <f t="shared" si="125"/>
        <v>0.43943621560856755</v>
      </c>
    </row>
    <row r="1339" spans="1:18" x14ac:dyDescent="0.25">
      <c r="A1339" t="s">
        <v>794</v>
      </c>
      <c r="B1339" t="s">
        <v>210</v>
      </c>
      <c r="C1339" t="s">
        <v>20</v>
      </c>
      <c r="D1339">
        <v>2780</v>
      </c>
      <c r="E1339" s="1">
        <v>44469</v>
      </c>
      <c r="F1339" s="2">
        <f t="shared" si="120"/>
        <v>2021</v>
      </c>
      <c r="G1339">
        <v>96</v>
      </c>
      <c r="H1339" s="3">
        <v>664786</v>
      </c>
      <c r="I1339">
        <v>42133</v>
      </c>
      <c r="J1339">
        <v>664786</v>
      </c>
      <c r="K1339">
        <v>589328</v>
      </c>
      <c r="L1339">
        <v>543218</v>
      </c>
      <c r="M1339" t="str">
        <f t="shared" si="121"/>
        <v>Medium</v>
      </c>
      <c r="N1339">
        <f>VLOOKUP(C1339,Lookup!$A$2:$D$5,MATCH(M1339,Lookup!$A$1:$D$1,0),FALSE)</f>
        <v>8.5000000000000006E-2</v>
      </c>
      <c r="O1339">
        <f t="shared" si="122"/>
        <v>46173.530000000006</v>
      </c>
      <c r="P1339" s="7">
        <f t="shared" si="123"/>
        <v>0.88649279617801824</v>
      </c>
      <c r="Q1339" s="7">
        <f t="shared" si="124"/>
        <v>6924.854166666667</v>
      </c>
      <c r="R1339">
        <f t="shared" si="125"/>
        <v>0.91249250382199487</v>
      </c>
    </row>
    <row r="1340" spans="1:18" x14ac:dyDescent="0.25">
      <c r="A1340" t="s">
        <v>795</v>
      </c>
      <c r="B1340" t="s">
        <v>77</v>
      </c>
      <c r="C1340" t="s">
        <v>5</v>
      </c>
      <c r="D1340">
        <v>91776</v>
      </c>
      <c r="E1340" s="1">
        <v>43738</v>
      </c>
      <c r="F1340" s="2">
        <f t="shared" si="120"/>
        <v>2019</v>
      </c>
      <c r="G1340">
        <v>45</v>
      </c>
      <c r="H1340" s="3">
        <v>349914</v>
      </c>
      <c r="I1340">
        <v>40510</v>
      </c>
      <c r="J1340">
        <v>349914</v>
      </c>
      <c r="K1340">
        <v>305971</v>
      </c>
      <c r="L1340">
        <v>280041</v>
      </c>
      <c r="M1340" t="str">
        <f t="shared" si="121"/>
        <v>Medium</v>
      </c>
      <c r="N1340">
        <f>VLOOKUP(C1340,Lookup!$A$2:$D$5,MATCH(M1340,Lookup!$A$1:$D$1,0),FALSE)</f>
        <v>0.09</v>
      </c>
      <c r="O1340">
        <f t="shared" si="122"/>
        <v>25203.69</v>
      </c>
      <c r="P1340" s="7">
        <f t="shared" si="123"/>
        <v>0.87441771406688495</v>
      </c>
      <c r="Q1340" s="7">
        <f t="shared" si="124"/>
        <v>7775.8666666666668</v>
      </c>
      <c r="R1340">
        <f t="shared" si="125"/>
        <v>1.6073043272631906</v>
      </c>
    </row>
    <row r="1341" spans="1:18" x14ac:dyDescent="0.25">
      <c r="A1341" t="s">
        <v>795</v>
      </c>
      <c r="B1341" t="s">
        <v>77</v>
      </c>
      <c r="C1341" t="s">
        <v>5</v>
      </c>
      <c r="D1341">
        <v>91776</v>
      </c>
      <c r="E1341" s="1">
        <v>44104</v>
      </c>
      <c r="F1341" s="2">
        <f t="shared" si="120"/>
        <v>2020</v>
      </c>
      <c r="G1341">
        <v>43</v>
      </c>
      <c r="H1341" s="3">
        <v>403634</v>
      </c>
      <c r="I1341">
        <v>44701</v>
      </c>
      <c r="J1341">
        <v>403634</v>
      </c>
      <c r="K1341">
        <v>360094</v>
      </c>
      <c r="L1341">
        <v>306613</v>
      </c>
      <c r="M1341" t="str">
        <f t="shared" si="121"/>
        <v>Medium</v>
      </c>
      <c r="N1341">
        <f>VLOOKUP(C1341,Lookup!$A$2:$D$5,MATCH(M1341,Lookup!$A$1:$D$1,0),FALSE)</f>
        <v>0.09</v>
      </c>
      <c r="O1341">
        <f t="shared" si="122"/>
        <v>27595.17</v>
      </c>
      <c r="P1341" s="7">
        <f t="shared" si="123"/>
        <v>0.89212999895945333</v>
      </c>
      <c r="Q1341" s="7">
        <f t="shared" si="124"/>
        <v>9386.8372093023263</v>
      </c>
      <c r="R1341">
        <f t="shared" si="125"/>
        <v>1.6198849291379616</v>
      </c>
    </row>
    <row r="1342" spans="1:18" x14ac:dyDescent="0.25">
      <c r="A1342" t="s">
        <v>795</v>
      </c>
      <c r="B1342" t="s">
        <v>77</v>
      </c>
      <c r="C1342" t="s">
        <v>5</v>
      </c>
      <c r="D1342">
        <v>91776</v>
      </c>
      <c r="E1342" s="1">
        <v>44469</v>
      </c>
      <c r="F1342" s="2">
        <f t="shared" si="120"/>
        <v>2021</v>
      </c>
      <c r="G1342">
        <v>46</v>
      </c>
      <c r="H1342" s="3">
        <v>450314</v>
      </c>
      <c r="I1342">
        <v>74609</v>
      </c>
      <c r="J1342">
        <v>450314</v>
      </c>
      <c r="K1342">
        <v>402291</v>
      </c>
      <c r="L1342">
        <v>379561</v>
      </c>
      <c r="M1342" t="str">
        <f t="shared" si="121"/>
        <v>Medium</v>
      </c>
      <c r="N1342">
        <f>VLOOKUP(C1342,Lookup!$A$2:$D$5,MATCH(M1342,Lookup!$A$1:$D$1,0),FALSE)</f>
        <v>0.09</v>
      </c>
      <c r="O1342">
        <f t="shared" si="122"/>
        <v>34160.49</v>
      </c>
      <c r="P1342" s="7">
        <f t="shared" si="123"/>
        <v>0.89335663559205358</v>
      </c>
      <c r="Q1342" s="7">
        <f t="shared" si="124"/>
        <v>9789.434782608696</v>
      </c>
      <c r="R1342">
        <f t="shared" si="125"/>
        <v>2.1840728865423187</v>
      </c>
    </row>
    <row r="1343" spans="1:18" x14ac:dyDescent="0.25">
      <c r="A1343" t="s">
        <v>796</v>
      </c>
      <c r="B1343" t="s">
        <v>797</v>
      </c>
      <c r="C1343" t="s">
        <v>20</v>
      </c>
      <c r="D1343">
        <v>2176</v>
      </c>
      <c r="E1343" s="1">
        <v>43738</v>
      </c>
      <c r="F1343" s="2">
        <f t="shared" si="120"/>
        <v>2019</v>
      </c>
      <c r="G1343">
        <v>29</v>
      </c>
      <c r="H1343" s="3">
        <v>336852</v>
      </c>
      <c r="I1343">
        <v>15052</v>
      </c>
      <c r="J1343">
        <v>336852</v>
      </c>
      <c r="K1343">
        <v>305901</v>
      </c>
      <c r="L1343">
        <v>273047</v>
      </c>
      <c r="M1343" t="str">
        <f t="shared" si="121"/>
        <v>Medium</v>
      </c>
      <c r="N1343">
        <f>VLOOKUP(C1343,Lookup!$A$2:$D$5,MATCH(M1343,Lookup!$A$1:$D$1,0),FALSE)</f>
        <v>8.5000000000000006E-2</v>
      </c>
      <c r="O1343">
        <f t="shared" si="122"/>
        <v>23208.995000000003</v>
      </c>
      <c r="P1343" s="7">
        <f t="shared" si="123"/>
        <v>0.90811691781553916</v>
      </c>
      <c r="Q1343" s="7">
        <f t="shared" si="124"/>
        <v>11615.586206896553</v>
      </c>
      <c r="R1343">
        <f t="shared" si="125"/>
        <v>0.64854165378552575</v>
      </c>
    </row>
    <row r="1344" spans="1:18" x14ac:dyDescent="0.25">
      <c r="A1344" t="s">
        <v>798</v>
      </c>
      <c r="B1344" t="s">
        <v>799</v>
      </c>
      <c r="C1344" t="s">
        <v>8</v>
      </c>
      <c r="D1344">
        <v>60432</v>
      </c>
      <c r="E1344" s="1">
        <v>43738</v>
      </c>
      <c r="F1344" s="2">
        <f t="shared" si="120"/>
        <v>2019</v>
      </c>
      <c r="G1344">
        <v>42</v>
      </c>
      <c r="H1344" s="3">
        <v>283490</v>
      </c>
      <c r="I1344">
        <v>21265</v>
      </c>
      <c r="J1344">
        <v>283490</v>
      </c>
      <c r="K1344">
        <v>260963</v>
      </c>
      <c r="L1344">
        <v>224737</v>
      </c>
      <c r="M1344" t="str">
        <f t="shared" si="121"/>
        <v>Medium</v>
      </c>
      <c r="N1344">
        <f>VLOOKUP(C1344,Lookup!$A$2:$D$5,MATCH(M1344,Lookup!$A$1:$D$1,0),FALSE)</f>
        <v>0.08</v>
      </c>
      <c r="O1344">
        <f t="shared" si="122"/>
        <v>17978.96</v>
      </c>
      <c r="P1344" s="7">
        <f t="shared" si="123"/>
        <v>0.92053687960774633</v>
      </c>
      <c r="Q1344" s="7">
        <f t="shared" si="124"/>
        <v>6749.7619047619046</v>
      </c>
      <c r="R1344">
        <f t="shared" si="125"/>
        <v>1.1827714172566155</v>
      </c>
    </row>
    <row r="1345" spans="1:18" x14ac:dyDescent="0.25">
      <c r="A1345" t="s">
        <v>798</v>
      </c>
      <c r="B1345" t="s">
        <v>799</v>
      </c>
      <c r="C1345" t="s">
        <v>8</v>
      </c>
      <c r="D1345">
        <v>60432</v>
      </c>
      <c r="E1345" s="1">
        <v>44104</v>
      </c>
      <c r="F1345" s="2">
        <f t="shared" si="120"/>
        <v>2020</v>
      </c>
      <c r="G1345">
        <v>43</v>
      </c>
      <c r="H1345" s="3">
        <v>329089</v>
      </c>
      <c r="I1345">
        <v>24580</v>
      </c>
      <c r="J1345">
        <v>329089</v>
      </c>
      <c r="K1345">
        <v>304953</v>
      </c>
      <c r="L1345">
        <v>248408</v>
      </c>
      <c r="M1345" t="str">
        <f t="shared" si="121"/>
        <v>Medium</v>
      </c>
      <c r="N1345">
        <f>VLOOKUP(C1345,Lookup!$A$2:$D$5,MATCH(M1345,Lookup!$A$1:$D$1,0),FALSE)</f>
        <v>0.08</v>
      </c>
      <c r="O1345">
        <f t="shared" si="122"/>
        <v>19872.64</v>
      </c>
      <c r="P1345" s="7">
        <f t="shared" si="123"/>
        <v>0.92665813807207165</v>
      </c>
      <c r="Q1345" s="7">
        <f t="shared" si="124"/>
        <v>7653.2325581395353</v>
      </c>
      <c r="R1345">
        <f t="shared" si="125"/>
        <v>1.2368764291005121</v>
      </c>
    </row>
    <row r="1346" spans="1:18" x14ac:dyDescent="0.25">
      <c r="A1346" t="s">
        <v>798</v>
      </c>
      <c r="B1346" t="s">
        <v>799</v>
      </c>
      <c r="C1346" t="s">
        <v>8</v>
      </c>
      <c r="D1346">
        <v>60432</v>
      </c>
      <c r="E1346" s="1">
        <v>44469</v>
      </c>
      <c r="F1346" s="2">
        <f t="shared" ref="F1346:F1409" si="126">YEAR(E1346)</f>
        <v>2021</v>
      </c>
      <c r="G1346">
        <v>45</v>
      </c>
      <c r="H1346" s="3">
        <v>351676</v>
      </c>
      <c r="I1346">
        <v>21934</v>
      </c>
      <c r="J1346">
        <v>351676</v>
      </c>
      <c r="K1346">
        <v>323103</v>
      </c>
      <c r="L1346">
        <v>291491</v>
      </c>
      <c r="M1346" t="str">
        <f t="shared" ref="M1346:M1409" si="127">IF(H1346&gt;1000000,"Large",IF(H1346&lt;100000,"Small","Medium"))</f>
        <v>Medium</v>
      </c>
      <c r="N1346">
        <f>VLOOKUP(C1346,Lookup!$A$2:$D$5,MATCH(M1346,Lookup!$A$1:$D$1,0),FALSE)</f>
        <v>0.08</v>
      </c>
      <c r="O1346">
        <f t="shared" ref="O1346:O1409" si="128">L1346*N1346</f>
        <v>23319.279999999999</v>
      </c>
      <c r="P1346" s="7">
        <f t="shared" ref="P1346:P1409" si="129">K1346/H1346</f>
        <v>0.91875191938033873</v>
      </c>
      <c r="Q1346" s="7">
        <f t="shared" ref="Q1346:Q1409" si="130">H1346/G1346</f>
        <v>7815.0222222222219</v>
      </c>
      <c r="R1346">
        <f t="shared" ref="R1346:R1409" si="131">I1346/O1346</f>
        <v>0.94059507840722356</v>
      </c>
    </row>
    <row r="1347" spans="1:18" x14ac:dyDescent="0.25">
      <c r="A1347" t="s">
        <v>800</v>
      </c>
      <c r="B1347" t="s">
        <v>801</v>
      </c>
      <c r="C1347" t="s">
        <v>5</v>
      </c>
      <c r="D1347">
        <v>96002</v>
      </c>
      <c r="E1347" s="1">
        <v>43738</v>
      </c>
      <c r="F1347" s="2">
        <f t="shared" si="126"/>
        <v>2019</v>
      </c>
      <c r="G1347">
        <v>209</v>
      </c>
      <c r="H1347" s="3">
        <v>1471733</v>
      </c>
      <c r="I1347">
        <v>88604</v>
      </c>
      <c r="J1347">
        <v>1471733</v>
      </c>
      <c r="K1347">
        <v>1283539</v>
      </c>
      <c r="L1347">
        <v>1266528</v>
      </c>
      <c r="M1347" t="str">
        <f t="shared" si="127"/>
        <v>Large</v>
      </c>
      <c r="N1347">
        <f>VLOOKUP(C1347,Lookup!$A$2:$D$5,MATCH(M1347,Lookup!$A$1:$D$1,0),FALSE)</f>
        <v>0.08</v>
      </c>
      <c r="O1347">
        <f t="shared" si="128"/>
        <v>101322.24000000001</v>
      </c>
      <c r="P1347" s="7">
        <f t="shared" si="129"/>
        <v>0.8721276209747284</v>
      </c>
      <c r="Q1347" s="7">
        <f t="shared" si="130"/>
        <v>7041.7846889952152</v>
      </c>
      <c r="R1347">
        <f t="shared" si="131"/>
        <v>0.87447731120038397</v>
      </c>
    </row>
    <row r="1348" spans="1:18" x14ac:dyDescent="0.25">
      <c r="A1348" t="s">
        <v>800</v>
      </c>
      <c r="B1348" t="s">
        <v>801</v>
      </c>
      <c r="C1348" t="s">
        <v>5</v>
      </c>
      <c r="D1348">
        <v>96002</v>
      </c>
      <c r="E1348" s="1">
        <v>44104</v>
      </c>
      <c r="F1348" s="2">
        <f t="shared" si="126"/>
        <v>2020</v>
      </c>
      <c r="G1348">
        <v>205</v>
      </c>
      <c r="H1348" s="3">
        <v>1739269</v>
      </c>
      <c r="I1348">
        <v>127882</v>
      </c>
      <c r="J1348">
        <v>1739269</v>
      </c>
      <c r="K1348">
        <v>1549315</v>
      </c>
      <c r="L1348">
        <v>1522475</v>
      </c>
      <c r="M1348" t="str">
        <f t="shared" si="127"/>
        <v>Large</v>
      </c>
      <c r="N1348">
        <f>VLOOKUP(C1348,Lookup!$A$2:$D$5,MATCH(M1348,Lookup!$A$1:$D$1,0),FALSE)</f>
        <v>0.08</v>
      </c>
      <c r="O1348">
        <f t="shared" si="128"/>
        <v>121798</v>
      </c>
      <c r="P1348" s="7">
        <f t="shared" si="129"/>
        <v>0.89078515169303885</v>
      </c>
      <c r="Q1348" s="7">
        <f t="shared" si="130"/>
        <v>8484.2390243902446</v>
      </c>
      <c r="R1348">
        <f t="shared" si="131"/>
        <v>1.0499515591389021</v>
      </c>
    </row>
    <row r="1349" spans="1:18" x14ac:dyDescent="0.25">
      <c r="A1349" t="s">
        <v>800</v>
      </c>
      <c r="B1349" t="s">
        <v>61</v>
      </c>
      <c r="C1349" t="s">
        <v>5</v>
      </c>
      <c r="D1349">
        <v>95814</v>
      </c>
      <c r="E1349" s="1">
        <v>44469</v>
      </c>
      <c r="F1349" s="2">
        <f t="shared" si="126"/>
        <v>2021</v>
      </c>
      <c r="G1349">
        <v>186</v>
      </c>
      <c r="H1349" s="3">
        <v>1950857</v>
      </c>
      <c r="I1349">
        <v>155181</v>
      </c>
      <c r="J1349">
        <v>1950857</v>
      </c>
      <c r="K1349">
        <v>1753965</v>
      </c>
      <c r="L1349">
        <v>1739007</v>
      </c>
      <c r="M1349" t="str">
        <f t="shared" si="127"/>
        <v>Large</v>
      </c>
      <c r="N1349">
        <f>VLOOKUP(C1349,Lookup!$A$2:$D$5,MATCH(M1349,Lookup!$A$1:$D$1,0),FALSE)</f>
        <v>0.08</v>
      </c>
      <c r="O1349">
        <f t="shared" si="128"/>
        <v>139120.56</v>
      </c>
      <c r="P1349" s="7">
        <f t="shared" si="129"/>
        <v>0.89907409922921055</v>
      </c>
      <c r="Q1349" s="7">
        <f t="shared" si="130"/>
        <v>10488.478494623656</v>
      </c>
      <c r="R1349">
        <f t="shared" si="131"/>
        <v>1.1154426060389637</v>
      </c>
    </row>
    <row r="1350" spans="1:18" x14ac:dyDescent="0.25">
      <c r="A1350" t="s">
        <v>802</v>
      </c>
      <c r="B1350" t="s">
        <v>803</v>
      </c>
      <c r="C1350" t="s">
        <v>20</v>
      </c>
      <c r="D1350">
        <v>1844</v>
      </c>
      <c r="E1350" s="1">
        <v>43738</v>
      </c>
      <c r="F1350" s="2">
        <f t="shared" si="126"/>
        <v>2019</v>
      </c>
      <c r="G1350">
        <v>16</v>
      </c>
      <c r="H1350" s="3">
        <v>93241</v>
      </c>
      <c r="I1350">
        <v>21482</v>
      </c>
      <c r="J1350">
        <v>93241</v>
      </c>
      <c r="K1350">
        <v>83335</v>
      </c>
      <c r="L1350">
        <v>83187</v>
      </c>
      <c r="M1350" t="str">
        <f t="shared" si="127"/>
        <v>Small</v>
      </c>
      <c r="N1350">
        <f>VLOOKUP(C1350,Lookup!$A$2:$D$5,MATCH(M1350,Lookup!$A$1:$D$1,0),FALSE)</f>
        <v>9.5000000000000001E-2</v>
      </c>
      <c r="O1350">
        <f t="shared" si="128"/>
        <v>7902.7650000000003</v>
      </c>
      <c r="P1350" s="7">
        <f t="shared" si="129"/>
        <v>0.89375918319194347</v>
      </c>
      <c r="Q1350" s="7">
        <f t="shared" si="130"/>
        <v>5827.5625</v>
      </c>
      <c r="R1350">
        <f t="shared" si="131"/>
        <v>2.7182891051423139</v>
      </c>
    </row>
    <row r="1351" spans="1:18" x14ac:dyDescent="0.25">
      <c r="A1351" t="s">
        <v>802</v>
      </c>
      <c r="B1351" t="s">
        <v>803</v>
      </c>
      <c r="C1351" t="s">
        <v>20</v>
      </c>
      <c r="D1351">
        <v>1844</v>
      </c>
      <c r="E1351" s="1">
        <v>44104</v>
      </c>
      <c r="F1351" s="2">
        <f t="shared" si="126"/>
        <v>2020</v>
      </c>
      <c r="G1351">
        <v>16</v>
      </c>
      <c r="H1351" s="3">
        <v>105495</v>
      </c>
      <c r="I1351">
        <v>24899</v>
      </c>
      <c r="J1351">
        <v>105495</v>
      </c>
      <c r="K1351">
        <v>95248</v>
      </c>
      <c r="L1351">
        <v>95099</v>
      </c>
      <c r="M1351" t="str">
        <f t="shared" si="127"/>
        <v>Medium</v>
      </c>
      <c r="N1351">
        <f>VLOOKUP(C1351,Lookup!$A$2:$D$5,MATCH(M1351,Lookup!$A$1:$D$1,0),FALSE)</f>
        <v>8.5000000000000006E-2</v>
      </c>
      <c r="O1351">
        <f t="shared" si="128"/>
        <v>8083.4150000000009</v>
      </c>
      <c r="P1351" s="7">
        <f t="shared" si="129"/>
        <v>0.90286743447556761</v>
      </c>
      <c r="Q1351" s="7">
        <f t="shared" si="130"/>
        <v>6593.4375</v>
      </c>
      <c r="R1351">
        <f t="shared" si="131"/>
        <v>3.0802575396660936</v>
      </c>
    </row>
    <row r="1352" spans="1:18" x14ac:dyDescent="0.25">
      <c r="A1352" t="s">
        <v>802</v>
      </c>
      <c r="B1352" t="s">
        <v>803</v>
      </c>
      <c r="C1352" t="s">
        <v>20</v>
      </c>
      <c r="D1352">
        <v>1844</v>
      </c>
      <c r="E1352" s="1">
        <v>44469</v>
      </c>
      <c r="F1352" s="2">
        <f t="shared" si="126"/>
        <v>2021</v>
      </c>
      <c r="G1352">
        <v>17</v>
      </c>
      <c r="H1352" s="3">
        <v>119045</v>
      </c>
      <c r="I1352">
        <v>25077</v>
      </c>
      <c r="J1352">
        <v>119045</v>
      </c>
      <c r="K1352">
        <v>108385</v>
      </c>
      <c r="L1352">
        <v>108196</v>
      </c>
      <c r="M1352" t="str">
        <f t="shared" si="127"/>
        <v>Medium</v>
      </c>
      <c r="N1352">
        <f>VLOOKUP(C1352,Lookup!$A$2:$D$5,MATCH(M1352,Lookup!$A$1:$D$1,0),FALSE)</f>
        <v>8.5000000000000006E-2</v>
      </c>
      <c r="O1352">
        <f t="shared" si="128"/>
        <v>9196.66</v>
      </c>
      <c r="P1352" s="7">
        <f t="shared" si="129"/>
        <v>0.91045402998865976</v>
      </c>
      <c r="Q1352" s="7">
        <f t="shared" si="130"/>
        <v>7002.6470588235297</v>
      </c>
      <c r="R1352">
        <f t="shared" si="131"/>
        <v>2.7267507986595132</v>
      </c>
    </row>
    <row r="1353" spans="1:18" x14ac:dyDescent="0.25">
      <c r="A1353" t="s">
        <v>804</v>
      </c>
      <c r="B1353" t="s">
        <v>185</v>
      </c>
      <c r="C1353" t="s">
        <v>5</v>
      </c>
      <c r="D1353">
        <v>94606</v>
      </c>
      <c r="E1353" s="1">
        <v>43738</v>
      </c>
      <c r="F1353" s="2">
        <f t="shared" si="126"/>
        <v>2019</v>
      </c>
      <c r="G1353">
        <v>40</v>
      </c>
      <c r="H1353" s="3">
        <v>179772</v>
      </c>
      <c r="I1353">
        <v>30033</v>
      </c>
      <c r="J1353">
        <v>179772</v>
      </c>
      <c r="K1353">
        <v>158432</v>
      </c>
      <c r="L1353">
        <v>150527</v>
      </c>
      <c r="M1353" t="str">
        <f t="shared" si="127"/>
        <v>Medium</v>
      </c>
      <c r="N1353">
        <f>VLOOKUP(C1353,Lookup!$A$2:$D$5,MATCH(M1353,Lookup!$A$1:$D$1,0),FALSE)</f>
        <v>0.09</v>
      </c>
      <c r="O1353">
        <f t="shared" si="128"/>
        <v>13547.43</v>
      </c>
      <c r="P1353" s="7">
        <f t="shared" si="129"/>
        <v>0.88129408361702599</v>
      </c>
      <c r="Q1353" s="7">
        <f t="shared" si="130"/>
        <v>4494.3</v>
      </c>
      <c r="R1353">
        <f t="shared" si="131"/>
        <v>2.2168780351697701</v>
      </c>
    </row>
    <row r="1354" spans="1:18" x14ac:dyDescent="0.25">
      <c r="A1354" t="s">
        <v>804</v>
      </c>
      <c r="B1354" t="s">
        <v>185</v>
      </c>
      <c r="C1354" t="s">
        <v>5</v>
      </c>
      <c r="D1354">
        <v>94606</v>
      </c>
      <c r="E1354" s="1">
        <v>44104</v>
      </c>
      <c r="F1354" s="2">
        <f t="shared" si="126"/>
        <v>2020</v>
      </c>
      <c r="G1354">
        <v>41</v>
      </c>
      <c r="H1354" s="3">
        <v>187854</v>
      </c>
      <c r="I1354">
        <v>32640</v>
      </c>
      <c r="J1354">
        <v>187854</v>
      </c>
      <c r="K1354">
        <v>165391</v>
      </c>
      <c r="L1354">
        <v>151617</v>
      </c>
      <c r="M1354" t="str">
        <f t="shared" si="127"/>
        <v>Medium</v>
      </c>
      <c r="N1354">
        <f>VLOOKUP(C1354,Lookup!$A$2:$D$5,MATCH(M1354,Lookup!$A$1:$D$1,0),FALSE)</f>
        <v>0.09</v>
      </c>
      <c r="O1354">
        <f t="shared" si="128"/>
        <v>13645.529999999999</v>
      </c>
      <c r="P1354" s="7">
        <f t="shared" si="129"/>
        <v>0.8804230945308591</v>
      </c>
      <c r="Q1354" s="7">
        <f t="shared" si="130"/>
        <v>4581.8048780487807</v>
      </c>
      <c r="R1354">
        <f t="shared" si="131"/>
        <v>2.391992102908425</v>
      </c>
    </row>
    <row r="1355" spans="1:18" x14ac:dyDescent="0.25">
      <c r="A1355" t="s">
        <v>804</v>
      </c>
      <c r="B1355" t="s">
        <v>185</v>
      </c>
      <c r="C1355" t="s">
        <v>5</v>
      </c>
      <c r="D1355">
        <v>94606</v>
      </c>
      <c r="E1355" s="1">
        <v>44469</v>
      </c>
      <c r="F1355" s="2">
        <f t="shared" si="126"/>
        <v>2021</v>
      </c>
      <c r="G1355">
        <v>42</v>
      </c>
      <c r="H1355" s="3">
        <v>206436</v>
      </c>
      <c r="I1355">
        <v>22610</v>
      </c>
      <c r="J1355">
        <v>206436</v>
      </c>
      <c r="K1355">
        <v>183054</v>
      </c>
      <c r="L1355">
        <v>168874</v>
      </c>
      <c r="M1355" t="str">
        <f t="shared" si="127"/>
        <v>Medium</v>
      </c>
      <c r="N1355">
        <f>VLOOKUP(C1355,Lookup!$A$2:$D$5,MATCH(M1355,Lookup!$A$1:$D$1,0),FALSE)</f>
        <v>0.09</v>
      </c>
      <c r="O1355">
        <f t="shared" si="128"/>
        <v>15198.66</v>
      </c>
      <c r="P1355" s="7">
        <f t="shared" si="129"/>
        <v>0.88673487182468169</v>
      </c>
      <c r="Q1355" s="7">
        <f t="shared" si="130"/>
        <v>4915.1428571428569</v>
      </c>
      <c r="R1355">
        <f t="shared" si="131"/>
        <v>1.4876311464300143</v>
      </c>
    </row>
    <row r="1356" spans="1:18" x14ac:dyDescent="0.25">
      <c r="A1356" t="s">
        <v>805</v>
      </c>
      <c r="B1356" t="s">
        <v>16</v>
      </c>
      <c r="C1356" t="s">
        <v>17</v>
      </c>
      <c r="D1356">
        <v>10022</v>
      </c>
      <c r="E1356" s="1">
        <v>43738</v>
      </c>
      <c r="F1356" s="2">
        <f t="shared" si="126"/>
        <v>2019</v>
      </c>
      <c r="G1356">
        <v>6</v>
      </c>
      <c r="H1356" s="3">
        <v>32809</v>
      </c>
      <c r="I1356">
        <v>19771</v>
      </c>
      <c r="J1356">
        <v>32809</v>
      </c>
      <c r="K1356">
        <v>32809</v>
      </c>
      <c r="L1356">
        <v>10158</v>
      </c>
      <c r="M1356" t="str">
        <f t="shared" si="127"/>
        <v>Small</v>
      </c>
      <c r="N1356">
        <f>VLOOKUP(C1356,Lookup!$A$2:$D$5,MATCH(M1356,Lookup!$A$1:$D$1,0),FALSE)</f>
        <v>0.09</v>
      </c>
      <c r="O1356">
        <f t="shared" si="128"/>
        <v>914.21999999999991</v>
      </c>
      <c r="P1356" s="7">
        <f t="shared" si="129"/>
        <v>1</v>
      </c>
      <c r="Q1356" s="7">
        <f t="shared" si="130"/>
        <v>5468.166666666667</v>
      </c>
      <c r="R1356">
        <f t="shared" si="131"/>
        <v>21.626085624904292</v>
      </c>
    </row>
    <row r="1357" spans="1:18" x14ac:dyDescent="0.25">
      <c r="A1357" t="s">
        <v>805</v>
      </c>
      <c r="B1357" t="s">
        <v>16</v>
      </c>
      <c r="C1357" t="s">
        <v>17</v>
      </c>
      <c r="D1357">
        <v>10022</v>
      </c>
      <c r="E1357" s="1">
        <v>44104</v>
      </c>
      <c r="F1357" s="2">
        <f t="shared" si="126"/>
        <v>2020</v>
      </c>
      <c r="G1357">
        <v>7</v>
      </c>
      <c r="H1357" s="3">
        <v>40132</v>
      </c>
      <c r="I1357">
        <v>28211</v>
      </c>
      <c r="J1357">
        <v>40132</v>
      </c>
      <c r="K1357">
        <v>40132</v>
      </c>
      <c r="L1357">
        <v>9818</v>
      </c>
      <c r="M1357" t="str">
        <f t="shared" si="127"/>
        <v>Small</v>
      </c>
      <c r="N1357">
        <f>VLOOKUP(C1357,Lookup!$A$2:$D$5,MATCH(M1357,Lookup!$A$1:$D$1,0),FALSE)</f>
        <v>0.09</v>
      </c>
      <c r="O1357">
        <f t="shared" si="128"/>
        <v>883.62</v>
      </c>
      <c r="P1357" s="7">
        <f t="shared" si="129"/>
        <v>1</v>
      </c>
      <c r="Q1357" s="7">
        <f t="shared" si="130"/>
        <v>5733.1428571428569</v>
      </c>
      <c r="R1357">
        <f t="shared" si="131"/>
        <v>31.92662004028881</v>
      </c>
    </row>
    <row r="1358" spans="1:18" x14ac:dyDescent="0.25">
      <c r="A1358" t="s">
        <v>805</v>
      </c>
      <c r="B1358" t="s">
        <v>16</v>
      </c>
      <c r="C1358" t="s">
        <v>17</v>
      </c>
      <c r="D1358">
        <v>10022</v>
      </c>
      <c r="E1358" s="1">
        <v>44469</v>
      </c>
      <c r="F1358" s="2">
        <f t="shared" si="126"/>
        <v>2021</v>
      </c>
      <c r="G1358">
        <v>7</v>
      </c>
      <c r="H1358" s="3">
        <v>31483</v>
      </c>
      <c r="I1358">
        <v>18614</v>
      </c>
      <c r="J1358">
        <v>31483</v>
      </c>
      <c r="K1358">
        <v>31483</v>
      </c>
      <c r="L1358">
        <v>10266</v>
      </c>
      <c r="M1358" t="str">
        <f t="shared" si="127"/>
        <v>Small</v>
      </c>
      <c r="N1358">
        <f>VLOOKUP(C1358,Lookup!$A$2:$D$5,MATCH(M1358,Lookup!$A$1:$D$1,0),FALSE)</f>
        <v>0.09</v>
      </c>
      <c r="O1358">
        <f t="shared" si="128"/>
        <v>923.93999999999994</v>
      </c>
      <c r="P1358" s="7">
        <f t="shared" si="129"/>
        <v>1</v>
      </c>
      <c r="Q1358" s="7">
        <f t="shared" si="130"/>
        <v>4497.5714285714284</v>
      </c>
      <c r="R1358">
        <f t="shared" si="131"/>
        <v>20.146329848258546</v>
      </c>
    </row>
    <row r="1359" spans="1:18" x14ac:dyDescent="0.25">
      <c r="A1359" t="s">
        <v>806</v>
      </c>
      <c r="B1359" t="s">
        <v>28</v>
      </c>
      <c r="C1359" t="s">
        <v>8</v>
      </c>
      <c r="D1359">
        <v>60611</v>
      </c>
      <c r="E1359" s="1">
        <v>43738</v>
      </c>
      <c r="F1359" s="2">
        <f t="shared" si="126"/>
        <v>2019</v>
      </c>
      <c r="G1359">
        <v>35</v>
      </c>
      <c r="H1359" s="3">
        <v>229942</v>
      </c>
      <c r="I1359">
        <v>65832</v>
      </c>
      <c r="J1359">
        <v>229942</v>
      </c>
      <c r="K1359">
        <v>208397</v>
      </c>
      <c r="L1359">
        <v>202602</v>
      </c>
      <c r="M1359" t="str">
        <f t="shared" si="127"/>
        <v>Medium</v>
      </c>
      <c r="N1359">
        <f>VLOOKUP(C1359,Lookup!$A$2:$D$5,MATCH(M1359,Lookup!$A$1:$D$1,0),FALSE)</f>
        <v>0.08</v>
      </c>
      <c r="O1359">
        <f t="shared" si="128"/>
        <v>16208.16</v>
      </c>
      <c r="P1359" s="7">
        <f t="shared" si="129"/>
        <v>0.90630245888093519</v>
      </c>
      <c r="Q1359" s="7">
        <f t="shared" si="130"/>
        <v>6569.7714285714283</v>
      </c>
      <c r="R1359">
        <f t="shared" si="131"/>
        <v>4.0616578316107441</v>
      </c>
    </row>
    <row r="1360" spans="1:18" x14ac:dyDescent="0.25">
      <c r="A1360" t="s">
        <v>806</v>
      </c>
      <c r="B1360" t="s">
        <v>28</v>
      </c>
      <c r="C1360" t="s">
        <v>8</v>
      </c>
      <c r="D1360">
        <v>60611</v>
      </c>
      <c r="E1360" s="1">
        <v>44104</v>
      </c>
      <c r="F1360" s="2">
        <f t="shared" si="126"/>
        <v>2020</v>
      </c>
      <c r="G1360">
        <v>41</v>
      </c>
      <c r="H1360" s="3">
        <v>228475</v>
      </c>
      <c r="I1360">
        <v>65619</v>
      </c>
      <c r="J1360">
        <v>228475</v>
      </c>
      <c r="K1360">
        <v>207875</v>
      </c>
      <c r="L1360">
        <v>198185</v>
      </c>
      <c r="M1360" t="str">
        <f t="shared" si="127"/>
        <v>Medium</v>
      </c>
      <c r="N1360">
        <f>VLOOKUP(C1360,Lookup!$A$2:$D$5,MATCH(M1360,Lookup!$A$1:$D$1,0),FALSE)</f>
        <v>0.08</v>
      </c>
      <c r="O1360">
        <f t="shared" si="128"/>
        <v>15854.800000000001</v>
      </c>
      <c r="P1360" s="7">
        <f t="shared" si="129"/>
        <v>0.9098369624685414</v>
      </c>
      <c r="Q1360" s="7">
        <f t="shared" si="130"/>
        <v>5572.5609756097565</v>
      </c>
      <c r="R1360">
        <f t="shared" si="131"/>
        <v>4.1387466256275696</v>
      </c>
    </row>
    <row r="1361" spans="1:18" x14ac:dyDescent="0.25">
      <c r="A1361" t="s">
        <v>806</v>
      </c>
      <c r="B1361" t="s">
        <v>28</v>
      </c>
      <c r="C1361" t="s">
        <v>8</v>
      </c>
      <c r="D1361">
        <v>60611</v>
      </c>
      <c r="E1361" s="1">
        <v>44469</v>
      </c>
      <c r="F1361" s="2">
        <f t="shared" si="126"/>
        <v>2021</v>
      </c>
      <c r="G1361">
        <v>40</v>
      </c>
      <c r="H1361" s="3">
        <v>267575</v>
      </c>
      <c r="I1361">
        <v>57777</v>
      </c>
      <c r="J1361">
        <v>267575</v>
      </c>
      <c r="K1361">
        <v>245763</v>
      </c>
      <c r="L1361">
        <v>241400</v>
      </c>
      <c r="M1361" t="str">
        <f t="shared" si="127"/>
        <v>Medium</v>
      </c>
      <c r="N1361">
        <f>VLOOKUP(C1361,Lookup!$A$2:$D$5,MATCH(M1361,Lookup!$A$1:$D$1,0),FALSE)</f>
        <v>0.08</v>
      </c>
      <c r="O1361">
        <f t="shared" si="128"/>
        <v>19312</v>
      </c>
      <c r="P1361" s="7">
        <f t="shared" si="129"/>
        <v>0.91848266841072601</v>
      </c>
      <c r="Q1361" s="7">
        <f t="shared" si="130"/>
        <v>6689.375</v>
      </c>
      <c r="R1361">
        <f t="shared" si="131"/>
        <v>2.9917667771333885</v>
      </c>
    </row>
    <row r="1362" spans="1:18" x14ac:dyDescent="0.25">
      <c r="A1362" t="s">
        <v>807</v>
      </c>
      <c r="B1362" t="s">
        <v>16</v>
      </c>
      <c r="C1362" t="s">
        <v>17</v>
      </c>
      <c r="D1362">
        <v>10016</v>
      </c>
      <c r="E1362" s="1">
        <v>43738</v>
      </c>
      <c r="F1362" s="2">
        <f t="shared" si="126"/>
        <v>2019</v>
      </c>
      <c r="G1362">
        <v>166</v>
      </c>
      <c r="H1362" s="3">
        <v>3241096</v>
      </c>
      <c r="I1362">
        <v>435440</v>
      </c>
      <c r="J1362">
        <v>3241096</v>
      </c>
      <c r="K1362">
        <v>2908812</v>
      </c>
      <c r="L1362">
        <v>2723242</v>
      </c>
      <c r="M1362" t="str">
        <f t="shared" si="127"/>
        <v>Large</v>
      </c>
      <c r="N1362">
        <f>VLOOKUP(C1362,Lookup!$A$2:$D$5,MATCH(M1362,Lookup!$A$1:$D$1,0),FALSE)</f>
        <v>0.08</v>
      </c>
      <c r="O1362">
        <f t="shared" si="128"/>
        <v>217859.36000000002</v>
      </c>
      <c r="P1362" s="7">
        <f t="shared" si="129"/>
        <v>0.89747789019516855</v>
      </c>
      <c r="Q1362" s="7">
        <f t="shared" si="130"/>
        <v>19524.674698795181</v>
      </c>
      <c r="R1362">
        <f t="shared" si="131"/>
        <v>1.9987206425282804</v>
      </c>
    </row>
    <row r="1363" spans="1:18" x14ac:dyDescent="0.25">
      <c r="A1363" t="s">
        <v>807</v>
      </c>
      <c r="B1363" t="s">
        <v>16</v>
      </c>
      <c r="C1363" t="s">
        <v>17</v>
      </c>
      <c r="D1363">
        <v>10016</v>
      </c>
      <c r="E1363" s="1">
        <v>44104</v>
      </c>
      <c r="F1363" s="2">
        <f t="shared" si="126"/>
        <v>2020</v>
      </c>
      <c r="G1363">
        <v>178</v>
      </c>
      <c r="H1363" s="3">
        <v>4000306</v>
      </c>
      <c r="I1363">
        <v>767904</v>
      </c>
      <c r="J1363">
        <v>4000306</v>
      </c>
      <c r="K1363">
        <v>3627863</v>
      </c>
      <c r="L1363">
        <v>3548522</v>
      </c>
      <c r="M1363" t="str">
        <f t="shared" si="127"/>
        <v>Large</v>
      </c>
      <c r="N1363">
        <f>VLOOKUP(C1363,Lookup!$A$2:$D$5,MATCH(M1363,Lookup!$A$1:$D$1,0),FALSE)</f>
        <v>0.08</v>
      </c>
      <c r="O1363">
        <f t="shared" si="128"/>
        <v>283881.76</v>
      </c>
      <c r="P1363" s="7">
        <f t="shared" si="129"/>
        <v>0.90689637242750931</v>
      </c>
      <c r="Q1363" s="7">
        <f t="shared" si="130"/>
        <v>22473.629213483146</v>
      </c>
      <c r="R1363">
        <f t="shared" si="131"/>
        <v>2.7050135239403899</v>
      </c>
    </row>
    <row r="1364" spans="1:18" x14ac:dyDescent="0.25">
      <c r="A1364" t="s">
        <v>807</v>
      </c>
      <c r="B1364" t="s">
        <v>16</v>
      </c>
      <c r="C1364" t="s">
        <v>17</v>
      </c>
      <c r="D1364">
        <v>10016</v>
      </c>
      <c r="E1364" s="1">
        <v>44469</v>
      </c>
      <c r="F1364" s="2">
        <f t="shared" si="126"/>
        <v>2021</v>
      </c>
      <c r="G1364">
        <v>228</v>
      </c>
      <c r="H1364" s="3">
        <v>6139561</v>
      </c>
      <c r="I1364">
        <v>1857480</v>
      </c>
      <c r="J1364">
        <v>6139561</v>
      </c>
      <c r="K1364">
        <v>5585278</v>
      </c>
      <c r="L1364">
        <v>5512262</v>
      </c>
      <c r="M1364" t="str">
        <f t="shared" si="127"/>
        <v>Large</v>
      </c>
      <c r="N1364">
        <f>VLOOKUP(C1364,Lookup!$A$2:$D$5,MATCH(M1364,Lookup!$A$1:$D$1,0),FALSE)</f>
        <v>0.08</v>
      </c>
      <c r="O1364">
        <f t="shared" si="128"/>
        <v>440980.96</v>
      </c>
      <c r="P1364" s="7">
        <f t="shared" si="129"/>
        <v>0.90971944085252998</v>
      </c>
      <c r="Q1364" s="7">
        <f t="shared" si="130"/>
        <v>26927.899122807019</v>
      </c>
      <c r="R1364">
        <f t="shared" si="131"/>
        <v>4.21215464722105</v>
      </c>
    </row>
    <row r="1365" spans="1:18" x14ac:dyDescent="0.25">
      <c r="A1365" t="s">
        <v>808</v>
      </c>
      <c r="B1365" t="s">
        <v>245</v>
      </c>
      <c r="C1365" t="s">
        <v>8</v>
      </c>
      <c r="D1365">
        <v>61520</v>
      </c>
      <c r="E1365" s="1">
        <v>43738</v>
      </c>
      <c r="F1365" s="2">
        <f t="shared" si="126"/>
        <v>2019</v>
      </c>
      <c r="G1365">
        <v>114</v>
      </c>
      <c r="H1365" s="3">
        <v>424293</v>
      </c>
      <c r="I1365">
        <v>29219</v>
      </c>
      <c r="J1365">
        <v>424293</v>
      </c>
      <c r="K1365">
        <v>368622</v>
      </c>
      <c r="L1365">
        <v>363346</v>
      </c>
      <c r="M1365" t="str">
        <f t="shared" si="127"/>
        <v>Medium</v>
      </c>
      <c r="N1365">
        <f>VLOOKUP(C1365,Lookup!$A$2:$D$5,MATCH(M1365,Lookup!$A$1:$D$1,0),FALSE)</f>
        <v>0.08</v>
      </c>
      <c r="O1365">
        <f t="shared" si="128"/>
        <v>29067.68</v>
      </c>
      <c r="P1365" s="7">
        <f t="shared" si="129"/>
        <v>0.86879114197028939</v>
      </c>
      <c r="Q1365" s="7">
        <f t="shared" si="130"/>
        <v>3721.8684210526317</v>
      </c>
      <c r="R1365">
        <f t="shared" si="131"/>
        <v>1.0052057818167808</v>
      </c>
    </row>
    <row r="1366" spans="1:18" x14ac:dyDescent="0.25">
      <c r="A1366" t="s">
        <v>808</v>
      </c>
      <c r="B1366" t="s">
        <v>245</v>
      </c>
      <c r="C1366" t="s">
        <v>8</v>
      </c>
      <c r="D1366">
        <v>61520</v>
      </c>
      <c r="E1366" s="1">
        <v>44104</v>
      </c>
      <c r="F1366" s="2">
        <f t="shared" si="126"/>
        <v>2020</v>
      </c>
      <c r="G1366">
        <v>114</v>
      </c>
      <c r="H1366" s="3">
        <v>464486</v>
      </c>
      <c r="I1366">
        <v>10382</v>
      </c>
      <c r="J1366">
        <v>464486</v>
      </c>
      <c r="K1366">
        <v>405120</v>
      </c>
      <c r="L1366">
        <v>393013</v>
      </c>
      <c r="M1366" t="str">
        <f t="shared" si="127"/>
        <v>Medium</v>
      </c>
      <c r="N1366">
        <f>VLOOKUP(C1366,Lookup!$A$2:$D$5,MATCH(M1366,Lookup!$A$1:$D$1,0),FALSE)</f>
        <v>0.08</v>
      </c>
      <c r="O1366">
        <f t="shared" si="128"/>
        <v>31441.040000000001</v>
      </c>
      <c r="P1366" s="7">
        <f t="shared" si="129"/>
        <v>0.87218990453964163</v>
      </c>
      <c r="Q1366" s="7">
        <f t="shared" si="130"/>
        <v>4074.4385964912281</v>
      </c>
      <c r="R1366">
        <f t="shared" si="131"/>
        <v>0.33020536216359253</v>
      </c>
    </row>
    <row r="1367" spans="1:18" x14ac:dyDescent="0.25">
      <c r="A1367" t="s">
        <v>808</v>
      </c>
      <c r="B1367" t="s">
        <v>245</v>
      </c>
      <c r="C1367" t="s">
        <v>8</v>
      </c>
      <c r="D1367">
        <v>61520</v>
      </c>
      <c r="E1367" s="1">
        <v>44469</v>
      </c>
      <c r="F1367" s="2">
        <f t="shared" si="126"/>
        <v>2021</v>
      </c>
      <c r="G1367">
        <v>115</v>
      </c>
      <c r="H1367" s="3">
        <v>525562</v>
      </c>
      <c r="I1367">
        <v>21790</v>
      </c>
      <c r="J1367">
        <v>525562</v>
      </c>
      <c r="K1367">
        <v>462309</v>
      </c>
      <c r="L1367">
        <v>451037</v>
      </c>
      <c r="M1367" t="str">
        <f t="shared" si="127"/>
        <v>Medium</v>
      </c>
      <c r="N1367">
        <f>VLOOKUP(C1367,Lookup!$A$2:$D$5,MATCH(M1367,Lookup!$A$1:$D$1,0),FALSE)</f>
        <v>0.08</v>
      </c>
      <c r="O1367">
        <f t="shared" si="128"/>
        <v>36082.959999999999</v>
      </c>
      <c r="P1367" s="7">
        <f t="shared" si="129"/>
        <v>0.87964693033362384</v>
      </c>
      <c r="Q1367" s="7">
        <f t="shared" si="130"/>
        <v>4570.1043478260872</v>
      </c>
      <c r="R1367">
        <f t="shared" si="131"/>
        <v>0.60388615568124127</v>
      </c>
    </row>
    <row r="1368" spans="1:18" x14ac:dyDescent="0.25">
      <c r="A1368" t="s">
        <v>809</v>
      </c>
      <c r="B1368" t="s">
        <v>278</v>
      </c>
      <c r="C1368" t="s">
        <v>20</v>
      </c>
      <c r="D1368">
        <v>2144</v>
      </c>
      <c r="E1368" s="1">
        <v>43738</v>
      </c>
      <c r="F1368" s="2">
        <f t="shared" si="126"/>
        <v>2019</v>
      </c>
      <c r="G1368">
        <v>56</v>
      </c>
      <c r="H1368" s="3">
        <v>426095</v>
      </c>
      <c r="I1368">
        <v>22960</v>
      </c>
      <c r="J1368">
        <v>426095</v>
      </c>
      <c r="K1368">
        <v>386833</v>
      </c>
      <c r="L1368">
        <v>332983</v>
      </c>
      <c r="M1368" t="str">
        <f t="shared" si="127"/>
        <v>Medium</v>
      </c>
      <c r="N1368">
        <f>VLOOKUP(C1368,Lookup!$A$2:$D$5,MATCH(M1368,Lookup!$A$1:$D$1,0),FALSE)</f>
        <v>8.5000000000000006E-2</v>
      </c>
      <c r="O1368">
        <f t="shared" si="128"/>
        <v>28303.555</v>
      </c>
      <c r="P1368" s="7">
        <f t="shared" si="129"/>
        <v>0.90785622924465204</v>
      </c>
      <c r="Q1368" s="7">
        <f t="shared" si="130"/>
        <v>7608.8392857142853</v>
      </c>
      <c r="R1368">
        <f t="shared" si="131"/>
        <v>0.81120551817607367</v>
      </c>
    </row>
    <row r="1369" spans="1:18" x14ac:dyDescent="0.25">
      <c r="A1369" t="s">
        <v>809</v>
      </c>
      <c r="B1369" t="s">
        <v>278</v>
      </c>
      <c r="C1369" t="s">
        <v>20</v>
      </c>
      <c r="D1369">
        <v>2144</v>
      </c>
      <c r="E1369" s="1">
        <v>44104</v>
      </c>
      <c r="F1369" s="2">
        <f t="shared" si="126"/>
        <v>2020</v>
      </c>
      <c r="G1369">
        <v>58</v>
      </c>
      <c r="H1369" s="3">
        <v>461528</v>
      </c>
      <c r="I1369">
        <v>22407</v>
      </c>
      <c r="J1369">
        <v>461527</v>
      </c>
      <c r="K1369">
        <v>422518</v>
      </c>
      <c r="L1369">
        <v>344680</v>
      </c>
      <c r="M1369" t="str">
        <f t="shared" si="127"/>
        <v>Medium</v>
      </c>
      <c r="N1369">
        <f>VLOOKUP(C1369,Lookup!$A$2:$D$5,MATCH(M1369,Lookup!$A$1:$D$1,0),FALSE)</f>
        <v>8.5000000000000006E-2</v>
      </c>
      <c r="O1369">
        <f t="shared" si="128"/>
        <v>29297.800000000003</v>
      </c>
      <c r="P1369" s="7">
        <f t="shared" si="129"/>
        <v>0.9154764174654626</v>
      </c>
      <c r="Q1369" s="7">
        <f t="shared" si="130"/>
        <v>7957.3793103448279</v>
      </c>
      <c r="R1369">
        <f t="shared" si="131"/>
        <v>0.76480145266880095</v>
      </c>
    </row>
    <row r="1370" spans="1:18" x14ac:dyDescent="0.25">
      <c r="A1370" t="s">
        <v>809</v>
      </c>
      <c r="B1370" t="s">
        <v>278</v>
      </c>
      <c r="C1370" t="s">
        <v>20</v>
      </c>
      <c r="D1370">
        <v>2144</v>
      </c>
      <c r="E1370" s="1">
        <v>44469</v>
      </c>
      <c r="F1370" s="2">
        <f t="shared" si="126"/>
        <v>2021</v>
      </c>
      <c r="G1370">
        <v>71</v>
      </c>
      <c r="H1370" s="3">
        <v>574466</v>
      </c>
      <c r="I1370">
        <v>47449</v>
      </c>
      <c r="J1370">
        <v>574466</v>
      </c>
      <c r="K1370">
        <v>532267</v>
      </c>
      <c r="L1370">
        <v>492533</v>
      </c>
      <c r="M1370" t="str">
        <f t="shared" si="127"/>
        <v>Medium</v>
      </c>
      <c r="N1370">
        <f>VLOOKUP(C1370,Lookup!$A$2:$D$5,MATCH(M1370,Lookup!$A$1:$D$1,0),FALSE)</f>
        <v>8.5000000000000006E-2</v>
      </c>
      <c r="O1370">
        <f t="shared" si="128"/>
        <v>41865.305</v>
      </c>
      <c r="P1370" s="7">
        <f t="shared" si="129"/>
        <v>0.926542214856928</v>
      </c>
      <c r="Q1370" s="7">
        <f t="shared" si="130"/>
        <v>8091.070422535211</v>
      </c>
      <c r="R1370">
        <f t="shared" si="131"/>
        <v>1.133372848949745</v>
      </c>
    </row>
    <row r="1371" spans="1:18" x14ac:dyDescent="0.25">
      <c r="A1371" t="s">
        <v>810</v>
      </c>
      <c r="B1371" t="s">
        <v>811</v>
      </c>
      <c r="C1371" t="s">
        <v>20</v>
      </c>
      <c r="D1371">
        <v>1760</v>
      </c>
      <c r="E1371" s="1">
        <v>43738</v>
      </c>
      <c r="F1371" s="2">
        <f t="shared" si="126"/>
        <v>2019</v>
      </c>
      <c r="G1371">
        <v>518</v>
      </c>
      <c r="H1371" s="3">
        <v>4941035</v>
      </c>
      <c r="I1371">
        <v>120241</v>
      </c>
      <c r="J1371">
        <v>4941035</v>
      </c>
      <c r="K1371">
        <v>4285271</v>
      </c>
      <c r="L1371">
        <v>4205246</v>
      </c>
      <c r="M1371" t="str">
        <f t="shared" si="127"/>
        <v>Large</v>
      </c>
      <c r="N1371">
        <f>VLOOKUP(C1371,Lookup!$A$2:$D$5,MATCH(M1371,Lookup!$A$1:$D$1,0),FALSE)</f>
        <v>0.08</v>
      </c>
      <c r="O1371">
        <f t="shared" si="128"/>
        <v>336419.68</v>
      </c>
      <c r="P1371" s="7">
        <f t="shared" si="129"/>
        <v>0.86728205730175967</v>
      </c>
      <c r="Q1371" s="7">
        <f t="shared" si="130"/>
        <v>9538.6776061776054</v>
      </c>
      <c r="R1371">
        <f t="shared" si="131"/>
        <v>0.35741369232620401</v>
      </c>
    </row>
    <row r="1372" spans="1:18" x14ac:dyDescent="0.25">
      <c r="A1372" t="s">
        <v>810</v>
      </c>
      <c r="B1372" t="s">
        <v>811</v>
      </c>
      <c r="C1372" t="s">
        <v>20</v>
      </c>
      <c r="D1372">
        <v>1760</v>
      </c>
      <c r="E1372" s="1">
        <v>44104</v>
      </c>
      <c r="F1372" s="2">
        <f t="shared" si="126"/>
        <v>2020</v>
      </c>
      <c r="G1372">
        <v>526</v>
      </c>
      <c r="H1372" s="3">
        <v>5642748</v>
      </c>
      <c r="I1372">
        <v>371579</v>
      </c>
      <c r="J1372">
        <v>5642748</v>
      </c>
      <c r="K1372">
        <v>4957183</v>
      </c>
      <c r="L1372">
        <v>4855492</v>
      </c>
      <c r="M1372" t="str">
        <f t="shared" si="127"/>
        <v>Large</v>
      </c>
      <c r="N1372">
        <f>VLOOKUP(C1372,Lookup!$A$2:$D$5,MATCH(M1372,Lookup!$A$1:$D$1,0),FALSE)</f>
        <v>0.08</v>
      </c>
      <c r="O1372">
        <f t="shared" si="128"/>
        <v>388439.36</v>
      </c>
      <c r="P1372" s="7">
        <f t="shared" si="129"/>
        <v>0.87850511842811341</v>
      </c>
      <c r="Q1372" s="7">
        <f t="shared" si="130"/>
        <v>10727.657794676807</v>
      </c>
      <c r="R1372">
        <f t="shared" si="131"/>
        <v>0.95659461492264841</v>
      </c>
    </row>
    <row r="1373" spans="1:18" x14ac:dyDescent="0.25">
      <c r="A1373" t="s">
        <v>810</v>
      </c>
      <c r="B1373" t="s">
        <v>811</v>
      </c>
      <c r="C1373" t="s">
        <v>20</v>
      </c>
      <c r="D1373">
        <v>1760</v>
      </c>
      <c r="E1373" s="1">
        <v>44469</v>
      </c>
      <c r="F1373" s="2">
        <f t="shared" si="126"/>
        <v>2021</v>
      </c>
      <c r="G1373">
        <v>506</v>
      </c>
      <c r="H1373" s="3">
        <v>6032158</v>
      </c>
      <c r="I1373">
        <v>366934</v>
      </c>
      <c r="J1373">
        <v>6032158</v>
      </c>
      <c r="K1373">
        <v>5339530</v>
      </c>
      <c r="L1373">
        <v>5255220</v>
      </c>
      <c r="M1373" t="str">
        <f t="shared" si="127"/>
        <v>Large</v>
      </c>
      <c r="N1373">
        <f>VLOOKUP(C1373,Lookup!$A$2:$D$5,MATCH(M1373,Lookup!$A$1:$D$1,0),FALSE)</f>
        <v>0.08</v>
      </c>
      <c r="O1373">
        <f t="shared" si="128"/>
        <v>420417.60000000003</v>
      </c>
      <c r="P1373" s="7">
        <f t="shared" si="129"/>
        <v>0.88517741080389467</v>
      </c>
      <c r="Q1373" s="7">
        <f t="shared" si="130"/>
        <v>11921.260869565218</v>
      </c>
      <c r="R1373">
        <f t="shared" si="131"/>
        <v>0.87278458370915002</v>
      </c>
    </row>
    <row r="1374" spans="1:18" x14ac:dyDescent="0.25">
      <c r="A1374" t="s">
        <v>812</v>
      </c>
      <c r="B1374" t="s">
        <v>520</v>
      </c>
      <c r="C1374" t="s">
        <v>8</v>
      </c>
      <c r="D1374">
        <v>62666</v>
      </c>
      <c r="E1374" s="1">
        <v>43738</v>
      </c>
      <c r="F1374" s="2">
        <f t="shared" si="126"/>
        <v>2019</v>
      </c>
      <c r="G1374">
        <v>7</v>
      </c>
      <c r="H1374" s="3">
        <v>37432</v>
      </c>
      <c r="I1374">
        <v>1511</v>
      </c>
      <c r="J1374">
        <v>37432</v>
      </c>
      <c r="K1374">
        <v>33900</v>
      </c>
      <c r="L1374">
        <v>32856</v>
      </c>
      <c r="M1374" t="str">
        <f t="shared" si="127"/>
        <v>Small</v>
      </c>
      <c r="N1374">
        <f>VLOOKUP(C1374,Lookup!$A$2:$D$5,MATCH(M1374,Lookup!$A$1:$D$1,0),FALSE)</f>
        <v>0.09</v>
      </c>
      <c r="O1374">
        <f t="shared" si="128"/>
        <v>2957.04</v>
      </c>
      <c r="P1374" s="7">
        <f t="shared" si="129"/>
        <v>0.90564223124599275</v>
      </c>
      <c r="Q1374" s="7">
        <f t="shared" si="130"/>
        <v>5347.4285714285716</v>
      </c>
      <c r="R1374">
        <f t="shared" si="131"/>
        <v>0.51098395692990284</v>
      </c>
    </row>
    <row r="1375" spans="1:18" x14ac:dyDescent="0.25">
      <c r="A1375" t="s">
        <v>812</v>
      </c>
      <c r="B1375" t="s">
        <v>520</v>
      </c>
      <c r="C1375" t="s">
        <v>8</v>
      </c>
      <c r="D1375">
        <v>62666</v>
      </c>
      <c r="E1375" s="1">
        <v>44104</v>
      </c>
      <c r="F1375" s="2">
        <f t="shared" si="126"/>
        <v>2020</v>
      </c>
      <c r="G1375">
        <v>7</v>
      </c>
      <c r="H1375" s="3">
        <v>40837</v>
      </c>
      <c r="I1375">
        <v>1774</v>
      </c>
      <c r="J1375">
        <v>40837</v>
      </c>
      <c r="K1375">
        <v>37297</v>
      </c>
      <c r="L1375">
        <v>34757</v>
      </c>
      <c r="M1375" t="str">
        <f t="shared" si="127"/>
        <v>Small</v>
      </c>
      <c r="N1375">
        <f>VLOOKUP(C1375,Lookup!$A$2:$D$5,MATCH(M1375,Lookup!$A$1:$D$1,0),FALSE)</f>
        <v>0.09</v>
      </c>
      <c r="O1375">
        <f t="shared" si="128"/>
        <v>3128.13</v>
      </c>
      <c r="P1375" s="7">
        <f t="shared" si="129"/>
        <v>0.91331390650635458</v>
      </c>
      <c r="Q1375" s="7">
        <f t="shared" si="130"/>
        <v>5833.8571428571431</v>
      </c>
      <c r="R1375">
        <f t="shared" si="131"/>
        <v>0.56711198064019075</v>
      </c>
    </row>
    <row r="1376" spans="1:18" x14ac:dyDescent="0.25">
      <c r="A1376" t="s">
        <v>812</v>
      </c>
      <c r="B1376" t="s">
        <v>520</v>
      </c>
      <c r="C1376" t="s">
        <v>8</v>
      </c>
      <c r="D1376">
        <v>62666</v>
      </c>
      <c r="E1376" s="1">
        <v>44469</v>
      </c>
      <c r="F1376" s="2">
        <f t="shared" si="126"/>
        <v>2021</v>
      </c>
      <c r="G1376">
        <v>7</v>
      </c>
      <c r="H1376" s="3">
        <v>42057</v>
      </c>
      <c r="I1376">
        <v>1004</v>
      </c>
      <c r="J1376">
        <v>42057</v>
      </c>
      <c r="K1376">
        <v>38462</v>
      </c>
      <c r="L1376">
        <v>36181</v>
      </c>
      <c r="M1376" t="str">
        <f t="shared" si="127"/>
        <v>Small</v>
      </c>
      <c r="N1376">
        <f>VLOOKUP(C1376,Lookup!$A$2:$D$5,MATCH(M1376,Lookup!$A$1:$D$1,0),FALSE)</f>
        <v>0.09</v>
      </c>
      <c r="O1376">
        <f t="shared" si="128"/>
        <v>3256.29</v>
      </c>
      <c r="P1376" s="7">
        <f t="shared" si="129"/>
        <v>0.91452076943196137</v>
      </c>
      <c r="Q1376" s="7">
        <f t="shared" si="130"/>
        <v>6008.1428571428569</v>
      </c>
      <c r="R1376">
        <f t="shared" si="131"/>
        <v>0.30832634685485627</v>
      </c>
    </row>
    <row r="1377" spans="1:18" x14ac:dyDescent="0.25">
      <c r="A1377" t="s">
        <v>813</v>
      </c>
      <c r="B1377" t="s">
        <v>814</v>
      </c>
      <c r="C1377" t="s">
        <v>8</v>
      </c>
      <c r="D1377">
        <v>62540</v>
      </c>
      <c r="E1377" s="1">
        <v>43738</v>
      </c>
      <c r="F1377" s="2">
        <f t="shared" si="126"/>
        <v>2019</v>
      </c>
      <c r="G1377">
        <v>14</v>
      </c>
      <c r="H1377" s="3">
        <v>62373</v>
      </c>
      <c r="I1377">
        <v>3145</v>
      </c>
      <c r="J1377">
        <v>62373</v>
      </c>
      <c r="K1377">
        <v>55386</v>
      </c>
      <c r="L1377">
        <v>55113</v>
      </c>
      <c r="M1377" t="str">
        <f t="shared" si="127"/>
        <v>Small</v>
      </c>
      <c r="N1377">
        <f>VLOOKUP(C1377,Lookup!$A$2:$D$5,MATCH(M1377,Lookup!$A$1:$D$1,0),FALSE)</f>
        <v>0.09</v>
      </c>
      <c r="O1377">
        <f t="shared" si="128"/>
        <v>4960.17</v>
      </c>
      <c r="P1377" s="7">
        <f t="shared" si="129"/>
        <v>0.8879803761242846</v>
      </c>
      <c r="Q1377" s="7">
        <f t="shared" si="130"/>
        <v>4455.2142857142853</v>
      </c>
      <c r="R1377">
        <f t="shared" si="131"/>
        <v>0.63405084906364095</v>
      </c>
    </row>
    <row r="1378" spans="1:18" x14ac:dyDescent="0.25">
      <c r="A1378" t="s">
        <v>813</v>
      </c>
      <c r="B1378" t="s">
        <v>814</v>
      </c>
      <c r="C1378" t="s">
        <v>8</v>
      </c>
      <c r="D1378">
        <v>62540</v>
      </c>
      <c r="E1378" s="1">
        <v>44104</v>
      </c>
      <c r="F1378" s="2">
        <f t="shared" si="126"/>
        <v>2020</v>
      </c>
      <c r="G1378">
        <v>14</v>
      </c>
      <c r="H1378" s="3">
        <v>75236</v>
      </c>
      <c r="I1378">
        <v>4509</v>
      </c>
      <c r="J1378">
        <v>75236</v>
      </c>
      <c r="K1378">
        <v>67020</v>
      </c>
      <c r="L1378">
        <v>62515</v>
      </c>
      <c r="M1378" t="str">
        <f t="shared" si="127"/>
        <v>Small</v>
      </c>
      <c r="N1378">
        <f>VLOOKUP(C1378,Lookup!$A$2:$D$5,MATCH(M1378,Lookup!$A$1:$D$1,0),FALSE)</f>
        <v>0.09</v>
      </c>
      <c r="O1378">
        <f t="shared" si="128"/>
        <v>5626.3499999999995</v>
      </c>
      <c r="P1378" s="7">
        <f t="shared" si="129"/>
        <v>0.89079695890265298</v>
      </c>
      <c r="Q1378" s="7">
        <f t="shared" si="130"/>
        <v>5374</v>
      </c>
      <c r="R1378">
        <f t="shared" si="131"/>
        <v>0.80140766216108139</v>
      </c>
    </row>
    <row r="1379" spans="1:18" x14ac:dyDescent="0.25">
      <c r="A1379" t="s">
        <v>813</v>
      </c>
      <c r="B1379" t="s">
        <v>814</v>
      </c>
      <c r="C1379" t="s">
        <v>8</v>
      </c>
      <c r="D1379">
        <v>62540</v>
      </c>
      <c r="E1379" s="1">
        <v>44469</v>
      </c>
      <c r="F1379" s="2">
        <f t="shared" si="126"/>
        <v>2021</v>
      </c>
      <c r="G1379">
        <v>13</v>
      </c>
      <c r="H1379" s="3">
        <v>77680</v>
      </c>
      <c r="I1379">
        <v>3098</v>
      </c>
      <c r="J1379">
        <v>77680</v>
      </c>
      <c r="K1379">
        <v>68768</v>
      </c>
      <c r="L1379">
        <v>68441</v>
      </c>
      <c r="M1379" t="str">
        <f t="shared" si="127"/>
        <v>Small</v>
      </c>
      <c r="N1379">
        <f>VLOOKUP(C1379,Lookup!$A$2:$D$5,MATCH(M1379,Lookup!$A$1:$D$1,0),FALSE)</f>
        <v>0.09</v>
      </c>
      <c r="O1379">
        <f t="shared" si="128"/>
        <v>6159.69</v>
      </c>
      <c r="P1379" s="7">
        <f t="shared" si="129"/>
        <v>0.88527291452111223</v>
      </c>
      <c r="Q1379" s="7">
        <f t="shared" si="130"/>
        <v>5975.3846153846152</v>
      </c>
      <c r="R1379">
        <f t="shared" si="131"/>
        <v>0.50294738858611399</v>
      </c>
    </row>
    <row r="1380" spans="1:18" x14ac:dyDescent="0.25">
      <c r="A1380" t="s">
        <v>815</v>
      </c>
      <c r="B1380" t="s">
        <v>816</v>
      </c>
      <c r="C1380" t="s">
        <v>8</v>
      </c>
      <c r="D1380">
        <v>60455</v>
      </c>
      <c r="E1380" s="1">
        <v>43738</v>
      </c>
      <c r="F1380" s="2">
        <f t="shared" si="126"/>
        <v>2019</v>
      </c>
      <c r="G1380">
        <v>30</v>
      </c>
      <c r="H1380" s="3">
        <v>115745</v>
      </c>
      <c r="I1380">
        <v>26518</v>
      </c>
      <c r="J1380">
        <v>115745</v>
      </c>
      <c r="K1380">
        <v>104631</v>
      </c>
      <c r="L1380">
        <v>103902</v>
      </c>
      <c r="M1380" t="str">
        <f t="shared" si="127"/>
        <v>Medium</v>
      </c>
      <c r="N1380">
        <f>VLOOKUP(C1380,Lookup!$A$2:$D$5,MATCH(M1380,Lookup!$A$1:$D$1,0),FALSE)</f>
        <v>0.08</v>
      </c>
      <c r="O1380">
        <f t="shared" si="128"/>
        <v>8312.16</v>
      </c>
      <c r="P1380" s="7">
        <f t="shared" si="129"/>
        <v>0.90397857358849198</v>
      </c>
      <c r="Q1380" s="7">
        <f t="shared" si="130"/>
        <v>3858.1666666666665</v>
      </c>
      <c r="R1380">
        <f t="shared" si="131"/>
        <v>3.1902658274142941</v>
      </c>
    </row>
    <row r="1381" spans="1:18" x14ac:dyDescent="0.25">
      <c r="A1381" t="s">
        <v>815</v>
      </c>
      <c r="B1381" t="s">
        <v>816</v>
      </c>
      <c r="C1381" t="s">
        <v>8</v>
      </c>
      <c r="D1381">
        <v>60455</v>
      </c>
      <c r="E1381" s="1">
        <v>44104</v>
      </c>
      <c r="F1381" s="2">
        <f t="shared" si="126"/>
        <v>2020</v>
      </c>
      <c r="G1381">
        <v>28</v>
      </c>
      <c r="H1381" s="3">
        <v>119033</v>
      </c>
      <c r="I1381">
        <v>29131</v>
      </c>
      <c r="J1381">
        <v>119033</v>
      </c>
      <c r="K1381">
        <v>108302</v>
      </c>
      <c r="L1381">
        <v>107507</v>
      </c>
      <c r="M1381" t="str">
        <f t="shared" si="127"/>
        <v>Medium</v>
      </c>
      <c r="N1381">
        <f>VLOOKUP(C1381,Lookup!$A$2:$D$5,MATCH(M1381,Lookup!$A$1:$D$1,0),FALSE)</f>
        <v>0.08</v>
      </c>
      <c r="O1381">
        <f t="shared" si="128"/>
        <v>8600.56</v>
      </c>
      <c r="P1381" s="7">
        <f t="shared" si="129"/>
        <v>0.9098485293994103</v>
      </c>
      <c r="Q1381" s="7">
        <f t="shared" si="130"/>
        <v>4251.1785714285716</v>
      </c>
      <c r="R1381">
        <f t="shared" si="131"/>
        <v>3.3871050257192556</v>
      </c>
    </row>
    <row r="1382" spans="1:18" x14ac:dyDescent="0.25">
      <c r="A1382" t="s">
        <v>815</v>
      </c>
      <c r="B1382" t="s">
        <v>816</v>
      </c>
      <c r="C1382" t="s">
        <v>8</v>
      </c>
      <c r="D1382">
        <v>60455</v>
      </c>
      <c r="E1382" s="1">
        <v>44469</v>
      </c>
      <c r="F1382" s="2">
        <f t="shared" si="126"/>
        <v>2021</v>
      </c>
      <c r="G1382">
        <v>26</v>
      </c>
      <c r="H1382" s="3">
        <v>126618</v>
      </c>
      <c r="I1382">
        <v>39541</v>
      </c>
      <c r="J1382">
        <v>126618</v>
      </c>
      <c r="K1382">
        <v>116894</v>
      </c>
      <c r="L1382">
        <v>116208</v>
      </c>
      <c r="M1382" t="str">
        <f t="shared" si="127"/>
        <v>Medium</v>
      </c>
      <c r="N1382">
        <f>VLOOKUP(C1382,Lookup!$A$2:$D$5,MATCH(M1382,Lookup!$A$1:$D$1,0),FALSE)</f>
        <v>0.08</v>
      </c>
      <c r="O1382">
        <f t="shared" si="128"/>
        <v>9296.64</v>
      </c>
      <c r="P1382" s="7">
        <f t="shared" si="129"/>
        <v>0.92320207237517571</v>
      </c>
      <c r="Q1382" s="7">
        <f t="shared" si="130"/>
        <v>4869.9230769230771</v>
      </c>
      <c r="R1382">
        <f t="shared" si="131"/>
        <v>4.2532570907338565</v>
      </c>
    </row>
    <row r="1383" spans="1:18" x14ac:dyDescent="0.25">
      <c r="A1383" t="s">
        <v>817</v>
      </c>
      <c r="B1383" t="s">
        <v>384</v>
      </c>
      <c r="C1383" t="s">
        <v>8</v>
      </c>
      <c r="D1383">
        <v>62401</v>
      </c>
      <c r="E1383" s="1">
        <v>43738</v>
      </c>
      <c r="F1383" s="2">
        <f t="shared" si="126"/>
        <v>2019</v>
      </c>
      <c r="G1383">
        <v>1047</v>
      </c>
      <c r="H1383" s="3">
        <v>5712771</v>
      </c>
      <c r="I1383">
        <v>323248</v>
      </c>
      <c r="J1383">
        <v>5712771</v>
      </c>
      <c r="K1383">
        <v>4939848</v>
      </c>
      <c r="L1383">
        <v>4183557</v>
      </c>
      <c r="M1383" t="str">
        <f t="shared" si="127"/>
        <v>Large</v>
      </c>
      <c r="N1383">
        <f>VLOOKUP(C1383,Lookup!$A$2:$D$5,MATCH(M1383,Lookup!$A$1:$D$1,0),FALSE)</f>
        <v>7.4999999999999997E-2</v>
      </c>
      <c r="O1383">
        <f t="shared" si="128"/>
        <v>313766.77499999997</v>
      </c>
      <c r="P1383" s="7">
        <f t="shared" si="129"/>
        <v>0.86470261104462265</v>
      </c>
      <c r="Q1383" s="7">
        <f t="shared" si="130"/>
        <v>5456.3237822349574</v>
      </c>
      <c r="R1383">
        <f t="shared" si="131"/>
        <v>1.0302174282155911</v>
      </c>
    </row>
    <row r="1384" spans="1:18" x14ac:dyDescent="0.25">
      <c r="A1384" t="s">
        <v>817</v>
      </c>
      <c r="B1384" t="s">
        <v>384</v>
      </c>
      <c r="C1384" t="s">
        <v>8</v>
      </c>
      <c r="D1384">
        <v>62401</v>
      </c>
      <c r="E1384" s="1">
        <v>44104</v>
      </c>
      <c r="F1384" s="2">
        <f t="shared" si="126"/>
        <v>2020</v>
      </c>
      <c r="G1384">
        <v>935</v>
      </c>
      <c r="H1384" s="3">
        <v>6691009</v>
      </c>
      <c r="I1384">
        <v>456529</v>
      </c>
      <c r="J1384">
        <v>6691009</v>
      </c>
      <c r="K1384">
        <v>5925973</v>
      </c>
      <c r="L1384">
        <v>5092864</v>
      </c>
      <c r="M1384" t="str">
        <f t="shared" si="127"/>
        <v>Large</v>
      </c>
      <c r="N1384">
        <f>VLOOKUP(C1384,Lookup!$A$2:$D$5,MATCH(M1384,Lookup!$A$1:$D$1,0),FALSE)</f>
        <v>7.4999999999999997E-2</v>
      </c>
      <c r="O1384">
        <f t="shared" si="128"/>
        <v>381964.79999999999</v>
      </c>
      <c r="P1384" s="7">
        <f t="shared" si="129"/>
        <v>0.88566208773594535</v>
      </c>
      <c r="Q1384" s="7">
        <f t="shared" si="130"/>
        <v>7156.1593582887699</v>
      </c>
      <c r="R1384">
        <f t="shared" si="131"/>
        <v>1.195212228980262</v>
      </c>
    </row>
    <row r="1385" spans="1:18" x14ac:dyDescent="0.25">
      <c r="A1385" t="s">
        <v>817</v>
      </c>
      <c r="B1385" t="s">
        <v>384</v>
      </c>
      <c r="C1385" t="s">
        <v>8</v>
      </c>
      <c r="D1385">
        <v>62401</v>
      </c>
      <c r="E1385" s="1">
        <v>44469</v>
      </c>
      <c r="F1385" s="2">
        <f t="shared" si="126"/>
        <v>2021</v>
      </c>
      <c r="G1385">
        <v>903</v>
      </c>
      <c r="H1385" s="3">
        <v>7083098</v>
      </c>
      <c r="I1385">
        <v>655479</v>
      </c>
      <c r="J1385">
        <v>7083098</v>
      </c>
      <c r="K1385">
        <v>6284874</v>
      </c>
      <c r="L1385">
        <v>5639110</v>
      </c>
      <c r="M1385" t="str">
        <f t="shared" si="127"/>
        <v>Large</v>
      </c>
      <c r="N1385">
        <f>VLOOKUP(C1385,Lookup!$A$2:$D$5,MATCH(M1385,Lookup!$A$1:$D$1,0),FALSE)</f>
        <v>7.4999999999999997E-2</v>
      </c>
      <c r="O1385">
        <f t="shared" si="128"/>
        <v>422933.25</v>
      </c>
      <c r="P1385" s="7">
        <f t="shared" si="129"/>
        <v>0.88730580884240207</v>
      </c>
      <c r="Q1385" s="7">
        <f t="shared" si="130"/>
        <v>7843.9623477297891</v>
      </c>
      <c r="R1385">
        <f t="shared" si="131"/>
        <v>1.5498403116803894</v>
      </c>
    </row>
    <row r="1386" spans="1:18" x14ac:dyDescent="0.25">
      <c r="A1386" t="s">
        <v>818</v>
      </c>
      <c r="B1386" t="s">
        <v>354</v>
      </c>
      <c r="C1386" t="s">
        <v>8</v>
      </c>
      <c r="D1386">
        <v>61462</v>
      </c>
      <c r="E1386" s="1">
        <v>43738</v>
      </c>
      <c r="F1386" s="2">
        <f t="shared" si="126"/>
        <v>2019</v>
      </c>
      <c r="G1386">
        <v>135</v>
      </c>
      <c r="H1386" s="3">
        <v>522253</v>
      </c>
      <c r="I1386">
        <v>12598</v>
      </c>
      <c r="J1386">
        <v>522253</v>
      </c>
      <c r="K1386">
        <v>457090</v>
      </c>
      <c r="L1386">
        <v>390873</v>
      </c>
      <c r="M1386" t="str">
        <f t="shared" si="127"/>
        <v>Medium</v>
      </c>
      <c r="N1386">
        <f>VLOOKUP(C1386,Lookup!$A$2:$D$5,MATCH(M1386,Lookup!$A$1:$D$1,0),FALSE)</f>
        <v>0.08</v>
      </c>
      <c r="O1386">
        <f t="shared" si="128"/>
        <v>31269.84</v>
      </c>
      <c r="P1386" s="7">
        <f t="shared" si="129"/>
        <v>0.87522714086850628</v>
      </c>
      <c r="Q1386" s="7">
        <f t="shared" si="130"/>
        <v>3868.5407407407406</v>
      </c>
      <c r="R1386">
        <f t="shared" si="131"/>
        <v>0.40288021940630331</v>
      </c>
    </row>
    <row r="1387" spans="1:18" x14ac:dyDescent="0.25">
      <c r="A1387" t="s">
        <v>818</v>
      </c>
      <c r="B1387" t="s">
        <v>354</v>
      </c>
      <c r="C1387" t="s">
        <v>8</v>
      </c>
      <c r="D1387">
        <v>61462</v>
      </c>
      <c r="E1387" s="1">
        <v>44104</v>
      </c>
      <c r="F1387" s="2">
        <f t="shared" si="126"/>
        <v>2020</v>
      </c>
      <c r="G1387">
        <v>129</v>
      </c>
      <c r="H1387" s="3">
        <v>579097</v>
      </c>
      <c r="I1387">
        <v>30890</v>
      </c>
      <c r="J1387">
        <v>579097</v>
      </c>
      <c r="K1387">
        <v>510023</v>
      </c>
      <c r="L1387">
        <v>436776</v>
      </c>
      <c r="M1387" t="str">
        <f t="shared" si="127"/>
        <v>Medium</v>
      </c>
      <c r="N1387">
        <f>VLOOKUP(C1387,Lookup!$A$2:$D$5,MATCH(M1387,Lookup!$A$1:$D$1,0),FALSE)</f>
        <v>0.08</v>
      </c>
      <c r="O1387">
        <f t="shared" si="128"/>
        <v>34942.080000000002</v>
      </c>
      <c r="P1387" s="7">
        <f t="shared" si="129"/>
        <v>0.88072119178652286</v>
      </c>
      <c r="Q1387" s="7">
        <f t="shared" si="130"/>
        <v>4489.1240310077519</v>
      </c>
      <c r="R1387">
        <f t="shared" si="131"/>
        <v>0.88403437917834304</v>
      </c>
    </row>
    <row r="1388" spans="1:18" x14ac:dyDescent="0.25">
      <c r="A1388" t="s">
        <v>818</v>
      </c>
      <c r="B1388" t="s">
        <v>354</v>
      </c>
      <c r="C1388" t="s">
        <v>8</v>
      </c>
      <c r="D1388">
        <v>61462</v>
      </c>
      <c r="E1388" s="1">
        <v>44469</v>
      </c>
      <c r="F1388" s="2">
        <f t="shared" si="126"/>
        <v>2021</v>
      </c>
      <c r="G1388">
        <v>126</v>
      </c>
      <c r="H1388" s="3">
        <v>647132</v>
      </c>
      <c r="I1388">
        <v>21498</v>
      </c>
      <c r="J1388">
        <v>647132</v>
      </c>
      <c r="K1388">
        <v>573821</v>
      </c>
      <c r="L1388">
        <v>505059</v>
      </c>
      <c r="M1388" t="str">
        <f t="shared" si="127"/>
        <v>Medium</v>
      </c>
      <c r="N1388">
        <f>VLOOKUP(C1388,Lookup!$A$2:$D$5,MATCH(M1388,Lookup!$A$1:$D$1,0),FALSE)</f>
        <v>0.08</v>
      </c>
      <c r="O1388">
        <f t="shared" si="128"/>
        <v>40404.720000000001</v>
      </c>
      <c r="P1388" s="7">
        <f t="shared" si="129"/>
        <v>0.88671399343565149</v>
      </c>
      <c r="Q1388" s="7">
        <f t="shared" si="130"/>
        <v>5135.9682539682535</v>
      </c>
      <c r="R1388">
        <f t="shared" si="131"/>
        <v>0.53206655064061825</v>
      </c>
    </row>
    <row r="1389" spans="1:18" x14ac:dyDescent="0.25">
      <c r="A1389" t="s">
        <v>819</v>
      </c>
      <c r="B1389" t="s">
        <v>820</v>
      </c>
      <c r="C1389" t="s">
        <v>8</v>
      </c>
      <c r="D1389">
        <v>61032</v>
      </c>
      <c r="E1389" s="1">
        <v>43738</v>
      </c>
      <c r="F1389" s="2">
        <f t="shared" si="126"/>
        <v>2019</v>
      </c>
      <c r="G1389">
        <v>179</v>
      </c>
      <c r="H1389" s="3">
        <v>246284</v>
      </c>
      <c r="I1389">
        <v>13345</v>
      </c>
      <c r="J1389">
        <v>246284</v>
      </c>
      <c r="K1389">
        <v>216543</v>
      </c>
      <c r="L1389">
        <v>215122</v>
      </c>
      <c r="M1389" t="str">
        <f t="shared" si="127"/>
        <v>Medium</v>
      </c>
      <c r="N1389">
        <f>VLOOKUP(C1389,Lookup!$A$2:$D$5,MATCH(M1389,Lookup!$A$1:$D$1,0),FALSE)</f>
        <v>0.08</v>
      </c>
      <c r="O1389">
        <f t="shared" si="128"/>
        <v>17209.760000000002</v>
      </c>
      <c r="P1389" s="7">
        <f t="shared" si="129"/>
        <v>0.87924103880073412</v>
      </c>
      <c r="Q1389" s="7">
        <f t="shared" si="130"/>
        <v>1375.8882681564246</v>
      </c>
      <c r="R1389">
        <f t="shared" si="131"/>
        <v>0.77543208040088873</v>
      </c>
    </row>
    <row r="1390" spans="1:18" x14ac:dyDescent="0.25">
      <c r="A1390" t="s">
        <v>819</v>
      </c>
      <c r="B1390" t="s">
        <v>820</v>
      </c>
      <c r="C1390" t="s">
        <v>8</v>
      </c>
      <c r="D1390">
        <v>61032</v>
      </c>
      <c r="E1390" s="1">
        <v>44104</v>
      </c>
      <c r="F1390" s="2">
        <f t="shared" si="126"/>
        <v>2020</v>
      </c>
      <c r="G1390">
        <v>229</v>
      </c>
      <c r="H1390" s="3">
        <v>381225</v>
      </c>
      <c r="I1390">
        <v>19814</v>
      </c>
      <c r="J1390">
        <v>381225</v>
      </c>
      <c r="K1390">
        <v>339808</v>
      </c>
      <c r="L1390">
        <v>337966</v>
      </c>
      <c r="M1390" t="str">
        <f t="shared" si="127"/>
        <v>Medium</v>
      </c>
      <c r="N1390">
        <f>VLOOKUP(C1390,Lookup!$A$2:$D$5,MATCH(M1390,Lookup!$A$1:$D$1,0),FALSE)</f>
        <v>0.08</v>
      </c>
      <c r="O1390">
        <f t="shared" si="128"/>
        <v>27037.279999999999</v>
      </c>
      <c r="P1390" s="7">
        <f t="shared" si="129"/>
        <v>0.89135812184405538</v>
      </c>
      <c r="Q1390" s="7">
        <f t="shared" si="130"/>
        <v>1664.7379912663755</v>
      </c>
      <c r="R1390">
        <f t="shared" si="131"/>
        <v>0.73283998982146137</v>
      </c>
    </row>
    <row r="1391" spans="1:18" x14ac:dyDescent="0.25">
      <c r="A1391" t="s">
        <v>819</v>
      </c>
      <c r="B1391" t="s">
        <v>820</v>
      </c>
      <c r="C1391" t="s">
        <v>8</v>
      </c>
      <c r="D1391">
        <v>61032</v>
      </c>
      <c r="E1391" s="1">
        <v>44469</v>
      </c>
      <c r="F1391" s="2">
        <f t="shared" si="126"/>
        <v>2021</v>
      </c>
      <c r="G1391">
        <v>258</v>
      </c>
      <c r="H1391" s="3">
        <v>352943</v>
      </c>
      <c r="I1391">
        <v>41163</v>
      </c>
      <c r="J1391">
        <v>352943</v>
      </c>
      <c r="K1391">
        <v>298645</v>
      </c>
      <c r="L1391">
        <v>295824</v>
      </c>
      <c r="M1391" t="str">
        <f t="shared" si="127"/>
        <v>Medium</v>
      </c>
      <c r="N1391">
        <f>VLOOKUP(C1391,Lookup!$A$2:$D$5,MATCH(M1391,Lookup!$A$1:$D$1,0),FALSE)</f>
        <v>0.08</v>
      </c>
      <c r="O1391">
        <f t="shared" si="128"/>
        <v>23665.920000000002</v>
      </c>
      <c r="P1391" s="7">
        <f t="shared" si="129"/>
        <v>0.84615646152494883</v>
      </c>
      <c r="Q1391" s="7">
        <f t="shared" si="130"/>
        <v>1367.9961240310076</v>
      </c>
      <c r="R1391">
        <f t="shared" si="131"/>
        <v>1.7393365649845853</v>
      </c>
    </row>
    <row r="1392" spans="1:18" x14ac:dyDescent="0.25">
      <c r="A1392" t="s">
        <v>821</v>
      </c>
      <c r="B1392" t="s">
        <v>311</v>
      </c>
      <c r="C1392" t="s">
        <v>8</v>
      </c>
      <c r="D1392">
        <v>60953</v>
      </c>
      <c r="E1392" s="1">
        <v>43738</v>
      </c>
      <c r="F1392" s="2">
        <f t="shared" si="126"/>
        <v>2019</v>
      </c>
      <c r="G1392">
        <v>4</v>
      </c>
      <c r="H1392" s="3">
        <v>30141</v>
      </c>
      <c r="I1392">
        <v>8951</v>
      </c>
      <c r="J1392">
        <v>30141</v>
      </c>
      <c r="K1392">
        <v>27466</v>
      </c>
      <c r="L1392">
        <v>27205</v>
      </c>
      <c r="M1392" t="str">
        <f t="shared" si="127"/>
        <v>Small</v>
      </c>
      <c r="N1392">
        <f>VLOOKUP(C1392,Lookup!$A$2:$D$5,MATCH(M1392,Lookup!$A$1:$D$1,0),FALSE)</f>
        <v>0.09</v>
      </c>
      <c r="O1392">
        <f t="shared" si="128"/>
        <v>2448.4499999999998</v>
      </c>
      <c r="P1392" s="7">
        <f t="shared" si="129"/>
        <v>0.91125045618924394</v>
      </c>
      <c r="Q1392" s="7">
        <f t="shared" si="130"/>
        <v>7535.25</v>
      </c>
      <c r="R1392">
        <f t="shared" si="131"/>
        <v>3.6557822295738123</v>
      </c>
    </row>
    <row r="1393" spans="1:18" x14ac:dyDescent="0.25">
      <c r="A1393" t="s">
        <v>821</v>
      </c>
      <c r="B1393" t="s">
        <v>311</v>
      </c>
      <c r="C1393" t="s">
        <v>8</v>
      </c>
      <c r="D1393">
        <v>60953</v>
      </c>
      <c r="E1393" s="1">
        <v>44104</v>
      </c>
      <c r="F1393" s="2">
        <f t="shared" si="126"/>
        <v>2020</v>
      </c>
      <c r="G1393">
        <v>4</v>
      </c>
      <c r="H1393" s="3">
        <v>30934</v>
      </c>
      <c r="I1393">
        <v>10067</v>
      </c>
      <c r="J1393">
        <v>30933</v>
      </c>
      <c r="K1393">
        <v>28161</v>
      </c>
      <c r="L1393">
        <v>27964</v>
      </c>
      <c r="M1393" t="str">
        <f t="shared" si="127"/>
        <v>Small</v>
      </c>
      <c r="N1393">
        <f>VLOOKUP(C1393,Lookup!$A$2:$D$5,MATCH(M1393,Lookup!$A$1:$D$1,0),FALSE)</f>
        <v>0.09</v>
      </c>
      <c r="O1393">
        <f t="shared" si="128"/>
        <v>2516.7599999999998</v>
      </c>
      <c r="P1393" s="7">
        <f t="shared" si="129"/>
        <v>0.91035753539794406</v>
      </c>
      <c r="Q1393" s="7">
        <f t="shared" si="130"/>
        <v>7733.5</v>
      </c>
      <c r="R1393">
        <f t="shared" si="131"/>
        <v>3.9999841065496913</v>
      </c>
    </row>
    <row r="1394" spans="1:18" x14ac:dyDescent="0.25">
      <c r="A1394" t="s">
        <v>821</v>
      </c>
      <c r="B1394" t="s">
        <v>311</v>
      </c>
      <c r="C1394" t="s">
        <v>8</v>
      </c>
      <c r="D1394">
        <v>60953</v>
      </c>
      <c r="E1394" s="1">
        <v>44469</v>
      </c>
      <c r="F1394" s="2">
        <f t="shared" si="126"/>
        <v>2021</v>
      </c>
      <c r="G1394">
        <v>4</v>
      </c>
      <c r="H1394" s="3">
        <v>31962</v>
      </c>
      <c r="I1394">
        <v>10852</v>
      </c>
      <c r="J1394">
        <v>31962</v>
      </c>
      <c r="K1394">
        <v>29018</v>
      </c>
      <c r="L1394">
        <v>28829</v>
      </c>
      <c r="M1394" t="str">
        <f t="shared" si="127"/>
        <v>Small</v>
      </c>
      <c r="N1394">
        <f>VLOOKUP(C1394,Lookup!$A$2:$D$5,MATCH(M1394,Lookup!$A$1:$D$1,0),FALSE)</f>
        <v>0.09</v>
      </c>
      <c r="O1394">
        <f t="shared" si="128"/>
        <v>2594.61</v>
      </c>
      <c r="P1394" s="7">
        <f t="shared" si="129"/>
        <v>0.90789062011138222</v>
      </c>
      <c r="Q1394" s="7">
        <f t="shared" si="130"/>
        <v>7990.5</v>
      </c>
      <c r="R1394">
        <f t="shared" si="131"/>
        <v>4.1825168329729703</v>
      </c>
    </row>
    <row r="1395" spans="1:18" x14ac:dyDescent="0.25">
      <c r="A1395" t="s">
        <v>822</v>
      </c>
      <c r="B1395" t="s">
        <v>311</v>
      </c>
      <c r="C1395" t="s">
        <v>20</v>
      </c>
      <c r="D1395">
        <v>1757</v>
      </c>
      <c r="E1395" s="1">
        <v>43738</v>
      </c>
      <c r="F1395" s="2">
        <f t="shared" si="126"/>
        <v>2019</v>
      </c>
      <c r="G1395">
        <v>81</v>
      </c>
      <c r="H1395" s="3">
        <v>418574</v>
      </c>
      <c r="I1395">
        <v>24444</v>
      </c>
      <c r="J1395">
        <v>418575</v>
      </c>
      <c r="K1395">
        <v>369263</v>
      </c>
      <c r="L1395">
        <v>338970</v>
      </c>
      <c r="M1395" t="str">
        <f t="shared" si="127"/>
        <v>Medium</v>
      </c>
      <c r="N1395">
        <f>VLOOKUP(C1395,Lookup!$A$2:$D$5,MATCH(M1395,Lookup!$A$1:$D$1,0),FALSE)</f>
        <v>8.5000000000000006E-2</v>
      </c>
      <c r="O1395">
        <f t="shared" si="128"/>
        <v>28812.45</v>
      </c>
      <c r="P1395" s="7">
        <f t="shared" si="129"/>
        <v>0.88219287390043333</v>
      </c>
      <c r="Q1395" s="7">
        <f t="shared" si="130"/>
        <v>5167.5802469135806</v>
      </c>
      <c r="R1395">
        <f t="shared" si="131"/>
        <v>0.84838325099045719</v>
      </c>
    </row>
    <row r="1396" spans="1:18" x14ac:dyDescent="0.25">
      <c r="A1396" t="s">
        <v>822</v>
      </c>
      <c r="B1396" t="s">
        <v>311</v>
      </c>
      <c r="C1396" t="s">
        <v>20</v>
      </c>
      <c r="D1396">
        <v>1757</v>
      </c>
      <c r="E1396" s="1">
        <v>44104</v>
      </c>
      <c r="F1396" s="2">
        <f t="shared" si="126"/>
        <v>2020</v>
      </c>
      <c r="G1396">
        <v>78</v>
      </c>
      <c r="H1396" s="3">
        <v>438362</v>
      </c>
      <c r="I1396">
        <v>45544</v>
      </c>
      <c r="J1396">
        <v>438362</v>
      </c>
      <c r="K1396">
        <v>387501</v>
      </c>
      <c r="L1396">
        <v>366901</v>
      </c>
      <c r="M1396" t="str">
        <f t="shared" si="127"/>
        <v>Medium</v>
      </c>
      <c r="N1396">
        <f>VLOOKUP(C1396,Lookup!$A$2:$D$5,MATCH(M1396,Lookup!$A$1:$D$1,0),FALSE)</f>
        <v>8.5000000000000006E-2</v>
      </c>
      <c r="O1396">
        <f t="shared" si="128"/>
        <v>31186.585000000003</v>
      </c>
      <c r="P1396" s="7">
        <f t="shared" si="129"/>
        <v>0.88397488833429905</v>
      </c>
      <c r="Q1396" s="7">
        <f t="shared" si="130"/>
        <v>5620.0256410256407</v>
      </c>
      <c r="R1396">
        <f t="shared" si="131"/>
        <v>1.4603715026829645</v>
      </c>
    </row>
    <row r="1397" spans="1:18" x14ac:dyDescent="0.25">
      <c r="A1397" t="s">
        <v>822</v>
      </c>
      <c r="B1397" t="s">
        <v>311</v>
      </c>
      <c r="C1397" t="s">
        <v>20</v>
      </c>
      <c r="D1397">
        <v>1757</v>
      </c>
      <c r="E1397" s="1">
        <v>44469</v>
      </c>
      <c r="F1397" s="2">
        <f t="shared" si="126"/>
        <v>2021</v>
      </c>
      <c r="G1397">
        <v>80</v>
      </c>
      <c r="H1397" s="3">
        <v>456763</v>
      </c>
      <c r="I1397">
        <v>38476</v>
      </c>
      <c r="J1397">
        <v>456763</v>
      </c>
      <c r="K1397">
        <v>403983</v>
      </c>
      <c r="L1397">
        <v>388575</v>
      </c>
      <c r="M1397" t="str">
        <f t="shared" si="127"/>
        <v>Medium</v>
      </c>
      <c r="N1397">
        <f>VLOOKUP(C1397,Lookup!$A$2:$D$5,MATCH(M1397,Lookup!$A$1:$D$1,0),FALSE)</f>
        <v>8.5000000000000006E-2</v>
      </c>
      <c r="O1397">
        <f t="shared" si="128"/>
        <v>33028.875</v>
      </c>
      <c r="P1397" s="7">
        <f t="shared" si="129"/>
        <v>0.88444773328837933</v>
      </c>
      <c r="Q1397" s="7">
        <f t="shared" si="130"/>
        <v>5709.5375000000004</v>
      </c>
      <c r="R1397">
        <f t="shared" si="131"/>
        <v>1.16492008886164</v>
      </c>
    </row>
    <row r="1398" spans="1:18" x14ac:dyDescent="0.25">
      <c r="A1398" t="s">
        <v>823</v>
      </c>
      <c r="B1398" t="s">
        <v>824</v>
      </c>
      <c r="C1398" t="s">
        <v>20</v>
      </c>
      <c r="D1398">
        <v>1527</v>
      </c>
      <c r="E1398" s="1">
        <v>43738</v>
      </c>
      <c r="F1398" s="2">
        <f t="shared" si="126"/>
        <v>2019</v>
      </c>
      <c r="G1398">
        <v>18</v>
      </c>
      <c r="H1398" s="3">
        <v>95833</v>
      </c>
      <c r="I1398">
        <v>7512</v>
      </c>
      <c r="J1398">
        <v>95833</v>
      </c>
      <c r="K1398">
        <v>86342</v>
      </c>
      <c r="L1398">
        <v>83355</v>
      </c>
      <c r="M1398" t="str">
        <f t="shared" si="127"/>
        <v>Small</v>
      </c>
      <c r="N1398">
        <f>VLOOKUP(C1398,Lookup!$A$2:$D$5,MATCH(M1398,Lookup!$A$1:$D$1,0),FALSE)</f>
        <v>9.5000000000000001E-2</v>
      </c>
      <c r="O1398">
        <f t="shared" si="128"/>
        <v>7918.7250000000004</v>
      </c>
      <c r="P1398" s="7">
        <f t="shared" si="129"/>
        <v>0.90096313378481319</v>
      </c>
      <c r="Q1398" s="7">
        <f t="shared" si="130"/>
        <v>5324.0555555555557</v>
      </c>
      <c r="R1398">
        <f t="shared" si="131"/>
        <v>0.94863756475947825</v>
      </c>
    </row>
    <row r="1399" spans="1:18" x14ac:dyDescent="0.25">
      <c r="A1399" t="s">
        <v>823</v>
      </c>
      <c r="B1399" t="s">
        <v>824</v>
      </c>
      <c r="C1399" t="s">
        <v>20</v>
      </c>
      <c r="D1399">
        <v>1527</v>
      </c>
      <c r="E1399" s="1">
        <v>44104</v>
      </c>
      <c r="F1399" s="2">
        <f t="shared" si="126"/>
        <v>2020</v>
      </c>
      <c r="G1399">
        <v>19</v>
      </c>
      <c r="H1399" s="3">
        <v>101509</v>
      </c>
      <c r="I1399">
        <v>14340</v>
      </c>
      <c r="J1399">
        <v>101509</v>
      </c>
      <c r="K1399">
        <v>91990</v>
      </c>
      <c r="L1399">
        <v>88508</v>
      </c>
      <c r="M1399" t="str">
        <f t="shared" si="127"/>
        <v>Medium</v>
      </c>
      <c r="N1399">
        <f>VLOOKUP(C1399,Lookup!$A$2:$D$5,MATCH(M1399,Lookup!$A$1:$D$1,0),FALSE)</f>
        <v>8.5000000000000006E-2</v>
      </c>
      <c r="O1399">
        <f t="shared" si="128"/>
        <v>7523.18</v>
      </c>
      <c r="P1399" s="7">
        <f t="shared" si="129"/>
        <v>0.90622506378744738</v>
      </c>
      <c r="Q1399" s="7">
        <f t="shared" si="130"/>
        <v>5342.5789473684208</v>
      </c>
      <c r="R1399">
        <f t="shared" si="131"/>
        <v>1.9061088529052874</v>
      </c>
    </row>
    <row r="1400" spans="1:18" x14ac:dyDescent="0.25">
      <c r="A1400" t="s">
        <v>823</v>
      </c>
      <c r="B1400" t="s">
        <v>824</v>
      </c>
      <c r="C1400" t="s">
        <v>20</v>
      </c>
      <c r="D1400">
        <v>1527</v>
      </c>
      <c r="E1400" s="1">
        <v>44469</v>
      </c>
      <c r="F1400" s="2">
        <f t="shared" si="126"/>
        <v>2021</v>
      </c>
      <c r="G1400">
        <v>20</v>
      </c>
      <c r="H1400" s="3">
        <v>107324</v>
      </c>
      <c r="I1400">
        <v>14036</v>
      </c>
      <c r="J1400">
        <v>107324</v>
      </c>
      <c r="K1400">
        <v>97311</v>
      </c>
      <c r="L1400">
        <v>94436</v>
      </c>
      <c r="M1400" t="str">
        <f t="shared" si="127"/>
        <v>Medium</v>
      </c>
      <c r="N1400">
        <f>VLOOKUP(C1400,Lookup!$A$2:$D$5,MATCH(M1400,Lookup!$A$1:$D$1,0),FALSE)</f>
        <v>8.5000000000000006E-2</v>
      </c>
      <c r="O1400">
        <f t="shared" si="128"/>
        <v>8027.06</v>
      </c>
      <c r="P1400" s="7">
        <f t="shared" si="129"/>
        <v>0.90670306734747119</v>
      </c>
      <c r="Q1400" s="7">
        <f t="shared" si="130"/>
        <v>5366.2</v>
      </c>
      <c r="R1400">
        <f t="shared" si="131"/>
        <v>1.7485854098511784</v>
      </c>
    </row>
    <row r="1401" spans="1:18" x14ac:dyDescent="0.25">
      <c r="A1401" t="s">
        <v>825</v>
      </c>
      <c r="B1401" t="s">
        <v>824</v>
      </c>
      <c r="C1401" t="s">
        <v>20</v>
      </c>
      <c r="D1401">
        <v>1527</v>
      </c>
      <c r="E1401" s="1">
        <v>43738</v>
      </c>
      <c r="F1401" s="2">
        <f t="shared" si="126"/>
        <v>2019</v>
      </c>
      <c r="G1401">
        <v>34</v>
      </c>
      <c r="H1401" s="3">
        <v>221173</v>
      </c>
      <c r="I1401">
        <v>3327</v>
      </c>
      <c r="J1401">
        <v>221174</v>
      </c>
      <c r="K1401">
        <v>191079</v>
      </c>
      <c r="L1401">
        <v>180251</v>
      </c>
      <c r="M1401" t="str">
        <f t="shared" si="127"/>
        <v>Medium</v>
      </c>
      <c r="N1401">
        <f>VLOOKUP(C1401,Lookup!$A$2:$D$5,MATCH(M1401,Lookup!$A$1:$D$1,0),FALSE)</f>
        <v>8.5000000000000006E-2</v>
      </c>
      <c r="O1401">
        <f t="shared" si="128"/>
        <v>15321.335000000001</v>
      </c>
      <c r="P1401" s="7">
        <f t="shared" si="129"/>
        <v>0.86393456705836602</v>
      </c>
      <c r="Q1401" s="7">
        <f t="shared" si="130"/>
        <v>6505.088235294118</v>
      </c>
      <c r="R1401">
        <f t="shared" si="131"/>
        <v>0.21714817931988301</v>
      </c>
    </row>
    <row r="1402" spans="1:18" x14ac:dyDescent="0.25">
      <c r="A1402" t="s">
        <v>826</v>
      </c>
      <c r="B1402" t="s">
        <v>827</v>
      </c>
      <c r="C1402" t="s">
        <v>8</v>
      </c>
      <c r="D1402">
        <v>61051</v>
      </c>
      <c r="E1402" s="1">
        <v>43738</v>
      </c>
      <c r="F1402" s="2">
        <f t="shared" si="126"/>
        <v>2019</v>
      </c>
      <c r="G1402">
        <v>14</v>
      </c>
      <c r="H1402" s="3">
        <v>148605</v>
      </c>
      <c r="I1402">
        <v>12552</v>
      </c>
      <c r="J1402">
        <v>148605</v>
      </c>
      <c r="K1402">
        <v>131440</v>
      </c>
      <c r="L1402">
        <v>106471</v>
      </c>
      <c r="M1402" t="str">
        <f t="shared" si="127"/>
        <v>Medium</v>
      </c>
      <c r="N1402">
        <f>VLOOKUP(C1402,Lookup!$A$2:$D$5,MATCH(M1402,Lookup!$A$1:$D$1,0),FALSE)</f>
        <v>0.08</v>
      </c>
      <c r="O1402">
        <f t="shared" si="128"/>
        <v>8517.68</v>
      </c>
      <c r="P1402" s="7">
        <f t="shared" si="129"/>
        <v>0.88449244641835734</v>
      </c>
      <c r="Q1402" s="7">
        <f t="shared" si="130"/>
        <v>10614.642857142857</v>
      </c>
      <c r="R1402">
        <f t="shared" si="131"/>
        <v>1.4736407096768134</v>
      </c>
    </row>
    <row r="1403" spans="1:18" x14ac:dyDescent="0.25">
      <c r="A1403" t="s">
        <v>826</v>
      </c>
      <c r="B1403" t="s">
        <v>827</v>
      </c>
      <c r="C1403" t="s">
        <v>8</v>
      </c>
      <c r="D1403">
        <v>61051</v>
      </c>
      <c r="E1403" s="1">
        <v>44104</v>
      </c>
      <c r="F1403" s="2">
        <f t="shared" si="126"/>
        <v>2020</v>
      </c>
      <c r="G1403">
        <v>13</v>
      </c>
      <c r="H1403" s="3">
        <v>155194</v>
      </c>
      <c r="I1403">
        <v>13714</v>
      </c>
      <c r="J1403">
        <v>155194</v>
      </c>
      <c r="K1403">
        <v>136930</v>
      </c>
      <c r="L1403">
        <v>113438</v>
      </c>
      <c r="M1403" t="str">
        <f t="shared" si="127"/>
        <v>Medium</v>
      </c>
      <c r="N1403">
        <f>VLOOKUP(C1403,Lookup!$A$2:$D$5,MATCH(M1403,Lookup!$A$1:$D$1,0),FALSE)</f>
        <v>0.08</v>
      </c>
      <c r="O1403">
        <f t="shared" si="128"/>
        <v>9075.0400000000009</v>
      </c>
      <c r="P1403" s="7">
        <f t="shared" si="129"/>
        <v>0.88231503795249822</v>
      </c>
      <c r="Q1403" s="7">
        <f t="shared" si="130"/>
        <v>11938</v>
      </c>
      <c r="R1403">
        <f t="shared" si="131"/>
        <v>1.5111779121634723</v>
      </c>
    </row>
    <row r="1404" spans="1:18" x14ac:dyDescent="0.25">
      <c r="A1404" t="s">
        <v>826</v>
      </c>
      <c r="B1404" t="s">
        <v>827</v>
      </c>
      <c r="C1404" t="s">
        <v>8</v>
      </c>
      <c r="D1404">
        <v>61051</v>
      </c>
      <c r="E1404" s="1">
        <v>44469</v>
      </c>
      <c r="F1404" s="2">
        <f t="shared" si="126"/>
        <v>2021</v>
      </c>
      <c r="G1404">
        <v>13</v>
      </c>
      <c r="H1404" s="3">
        <v>166915</v>
      </c>
      <c r="I1404">
        <v>16244</v>
      </c>
      <c r="J1404">
        <v>166915</v>
      </c>
      <c r="K1404">
        <v>147398</v>
      </c>
      <c r="L1404">
        <v>122871</v>
      </c>
      <c r="M1404" t="str">
        <f t="shared" si="127"/>
        <v>Medium</v>
      </c>
      <c r="N1404">
        <f>VLOOKUP(C1404,Lookup!$A$2:$D$5,MATCH(M1404,Lookup!$A$1:$D$1,0),FALSE)</f>
        <v>0.08</v>
      </c>
      <c r="O1404">
        <f t="shared" si="128"/>
        <v>9829.68</v>
      </c>
      <c r="P1404" s="7">
        <f t="shared" si="129"/>
        <v>0.88307222238864092</v>
      </c>
      <c r="Q1404" s="7">
        <f t="shared" si="130"/>
        <v>12839.615384615385</v>
      </c>
      <c r="R1404">
        <f t="shared" si="131"/>
        <v>1.6525461663044982</v>
      </c>
    </row>
    <row r="1405" spans="1:18" x14ac:dyDescent="0.25">
      <c r="A1405" t="s">
        <v>828</v>
      </c>
      <c r="B1405" t="s">
        <v>829</v>
      </c>
      <c r="C1405" t="s">
        <v>8</v>
      </c>
      <c r="D1405">
        <v>60016</v>
      </c>
      <c r="E1405" s="1">
        <v>43738</v>
      </c>
      <c r="F1405" s="2">
        <f t="shared" si="126"/>
        <v>2019</v>
      </c>
      <c r="G1405">
        <v>28</v>
      </c>
      <c r="H1405" s="3">
        <v>144864</v>
      </c>
      <c r="I1405">
        <v>24614</v>
      </c>
      <c r="J1405">
        <v>144864</v>
      </c>
      <c r="K1405">
        <v>128532</v>
      </c>
      <c r="L1405">
        <v>127020</v>
      </c>
      <c r="M1405" t="str">
        <f t="shared" si="127"/>
        <v>Medium</v>
      </c>
      <c r="N1405">
        <f>VLOOKUP(C1405,Lookup!$A$2:$D$5,MATCH(M1405,Lookup!$A$1:$D$1,0),FALSE)</f>
        <v>0.08</v>
      </c>
      <c r="O1405">
        <f t="shared" si="128"/>
        <v>10161.6</v>
      </c>
      <c r="P1405" s="7">
        <f t="shared" si="129"/>
        <v>0.88725977468522199</v>
      </c>
      <c r="Q1405" s="7">
        <f t="shared" si="130"/>
        <v>5173.7142857142853</v>
      </c>
      <c r="R1405">
        <f t="shared" si="131"/>
        <v>2.4222563375846322</v>
      </c>
    </row>
    <row r="1406" spans="1:18" x14ac:dyDescent="0.25">
      <c r="A1406" t="s">
        <v>828</v>
      </c>
      <c r="B1406" t="s">
        <v>829</v>
      </c>
      <c r="C1406" t="s">
        <v>8</v>
      </c>
      <c r="D1406">
        <v>60016</v>
      </c>
      <c r="E1406" s="1">
        <v>44104</v>
      </c>
      <c r="F1406" s="2">
        <f t="shared" si="126"/>
        <v>2020</v>
      </c>
      <c r="G1406">
        <v>32</v>
      </c>
      <c r="H1406" s="3">
        <v>217453</v>
      </c>
      <c r="I1406">
        <v>35510</v>
      </c>
      <c r="J1406">
        <v>217453</v>
      </c>
      <c r="K1406">
        <v>196423</v>
      </c>
      <c r="L1406">
        <v>184577</v>
      </c>
      <c r="M1406" t="str">
        <f t="shared" si="127"/>
        <v>Medium</v>
      </c>
      <c r="N1406">
        <f>VLOOKUP(C1406,Lookup!$A$2:$D$5,MATCH(M1406,Lookup!$A$1:$D$1,0),FALSE)</f>
        <v>0.08</v>
      </c>
      <c r="O1406">
        <f t="shared" si="128"/>
        <v>14766.16</v>
      </c>
      <c r="P1406" s="7">
        <f t="shared" si="129"/>
        <v>0.90328944645509601</v>
      </c>
      <c r="Q1406" s="7">
        <f t="shared" si="130"/>
        <v>6795.40625</v>
      </c>
      <c r="R1406">
        <f t="shared" si="131"/>
        <v>2.4048229194319988</v>
      </c>
    </row>
    <row r="1407" spans="1:18" x14ac:dyDescent="0.25">
      <c r="A1407" t="s">
        <v>828</v>
      </c>
      <c r="B1407" t="s">
        <v>829</v>
      </c>
      <c r="C1407" t="s">
        <v>8</v>
      </c>
      <c r="D1407">
        <v>60016</v>
      </c>
      <c r="E1407" s="1">
        <v>44469</v>
      </c>
      <c r="F1407" s="2">
        <f t="shared" si="126"/>
        <v>2021</v>
      </c>
      <c r="G1407">
        <v>35</v>
      </c>
      <c r="H1407" s="3">
        <v>295401</v>
      </c>
      <c r="I1407">
        <v>108598</v>
      </c>
      <c r="J1407">
        <v>295401</v>
      </c>
      <c r="K1407">
        <v>266493</v>
      </c>
      <c r="L1407">
        <v>259643</v>
      </c>
      <c r="M1407" t="str">
        <f t="shared" si="127"/>
        <v>Medium</v>
      </c>
      <c r="N1407">
        <f>VLOOKUP(C1407,Lookup!$A$2:$D$5,MATCH(M1407,Lookup!$A$1:$D$1,0),FALSE)</f>
        <v>0.08</v>
      </c>
      <c r="O1407">
        <f t="shared" si="128"/>
        <v>20771.439999999999</v>
      </c>
      <c r="P1407" s="7">
        <f t="shared" si="129"/>
        <v>0.90213980318279219</v>
      </c>
      <c r="Q1407" s="7">
        <f t="shared" si="130"/>
        <v>8440.028571428571</v>
      </c>
      <c r="R1407">
        <f t="shared" si="131"/>
        <v>5.2282364631436247</v>
      </c>
    </row>
    <row r="1408" spans="1:18" x14ac:dyDescent="0.25">
      <c r="A1408" t="s">
        <v>830</v>
      </c>
      <c r="B1408" t="s">
        <v>831</v>
      </c>
      <c r="C1408" t="s">
        <v>5</v>
      </c>
      <c r="D1408">
        <v>93301</v>
      </c>
      <c r="E1408" s="1">
        <v>43738</v>
      </c>
      <c r="F1408" s="2">
        <f t="shared" si="126"/>
        <v>2019</v>
      </c>
      <c r="G1408">
        <v>110</v>
      </c>
      <c r="H1408" s="3">
        <v>800373</v>
      </c>
      <c r="I1408">
        <v>99731</v>
      </c>
      <c r="J1408">
        <v>800373</v>
      </c>
      <c r="K1408">
        <v>724697</v>
      </c>
      <c r="L1408">
        <v>717555</v>
      </c>
      <c r="M1408" t="str">
        <f t="shared" si="127"/>
        <v>Medium</v>
      </c>
      <c r="N1408">
        <f>VLOOKUP(C1408,Lookup!$A$2:$D$5,MATCH(M1408,Lookup!$A$1:$D$1,0),FALSE)</f>
        <v>0.09</v>
      </c>
      <c r="O1408">
        <f t="shared" si="128"/>
        <v>64579.95</v>
      </c>
      <c r="P1408" s="7">
        <f t="shared" si="129"/>
        <v>0.90544908436441507</v>
      </c>
      <c r="Q1408" s="7">
        <f t="shared" si="130"/>
        <v>7276.1181818181822</v>
      </c>
      <c r="R1408">
        <f t="shared" si="131"/>
        <v>1.544302837026043</v>
      </c>
    </row>
    <row r="1409" spans="1:18" x14ac:dyDescent="0.25">
      <c r="A1409" t="s">
        <v>830</v>
      </c>
      <c r="B1409" t="s">
        <v>831</v>
      </c>
      <c r="C1409" t="s">
        <v>5</v>
      </c>
      <c r="D1409">
        <v>93301</v>
      </c>
      <c r="E1409" s="1">
        <v>44104</v>
      </c>
      <c r="F1409" s="2">
        <f t="shared" si="126"/>
        <v>2020</v>
      </c>
      <c r="G1409">
        <v>116</v>
      </c>
      <c r="H1409" s="3">
        <v>1184229</v>
      </c>
      <c r="I1409">
        <v>220203</v>
      </c>
      <c r="J1409">
        <v>1184229</v>
      </c>
      <c r="K1409">
        <v>1082301</v>
      </c>
      <c r="L1409">
        <v>1062916</v>
      </c>
      <c r="M1409" t="str">
        <f t="shared" si="127"/>
        <v>Large</v>
      </c>
      <c r="N1409">
        <f>VLOOKUP(C1409,Lookup!$A$2:$D$5,MATCH(M1409,Lookup!$A$1:$D$1,0),FALSE)</f>
        <v>0.08</v>
      </c>
      <c r="O1409">
        <f t="shared" si="128"/>
        <v>85033.279999999999</v>
      </c>
      <c r="P1409" s="7">
        <f t="shared" si="129"/>
        <v>0.91392880937724041</v>
      </c>
      <c r="Q1409" s="7">
        <f t="shared" si="130"/>
        <v>10208.870689655172</v>
      </c>
      <c r="R1409">
        <f t="shared" si="131"/>
        <v>2.5896096210801232</v>
      </c>
    </row>
    <row r="1410" spans="1:18" x14ac:dyDescent="0.25">
      <c r="A1410" t="s">
        <v>830</v>
      </c>
      <c r="B1410" t="s">
        <v>831</v>
      </c>
      <c r="C1410" t="s">
        <v>5</v>
      </c>
      <c r="D1410">
        <v>93301</v>
      </c>
      <c r="E1410" s="1">
        <v>44469</v>
      </c>
      <c r="F1410" s="2">
        <f t="shared" ref="F1410:F1473" si="132">YEAR(E1410)</f>
        <v>2021</v>
      </c>
      <c r="G1410">
        <v>113</v>
      </c>
      <c r="H1410" s="3">
        <v>1457840</v>
      </c>
      <c r="I1410">
        <v>308069</v>
      </c>
      <c r="J1410">
        <v>1457840</v>
      </c>
      <c r="K1410">
        <v>1327503</v>
      </c>
      <c r="L1410">
        <v>1312781</v>
      </c>
      <c r="M1410" t="str">
        <f t="shared" ref="M1410:M1473" si="133">IF(H1410&gt;1000000,"Large",IF(H1410&lt;100000,"Small","Medium"))</f>
        <v>Large</v>
      </c>
      <c r="N1410">
        <f>VLOOKUP(C1410,Lookup!$A$2:$D$5,MATCH(M1410,Lookup!$A$1:$D$1,0),FALSE)</f>
        <v>0.08</v>
      </c>
      <c r="O1410">
        <f t="shared" ref="O1410:O1473" si="134">L1410*N1410</f>
        <v>105022.48</v>
      </c>
      <c r="P1410" s="7">
        <f t="shared" ref="P1410:P1473" si="135">K1410/H1410</f>
        <v>0.91059581298359216</v>
      </c>
      <c r="Q1410" s="7">
        <f t="shared" ref="Q1410:Q1473" si="136">H1410/G1410</f>
        <v>12901.238938053097</v>
      </c>
      <c r="R1410">
        <f t="shared" ref="R1410:R1473" si="137">I1410/O1410</f>
        <v>2.9333624572567705</v>
      </c>
    </row>
    <row r="1411" spans="1:18" x14ac:dyDescent="0.25">
      <c r="A1411" t="s">
        <v>832</v>
      </c>
      <c r="B1411" t="s">
        <v>101</v>
      </c>
      <c r="C1411" t="s">
        <v>5</v>
      </c>
      <c r="D1411">
        <v>94103</v>
      </c>
      <c r="E1411" s="1">
        <v>43738</v>
      </c>
      <c r="F1411" s="2">
        <f t="shared" si="132"/>
        <v>2019</v>
      </c>
      <c r="G1411">
        <v>48</v>
      </c>
      <c r="H1411" s="3">
        <v>243059</v>
      </c>
      <c r="I1411">
        <v>42912</v>
      </c>
      <c r="J1411">
        <v>243059</v>
      </c>
      <c r="K1411">
        <v>211047</v>
      </c>
      <c r="L1411">
        <v>208818</v>
      </c>
      <c r="M1411" t="str">
        <f t="shared" si="133"/>
        <v>Medium</v>
      </c>
      <c r="N1411">
        <f>VLOOKUP(C1411,Lookup!$A$2:$D$5,MATCH(M1411,Lookup!$A$1:$D$1,0),FALSE)</f>
        <v>0.09</v>
      </c>
      <c r="O1411">
        <f t="shared" si="134"/>
        <v>18793.62</v>
      </c>
      <c r="P1411" s="7">
        <f t="shared" si="135"/>
        <v>0.86829535215729514</v>
      </c>
      <c r="Q1411" s="7">
        <f t="shared" si="136"/>
        <v>5063.729166666667</v>
      </c>
      <c r="R1411">
        <f t="shared" si="137"/>
        <v>2.2833280655882158</v>
      </c>
    </row>
    <row r="1412" spans="1:18" x14ac:dyDescent="0.25">
      <c r="A1412" t="s">
        <v>832</v>
      </c>
      <c r="B1412" t="s">
        <v>101</v>
      </c>
      <c r="C1412" t="s">
        <v>5</v>
      </c>
      <c r="D1412">
        <v>94103</v>
      </c>
      <c r="E1412" s="1">
        <v>44104</v>
      </c>
      <c r="F1412" s="2">
        <f t="shared" si="132"/>
        <v>2020</v>
      </c>
      <c r="G1412">
        <v>47</v>
      </c>
      <c r="H1412" s="3">
        <v>243906</v>
      </c>
      <c r="I1412">
        <v>58701</v>
      </c>
      <c r="J1412">
        <v>243906</v>
      </c>
      <c r="K1412">
        <v>206272</v>
      </c>
      <c r="L1412">
        <v>193039</v>
      </c>
      <c r="M1412" t="str">
        <f t="shared" si="133"/>
        <v>Medium</v>
      </c>
      <c r="N1412">
        <f>VLOOKUP(C1412,Lookup!$A$2:$D$5,MATCH(M1412,Lookup!$A$1:$D$1,0),FALSE)</f>
        <v>0.09</v>
      </c>
      <c r="O1412">
        <f t="shared" si="134"/>
        <v>17373.509999999998</v>
      </c>
      <c r="P1412" s="7">
        <f t="shared" si="135"/>
        <v>0.84570285273835</v>
      </c>
      <c r="Q1412" s="7">
        <f t="shared" si="136"/>
        <v>5189.489361702128</v>
      </c>
      <c r="R1412">
        <f t="shared" si="137"/>
        <v>3.3787645674362867</v>
      </c>
    </row>
    <row r="1413" spans="1:18" x14ac:dyDescent="0.25">
      <c r="A1413" t="s">
        <v>832</v>
      </c>
      <c r="B1413" t="s">
        <v>101</v>
      </c>
      <c r="C1413" t="s">
        <v>5</v>
      </c>
      <c r="D1413">
        <v>94103</v>
      </c>
      <c r="E1413" s="1">
        <v>44469</v>
      </c>
      <c r="F1413" s="2">
        <f t="shared" si="132"/>
        <v>2021</v>
      </c>
      <c r="G1413">
        <v>40</v>
      </c>
      <c r="H1413" s="3">
        <v>220168</v>
      </c>
      <c r="I1413">
        <v>67649</v>
      </c>
      <c r="J1413">
        <v>220168</v>
      </c>
      <c r="K1413">
        <v>183529</v>
      </c>
      <c r="L1413">
        <v>179715</v>
      </c>
      <c r="M1413" t="str">
        <f t="shared" si="133"/>
        <v>Medium</v>
      </c>
      <c r="N1413">
        <f>VLOOKUP(C1413,Lookup!$A$2:$D$5,MATCH(M1413,Lookup!$A$1:$D$1,0),FALSE)</f>
        <v>0.09</v>
      </c>
      <c r="O1413">
        <f t="shared" si="134"/>
        <v>16174.349999999999</v>
      </c>
      <c r="P1413" s="7">
        <f t="shared" si="135"/>
        <v>0.83358617056066275</v>
      </c>
      <c r="Q1413" s="7">
        <f t="shared" si="136"/>
        <v>5504.2</v>
      </c>
      <c r="R1413">
        <f t="shared" si="137"/>
        <v>4.1824864677715023</v>
      </c>
    </row>
    <row r="1414" spans="1:18" x14ac:dyDescent="0.25">
      <c r="A1414" t="s">
        <v>833</v>
      </c>
      <c r="B1414" t="s">
        <v>834</v>
      </c>
      <c r="C1414" t="s">
        <v>5</v>
      </c>
      <c r="D1414">
        <v>91352</v>
      </c>
      <c r="E1414" s="1">
        <v>43738</v>
      </c>
      <c r="F1414" s="2">
        <f t="shared" si="132"/>
        <v>2019</v>
      </c>
      <c r="G1414">
        <v>61</v>
      </c>
      <c r="H1414" s="3">
        <v>338294</v>
      </c>
      <c r="I1414">
        <v>27704</v>
      </c>
      <c r="J1414">
        <v>338294</v>
      </c>
      <c r="K1414">
        <v>297281</v>
      </c>
      <c r="L1414">
        <v>291355</v>
      </c>
      <c r="M1414" t="str">
        <f t="shared" si="133"/>
        <v>Medium</v>
      </c>
      <c r="N1414">
        <f>VLOOKUP(C1414,Lookup!$A$2:$D$5,MATCH(M1414,Lookup!$A$1:$D$1,0),FALSE)</f>
        <v>0.09</v>
      </c>
      <c r="O1414">
        <f t="shared" si="134"/>
        <v>26221.95</v>
      </c>
      <c r="P1414" s="7">
        <f t="shared" si="135"/>
        <v>0.87876521605467439</v>
      </c>
      <c r="Q1414" s="7">
        <f t="shared" si="136"/>
        <v>5545.8032786885242</v>
      </c>
      <c r="R1414">
        <f t="shared" si="137"/>
        <v>1.056519442680655</v>
      </c>
    </row>
    <row r="1415" spans="1:18" x14ac:dyDescent="0.25">
      <c r="A1415" t="s">
        <v>833</v>
      </c>
      <c r="B1415" t="s">
        <v>834</v>
      </c>
      <c r="C1415" t="s">
        <v>5</v>
      </c>
      <c r="D1415">
        <v>91352</v>
      </c>
      <c r="E1415" s="1">
        <v>44104</v>
      </c>
      <c r="F1415" s="2">
        <f t="shared" si="132"/>
        <v>2020</v>
      </c>
      <c r="G1415">
        <v>62</v>
      </c>
      <c r="H1415" s="3">
        <v>465780</v>
      </c>
      <c r="I1415">
        <v>79793</v>
      </c>
      <c r="J1415">
        <v>465780</v>
      </c>
      <c r="K1415">
        <v>422117</v>
      </c>
      <c r="L1415">
        <v>374274</v>
      </c>
      <c r="M1415" t="str">
        <f t="shared" si="133"/>
        <v>Medium</v>
      </c>
      <c r="N1415">
        <f>VLOOKUP(C1415,Lookup!$A$2:$D$5,MATCH(M1415,Lookup!$A$1:$D$1,0),FALSE)</f>
        <v>0.09</v>
      </c>
      <c r="O1415">
        <f t="shared" si="134"/>
        <v>33684.659999999996</v>
      </c>
      <c r="P1415" s="7">
        <f t="shared" si="135"/>
        <v>0.90625831937824719</v>
      </c>
      <c r="Q1415" s="7">
        <f t="shared" si="136"/>
        <v>7512.5806451612907</v>
      </c>
      <c r="R1415">
        <f t="shared" si="137"/>
        <v>2.3688230785170461</v>
      </c>
    </row>
    <row r="1416" spans="1:18" x14ac:dyDescent="0.25">
      <c r="A1416" t="s">
        <v>833</v>
      </c>
      <c r="B1416" t="s">
        <v>834</v>
      </c>
      <c r="C1416" t="s">
        <v>5</v>
      </c>
      <c r="D1416">
        <v>91352</v>
      </c>
      <c r="E1416" s="1">
        <v>44469</v>
      </c>
      <c r="F1416" s="2">
        <f t="shared" si="132"/>
        <v>2021</v>
      </c>
      <c r="G1416">
        <v>72</v>
      </c>
      <c r="H1416" s="3">
        <v>442210</v>
      </c>
      <c r="I1416">
        <v>90490</v>
      </c>
      <c r="J1416">
        <v>442210</v>
      </c>
      <c r="K1416">
        <v>392681</v>
      </c>
      <c r="L1416">
        <v>352672</v>
      </c>
      <c r="M1416" t="str">
        <f t="shared" si="133"/>
        <v>Medium</v>
      </c>
      <c r="N1416">
        <f>VLOOKUP(C1416,Lookup!$A$2:$D$5,MATCH(M1416,Lookup!$A$1:$D$1,0),FALSE)</f>
        <v>0.09</v>
      </c>
      <c r="O1416">
        <f t="shared" si="134"/>
        <v>31740.48</v>
      </c>
      <c r="P1416" s="7">
        <f t="shared" si="135"/>
        <v>0.88799665317383147</v>
      </c>
      <c r="Q1416" s="7">
        <f t="shared" si="136"/>
        <v>6141.8055555555557</v>
      </c>
      <c r="R1416">
        <f t="shared" si="137"/>
        <v>2.8509335712629427</v>
      </c>
    </row>
    <row r="1417" spans="1:18" x14ac:dyDescent="0.25">
      <c r="A1417" t="s">
        <v>835</v>
      </c>
      <c r="B1417" t="s">
        <v>47</v>
      </c>
      <c r="C1417" t="s">
        <v>5</v>
      </c>
      <c r="D1417">
        <v>90017</v>
      </c>
      <c r="E1417" s="1">
        <v>43738</v>
      </c>
      <c r="F1417" s="2">
        <f t="shared" si="132"/>
        <v>2019</v>
      </c>
      <c r="G1417">
        <v>351</v>
      </c>
      <c r="H1417" s="3">
        <v>2545052</v>
      </c>
      <c r="I1417">
        <v>1792406</v>
      </c>
      <c r="J1417">
        <v>2545052</v>
      </c>
      <c r="K1417">
        <v>2545052</v>
      </c>
      <c r="L1417">
        <v>946512</v>
      </c>
      <c r="M1417" t="str">
        <f t="shared" si="133"/>
        <v>Large</v>
      </c>
      <c r="N1417">
        <f>VLOOKUP(C1417,Lookup!$A$2:$D$5,MATCH(M1417,Lookup!$A$1:$D$1,0),FALSE)</f>
        <v>0.08</v>
      </c>
      <c r="O1417">
        <f t="shared" si="134"/>
        <v>75720.960000000006</v>
      </c>
      <c r="P1417" s="7">
        <f t="shared" si="135"/>
        <v>1</v>
      </c>
      <c r="Q1417" s="7">
        <f t="shared" si="136"/>
        <v>7250.8603988603991</v>
      </c>
      <c r="R1417">
        <f t="shared" si="137"/>
        <v>23.671200153827947</v>
      </c>
    </row>
    <row r="1418" spans="1:18" x14ac:dyDescent="0.25">
      <c r="A1418" t="s">
        <v>835</v>
      </c>
      <c r="B1418" t="s">
        <v>47</v>
      </c>
      <c r="C1418" t="s">
        <v>5</v>
      </c>
      <c r="D1418">
        <v>90017</v>
      </c>
      <c r="E1418" s="1">
        <v>44104</v>
      </c>
      <c r="F1418" s="2">
        <f t="shared" si="132"/>
        <v>2020</v>
      </c>
      <c r="G1418">
        <v>389</v>
      </c>
      <c r="H1418" s="3">
        <v>4250575</v>
      </c>
      <c r="I1418">
        <v>3446453</v>
      </c>
      <c r="J1418">
        <v>4250575</v>
      </c>
      <c r="K1418">
        <v>4250575</v>
      </c>
      <c r="L1418">
        <v>819289</v>
      </c>
      <c r="M1418" t="str">
        <f t="shared" si="133"/>
        <v>Large</v>
      </c>
      <c r="N1418">
        <f>VLOOKUP(C1418,Lookup!$A$2:$D$5,MATCH(M1418,Lookup!$A$1:$D$1,0),FALSE)</f>
        <v>0.08</v>
      </c>
      <c r="O1418">
        <f t="shared" si="134"/>
        <v>65543.12</v>
      </c>
      <c r="P1418" s="7">
        <f t="shared" si="135"/>
        <v>1</v>
      </c>
      <c r="Q1418" s="7">
        <f t="shared" si="136"/>
        <v>10926.928020565552</v>
      </c>
      <c r="R1418">
        <f t="shared" si="137"/>
        <v>52.582986589591712</v>
      </c>
    </row>
    <row r="1419" spans="1:18" x14ac:dyDescent="0.25">
      <c r="A1419" t="s">
        <v>835</v>
      </c>
      <c r="B1419" t="s">
        <v>47</v>
      </c>
      <c r="C1419" t="s">
        <v>5</v>
      </c>
      <c r="D1419">
        <v>90017</v>
      </c>
      <c r="E1419" s="1">
        <v>44469</v>
      </c>
      <c r="F1419" s="2">
        <f t="shared" si="132"/>
        <v>2021</v>
      </c>
      <c r="G1419">
        <v>150</v>
      </c>
      <c r="H1419" s="3">
        <v>2373622</v>
      </c>
      <c r="I1419">
        <v>1462673</v>
      </c>
      <c r="J1419">
        <v>2373622</v>
      </c>
      <c r="K1419">
        <v>2373622</v>
      </c>
      <c r="L1419">
        <v>836194</v>
      </c>
      <c r="M1419" t="str">
        <f t="shared" si="133"/>
        <v>Large</v>
      </c>
      <c r="N1419">
        <f>VLOOKUP(C1419,Lookup!$A$2:$D$5,MATCH(M1419,Lookup!$A$1:$D$1,0),FALSE)</f>
        <v>0.08</v>
      </c>
      <c r="O1419">
        <f t="shared" si="134"/>
        <v>66895.520000000004</v>
      </c>
      <c r="P1419" s="7">
        <f t="shared" si="135"/>
        <v>1</v>
      </c>
      <c r="Q1419" s="7">
        <f t="shared" si="136"/>
        <v>15824.146666666667</v>
      </c>
      <c r="R1419">
        <f t="shared" si="137"/>
        <v>21.865036702009341</v>
      </c>
    </row>
    <row r="1420" spans="1:18" x14ac:dyDescent="0.25">
      <c r="A1420" t="s">
        <v>836</v>
      </c>
      <c r="B1420" t="s">
        <v>16</v>
      </c>
      <c r="C1420" t="s">
        <v>17</v>
      </c>
      <c r="D1420">
        <v>10020</v>
      </c>
      <c r="E1420" s="1">
        <v>43738</v>
      </c>
      <c r="F1420" s="2">
        <f t="shared" si="132"/>
        <v>2019</v>
      </c>
      <c r="G1420">
        <v>189</v>
      </c>
      <c r="H1420" s="3">
        <v>6072448</v>
      </c>
      <c r="I1420">
        <v>749270</v>
      </c>
      <c r="J1420">
        <v>6072448</v>
      </c>
      <c r="K1420">
        <v>4632402</v>
      </c>
      <c r="L1420">
        <v>3678555</v>
      </c>
      <c r="M1420" t="str">
        <f t="shared" si="133"/>
        <v>Large</v>
      </c>
      <c r="N1420">
        <f>VLOOKUP(C1420,Lookup!$A$2:$D$5,MATCH(M1420,Lookup!$A$1:$D$1,0),FALSE)</f>
        <v>0.08</v>
      </c>
      <c r="O1420">
        <f t="shared" si="134"/>
        <v>294284.40000000002</v>
      </c>
      <c r="P1420" s="7">
        <f t="shared" si="135"/>
        <v>0.76285577085221645</v>
      </c>
      <c r="Q1420" s="7">
        <f t="shared" si="136"/>
        <v>32129.354497354496</v>
      </c>
      <c r="R1420">
        <f t="shared" si="137"/>
        <v>2.5460744776141717</v>
      </c>
    </row>
    <row r="1421" spans="1:18" x14ac:dyDescent="0.25">
      <c r="A1421" t="s">
        <v>836</v>
      </c>
      <c r="B1421" t="s">
        <v>16</v>
      </c>
      <c r="C1421" t="s">
        <v>17</v>
      </c>
      <c r="D1421">
        <v>10020</v>
      </c>
      <c r="E1421" s="1">
        <v>44104</v>
      </c>
      <c r="F1421" s="2">
        <f t="shared" si="132"/>
        <v>2020</v>
      </c>
      <c r="G1421">
        <v>139</v>
      </c>
      <c r="H1421" s="3">
        <v>7960812</v>
      </c>
      <c r="I1421">
        <v>1195378</v>
      </c>
      <c r="J1421">
        <v>7960812</v>
      </c>
      <c r="K1421">
        <v>6498906</v>
      </c>
      <c r="L1421">
        <v>4471685</v>
      </c>
      <c r="M1421" t="str">
        <f t="shared" si="133"/>
        <v>Large</v>
      </c>
      <c r="N1421">
        <f>VLOOKUP(C1421,Lookup!$A$2:$D$5,MATCH(M1421,Lookup!$A$1:$D$1,0),FALSE)</f>
        <v>0.08</v>
      </c>
      <c r="O1421">
        <f t="shared" si="134"/>
        <v>357734.8</v>
      </c>
      <c r="P1421" s="7">
        <f t="shared" si="135"/>
        <v>0.81636220023786521</v>
      </c>
      <c r="Q1421" s="7">
        <f t="shared" si="136"/>
        <v>57272.028776978419</v>
      </c>
      <c r="R1421">
        <f t="shared" si="137"/>
        <v>3.3415200310397535</v>
      </c>
    </row>
    <row r="1422" spans="1:18" x14ac:dyDescent="0.25">
      <c r="A1422" t="s">
        <v>836</v>
      </c>
      <c r="B1422" t="s">
        <v>16</v>
      </c>
      <c r="C1422" t="s">
        <v>17</v>
      </c>
      <c r="D1422">
        <v>10020</v>
      </c>
      <c r="E1422" s="1">
        <v>44469</v>
      </c>
      <c r="F1422" s="2">
        <f t="shared" si="132"/>
        <v>2021</v>
      </c>
      <c r="G1422">
        <v>129</v>
      </c>
      <c r="H1422" s="3">
        <v>7373011</v>
      </c>
      <c r="I1422">
        <v>1106759</v>
      </c>
      <c r="J1422">
        <v>7373011</v>
      </c>
      <c r="K1422">
        <v>5885064</v>
      </c>
      <c r="L1422">
        <v>3917285</v>
      </c>
      <c r="M1422" t="str">
        <f t="shared" si="133"/>
        <v>Large</v>
      </c>
      <c r="N1422">
        <f>VLOOKUP(C1422,Lookup!$A$2:$D$5,MATCH(M1422,Lookup!$A$1:$D$1,0),FALSE)</f>
        <v>0.08</v>
      </c>
      <c r="O1422">
        <f t="shared" si="134"/>
        <v>313382.8</v>
      </c>
      <c r="P1422" s="7">
        <f t="shared" si="135"/>
        <v>0.79819004745822297</v>
      </c>
      <c r="Q1422" s="7">
        <f t="shared" si="136"/>
        <v>57155.124031007756</v>
      </c>
      <c r="R1422">
        <f t="shared" si="137"/>
        <v>3.5316520242974407</v>
      </c>
    </row>
    <row r="1423" spans="1:18" x14ac:dyDescent="0.25">
      <c r="A1423" t="s">
        <v>837</v>
      </c>
      <c r="B1423" t="s">
        <v>16</v>
      </c>
      <c r="C1423" t="s">
        <v>17</v>
      </c>
      <c r="D1423">
        <v>10022</v>
      </c>
      <c r="E1423" s="1">
        <v>43738</v>
      </c>
      <c r="F1423" s="2">
        <f t="shared" si="132"/>
        <v>2019</v>
      </c>
      <c r="G1423">
        <v>38</v>
      </c>
      <c r="H1423" s="3">
        <v>782683</v>
      </c>
      <c r="I1423">
        <v>41763</v>
      </c>
      <c r="J1423">
        <v>782683</v>
      </c>
      <c r="K1423">
        <v>698431</v>
      </c>
      <c r="L1423">
        <v>578421</v>
      </c>
      <c r="M1423" t="str">
        <f t="shared" si="133"/>
        <v>Medium</v>
      </c>
      <c r="N1423">
        <f>VLOOKUP(C1423,Lookup!$A$2:$D$5,MATCH(M1423,Lookup!$A$1:$D$1,0),FALSE)</f>
        <v>8.5000000000000006E-2</v>
      </c>
      <c r="O1423">
        <f t="shared" si="134"/>
        <v>49165.785000000003</v>
      </c>
      <c r="P1423" s="7">
        <f t="shared" si="135"/>
        <v>0.89235488697212029</v>
      </c>
      <c r="Q1423" s="7">
        <f t="shared" si="136"/>
        <v>20596.92105263158</v>
      </c>
      <c r="R1423">
        <f t="shared" si="137"/>
        <v>0.84943218134318399</v>
      </c>
    </row>
    <row r="1424" spans="1:18" x14ac:dyDescent="0.25">
      <c r="A1424" t="s">
        <v>837</v>
      </c>
      <c r="B1424" t="s">
        <v>16</v>
      </c>
      <c r="C1424" t="s">
        <v>17</v>
      </c>
      <c r="D1424">
        <v>10022</v>
      </c>
      <c r="E1424" s="1">
        <v>44104</v>
      </c>
      <c r="F1424" s="2">
        <f t="shared" si="132"/>
        <v>2020</v>
      </c>
      <c r="G1424">
        <v>44</v>
      </c>
      <c r="H1424" s="3">
        <v>886060</v>
      </c>
      <c r="I1424">
        <v>17352</v>
      </c>
      <c r="J1424">
        <v>886060</v>
      </c>
      <c r="K1424">
        <v>805051</v>
      </c>
      <c r="L1424">
        <v>571578</v>
      </c>
      <c r="M1424" t="str">
        <f t="shared" si="133"/>
        <v>Medium</v>
      </c>
      <c r="N1424">
        <f>VLOOKUP(C1424,Lookup!$A$2:$D$5,MATCH(M1424,Lookup!$A$1:$D$1,0),FALSE)</f>
        <v>8.5000000000000006E-2</v>
      </c>
      <c r="O1424">
        <f t="shared" si="134"/>
        <v>48584.130000000005</v>
      </c>
      <c r="P1424" s="7">
        <f t="shared" si="135"/>
        <v>0.90857391147326361</v>
      </c>
      <c r="Q1424" s="7">
        <f t="shared" si="136"/>
        <v>20137.727272727272</v>
      </c>
      <c r="R1424">
        <f t="shared" si="137"/>
        <v>0.35715366314061808</v>
      </c>
    </row>
    <row r="1425" spans="1:18" x14ac:dyDescent="0.25">
      <c r="A1425" t="s">
        <v>837</v>
      </c>
      <c r="B1425" t="s">
        <v>16</v>
      </c>
      <c r="C1425" t="s">
        <v>17</v>
      </c>
      <c r="D1425">
        <v>10022</v>
      </c>
      <c r="E1425" s="1">
        <v>44469</v>
      </c>
      <c r="F1425" s="2">
        <f t="shared" si="132"/>
        <v>2021</v>
      </c>
      <c r="G1425">
        <v>50</v>
      </c>
      <c r="H1425" s="3">
        <v>789806</v>
      </c>
      <c r="I1425">
        <v>25557</v>
      </c>
      <c r="J1425">
        <v>789806</v>
      </c>
      <c r="K1425">
        <v>703336</v>
      </c>
      <c r="L1425">
        <v>563236</v>
      </c>
      <c r="M1425" t="str">
        <f t="shared" si="133"/>
        <v>Medium</v>
      </c>
      <c r="N1425">
        <f>VLOOKUP(C1425,Lookup!$A$2:$D$5,MATCH(M1425,Lookup!$A$1:$D$1,0),FALSE)</f>
        <v>8.5000000000000006E-2</v>
      </c>
      <c r="O1425">
        <f t="shared" si="134"/>
        <v>47875.060000000005</v>
      </c>
      <c r="P1425" s="7">
        <f t="shared" si="135"/>
        <v>0.89051741820143171</v>
      </c>
      <c r="Q1425" s="7">
        <f t="shared" si="136"/>
        <v>15796.12</v>
      </c>
      <c r="R1425">
        <f t="shared" si="137"/>
        <v>0.53382700721419452</v>
      </c>
    </row>
    <row r="1426" spans="1:18" x14ac:dyDescent="0.25">
      <c r="A1426" t="s">
        <v>838</v>
      </c>
      <c r="B1426" t="s">
        <v>839</v>
      </c>
      <c r="C1426" t="s">
        <v>20</v>
      </c>
      <c r="D1426">
        <v>1057</v>
      </c>
      <c r="E1426" s="1">
        <v>43738</v>
      </c>
      <c r="F1426" s="2">
        <f t="shared" si="132"/>
        <v>2019</v>
      </c>
      <c r="G1426">
        <v>82</v>
      </c>
      <c r="H1426" s="3">
        <v>436179</v>
      </c>
      <c r="I1426">
        <v>25865</v>
      </c>
      <c r="J1426">
        <v>436179</v>
      </c>
      <c r="K1426">
        <v>395228</v>
      </c>
      <c r="L1426">
        <v>384558</v>
      </c>
      <c r="M1426" t="str">
        <f t="shared" si="133"/>
        <v>Medium</v>
      </c>
      <c r="N1426">
        <f>VLOOKUP(C1426,Lookup!$A$2:$D$5,MATCH(M1426,Lookup!$A$1:$D$1,0),FALSE)</f>
        <v>8.5000000000000006E-2</v>
      </c>
      <c r="O1426">
        <f t="shared" si="134"/>
        <v>32687.430000000004</v>
      </c>
      <c r="P1426" s="7">
        <f t="shared" si="135"/>
        <v>0.90611423291813686</v>
      </c>
      <c r="Q1426" s="7">
        <f t="shared" si="136"/>
        <v>5319.2560975609758</v>
      </c>
      <c r="R1426">
        <f t="shared" si="137"/>
        <v>0.79128276527093122</v>
      </c>
    </row>
    <row r="1427" spans="1:18" x14ac:dyDescent="0.25">
      <c r="A1427" t="s">
        <v>838</v>
      </c>
      <c r="B1427" t="s">
        <v>839</v>
      </c>
      <c r="C1427" t="s">
        <v>20</v>
      </c>
      <c r="D1427">
        <v>1057</v>
      </c>
      <c r="E1427" s="1">
        <v>44104</v>
      </c>
      <c r="F1427" s="2">
        <f t="shared" si="132"/>
        <v>2020</v>
      </c>
      <c r="G1427">
        <v>89</v>
      </c>
      <c r="H1427" s="3">
        <v>504182</v>
      </c>
      <c r="I1427">
        <v>34716</v>
      </c>
      <c r="J1427">
        <v>504182</v>
      </c>
      <c r="K1427">
        <v>459185</v>
      </c>
      <c r="L1427">
        <v>447738</v>
      </c>
      <c r="M1427" t="str">
        <f t="shared" si="133"/>
        <v>Medium</v>
      </c>
      <c r="N1427">
        <f>VLOOKUP(C1427,Lookup!$A$2:$D$5,MATCH(M1427,Lookup!$A$1:$D$1,0),FALSE)</f>
        <v>8.5000000000000006E-2</v>
      </c>
      <c r="O1427">
        <f t="shared" si="134"/>
        <v>38057.730000000003</v>
      </c>
      <c r="P1427" s="7">
        <f t="shared" si="135"/>
        <v>0.91075246637127072</v>
      </c>
      <c r="Q1427" s="7">
        <f t="shared" si="136"/>
        <v>5664.9662921348317</v>
      </c>
      <c r="R1427">
        <f t="shared" si="137"/>
        <v>0.91219313395728008</v>
      </c>
    </row>
    <row r="1428" spans="1:18" x14ac:dyDescent="0.25">
      <c r="A1428" t="s">
        <v>838</v>
      </c>
      <c r="B1428" t="s">
        <v>839</v>
      </c>
      <c r="C1428" t="s">
        <v>20</v>
      </c>
      <c r="D1428">
        <v>1057</v>
      </c>
      <c r="E1428" s="1">
        <v>44469</v>
      </c>
      <c r="F1428" s="2">
        <f t="shared" si="132"/>
        <v>2021</v>
      </c>
      <c r="G1428">
        <v>88</v>
      </c>
      <c r="H1428" s="3">
        <v>571585</v>
      </c>
      <c r="I1428">
        <v>79920</v>
      </c>
      <c r="J1428">
        <v>571585</v>
      </c>
      <c r="K1428">
        <v>521009</v>
      </c>
      <c r="L1428">
        <v>513002</v>
      </c>
      <c r="M1428" t="str">
        <f t="shared" si="133"/>
        <v>Medium</v>
      </c>
      <c r="N1428">
        <f>VLOOKUP(C1428,Lookup!$A$2:$D$5,MATCH(M1428,Lookup!$A$1:$D$1,0),FALSE)</f>
        <v>8.5000000000000006E-2</v>
      </c>
      <c r="O1428">
        <f t="shared" si="134"/>
        <v>43605.170000000006</v>
      </c>
      <c r="P1428" s="7">
        <f t="shared" si="135"/>
        <v>0.91151622243410868</v>
      </c>
      <c r="Q1428" s="7">
        <f t="shared" si="136"/>
        <v>6495.284090909091</v>
      </c>
      <c r="R1428">
        <f t="shared" si="137"/>
        <v>1.8328101920024618</v>
      </c>
    </row>
    <row r="1429" spans="1:18" x14ac:dyDescent="0.25">
      <c r="A1429" t="s">
        <v>840</v>
      </c>
      <c r="B1429" t="s">
        <v>63</v>
      </c>
      <c r="C1429" t="s">
        <v>5</v>
      </c>
      <c r="D1429">
        <v>93101</v>
      </c>
      <c r="E1429" s="1">
        <v>43738</v>
      </c>
      <c r="F1429" s="2">
        <f t="shared" si="132"/>
        <v>2019</v>
      </c>
      <c r="G1429">
        <v>231</v>
      </c>
      <c r="H1429" s="3">
        <v>1537912</v>
      </c>
      <c r="I1429">
        <v>28877</v>
      </c>
      <c r="J1429">
        <v>1537912</v>
      </c>
      <c r="K1429">
        <v>1362983</v>
      </c>
      <c r="L1429">
        <v>1343070</v>
      </c>
      <c r="M1429" t="str">
        <f t="shared" si="133"/>
        <v>Large</v>
      </c>
      <c r="N1429">
        <f>VLOOKUP(C1429,Lookup!$A$2:$D$5,MATCH(M1429,Lookup!$A$1:$D$1,0),FALSE)</f>
        <v>0.08</v>
      </c>
      <c r="O1429">
        <f t="shared" si="134"/>
        <v>107445.6</v>
      </c>
      <c r="P1429" s="7">
        <f t="shared" si="135"/>
        <v>0.88625552047191258</v>
      </c>
      <c r="Q1429" s="7">
        <f t="shared" si="136"/>
        <v>6657.6277056277058</v>
      </c>
      <c r="R1429">
        <f t="shared" si="137"/>
        <v>0.26875926050019727</v>
      </c>
    </row>
    <row r="1430" spans="1:18" x14ac:dyDescent="0.25">
      <c r="A1430" t="s">
        <v>840</v>
      </c>
      <c r="B1430" t="s">
        <v>63</v>
      </c>
      <c r="C1430" t="s">
        <v>5</v>
      </c>
      <c r="D1430">
        <v>93101</v>
      </c>
      <c r="E1430" s="1">
        <v>44104</v>
      </c>
      <c r="F1430" s="2">
        <f t="shared" si="132"/>
        <v>2020</v>
      </c>
      <c r="G1430">
        <v>242</v>
      </c>
      <c r="H1430" s="3">
        <v>1885633</v>
      </c>
      <c r="I1430">
        <v>83082</v>
      </c>
      <c r="J1430">
        <v>1885633</v>
      </c>
      <c r="K1430">
        <v>1698260</v>
      </c>
      <c r="L1430">
        <v>1664089</v>
      </c>
      <c r="M1430" t="str">
        <f t="shared" si="133"/>
        <v>Large</v>
      </c>
      <c r="N1430">
        <f>VLOOKUP(C1430,Lookup!$A$2:$D$5,MATCH(M1430,Lookup!$A$1:$D$1,0),FALSE)</f>
        <v>0.08</v>
      </c>
      <c r="O1430">
        <f t="shared" si="134"/>
        <v>133127.12</v>
      </c>
      <c r="P1430" s="7">
        <f t="shared" si="135"/>
        <v>0.90063124690753715</v>
      </c>
      <c r="Q1430" s="7">
        <f t="shared" si="136"/>
        <v>7791.8719008264461</v>
      </c>
      <c r="R1430">
        <f t="shared" si="137"/>
        <v>0.62408020244109541</v>
      </c>
    </row>
    <row r="1431" spans="1:18" x14ac:dyDescent="0.25">
      <c r="A1431" t="s">
        <v>840</v>
      </c>
      <c r="B1431" t="s">
        <v>63</v>
      </c>
      <c r="C1431" t="s">
        <v>5</v>
      </c>
      <c r="D1431">
        <v>93101</v>
      </c>
      <c r="E1431" s="1">
        <v>44469</v>
      </c>
      <c r="F1431" s="2">
        <f t="shared" si="132"/>
        <v>2021</v>
      </c>
      <c r="G1431">
        <v>258</v>
      </c>
      <c r="H1431" s="3">
        <v>2290165</v>
      </c>
      <c r="I1431">
        <v>282347</v>
      </c>
      <c r="J1431">
        <v>2290165</v>
      </c>
      <c r="K1431">
        <v>2099609</v>
      </c>
      <c r="L1431">
        <v>2074662</v>
      </c>
      <c r="M1431" t="str">
        <f t="shared" si="133"/>
        <v>Large</v>
      </c>
      <c r="N1431">
        <f>VLOOKUP(C1431,Lookup!$A$2:$D$5,MATCH(M1431,Lookup!$A$1:$D$1,0),FALSE)</f>
        <v>0.08</v>
      </c>
      <c r="O1431">
        <f t="shared" si="134"/>
        <v>165972.96</v>
      </c>
      <c r="P1431" s="7">
        <f t="shared" si="135"/>
        <v>0.91679376813461044</v>
      </c>
      <c r="Q1431" s="7">
        <f t="shared" si="136"/>
        <v>8876.6085271317825</v>
      </c>
      <c r="R1431">
        <f t="shared" si="137"/>
        <v>1.7011626472167516</v>
      </c>
    </row>
    <row r="1432" spans="1:18" x14ac:dyDescent="0.25">
      <c r="A1432" t="s">
        <v>841</v>
      </c>
      <c r="B1432" t="s">
        <v>842</v>
      </c>
      <c r="C1432" t="s">
        <v>5</v>
      </c>
      <c r="D1432">
        <v>93940</v>
      </c>
      <c r="E1432" s="1">
        <v>43738</v>
      </c>
      <c r="F1432" s="2">
        <f t="shared" si="132"/>
        <v>2019</v>
      </c>
      <c r="G1432">
        <v>43</v>
      </c>
      <c r="H1432" s="3">
        <v>171551</v>
      </c>
      <c r="I1432">
        <v>20041</v>
      </c>
      <c r="J1432">
        <v>171551</v>
      </c>
      <c r="K1432">
        <v>153582</v>
      </c>
      <c r="L1432">
        <v>142538</v>
      </c>
      <c r="M1432" t="str">
        <f t="shared" si="133"/>
        <v>Medium</v>
      </c>
      <c r="N1432">
        <f>VLOOKUP(C1432,Lookup!$A$2:$D$5,MATCH(M1432,Lookup!$A$1:$D$1,0),FALSE)</f>
        <v>0.09</v>
      </c>
      <c r="O1432">
        <f t="shared" si="134"/>
        <v>12828.42</v>
      </c>
      <c r="P1432" s="7">
        <f t="shared" si="135"/>
        <v>0.89525563826500576</v>
      </c>
      <c r="Q1432" s="7">
        <f t="shared" si="136"/>
        <v>3989.5581395348836</v>
      </c>
      <c r="R1432">
        <f t="shared" si="137"/>
        <v>1.5622344762644191</v>
      </c>
    </row>
    <row r="1433" spans="1:18" x14ac:dyDescent="0.25">
      <c r="A1433" t="s">
        <v>841</v>
      </c>
      <c r="B1433" t="s">
        <v>842</v>
      </c>
      <c r="C1433" t="s">
        <v>5</v>
      </c>
      <c r="D1433">
        <v>93940</v>
      </c>
      <c r="E1433" s="1">
        <v>44104</v>
      </c>
      <c r="F1433" s="2">
        <f t="shared" si="132"/>
        <v>2020</v>
      </c>
      <c r="G1433">
        <v>44</v>
      </c>
      <c r="H1433" s="3">
        <v>210911</v>
      </c>
      <c r="I1433">
        <v>37603</v>
      </c>
      <c r="J1433">
        <v>210911</v>
      </c>
      <c r="K1433">
        <v>191284</v>
      </c>
      <c r="L1433">
        <v>165770</v>
      </c>
      <c r="M1433" t="str">
        <f t="shared" si="133"/>
        <v>Medium</v>
      </c>
      <c r="N1433">
        <f>VLOOKUP(C1433,Lookup!$A$2:$D$5,MATCH(M1433,Lookup!$A$1:$D$1,0),FALSE)</f>
        <v>0.09</v>
      </c>
      <c r="O1433">
        <f t="shared" si="134"/>
        <v>14919.3</v>
      </c>
      <c r="P1433" s="7">
        <f t="shared" si="135"/>
        <v>0.90694179061310221</v>
      </c>
      <c r="Q1433" s="7">
        <f t="shared" si="136"/>
        <v>4793.431818181818</v>
      </c>
      <c r="R1433">
        <f t="shared" si="137"/>
        <v>2.520426561567902</v>
      </c>
    </row>
    <row r="1434" spans="1:18" x14ac:dyDescent="0.25">
      <c r="A1434" t="s">
        <v>841</v>
      </c>
      <c r="B1434" t="s">
        <v>842</v>
      </c>
      <c r="C1434" t="s">
        <v>5</v>
      </c>
      <c r="D1434">
        <v>93940</v>
      </c>
      <c r="E1434" s="1">
        <v>44469</v>
      </c>
      <c r="F1434" s="2">
        <f t="shared" si="132"/>
        <v>2021</v>
      </c>
      <c r="G1434">
        <v>38</v>
      </c>
      <c r="H1434" s="3">
        <v>245423</v>
      </c>
      <c r="I1434">
        <v>44474</v>
      </c>
      <c r="J1434">
        <v>245423</v>
      </c>
      <c r="K1434">
        <v>225171</v>
      </c>
      <c r="L1434">
        <v>206250</v>
      </c>
      <c r="M1434" t="str">
        <f t="shared" si="133"/>
        <v>Medium</v>
      </c>
      <c r="N1434">
        <f>VLOOKUP(C1434,Lookup!$A$2:$D$5,MATCH(M1434,Lookup!$A$1:$D$1,0),FALSE)</f>
        <v>0.09</v>
      </c>
      <c r="O1434">
        <f t="shared" si="134"/>
        <v>18562.5</v>
      </c>
      <c r="P1434" s="7">
        <f t="shared" si="135"/>
        <v>0.91748124666392306</v>
      </c>
      <c r="Q1434" s="7">
        <f t="shared" si="136"/>
        <v>6458.5</v>
      </c>
      <c r="R1434">
        <f t="shared" si="137"/>
        <v>2.3959057239057238</v>
      </c>
    </row>
    <row r="1435" spans="1:18" x14ac:dyDescent="0.25">
      <c r="A1435" t="s">
        <v>843</v>
      </c>
      <c r="B1435" t="s">
        <v>844</v>
      </c>
      <c r="C1435" t="s">
        <v>17</v>
      </c>
      <c r="D1435">
        <v>10577</v>
      </c>
      <c r="E1435" s="1">
        <v>43738</v>
      </c>
      <c r="F1435" s="2">
        <f t="shared" si="132"/>
        <v>2019</v>
      </c>
      <c r="G1435">
        <v>763</v>
      </c>
      <c r="H1435" s="3">
        <v>78786000</v>
      </c>
      <c r="I1435">
        <v>2940000</v>
      </c>
      <c r="J1435">
        <v>78786000</v>
      </c>
      <c r="K1435">
        <v>70505000</v>
      </c>
      <c r="L1435">
        <v>69776000</v>
      </c>
      <c r="M1435" t="str">
        <f t="shared" si="133"/>
        <v>Large</v>
      </c>
      <c r="N1435">
        <f>VLOOKUP(C1435,Lookup!$A$2:$D$5,MATCH(M1435,Lookup!$A$1:$D$1,0),FALSE)</f>
        <v>0.08</v>
      </c>
      <c r="O1435">
        <f t="shared" si="134"/>
        <v>5582080</v>
      </c>
      <c r="P1435" s="7">
        <f t="shared" si="135"/>
        <v>0.89489249359023182</v>
      </c>
      <c r="Q1435" s="7">
        <f t="shared" si="136"/>
        <v>103258.19134993447</v>
      </c>
      <c r="R1435">
        <f t="shared" si="137"/>
        <v>0.526685393258427</v>
      </c>
    </row>
    <row r="1436" spans="1:18" x14ac:dyDescent="0.25">
      <c r="A1436" t="s">
        <v>843</v>
      </c>
      <c r="B1436" t="s">
        <v>844</v>
      </c>
      <c r="C1436" t="s">
        <v>17</v>
      </c>
      <c r="D1436">
        <v>10577</v>
      </c>
      <c r="E1436" s="1">
        <v>44104</v>
      </c>
      <c r="F1436" s="2">
        <f t="shared" si="132"/>
        <v>2020</v>
      </c>
      <c r="G1436">
        <v>816</v>
      </c>
      <c r="H1436" s="3">
        <v>110164000</v>
      </c>
      <c r="I1436">
        <v>10530000</v>
      </c>
      <c r="J1436">
        <v>110164000</v>
      </c>
      <c r="K1436">
        <v>101662000</v>
      </c>
      <c r="L1436">
        <v>97147000</v>
      </c>
      <c r="M1436" t="str">
        <f t="shared" si="133"/>
        <v>Large</v>
      </c>
      <c r="N1436">
        <f>VLOOKUP(C1436,Lookup!$A$2:$D$5,MATCH(M1436,Lookup!$A$1:$D$1,0),FALSE)</f>
        <v>0.08</v>
      </c>
      <c r="O1436">
        <f t="shared" si="134"/>
        <v>7771760</v>
      </c>
      <c r="P1436" s="7">
        <f t="shared" si="135"/>
        <v>0.9228241530808613</v>
      </c>
      <c r="Q1436" s="7">
        <f t="shared" si="136"/>
        <v>135004.90196078431</v>
      </c>
      <c r="R1436">
        <f t="shared" si="137"/>
        <v>1.354905452561582</v>
      </c>
    </row>
    <row r="1437" spans="1:18" x14ac:dyDescent="0.25">
      <c r="A1437" t="s">
        <v>843</v>
      </c>
      <c r="B1437" t="s">
        <v>844</v>
      </c>
      <c r="C1437" t="s">
        <v>17</v>
      </c>
      <c r="D1437">
        <v>10577</v>
      </c>
      <c r="E1437" s="1">
        <v>44469</v>
      </c>
      <c r="F1437" s="2">
        <f t="shared" si="132"/>
        <v>2021</v>
      </c>
      <c r="G1437">
        <v>945</v>
      </c>
      <c r="H1437" s="3">
        <v>144423000</v>
      </c>
      <c r="I1437">
        <v>8004000</v>
      </c>
      <c r="J1437">
        <v>144423000</v>
      </c>
      <c r="K1437">
        <v>134473000</v>
      </c>
      <c r="L1437">
        <v>115444000</v>
      </c>
      <c r="M1437" t="str">
        <f t="shared" si="133"/>
        <v>Large</v>
      </c>
      <c r="N1437">
        <f>VLOOKUP(C1437,Lookup!$A$2:$D$5,MATCH(M1437,Lookup!$A$1:$D$1,0),FALSE)</f>
        <v>0.08</v>
      </c>
      <c r="O1437">
        <f t="shared" si="134"/>
        <v>9235520</v>
      </c>
      <c r="P1437" s="7">
        <f t="shared" si="135"/>
        <v>0.93110515638090885</v>
      </c>
      <c r="Q1437" s="7">
        <f t="shared" si="136"/>
        <v>152828.57142857142</v>
      </c>
      <c r="R1437">
        <f t="shared" si="137"/>
        <v>0.86665396209417556</v>
      </c>
    </row>
    <row r="1438" spans="1:18" x14ac:dyDescent="0.25">
      <c r="A1438" t="s">
        <v>845</v>
      </c>
      <c r="B1438" t="s">
        <v>846</v>
      </c>
      <c r="C1438" t="s">
        <v>8</v>
      </c>
      <c r="D1438">
        <v>61550</v>
      </c>
      <c r="E1438" s="1">
        <v>43738</v>
      </c>
      <c r="F1438" s="2">
        <f t="shared" si="132"/>
        <v>2019</v>
      </c>
      <c r="G1438">
        <v>414</v>
      </c>
      <c r="H1438" s="3">
        <v>3870859</v>
      </c>
      <c r="I1438">
        <v>178819</v>
      </c>
      <c r="J1438">
        <v>3870859</v>
      </c>
      <c r="K1438">
        <v>3448778</v>
      </c>
      <c r="L1438">
        <v>3021460</v>
      </c>
      <c r="M1438" t="str">
        <f t="shared" si="133"/>
        <v>Large</v>
      </c>
      <c r="N1438">
        <f>VLOOKUP(C1438,Lookup!$A$2:$D$5,MATCH(M1438,Lookup!$A$1:$D$1,0),FALSE)</f>
        <v>7.4999999999999997E-2</v>
      </c>
      <c r="O1438">
        <f t="shared" si="134"/>
        <v>226609.5</v>
      </c>
      <c r="P1438" s="7">
        <f t="shared" si="135"/>
        <v>0.89095934519960551</v>
      </c>
      <c r="Q1438" s="7">
        <f t="shared" si="136"/>
        <v>9349.9009661835753</v>
      </c>
      <c r="R1438">
        <f t="shared" si="137"/>
        <v>0.78910637020954555</v>
      </c>
    </row>
    <row r="1439" spans="1:18" x14ac:dyDescent="0.25">
      <c r="A1439" t="s">
        <v>845</v>
      </c>
      <c r="B1439" t="s">
        <v>846</v>
      </c>
      <c r="C1439" t="s">
        <v>8</v>
      </c>
      <c r="D1439">
        <v>61550</v>
      </c>
      <c r="E1439" s="1">
        <v>44104</v>
      </c>
      <c r="F1439" s="2">
        <f t="shared" si="132"/>
        <v>2020</v>
      </c>
      <c r="G1439">
        <v>422</v>
      </c>
      <c r="H1439" s="3">
        <v>4511678</v>
      </c>
      <c r="I1439">
        <v>98266</v>
      </c>
      <c r="J1439">
        <v>4511678</v>
      </c>
      <c r="K1439">
        <v>4050474</v>
      </c>
      <c r="L1439">
        <v>3644054</v>
      </c>
      <c r="M1439" t="str">
        <f t="shared" si="133"/>
        <v>Large</v>
      </c>
      <c r="N1439">
        <f>VLOOKUP(C1439,Lookup!$A$2:$D$5,MATCH(M1439,Lookup!$A$1:$D$1,0),FALSE)</f>
        <v>7.4999999999999997E-2</v>
      </c>
      <c r="O1439">
        <f t="shared" si="134"/>
        <v>273304.05</v>
      </c>
      <c r="P1439" s="7">
        <f t="shared" si="135"/>
        <v>0.8977755061420607</v>
      </c>
      <c r="Q1439" s="7">
        <f t="shared" si="136"/>
        <v>10691.18009478673</v>
      </c>
      <c r="R1439">
        <f t="shared" si="137"/>
        <v>0.3595482759951783</v>
      </c>
    </row>
    <row r="1440" spans="1:18" x14ac:dyDescent="0.25">
      <c r="A1440" t="s">
        <v>845</v>
      </c>
      <c r="B1440" t="s">
        <v>846</v>
      </c>
      <c r="C1440" t="s">
        <v>8</v>
      </c>
      <c r="D1440">
        <v>61550</v>
      </c>
      <c r="E1440" s="1">
        <v>44469</v>
      </c>
      <c r="F1440" s="2">
        <f t="shared" si="132"/>
        <v>2021</v>
      </c>
      <c r="G1440">
        <v>421</v>
      </c>
      <c r="H1440" s="3">
        <v>4916204</v>
      </c>
      <c r="I1440">
        <v>253735</v>
      </c>
      <c r="J1440">
        <v>4916204</v>
      </c>
      <c r="K1440">
        <v>4436136</v>
      </c>
      <c r="L1440">
        <v>4090678</v>
      </c>
      <c r="M1440" t="str">
        <f t="shared" si="133"/>
        <v>Large</v>
      </c>
      <c r="N1440">
        <f>VLOOKUP(C1440,Lookup!$A$2:$D$5,MATCH(M1440,Lookup!$A$1:$D$1,0),FALSE)</f>
        <v>7.4999999999999997E-2</v>
      </c>
      <c r="O1440">
        <f t="shared" si="134"/>
        <v>306800.84999999998</v>
      </c>
      <c r="P1440" s="7">
        <f t="shared" si="135"/>
        <v>0.90234986180394472</v>
      </c>
      <c r="Q1440" s="7">
        <f t="shared" si="136"/>
        <v>11677.444180522565</v>
      </c>
      <c r="R1440">
        <f t="shared" si="137"/>
        <v>0.82703486642882518</v>
      </c>
    </row>
    <row r="1441" spans="1:18" x14ac:dyDescent="0.25">
      <c r="A1441" t="s">
        <v>847</v>
      </c>
      <c r="B1441" t="s">
        <v>848</v>
      </c>
      <c r="C1441" t="s">
        <v>20</v>
      </c>
      <c r="D1441">
        <v>1247</v>
      </c>
      <c r="E1441" s="1">
        <v>43738</v>
      </c>
      <c r="F1441" s="2">
        <f t="shared" si="132"/>
        <v>2019</v>
      </c>
      <c r="G1441">
        <v>161</v>
      </c>
      <c r="H1441" s="3">
        <v>898895</v>
      </c>
      <c r="I1441">
        <v>20625</v>
      </c>
      <c r="J1441">
        <v>898895</v>
      </c>
      <c r="K1441">
        <v>787914</v>
      </c>
      <c r="L1441">
        <v>646133</v>
      </c>
      <c r="M1441" t="str">
        <f t="shared" si="133"/>
        <v>Medium</v>
      </c>
      <c r="N1441">
        <f>VLOOKUP(C1441,Lookup!$A$2:$D$5,MATCH(M1441,Lookup!$A$1:$D$1,0),FALSE)</f>
        <v>8.5000000000000006E-2</v>
      </c>
      <c r="O1441">
        <f t="shared" si="134"/>
        <v>54921.305000000008</v>
      </c>
      <c r="P1441" s="7">
        <f t="shared" si="135"/>
        <v>0.87653619165753505</v>
      </c>
      <c r="Q1441" s="7">
        <f t="shared" si="136"/>
        <v>5583.1987577639748</v>
      </c>
      <c r="R1441">
        <f t="shared" si="137"/>
        <v>0.3755373256334677</v>
      </c>
    </row>
    <row r="1442" spans="1:18" x14ac:dyDescent="0.25">
      <c r="A1442" t="s">
        <v>847</v>
      </c>
      <c r="B1442" t="s">
        <v>848</v>
      </c>
      <c r="C1442" t="s">
        <v>20</v>
      </c>
      <c r="D1442">
        <v>1247</v>
      </c>
      <c r="E1442" s="1">
        <v>44104</v>
      </c>
      <c r="F1442" s="2">
        <f t="shared" si="132"/>
        <v>2020</v>
      </c>
      <c r="G1442">
        <v>165</v>
      </c>
      <c r="H1442" s="3">
        <v>907543</v>
      </c>
      <c r="I1442">
        <v>42586</v>
      </c>
      <c r="J1442">
        <v>907543</v>
      </c>
      <c r="K1442">
        <v>790472</v>
      </c>
      <c r="L1442">
        <v>754920</v>
      </c>
      <c r="M1442" t="str">
        <f t="shared" si="133"/>
        <v>Medium</v>
      </c>
      <c r="N1442">
        <f>VLOOKUP(C1442,Lookup!$A$2:$D$5,MATCH(M1442,Lookup!$A$1:$D$1,0),FALSE)</f>
        <v>8.5000000000000006E-2</v>
      </c>
      <c r="O1442">
        <f t="shared" si="134"/>
        <v>64168.200000000004</v>
      </c>
      <c r="P1442" s="7">
        <f t="shared" si="135"/>
        <v>0.87100225554050881</v>
      </c>
      <c r="Q1442" s="7">
        <f t="shared" si="136"/>
        <v>5500.2606060606058</v>
      </c>
      <c r="R1442">
        <f t="shared" si="137"/>
        <v>0.66366206314030929</v>
      </c>
    </row>
    <row r="1443" spans="1:18" x14ac:dyDescent="0.25">
      <c r="A1443" t="s">
        <v>847</v>
      </c>
      <c r="B1443" t="s">
        <v>848</v>
      </c>
      <c r="C1443" t="s">
        <v>20</v>
      </c>
      <c r="D1443">
        <v>1247</v>
      </c>
      <c r="E1443" s="1">
        <v>44469</v>
      </c>
      <c r="F1443" s="2">
        <f t="shared" si="132"/>
        <v>2021</v>
      </c>
      <c r="G1443">
        <v>154</v>
      </c>
      <c r="H1443" s="3">
        <v>877566</v>
      </c>
      <c r="I1443">
        <v>98989</v>
      </c>
      <c r="J1443">
        <v>877566</v>
      </c>
      <c r="K1443">
        <v>752017</v>
      </c>
      <c r="L1443">
        <v>727797</v>
      </c>
      <c r="M1443" t="str">
        <f t="shared" si="133"/>
        <v>Medium</v>
      </c>
      <c r="N1443">
        <f>VLOOKUP(C1443,Lookup!$A$2:$D$5,MATCH(M1443,Lookup!$A$1:$D$1,0),FALSE)</f>
        <v>8.5000000000000006E-2</v>
      </c>
      <c r="O1443">
        <f t="shared" si="134"/>
        <v>61862.745000000003</v>
      </c>
      <c r="P1443" s="7">
        <f t="shared" si="135"/>
        <v>0.85693497697039311</v>
      </c>
      <c r="Q1443" s="7">
        <f t="shared" si="136"/>
        <v>5698.4805194805194</v>
      </c>
      <c r="R1443">
        <f t="shared" si="137"/>
        <v>1.600139146751409</v>
      </c>
    </row>
    <row r="1444" spans="1:18" x14ac:dyDescent="0.25">
      <c r="A1444" t="s">
        <v>849</v>
      </c>
      <c r="B1444" t="s">
        <v>101</v>
      </c>
      <c r="C1444" t="s">
        <v>5</v>
      </c>
      <c r="D1444">
        <v>94104</v>
      </c>
      <c r="E1444" s="1">
        <v>43738</v>
      </c>
      <c r="F1444" s="2">
        <f t="shared" si="132"/>
        <v>2019</v>
      </c>
      <c r="G1444">
        <v>12468</v>
      </c>
      <c r="H1444" s="3">
        <v>134715480</v>
      </c>
      <c r="I1444">
        <v>10631363</v>
      </c>
      <c r="J1444">
        <v>134715480</v>
      </c>
      <c r="K1444">
        <v>119736679</v>
      </c>
      <c r="L1444">
        <v>97755940</v>
      </c>
      <c r="M1444" t="str">
        <f t="shared" si="133"/>
        <v>Large</v>
      </c>
      <c r="N1444">
        <f>VLOOKUP(C1444,Lookup!$A$2:$D$5,MATCH(M1444,Lookup!$A$1:$D$1,0),FALSE)</f>
        <v>0.08</v>
      </c>
      <c r="O1444">
        <f t="shared" si="134"/>
        <v>7820475.2000000002</v>
      </c>
      <c r="P1444" s="7">
        <f t="shared" si="135"/>
        <v>0.88881158275203409</v>
      </c>
      <c r="Q1444" s="7">
        <f t="shared" si="136"/>
        <v>10804.898941289701</v>
      </c>
      <c r="R1444">
        <f t="shared" si="137"/>
        <v>1.3594267263963704</v>
      </c>
    </row>
    <row r="1445" spans="1:18" x14ac:dyDescent="0.25">
      <c r="A1445" t="s">
        <v>849</v>
      </c>
      <c r="B1445" t="s">
        <v>101</v>
      </c>
      <c r="C1445" t="s">
        <v>5</v>
      </c>
      <c r="D1445">
        <v>94104</v>
      </c>
      <c r="E1445" s="1">
        <v>44104</v>
      </c>
      <c r="F1445" s="2">
        <f t="shared" si="132"/>
        <v>2020</v>
      </c>
      <c r="G1445">
        <v>12897</v>
      </c>
      <c r="H1445" s="3">
        <v>132479115</v>
      </c>
      <c r="I1445">
        <v>14894391</v>
      </c>
      <c r="J1445">
        <v>132479115</v>
      </c>
      <c r="K1445">
        <v>116874246</v>
      </c>
      <c r="L1445">
        <v>102990573</v>
      </c>
      <c r="M1445" t="str">
        <f t="shared" si="133"/>
        <v>Large</v>
      </c>
      <c r="N1445">
        <f>VLOOKUP(C1445,Lookup!$A$2:$D$5,MATCH(M1445,Lookup!$A$1:$D$1,0),FALSE)</f>
        <v>0.08</v>
      </c>
      <c r="O1445">
        <f t="shared" si="134"/>
        <v>8239245.8399999999</v>
      </c>
      <c r="P1445" s="7">
        <f t="shared" si="135"/>
        <v>0.88220883721936094</v>
      </c>
      <c r="Q1445" s="7">
        <f t="shared" si="136"/>
        <v>10272.087694812748</v>
      </c>
      <c r="R1445">
        <f t="shared" si="137"/>
        <v>1.8077371751296112</v>
      </c>
    </row>
    <row r="1446" spans="1:18" x14ac:dyDescent="0.25">
      <c r="A1446" t="s">
        <v>849</v>
      </c>
      <c r="B1446" t="s">
        <v>101</v>
      </c>
      <c r="C1446" t="s">
        <v>5</v>
      </c>
      <c r="D1446">
        <v>94104</v>
      </c>
      <c r="E1446" s="1">
        <v>44469</v>
      </c>
      <c r="F1446" s="2">
        <f t="shared" si="132"/>
        <v>2021</v>
      </c>
      <c r="G1446">
        <v>12864</v>
      </c>
      <c r="H1446" s="3">
        <v>133260073</v>
      </c>
      <c r="I1446">
        <v>16414971</v>
      </c>
      <c r="J1446">
        <v>133260073</v>
      </c>
      <c r="K1446">
        <v>117055502</v>
      </c>
      <c r="L1446">
        <v>104167946</v>
      </c>
      <c r="M1446" t="str">
        <f t="shared" si="133"/>
        <v>Large</v>
      </c>
      <c r="N1446">
        <f>VLOOKUP(C1446,Lookup!$A$2:$D$5,MATCH(M1446,Lookup!$A$1:$D$1,0),FALSE)</f>
        <v>0.08</v>
      </c>
      <c r="O1446">
        <f t="shared" si="134"/>
        <v>8333435.6800000006</v>
      </c>
      <c r="P1446" s="7">
        <f t="shared" si="135"/>
        <v>0.87839890347351079</v>
      </c>
      <c r="Q1446" s="7">
        <f t="shared" si="136"/>
        <v>10359.147465796021</v>
      </c>
      <c r="R1446">
        <f t="shared" si="137"/>
        <v>1.9697723280441757</v>
      </c>
    </row>
    <row r="1447" spans="1:18" x14ac:dyDescent="0.25">
      <c r="A1447" t="s">
        <v>850</v>
      </c>
      <c r="B1447" t="s">
        <v>851</v>
      </c>
      <c r="C1447" t="s">
        <v>8</v>
      </c>
      <c r="D1447">
        <v>60914</v>
      </c>
      <c r="E1447" s="1">
        <v>43738</v>
      </c>
      <c r="F1447" s="2">
        <f t="shared" si="132"/>
        <v>2019</v>
      </c>
      <c r="G1447">
        <v>48</v>
      </c>
      <c r="H1447" s="3">
        <v>317922</v>
      </c>
      <c r="I1447">
        <v>97851</v>
      </c>
      <c r="J1447">
        <v>317922</v>
      </c>
      <c r="K1447">
        <v>265153</v>
      </c>
      <c r="L1447">
        <v>254700</v>
      </c>
      <c r="M1447" t="str">
        <f t="shared" si="133"/>
        <v>Medium</v>
      </c>
      <c r="N1447">
        <f>VLOOKUP(C1447,Lookup!$A$2:$D$5,MATCH(M1447,Lookup!$A$1:$D$1,0),FALSE)</f>
        <v>0.08</v>
      </c>
      <c r="O1447">
        <f t="shared" si="134"/>
        <v>20376</v>
      </c>
      <c r="P1447" s="7">
        <f t="shared" si="135"/>
        <v>0.83401903611577688</v>
      </c>
      <c r="Q1447" s="7">
        <f t="shared" si="136"/>
        <v>6623.375</v>
      </c>
      <c r="R1447">
        <f t="shared" si="137"/>
        <v>4.802267373380448</v>
      </c>
    </row>
    <row r="1448" spans="1:18" x14ac:dyDescent="0.25">
      <c r="A1448" t="s">
        <v>850</v>
      </c>
      <c r="B1448" t="s">
        <v>851</v>
      </c>
      <c r="C1448" t="s">
        <v>8</v>
      </c>
      <c r="D1448">
        <v>60914</v>
      </c>
      <c r="E1448" s="1">
        <v>44104</v>
      </c>
      <c r="F1448" s="2">
        <f t="shared" si="132"/>
        <v>2020</v>
      </c>
      <c r="G1448">
        <v>54</v>
      </c>
      <c r="H1448" s="3">
        <v>324366</v>
      </c>
      <c r="I1448">
        <v>89397</v>
      </c>
      <c r="J1448">
        <v>324366</v>
      </c>
      <c r="K1448">
        <v>274357</v>
      </c>
      <c r="L1448">
        <v>262482</v>
      </c>
      <c r="M1448" t="str">
        <f t="shared" si="133"/>
        <v>Medium</v>
      </c>
      <c r="N1448">
        <f>VLOOKUP(C1448,Lookup!$A$2:$D$5,MATCH(M1448,Lookup!$A$1:$D$1,0),FALSE)</f>
        <v>0.08</v>
      </c>
      <c r="O1448">
        <f t="shared" si="134"/>
        <v>20998.560000000001</v>
      </c>
      <c r="P1448" s="7">
        <f t="shared" si="135"/>
        <v>0.84582539477010532</v>
      </c>
      <c r="Q1448" s="7">
        <f t="shared" si="136"/>
        <v>6006.7777777777774</v>
      </c>
      <c r="R1448">
        <f t="shared" si="137"/>
        <v>4.2572919285893889</v>
      </c>
    </row>
    <row r="1449" spans="1:18" x14ac:dyDescent="0.25">
      <c r="A1449" t="s">
        <v>850</v>
      </c>
      <c r="B1449" t="s">
        <v>851</v>
      </c>
      <c r="C1449" t="s">
        <v>8</v>
      </c>
      <c r="D1449">
        <v>60914</v>
      </c>
      <c r="E1449" s="1">
        <v>44469</v>
      </c>
      <c r="F1449" s="2">
        <f t="shared" si="132"/>
        <v>2021</v>
      </c>
      <c r="G1449">
        <v>57</v>
      </c>
      <c r="H1449" s="3">
        <v>351468</v>
      </c>
      <c r="I1449">
        <v>103355</v>
      </c>
      <c r="J1449">
        <v>351468</v>
      </c>
      <c r="K1449">
        <v>300228</v>
      </c>
      <c r="L1449">
        <v>289185</v>
      </c>
      <c r="M1449" t="str">
        <f t="shared" si="133"/>
        <v>Medium</v>
      </c>
      <c r="N1449">
        <f>VLOOKUP(C1449,Lookup!$A$2:$D$5,MATCH(M1449,Lookup!$A$1:$D$1,0),FALSE)</f>
        <v>0.08</v>
      </c>
      <c r="O1449">
        <f t="shared" si="134"/>
        <v>23134.799999999999</v>
      </c>
      <c r="P1449" s="7">
        <f t="shared" si="135"/>
        <v>0.85421147871214453</v>
      </c>
      <c r="Q1449" s="7">
        <f t="shared" si="136"/>
        <v>6166.105263157895</v>
      </c>
      <c r="R1449">
        <f t="shared" si="137"/>
        <v>4.4675121462039868</v>
      </c>
    </row>
    <row r="1450" spans="1:18" x14ac:dyDescent="0.25">
      <c r="A1450" t="s">
        <v>852</v>
      </c>
      <c r="B1450" t="s">
        <v>274</v>
      </c>
      <c r="C1450" t="s">
        <v>5</v>
      </c>
      <c r="D1450">
        <v>93704</v>
      </c>
      <c r="E1450" s="1">
        <v>43738</v>
      </c>
      <c r="F1450" s="2">
        <f t="shared" si="132"/>
        <v>2019</v>
      </c>
      <c r="G1450">
        <v>33</v>
      </c>
      <c r="H1450" s="3">
        <v>309342</v>
      </c>
      <c r="I1450">
        <v>41956</v>
      </c>
      <c r="J1450">
        <v>309342</v>
      </c>
      <c r="K1450">
        <v>276045</v>
      </c>
      <c r="L1450">
        <v>266808</v>
      </c>
      <c r="M1450" t="str">
        <f t="shared" si="133"/>
        <v>Medium</v>
      </c>
      <c r="N1450">
        <f>VLOOKUP(C1450,Lookup!$A$2:$D$5,MATCH(M1450,Lookup!$A$1:$D$1,0),FALSE)</f>
        <v>0.09</v>
      </c>
      <c r="O1450">
        <f t="shared" si="134"/>
        <v>24012.719999999998</v>
      </c>
      <c r="P1450" s="7">
        <f t="shared" si="135"/>
        <v>0.89236185193087258</v>
      </c>
      <c r="Q1450" s="7">
        <f t="shared" si="136"/>
        <v>9374</v>
      </c>
      <c r="R1450">
        <f t="shared" si="137"/>
        <v>1.7472406291332263</v>
      </c>
    </row>
    <row r="1451" spans="1:18" x14ac:dyDescent="0.25">
      <c r="A1451" t="s">
        <v>852</v>
      </c>
      <c r="B1451" t="s">
        <v>274</v>
      </c>
      <c r="C1451" t="s">
        <v>5</v>
      </c>
      <c r="D1451">
        <v>93704</v>
      </c>
      <c r="E1451" s="1">
        <v>44104</v>
      </c>
      <c r="F1451" s="2">
        <f t="shared" si="132"/>
        <v>2020</v>
      </c>
      <c r="G1451">
        <v>31</v>
      </c>
      <c r="H1451" s="3">
        <v>319605</v>
      </c>
      <c r="I1451">
        <v>43000</v>
      </c>
      <c r="J1451">
        <v>319605</v>
      </c>
      <c r="K1451">
        <v>283723</v>
      </c>
      <c r="L1451">
        <v>265757</v>
      </c>
      <c r="M1451" t="str">
        <f t="shared" si="133"/>
        <v>Medium</v>
      </c>
      <c r="N1451">
        <f>VLOOKUP(C1451,Lookup!$A$2:$D$5,MATCH(M1451,Lookup!$A$1:$D$1,0),FALSE)</f>
        <v>0.09</v>
      </c>
      <c r="O1451">
        <f t="shared" si="134"/>
        <v>23918.129999999997</v>
      </c>
      <c r="P1451" s="7">
        <f t="shared" si="135"/>
        <v>0.88773016692479778</v>
      </c>
      <c r="Q1451" s="7">
        <f t="shared" si="136"/>
        <v>10309.838709677419</v>
      </c>
      <c r="R1451">
        <f t="shared" si="137"/>
        <v>1.7977994099037009</v>
      </c>
    </row>
    <row r="1452" spans="1:18" x14ac:dyDescent="0.25">
      <c r="A1452" t="s">
        <v>852</v>
      </c>
      <c r="B1452" t="s">
        <v>274</v>
      </c>
      <c r="C1452" t="s">
        <v>5</v>
      </c>
      <c r="D1452">
        <v>93704</v>
      </c>
      <c r="E1452" s="1">
        <v>44469</v>
      </c>
      <c r="F1452" s="2">
        <f t="shared" si="132"/>
        <v>2021</v>
      </c>
      <c r="G1452">
        <v>33</v>
      </c>
      <c r="H1452" s="3">
        <v>351517</v>
      </c>
      <c r="I1452">
        <v>40515</v>
      </c>
      <c r="J1452">
        <v>351517</v>
      </c>
      <c r="K1452">
        <v>311248</v>
      </c>
      <c r="L1452">
        <v>307152</v>
      </c>
      <c r="M1452" t="str">
        <f t="shared" si="133"/>
        <v>Medium</v>
      </c>
      <c r="N1452">
        <f>VLOOKUP(C1452,Lookup!$A$2:$D$5,MATCH(M1452,Lookup!$A$1:$D$1,0),FALSE)</f>
        <v>0.09</v>
      </c>
      <c r="O1452">
        <f t="shared" si="134"/>
        <v>27643.68</v>
      </c>
      <c r="P1452" s="7">
        <f t="shared" si="135"/>
        <v>0.8854422403468396</v>
      </c>
      <c r="Q1452" s="7">
        <f t="shared" si="136"/>
        <v>10652.030303030304</v>
      </c>
      <c r="R1452">
        <f t="shared" si="137"/>
        <v>1.4656152871108332</v>
      </c>
    </row>
    <row r="1453" spans="1:18" x14ac:dyDescent="0.25">
      <c r="A1453" t="s">
        <v>853</v>
      </c>
      <c r="B1453" t="s">
        <v>534</v>
      </c>
      <c r="C1453" t="s">
        <v>8</v>
      </c>
      <c r="D1453">
        <v>62274</v>
      </c>
      <c r="E1453" s="1">
        <v>43738</v>
      </c>
      <c r="F1453" s="2">
        <f t="shared" si="132"/>
        <v>2019</v>
      </c>
      <c r="G1453">
        <v>43</v>
      </c>
      <c r="H1453" s="3">
        <v>128520</v>
      </c>
      <c r="I1453">
        <v>7601</v>
      </c>
      <c r="J1453">
        <v>128520</v>
      </c>
      <c r="K1453">
        <v>112886</v>
      </c>
      <c r="L1453">
        <v>112169</v>
      </c>
      <c r="M1453" t="str">
        <f t="shared" si="133"/>
        <v>Medium</v>
      </c>
      <c r="N1453">
        <f>VLOOKUP(C1453,Lookup!$A$2:$D$5,MATCH(M1453,Lookup!$A$1:$D$1,0),FALSE)</f>
        <v>0.08</v>
      </c>
      <c r="O1453">
        <f t="shared" si="134"/>
        <v>8973.52</v>
      </c>
      <c r="P1453" s="7">
        <f t="shared" si="135"/>
        <v>0.87835356364768125</v>
      </c>
      <c r="Q1453" s="7">
        <f t="shared" si="136"/>
        <v>2988.8372093023254</v>
      </c>
      <c r="R1453">
        <f t="shared" si="137"/>
        <v>0.8470477582932896</v>
      </c>
    </row>
    <row r="1454" spans="1:18" x14ac:dyDescent="0.25">
      <c r="A1454" t="s">
        <v>853</v>
      </c>
      <c r="B1454" t="s">
        <v>534</v>
      </c>
      <c r="C1454" t="s">
        <v>8</v>
      </c>
      <c r="D1454">
        <v>62274</v>
      </c>
      <c r="E1454" s="1">
        <v>44104</v>
      </c>
      <c r="F1454" s="2">
        <f t="shared" si="132"/>
        <v>2020</v>
      </c>
      <c r="G1454">
        <v>46</v>
      </c>
      <c r="H1454" s="3">
        <v>153649</v>
      </c>
      <c r="I1454">
        <v>16101</v>
      </c>
      <c r="J1454">
        <v>153649</v>
      </c>
      <c r="K1454">
        <v>137135</v>
      </c>
      <c r="L1454">
        <v>132175</v>
      </c>
      <c r="M1454" t="str">
        <f t="shared" si="133"/>
        <v>Medium</v>
      </c>
      <c r="N1454">
        <f>VLOOKUP(C1454,Lookup!$A$2:$D$5,MATCH(M1454,Lookup!$A$1:$D$1,0),FALSE)</f>
        <v>0.08</v>
      </c>
      <c r="O1454">
        <f t="shared" si="134"/>
        <v>10574</v>
      </c>
      <c r="P1454" s="7">
        <f t="shared" si="135"/>
        <v>0.89252126600238202</v>
      </c>
      <c r="Q1454" s="7">
        <f t="shared" si="136"/>
        <v>3340.195652173913</v>
      </c>
      <c r="R1454">
        <f t="shared" si="137"/>
        <v>1.5226971817665973</v>
      </c>
    </row>
    <row r="1455" spans="1:18" x14ac:dyDescent="0.25">
      <c r="A1455" t="s">
        <v>853</v>
      </c>
      <c r="B1455" t="s">
        <v>534</v>
      </c>
      <c r="C1455" t="s">
        <v>8</v>
      </c>
      <c r="D1455">
        <v>62274</v>
      </c>
      <c r="E1455" s="1">
        <v>44469</v>
      </c>
      <c r="F1455" s="2">
        <f t="shared" si="132"/>
        <v>2021</v>
      </c>
      <c r="G1455">
        <v>45</v>
      </c>
      <c r="H1455" s="3">
        <v>160611</v>
      </c>
      <c r="I1455">
        <v>9951</v>
      </c>
      <c r="J1455">
        <v>160611</v>
      </c>
      <c r="K1455">
        <v>143901</v>
      </c>
      <c r="L1455">
        <v>143591</v>
      </c>
      <c r="M1455" t="str">
        <f t="shared" si="133"/>
        <v>Medium</v>
      </c>
      <c r="N1455">
        <f>VLOOKUP(C1455,Lookup!$A$2:$D$5,MATCH(M1455,Lookup!$A$1:$D$1,0),FALSE)</f>
        <v>0.08</v>
      </c>
      <c r="O1455">
        <f t="shared" si="134"/>
        <v>11487.28</v>
      </c>
      <c r="P1455" s="7">
        <f t="shared" si="135"/>
        <v>0.89595980350038296</v>
      </c>
      <c r="Q1455" s="7">
        <f t="shared" si="136"/>
        <v>3569.1333333333332</v>
      </c>
      <c r="R1455">
        <f t="shared" si="137"/>
        <v>0.86626250948875616</v>
      </c>
    </row>
    <row r="1456" spans="1:18" x14ac:dyDescent="0.25">
      <c r="A1456" t="s">
        <v>854</v>
      </c>
      <c r="B1456" t="s">
        <v>28</v>
      </c>
      <c r="C1456" t="s">
        <v>8</v>
      </c>
      <c r="D1456">
        <v>60608</v>
      </c>
      <c r="E1456" s="1">
        <v>43738</v>
      </c>
      <c r="F1456" s="2">
        <f t="shared" si="132"/>
        <v>2019</v>
      </c>
      <c r="G1456">
        <v>41</v>
      </c>
      <c r="H1456" s="3">
        <v>71805</v>
      </c>
      <c r="I1456">
        <v>10114</v>
      </c>
      <c r="J1456">
        <v>71805</v>
      </c>
      <c r="K1456">
        <v>58004</v>
      </c>
      <c r="L1456">
        <v>57195</v>
      </c>
      <c r="M1456" t="str">
        <f t="shared" si="133"/>
        <v>Small</v>
      </c>
      <c r="N1456">
        <f>VLOOKUP(C1456,Lookup!$A$2:$D$5,MATCH(M1456,Lookup!$A$1:$D$1,0),FALSE)</f>
        <v>0.09</v>
      </c>
      <c r="O1456">
        <f t="shared" si="134"/>
        <v>5147.55</v>
      </c>
      <c r="P1456" s="7">
        <f t="shared" si="135"/>
        <v>0.80779889979806418</v>
      </c>
      <c r="Q1456" s="7">
        <f t="shared" si="136"/>
        <v>1751.3414634146341</v>
      </c>
      <c r="R1456">
        <f t="shared" si="137"/>
        <v>1.9648182144903885</v>
      </c>
    </row>
    <row r="1457" spans="1:18" x14ac:dyDescent="0.25">
      <c r="A1457" t="s">
        <v>854</v>
      </c>
      <c r="B1457" t="s">
        <v>28</v>
      </c>
      <c r="C1457" t="s">
        <v>8</v>
      </c>
      <c r="D1457">
        <v>60608</v>
      </c>
      <c r="E1457" s="1">
        <v>44104</v>
      </c>
      <c r="F1457" s="2">
        <f t="shared" si="132"/>
        <v>2020</v>
      </c>
      <c r="G1457">
        <v>42</v>
      </c>
      <c r="H1457" s="3">
        <v>98159</v>
      </c>
      <c r="I1457">
        <v>10965</v>
      </c>
      <c r="J1457">
        <v>98159</v>
      </c>
      <c r="K1457">
        <v>83324</v>
      </c>
      <c r="L1457">
        <v>63500</v>
      </c>
      <c r="M1457" t="str">
        <f t="shared" si="133"/>
        <v>Small</v>
      </c>
      <c r="N1457">
        <f>VLOOKUP(C1457,Lookup!$A$2:$D$5,MATCH(M1457,Lookup!$A$1:$D$1,0),FALSE)</f>
        <v>0.09</v>
      </c>
      <c r="O1457">
        <f t="shared" si="134"/>
        <v>5715</v>
      </c>
      <c r="P1457" s="7">
        <f t="shared" si="135"/>
        <v>0.8488676535009525</v>
      </c>
      <c r="Q1457" s="7">
        <f t="shared" si="136"/>
        <v>2337.1190476190477</v>
      </c>
      <c r="R1457">
        <f t="shared" si="137"/>
        <v>1.9186351706036746</v>
      </c>
    </row>
    <row r="1458" spans="1:18" x14ac:dyDescent="0.25">
      <c r="A1458" t="s">
        <v>854</v>
      </c>
      <c r="B1458" t="s">
        <v>28</v>
      </c>
      <c r="C1458" t="s">
        <v>8</v>
      </c>
      <c r="D1458">
        <v>60608</v>
      </c>
      <c r="E1458" s="1">
        <v>44469</v>
      </c>
      <c r="F1458" s="2">
        <f t="shared" si="132"/>
        <v>2021</v>
      </c>
      <c r="G1458">
        <v>48</v>
      </c>
      <c r="H1458" s="3">
        <v>96835</v>
      </c>
      <c r="I1458">
        <v>30564</v>
      </c>
      <c r="J1458">
        <v>96835</v>
      </c>
      <c r="K1458">
        <v>81500</v>
      </c>
      <c r="L1458">
        <v>70541</v>
      </c>
      <c r="M1458" t="str">
        <f t="shared" si="133"/>
        <v>Small</v>
      </c>
      <c r="N1458">
        <f>VLOOKUP(C1458,Lookup!$A$2:$D$5,MATCH(M1458,Lookup!$A$1:$D$1,0),FALSE)</f>
        <v>0.09</v>
      </c>
      <c r="O1458">
        <f t="shared" si="134"/>
        <v>6348.69</v>
      </c>
      <c r="P1458" s="7">
        <f t="shared" si="135"/>
        <v>0.84163783755873389</v>
      </c>
      <c r="Q1458" s="7">
        <f t="shared" si="136"/>
        <v>2017.3958333333333</v>
      </c>
      <c r="R1458">
        <f t="shared" si="137"/>
        <v>4.8142215165648352</v>
      </c>
    </row>
    <row r="1459" spans="1:18" x14ac:dyDescent="0.25">
      <c r="A1459" t="s">
        <v>855</v>
      </c>
      <c r="B1459" t="s">
        <v>856</v>
      </c>
      <c r="C1459" t="s">
        <v>20</v>
      </c>
      <c r="D1459">
        <v>1701</v>
      </c>
      <c r="E1459" s="1">
        <v>43738</v>
      </c>
      <c r="F1459" s="2">
        <f t="shared" si="132"/>
        <v>2019</v>
      </c>
      <c r="G1459">
        <v>91</v>
      </c>
      <c r="H1459" s="3">
        <v>983289</v>
      </c>
      <c r="I1459">
        <v>108883</v>
      </c>
      <c r="J1459">
        <v>983289</v>
      </c>
      <c r="K1459">
        <v>816420</v>
      </c>
      <c r="L1459">
        <v>794132</v>
      </c>
      <c r="M1459" t="str">
        <f t="shared" si="133"/>
        <v>Medium</v>
      </c>
      <c r="N1459">
        <f>VLOOKUP(C1459,Lookup!$A$2:$D$5,MATCH(M1459,Lookup!$A$1:$D$1,0),FALSE)</f>
        <v>8.5000000000000006E-2</v>
      </c>
      <c r="O1459">
        <f t="shared" si="134"/>
        <v>67501.22</v>
      </c>
      <c r="P1459" s="7">
        <f t="shared" si="135"/>
        <v>0.83029506076036652</v>
      </c>
      <c r="Q1459" s="7">
        <f t="shared" si="136"/>
        <v>10805.373626373626</v>
      </c>
      <c r="R1459">
        <f t="shared" si="137"/>
        <v>1.613052327054237</v>
      </c>
    </row>
    <row r="1460" spans="1:18" x14ac:dyDescent="0.25">
      <c r="A1460" t="s">
        <v>855</v>
      </c>
      <c r="B1460" t="s">
        <v>856</v>
      </c>
      <c r="C1460" t="s">
        <v>20</v>
      </c>
      <c r="D1460">
        <v>1701</v>
      </c>
      <c r="E1460" s="1">
        <v>44104</v>
      </c>
      <c r="F1460" s="2">
        <f t="shared" si="132"/>
        <v>2020</v>
      </c>
      <c r="G1460">
        <v>92</v>
      </c>
      <c r="H1460" s="3">
        <v>974144</v>
      </c>
      <c r="I1460">
        <v>48177</v>
      </c>
      <c r="J1460">
        <v>974144</v>
      </c>
      <c r="K1460">
        <v>790940</v>
      </c>
      <c r="L1460">
        <v>748590</v>
      </c>
      <c r="M1460" t="str">
        <f t="shared" si="133"/>
        <v>Medium</v>
      </c>
      <c r="N1460">
        <f>VLOOKUP(C1460,Lookup!$A$2:$D$5,MATCH(M1460,Lookup!$A$1:$D$1,0),FALSE)</f>
        <v>8.5000000000000006E-2</v>
      </c>
      <c r="O1460">
        <f t="shared" si="134"/>
        <v>63630.15</v>
      </c>
      <c r="P1460" s="7">
        <f t="shared" si="135"/>
        <v>0.81193334866303135</v>
      </c>
      <c r="Q1460" s="7">
        <f t="shared" si="136"/>
        <v>10588.521739130434</v>
      </c>
      <c r="R1460">
        <f t="shared" si="137"/>
        <v>0.75714107227469996</v>
      </c>
    </row>
    <row r="1461" spans="1:18" x14ac:dyDescent="0.25">
      <c r="A1461" t="s">
        <v>855</v>
      </c>
      <c r="B1461" t="s">
        <v>856</v>
      </c>
      <c r="C1461" t="s">
        <v>20</v>
      </c>
      <c r="D1461">
        <v>1701</v>
      </c>
      <c r="E1461" s="1">
        <v>44469</v>
      </c>
      <c r="F1461" s="2">
        <f t="shared" si="132"/>
        <v>2021</v>
      </c>
      <c r="G1461">
        <v>91</v>
      </c>
      <c r="H1461" s="3">
        <v>1009470</v>
      </c>
      <c r="I1461">
        <v>79708</v>
      </c>
      <c r="J1461">
        <v>1009470</v>
      </c>
      <c r="K1461">
        <v>811455</v>
      </c>
      <c r="L1461">
        <v>785971</v>
      </c>
      <c r="M1461" t="str">
        <f t="shared" si="133"/>
        <v>Large</v>
      </c>
      <c r="N1461">
        <f>VLOOKUP(C1461,Lookup!$A$2:$D$5,MATCH(M1461,Lookup!$A$1:$D$1,0),FALSE)</f>
        <v>0.08</v>
      </c>
      <c r="O1461">
        <f t="shared" si="134"/>
        <v>62877.68</v>
      </c>
      <c r="P1461" s="7">
        <f t="shared" si="135"/>
        <v>0.80384261047876604</v>
      </c>
      <c r="Q1461" s="7">
        <f t="shared" si="136"/>
        <v>11093.076923076924</v>
      </c>
      <c r="R1461">
        <f t="shared" si="137"/>
        <v>1.2676676365921897</v>
      </c>
    </row>
    <row r="1462" spans="1:18" x14ac:dyDescent="0.25">
      <c r="A1462" t="s">
        <v>857</v>
      </c>
      <c r="B1462" t="s">
        <v>228</v>
      </c>
      <c r="C1462" t="s">
        <v>5</v>
      </c>
      <c r="D1462">
        <v>92618</v>
      </c>
      <c r="E1462" s="1">
        <v>43738</v>
      </c>
      <c r="F1462" s="2">
        <f t="shared" si="132"/>
        <v>2019</v>
      </c>
      <c r="G1462">
        <v>60</v>
      </c>
      <c r="H1462" s="3">
        <v>910381</v>
      </c>
      <c r="I1462">
        <v>224076</v>
      </c>
      <c r="J1462">
        <v>910381</v>
      </c>
      <c r="K1462">
        <v>831094</v>
      </c>
      <c r="L1462">
        <v>827334</v>
      </c>
      <c r="M1462" t="str">
        <f t="shared" si="133"/>
        <v>Medium</v>
      </c>
      <c r="N1462">
        <f>VLOOKUP(C1462,Lookup!$A$2:$D$5,MATCH(M1462,Lookup!$A$1:$D$1,0),FALSE)</f>
        <v>0.09</v>
      </c>
      <c r="O1462">
        <f t="shared" si="134"/>
        <v>74460.06</v>
      </c>
      <c r="P1462" s="7">
        <f t="shared" si="135"/>
        <v>0.91290789240988113</v>
      </c>
      <c r="Q1462" s="7">
        <f t="shared" si="136"/>
        <v>15173.016666666666</v>
      </c>
      <c r="R1462">
        <f t="shared" si="137"/>
        <v>3.0093448756286256</v>
      </c>
    </row>
    <row r="1463" spans="1:18" x14ac:dyDescent="0.25">
      <c r="A1463" t="s">
        <v>857</v>
      </c>
      <c r="B1463" t="s">
        <v>228</v>
      </c>
      <c r="C1463" t="s">
        <v>5</v>
      </c>
      <c r="D1463">
        <v>92618</v>
      </c>
      <c r="E1463" s="1">
        <v>44104</v>
      </c>
      <c r="F1463" s="2">
        <f t="shared" si="132"/>
        <v>2020</v>
      </c>
      <c r="G1463">
        <v>70</v>
      </c>
      <c r="H1463" s="3">
        <v>1366675</v>
      </c>
      <c r="I1463">
        <v>461984</v>
      </c>
      <c r="J1463">
        <v>1366675</v>
      </c>
      <c r="K1463">
        <v>1261297</v>
      </c>
      <c r="L1463">
        <v>1207879</v>
      </c>
      <c r="M1463" t="str">
        <f t="shared" si="133"/>
        <v>Large</v>
      </c>
      <c r="N1463">
        <f>VLOOKUP(C1463,Lookup!$A$2:$D$5,MATCH(M1463,Lookup!$A$1:$D$1,0),FALSE)</f>
        <v>0.08</v>
      </c>
      <c r="O1463">
        <f t="shared" si="134"/>
        <v>96630.32</v>
      </c>
      <c r="P1463" s="7">
        <f t="shared" si="135"/>
        <v>0.92289461649624083</v>
      </c>
      <c r="Q1463" s="7">
        <f t="shared" si="136"/>
        <v>19523.928571428572</v>
      </c>
      <c r="R1463">
        <f t="shared" si="137"/>
        <v>4.7809424619519003</v>
      </c>
    </row>
    <row r="1464" spans="1:18" x14ac:dyDescent="0.25">
      <c r="A1464" t="s">
        <v>857</v>
      </c>
      <c r="B1464" t="s">
        <v>228</v>
      </c>
      <c r="C1464" t="s">
        <v>5</v>
      </c>
      <c r="D1464">
        <v>92618</v>
      </c>
      <c r="E1464" s="1">
        <v>44469</v>
      </c>
      <c r="F1464" s="2">
        <f t="shared" si="132"/>
        <v>2021</v>
      </c>
      <c r="G1464">
        <v>83</v>
      </c>
      <c r="H1464" s="3">
        <v>1221330</v>
      </c>
      <c r="I1464">
        <v>153627</v>
      </c>
      <c r="J1464">
        <v>1221330</v>
      </c>
      <c r="K1464">
        <v>1089752</v>
      </c>
      <c r="L1464">
        <v>1049252</v>
      </c>
      <c r="M1464" t="str">
        <f t="shared" si="133"/>
        <v>Large</v>
      </c>
      <c r="N1464">
        <f>VLOOKUP(C1464,Lookup!$A$2:$D$5,MATCH(M1464,Lookup!$A$1:$D$1,0),FALSE)</f>
        <v>0.08</v>
      </c>
      <c r="O1464">
        <f t="shared" si="134"/>
        <v>83940.160000000003</v>
      </c>
      <c r="P1464" s="7">
        <f t="shared" si="135"/>
        <v>0.89226662736524931</v>
      </c>
      <c r="Q1464" s="7">
        <f t="shared" si="136"/>
        <v>14714.819277108434</v>
      </c>
      <c r="R1464">
        <f t="shared" si="137"/>
        <v>1.8301966543785477</v>
      </c>
    </row>
    <row r="1465" spans="1:18" x14ac:dyDescent="0.25">
      <c r="A1465" t="s">
        <v>858</v>
      </c>
      <c r="B1465" t="s">
        <v>859</v>
      </c>
      <c r="C1465" t="s">
        <v>8</v>
      </c>
      <c r="D1465">
        <v>62263</v>
      </c>
      <c r="E1465" s="1">
        <v>43738</v>
      </c>
      <c r="F1465" s="2">
        <f t="shared" si="132"/>
        <v>2019</v>
      </c>
      <c r="G1465">
        <v>6</v>
      </c>
      <c r="H1465" s="3">
        <v>60671</v>
      </c>
      <c r="I1465">
        <v>2857</v>
      </c>
      <c r="J1465">
        <v>60671</v>
      </c>
      <c r="K1465">
        <v>52415</v>
      </c>
      <c r="L1465">
        <v>52177</v>
      </c>
      <c r="M1465" t="str">
        <f t="shared" si="133"/>
        <v>Small</v>
      </c>
      <c r="N1465">
        <f>VLOOKUP(C1465,Lookup!$A$2:$D$5,MATCH(M1465,Lookup!$A$1:$D$1,0),FALSE)</f>
        <v>0.09</v>
      </c>
      <c r="O1465">
        <f t="shared" si="134"/>
        <v>4695.9299999999994</v>
      </c>
      <c r="P1465" s="7">
        <f t="shared" si="135"/>
        <v>0.86392180778296057</v>
      </c>
      <c r="Q1465" s="7">
        <f t="shared" si="136"/>
        <v>10111.833333333334</v>
      </c>
      <c r="R1465">
        <f t="shared" si="137"/>
        <v>0.60839918823321482</v>
      </c>
    </row>
    <row r="1466" spans="1:18" x14ac:dyDescent="0.25">
      <c r="A1466" t="s">
        <v>858</v>
      </c>
      <c r="B1466" t="s">
        <v>859</v>
      </c>
      <c r="C1466" t="s">
        <v>8</v>
      </c>
      <c r="D1466">
        <v>62263</v>
      </c>
      <c r="E1466" s="1">
        <v>44104</v>
      </c>
      <c r="F1466" s="2">
        <f t="shared" si="132"/>
        <v>2020</v>
      </c>
      <c r="G1466">
        <v>6</v>
      </c>
      <c r="H1466" s="3">
        <v>71348</v>
      </c>
      <c r="I1466">
        <v>7232</v>
      </c>
      <c r="J1466">
        <v>71348</v>
      </c>
      <c r="K1466">
        <v>62494</v>
      </c>
      <c r="L1466">
        <v>58209</v>
      </c>
      <c r="M1466" t="str">
        <f t="shared" si="133"/>
        <v>Small</v>
      </c>
      <c r="N1466">
        <f>VLOOKUP(C1466,Lookup!$A$2:$D$5,MATCH(M1466,Lookup!$A$1:$D$1,0),FALSE)</f>
        <v>0.09</v>
      </c>
      <c r="O1466">
        <f t="shared" si="134"/>
        <v>5238.8099999999995</v>
      </c>
      <c r="P1466" s="7">
        <f t="shared" si="135"/>
        <v>0.87590401973426024</v>
      </c>
      <c r="Q1466" s="7">
        <f t="shared" si="136"/>
        <v>11891.333333333334</v>
      </c>
      <c r="R1466">
        <f t="shared" si="137"/>
        <v>1.3804661745701792</v>
      </c>
    </row>
    <row r="1467" spans="1:18" x14ac:dyDescent="0.25">
      <c r="A1467" t="s">
        <v>858</v>
      </c>
      <c r="B1467" t="s">
        <v>859</v>
      </c>
      <c r="C1467" t="s">
        <v>8</v>
      </c>
      <c r="D1467">
        <v>62263</v>
      </c>
      <c r="E1467" s="1">
        <v>44469</v>
      </c>
      <c r="F1467" s="2">
        <f t="shared" si="132"/>
        <v>2021</v>
      </c>
      <c r="G1467">
        <v>6</v>
      </c>
      <c r="H1467" s="3">
        <v>80115</v>
      </c>
      <c r="I1467">
        <v>3763</v>
      </c>
      <c r="J1467">
        <v>80115</v>
      </c>
      <c r="K1467">
        <v>70827</v>
      </c>
      <c r="L1467">
        <v>66590</v>
      </c>
      <c r="M1467" t="str">
        <f t="shared" si="133"/>
        <v>Small</v>
      </c>
      <c r="N1467">
        <f>VLOOKUP(C1467,Lookup!$A$2:$D$5,MATCH(M1467,Lookup!$A$1:$D$1,0),FALSE)</f>
        <v>0.09</v>
      </c>
      <c r="O1467">
        <f t="shared" si="134"/>
        <v>5993.0999999999995</v>
      </c>
      <c r="P1467" s="7">
        <f t="shared" si="135"/>
        <v>0.88406665418460961</v>
      </c>
      <c r="Q1467" s="7">
        <f t="shared" si="136"/>
        <v>13352.5</v>
      </c>
      <c r="R1467">
        <f t="shared" si="137"/>
        <v>0.62788873871619033</v>
      </c>
    </row>
    <row r="1468" spans="1:18" x14ac:dyDescent="0.25">
      <c r="A1468" t="s">
        <v>860</v>
      </c>
      <c r="B1468" t="s">
        <v>45</v>
      </c>
      <c r="C1468" t="s">
        <v>17</v>
      </c>
      <c r="D1468">
        <v>11354</v>
      </c>
      <c r="E1468" s="1">
        <v>43738</v>
      </c>
      <c r="F1468" s="2">
        <f t="shared" si="132"/>
        <v>2019</v>
      </c>
      <c r="G1468">
        <v>27</v>
      </c>
      <c r="H1468" s="3">
        <v>228125</v>
      </c>
      <c r="I1468">
        <v>20016</v>
      </c>
      <c r="J1468">
        <v>228125</v>
      </c>
      <c r="K1468">
        <v>187547</v>
      </c>
      <c r="L1468">
        <v>166388</v>
      </c>
      <c r="M1468" t="str">
        <f t="shared" si="133"/>
        <v>Medium</v>
      </c>
      <c r="N1468">
        <f>VLOOKUP(C1468,Lookup!$A$2:$D$5,MATCH(M1468,Lookup!$A$1:$D$1,0),FALSE)</f>
        <v>8.5000000000000006E-2</v>
      </c>
      <c r="O1468">
        <f t="shared" si="134"/>
        <v>14142.980000000001</v>
      </c>
      <c r="P1468" s="7">
        <f t="shared" si="135"/>
        <v>0.82212383561643831</v>
      </c>
      <c r="Q1468" s="7">
        <f t="shared" si="136"/>
        <v>8449.0740740740748</v>
      </c>
      <c r="R1468">
        <f t="shared" si="137"/>
        <v>1.4152604330911871</v>
      </c>
    </row>
    <row r="1469" spans="1:18" x14ac:dyDescent="0.25">
      <c r="A1469" t="s">
        <v>860</v>
      </c>
      <c r="B1469" t="s">
        <v>45</v>
      </c>
      <c r="C1469" t="s">
        <v>17</v>
      </c>
      <c r="D1469">
        <v>11354</v>
      </c>
      <c r="E1469" s="1">
        <v>44104</v>
      </c>
      <c r="F1469" s="2">
        <f t="shared" si="132"/>
        <v>2020</v>
      </c>
      <c r="G1469">
        <v>26</v>
      </c>
      <c r="H1469" s="3">
        <v>207503</v>
      </c>
      <c r="I1469">
        <v>23896</v>
      </c>
      <c r="J1469">
        <v>207503</v>
      </c>
      <c r="K1469">
        <v>167307</v>
      </c>
      <c r="L1469">
        <v>146801</v>
      </c>
      <c r="M1469" t="str">
        <f t="shared" si="133"/>
        <v>Medium</v>
      </c>
      <c r="N1469">
        <f>VLOOKUP(C1469,Lookup!$A$2:$D$5,MATCH(M1469,Lookup!$A$1:$D$1,0),FALSE)</f>
        <v>8.5000000000000006E-2</v>
      </c>
      <c r="O1469">
        <f t="shared" si="134"/>
        <v>12478.085000000001</v>
      </c>
      <c r="P1469" s="7">
        <f t="shared" si="135"/>
        <v>0.80628713801728169</v>
      </c>
      <c r="Q1469" s="7">
        <f t="shared" si="136"/>
        <v>7980.8846153846152</v>
      </c>
      <c r="R1469">
        <f t="shared" si="137"/>
        <v>1.9150374436462003</v>
      </c>
    </row>
    <row r="1470" spans="1:18" x14ac:dyDescent="0.25">
      <c r="A1470" t="s">
        <v>860</v>
      </c>
      <c r="B1470" t="s">
        <v>45</v>
      </c>
      <c r="C1470" t="s">
        <v>17</v>
      </c>
      <c r="D1470">
        <v>11354</v>
      </c>
      <c r="E1470" s="1">
        <v>44469</v>
      </c>
      <c r="F1470" s="2">
        <f t="shared" si="132"/>
        <v>2021</v>
      </c>
      <c r="G1470">
        <v>27</v>
      </c>
      <c r="H1470" s="3">
        <v>210160</v>
      </c>
      <c r="I1470">
        <v>32777</v>
      </c>
      <c r="J1470">
        <v>210160</v>
      </c>
      <c r="K1470">
        <v>173578</v>
      </c>
      <c r="L1470">
        <v>154770</v>
      </c>
      <c r="M1470" t="str">
        <f t="shared" si="133"/>
        <v>Medium</v>
      </c>
      <c r="N1470">
        <f>VLOOKUP(C1470,Lookup!$A$2:$D$5,MATCH(M1470,Lookup!$A$1:$D$1,0),FALSE)</f>
        <v>8.5000000000000006E-2</v>
      </c>
      <c r="O1470">
        <f t="shared" si="134"/>
        <v>13155.45</v>
      </c>
      <c r="P1470" s="7">
        <f t="shared" si="135"/>
        <v>0.82593262276360868</v>
      </c>
      <c r="Q1470" s="7">
        <f t="shared" si="136"/>
        <v>7783.7037037037035</v>
      </c>
      <c r="R1470">
        <f t="shared" si="137"/>
        <v>2.4915149234727809</v>
      </c>
    </row>
    <row r="1471" spans="1:18" x14ac:dyDescent="0.25">
      <c r="A1471" t="s">
        <v>861</v>
      </c>
      <c r="B1471" t="s">
        <v>862</v>
      </c>
      <c r="C1471" t="s">
        <v>8</v>
      </c>
      <c r="D1471">
        <v>60964</v>
      </c>
      <c r="E1471" s="1">
        <v>43738</v>
      </c>
      <c r="F1471" s="2">
        <f t="shared" si="132"/>
        <v>2019</v>
      </c>
      <c r="G1471">
        <v>20</v>
      </c>
      <c r="H1471" s="3">
        <v>74758</v>
      </c>
      <c r="I1471">
        <v>15422</v>
      </c>
      <c r="J1471">
        <v>74758</v>
      </c>
      <c r="K1471">
        <v>65857</v>
      </c>
      <c r="L1471">
        <v>65141</v>
      </c>
      <c r="M1471" t="str">
        <f t="shared" si="133"/>
        <v>Small</v>
      </c>
      <c r="N1471">
        <f>VLOOKUP(C1471,Lookup!$A$2:$D$5,MATCH(M1471,Lookup!$A$1:$D$1,0),FALSE)</f>
        <v>0.09</v>
      </c>
      <c r="O1471">
        <f t="shared" si="134"/>
        <v>5862.69</v>
      </c>
      <c r="P1471" s="7">
        <f t="shared" si="135"/>
        <v>0.88093581957783784</v>
      </c>
      <c r="Q1471" s="7">
        <f t="shared" si="136"/>
        <v>3737.9</v>
      </c>
      <c r="R1471">
        <f t="shared" si="137"/>
        <v>2.6305330829363314</v>
      </c>
    </row>
    <row r="1472" spans="1:18" x14ac:dyDescent="0.25">
      <c r="A1472" t="s">
        <v>861</v>
      </c>
      <c r="B1472" t="s">
        <v>862</v>
      </c>
      <c r="C1472" t="s">
        <v>8</v>
      </c>
      <c r="D1472">
        <v>60964</v>
      </c>
      <c r="E1472" s="1">
        <v>44104</v>
      </c>
      <c r="F1472" s="2">
        <f t="shared" si="132"/>
        <v>2020</v>
      </c>
      <c r="G1472">
        <v>23</v>
      </c>
      <c r="H1472" s="3">
        <v>95708</v>
      </c>
      <c r="I1472">
        <v>13915</v>
      </c>
      <c r="J1472">
        <v>95708</v>
      </c>
      <c r="K1472">
        <v>85621</v>
      </c>
      <c r="L1472">
        <v>81156</v>
      </c>
      <c r="M1472" t="str">
        <f t="shared" si="133"/>
        <v>Small</v>
      </c>
      <c r="N1472">
        <f>VLOOKUP(C1472,Lookup!$A$2:$D$5,MATCH(M1472,Lookup!$A$1:$D$1,0),FALSE)</f>
        <v>0.09</v>
      </c>
      <c r="O1472">
        <f t="shared" si="134"/>
        <v>7304.04</v>
      </c>
      <c r="P1472" s="7">
        <f t="shared" si="135"/>
        <v>0.89460651147239523</v>
      </c>
      <c r="Q1472" s="7">
        <f t="shared" si="136"/>
        <v>4161.217391304348</v>
      </c>
      <c r="R1472">
        <f t="shared" si="137"/>
        <v>1.9051100486853851</v>
      </c>
    </row>
    <row r="1473" spans="1:18" x14ac:dyDescent="0.25">
      <c r="A1473" t="s">
        <v>861</v>
      </c>
      <c r="B1473" t="s">
        <v>862</v>
      </c>
      <c r="C1473" t="s">
        <v>8</v>
      </c>
      <c r="D1473">
        <v>60964</v>
      </c>
      <c r="E1473" s="1">
        <v>44469</v>
      </c>
      <c r="F1473" s="2">
        <f t="shared" si="132"/>
        <v>2021</v>
      </c>
      <c r="G1473">
        <v>26</v>
      </c>
      <c r="H1473" s="3">
        <v>110895</v>
      </c>
      <c r="I1473">
        <v>16170</v>
      </c>
      <c r="J1473">
        <v>110895</v>
      </c>
      <c r="K1473">
        <v>98744</v>
      </c>
      <c r="L1473">
        <v>98161</v>
      </c>
      <c r="M1473" t="str">
        <f t="shared" si="133"/>
        <v>Medium</v>
      </c>
      <c r="N1473">
        <f>VLOOKUP(C1473,Lookup!$A$2:$D$5,MATCH(M1473,Lookup!$A$1:$D$1,0),FALSE)</f>
        <v>0.08</v>
      </c>
      <c r="O1473">
        <f t="shared" si="134"/>
        <v>7852.88</v>
      </c>
      <c r="P1473" s="7">
        <f t="shared" si="135"/>
        <v>0.89042788223093916</v>
      </c>
      <c r="Q1473" s="7">
        <f t="shared" si="136"/>
        <v>4265.1923076923076</v>
      </c>
      <c r="R1473">
        <f t="shared" si="137"/>
        <v>2.0591171646580619</v>
      </c>
    </row>
    <row r="1474" spans="1:18" x14ac:dyDescent="0.25">
      <c r="A1474" t="s">
        <v>863</v>
      </c>
      <c r="B1474" t="s">
        <v>864</v>
      </c>
      <c r="C1474" t="s">
        <v>17</v>
      </c>
      <c r="D1474">
        <v>13815</v>
      </c>
      <c r="E1474" s="1">
        <v>43738</v>
      </c>
      <c r="F1474" s="2">
        <f t="shared" ref="F1474:F1537" si="138">YEAR(E1474)</f>
        <v>2019</v>
      </c>
      <c r="G1474">
        <v>1527</v>
      </c>
      <c r="H1474" s="3">
        <v>9591370</v>
      </c>
      <c r="I1474">
        <v>272083</v>
      </c>
      <c r="J1474">
        <v>9591369</v>
      </c>
      <c r="K1474">
        <v>8463807</v>
      </c>
      <c r="L1474">
        <v>7795723</v>
      </c>
      <c r="M1474" t="str">
        <f t="shared" ref="M1474:M1537" si="139">IF(H1474&gt;1000000,"Large",IF(H1474&lt;100000,"Small","Medium"))</f>
        <v>Large</v>
      </c>
      <c r="N1474">
        <f>VLOOKUP(C1474,Lookup!$A$2:$D$5,MATCH(M1474,Lookup!$A$1:$D$1,0),FALSE)</f>
        <v>0.08</v>
      </c>
      <c r="O1474">
        <f t="shared" ref="O1474:O1537" si="140">L1474*N1474</f>
        <v>623657.84</v>
      </c>
      <c r="P1474" s="7">
        <f t="shared" ref="P1474:P1537" si="141">K1474/H1474</f>
        <v>0.88243983914706658</v>
      </c>
      <c r="Q1474" s="7">
        <f t="shared" ref="Q1474:Q1537" si="142">H1474/G1474</f>
        <v>6281.1853307138181</v>
      </c>
      <c r="R1474">
        <f t="shared" ref="R1474:R1537" si="143">I1474/O1474</f>
        <v>0.43626966992028837</v>
      </c>
    </row>
    <row r="1475" spans="1:18" x14ac:dyDescent="0.25">
      <c r="A1475" t="s">
        <v>863</v>
      </c>
      <c r="B1475" t="s">
        <v>864</v>
      </c>
      <c r="C1475" t="s">
        <v>17</v>
      </c>
      <c r="D1475">
        <v>13815</v>
      </c>
      <c r="E1475" s="1">
        <v>44104</v>
      </c>
      <c r="F1475" s="2">
        <f t="shared" si="138"/>
        <v>2020</v>
      </c>
      <c r="G1475">
        <v>1512</v>
      </c>
      <c r="H1475" s="3">
        <v>10761572</v>
      </c>
      <c r="I1475">
        <v>615278</v>
      </c>
      <c r="J1475">
        <v>10761572</v>
      </c>
      <c r="K1475">
        <v>9473200</v>
      </c>
      <c r="L1475">
        <v>9006325</v>
      </c>
      <c r="M1475" t="str">
        <f t="shared" si="139"/>
        <v>Large</v>
      </c>
      <c r="N1475">
        <f>VLOOKUP(C1475,Lookup!$A$2:$D$5,MATCH(M1475,Lookup!$A$1:$D$1,0),FALSE)</f>
        <v>0.08</v>
      </c>
      <c r="O1475">
        <f t="shared" si="140"/>
        <v>720506</v>
      </c>
      <c r="P1475" s="7">
        <f t="shared" si="141"/>
        <v>0.88028031592410472</v>
      </c>
      <c r="Q1475" s="7">
        <f t="shared" si="142"/>
        <v>7117.4417989417989</v>
      </c>
      <c r="R1475">
        <f t="shared" si="143"/>
        <v>0.85395263883992634</v>
      </c>
    </row>
    <row r="1476" spans="1:18" x14ac:dyDescent="0.25">
      <c r="A1476" t="s">
        <v>863</v>
      </c>
      <c r="B1476" t="s">
        <v>864</v>
      </c>
      <c r="C1476" t="s">
        <v>17</v>
      </c>
      <c r="D1476">
        <v>13815</v>
      </c>
      <c r="E1476" s="1">
        <v>44469</v>
      </c>
      <c r="F1476" s="2">
        <f t="shared" si="138"/>
        <v>2021</v>
      </c>
      <c r="G1476">
        <v>1503</v>
      </c>
      <c r="H1476" s="3">
        <v>11905119</v>
      </c>
      <c r="I1476">
        <v>1343424</v>
      </c>
      <c r="J1476">
        <v>11905119</v>
      </c>
      <c r="K1476">
        <v>10548589</v>
      </c>
      <c r="L1476">
        <v>10250613</v>
      </c>
      <c r="M1476" t="str">
        <f t="shared" si="139"/>
        <v>Large</v>
      </c>
      <c r="N1476">
        <f>VLOOKUP(C1476,Lookup!$A$2:$D$5,MATCH(M1476,Lookup!$A$1:$D$1,0),FALSE)</f>
        <v>0.08</v>
      </c>
      <c r="O1476">
        <f t="shared" si="140"/>
        <v>820049.04</v>
      </c>
      <c r="P1476" s="7">
        <f t="shared" si="141"/>
        <v>0.88605489789728265</v>
      </c>
      <c r="Q1476" s="7">
        <f t="shared" si="142"/>
        <v>7920.9041916167662</v>
      </c>
      <c r="R1476">
        <f t="shared" si="143"/>
        <v>1.638223977434325</v>
      </c>
    </row>
    <row r="1477" spans="1:18" x14ac:dyDescent="0.25">
      <c r="A1477" t="s">
        <v>865</v>
      </c>
      <c r="B1477" t="s">
        <v>866</v>
      </c>
      <c r="C1477" t="s">
        <v>20</v>
      </c>
      <c r="D1477">
        <v>2492</v>
      </c>
      <c r="E1477" s="1">
        <v>43738</v>
      </c>
      <c r="F1477" s="2">
        <f t="shared" si="138"/>
        <v>2019</v>
      </c>
      <c r="G1477">
        <v>200</v>
      </c>
      <c r="H1477" s="3">
        <v>2345536</v>
      </c>
      <c r="I1477">
        <v>54679</v>
      </c>
      <c r="J1477">
        <v>2345536</v>
      </c>
      <c r="K1477">
        <v>2057717</v>
      </c>
      <c r="L1477">
        <v>1719621</v>
      </c>
      <c r="M1477" t="str">
        <f t="shared" si="139"/>
        <v>Large</v>
      </c>
      <c r="N1477">
        <f>VLOOKUP(C1477,Lookup!$A$2:$D$5,MATCH(M1477,Lookup!$A$1:$D$1,0),FALSE)</f>
        <v>0.08</v>
      </c>
      <c r="O1477">
        <f t="shared" si="140"/>
        <v>137569.68</v>
      </c>
      <c r="P1477" s="7">
        <f t="shared" si="141"/>
        <v>0.8772907343993015</v>
      </c>
      <c r="Q1477" s="7">
        <f t="shared" si="142"/>
        <v>11727.68</v>
      </c>
      <c r="R1477">
        <f t="shared" si="143"/>
        <v>0.39746403422614635</v>
      </c>
    </row>
    <row r="1478" spans="1:18" x14ac:dyDescent="0.25">
      <c r="A1478" t="s">
        <v>865</v>
      </c>
      <c r="B1478" t="s">
        <v>866</v>
      </c>
      <c r="C1478" t="s">
        <v>20</v>
      </c>
      <c r="D1478">
        <v>2492</v>
      </c>
      <c r="E1478" s="1">
        <v>44104</v>
      </c>
      <c r="F1478" s="2">
        <f t="shared" si="138"/>
        <v>2020</v>
      </c>
      <c r="G1478">
        <v>225</v>
      </c>
      <c r="H1478" s="3">
        <v>2568792</v>
      </c>
      <c r="I1478">
        <v>29551</v>
      </c>
      <c r="J1478">
        <v>2568792</v>
      </c>
      <c r="K1478">
        <v>2265506</v>
      </c>
      <c r="L1478">
        <v>2041189</v>
      </c>
      <c r="M1478" t="str">
        <f t="shared" si="139"/>
        <v>Large</v>
      </c>
      <c r="N1478">
        <f>VLOOKUP(C1478,Lookup!$A$2:$D$5,MATCH(M1478,Lookup!$A$1:$D$1,0),FALSE)</f>
        <v>0.08</v>
      </c>
      <c r="O1478">
        <f t="shared" si="140"/>
        <v>163295.12</v>
      </c>
      <c r="P1478" s="7">
        <f t="shared" si="141"/>
        <v>0.88193438783677314</v>
      </c>
      <c r="Q1478" s="7">
        <f t="shared" si="142"/>
        <v>11416.853333333333</v>
      </c>
      <c r="R1478">
        <f t="shared" si="143"/>
        <v>0.1809668286474207</v>
      </c>
    </row>
    <row r="1479" spans="1:18" x14ac:dyDescent="0.25">
      <c r="A1479" t="s">
        <v>865</v>
      </c>
      <c r="B1479" t="s">
        <v>866</v>
      </c>
      <c r="C1479" t="s">
        <v>20</v>
      </c>
      <c r="D1479">
        <v>2492</v>
      </c>
      <c r="E1479" s="1">
        <v>44469</v>
      </c>
      <c r="F1479" s="2">
        <f t="shared" si="138"/>
        <v>2021</v>
      </c>
      <c r="G1479">
        <v>256</v>
      </c>
      <c r="H1479" s="3">
        <v>2933206</v>
      </c>
      <c r="I1479">
        <v>511109</v>
      </c>
      <c r="J1479">
        <v>2933206</v>
      </c>
      <c r="K1479">
        <v>2613799</v>
      </c>
      <c r="L1479">
        <v>2532049</v>
      </c>
      <c r="M1479" t="str">
        <f t="shared" si="139"/>
        <v>Large</v>
      </c>
      <c r="N1479">
        <f>VLOOKUP(C1479,Lookup!$A$2:$D$5,MATCH(M1479,Lookup!$A$1:$D$1,0),FALSE)</f>
        <v>0.08</v>
      </c>
      <c r="O1479">
        <f t="shared" si="140"/>
        <v>202563.92</v>
      </c>
      <c r="P1479" s="7">
        <f t="shared" si="141"/>
        <v>0.89110652303315896</v>
      </c>
      <c r="Q1479" s="7">
        <f t="shared" si="142"/>
        <v>11457.8359375</v>
      </c>
      <c r="R1479">
        <f t="shared" si="143"/>
        <v>2.523198603186589</v>
      </c>
    </row>
    <row r="1480" spans="1:18" x14ac:dyDescent="0.25">
      <c r="A1480" t="s">
        <v>867</v>
      </c>
      <c r="B1480" t="s">
        <v>85</v>
      </c>
      <c r="C1480" t="s">
        <v>5</v>
      </c>
      <c r="D1480">
        <v>92113</v>
      </c>
      <c r="E1480" s="1">
        <v>43738</v>
      </c>
      <c r="F1480" s="2">
        <f t="shared" si="138"/>
        <v>2019</v>
      </c>
      <c r="G1480">
        <v>36</v>
      </c>
      <c r="H1480" s="3">
        <v>68110</v>
      </c>
      <c r="I1480">
        <v>8150</v>
      </c>
      <c r="J1480">
        <v>68110</v>
      </c>
      <c r="K1480">
        <v>57262</v>
      </c>
      <c r="L1480">
        <v>50804</v>
      </c>
      <c r="M1480" t="str">
        <f t="shared" si="139"/>
        <v>Small</v>
      </c>
      <c r="N1480">
        <f>VLOOKUP(C1480,Lookup!$A$2:$D$5,MATCH(M1480,Lookup!$A$1:$D$1,0),FALSE)</f>
        <v>0.1</v>
      </c>
      <c r="O1480">
        <f t="shared" si="140"/>
        <v>5080.4000000000005</v>
      </c>
      <c r="P1480" s="7">
        <f t="shared" si="141"/>
        <v>0.84072823373953898</v>
      </c>
      <c r="Q1480" s="7">
        <f t="shared" si="142"/>
        <v>1891.9444444444443</v>
      </c>
      <c r="R1480">
        <f t="shared" si="143"/>
        <v>1.6042043933548538</v>
      </c>
    </row>
    <row r="1481" spans="1:18" x14ac:dyDescent="0.25">
      <c r="A1481" t="s">
        <v>867</v>
      </c>
      <c r="B1481" t="s">
        <v>85</v>
      </c>
      <c r="C1481" t="s">
        <v>5</v>
      </c>
      <c r="D1481">
        <v>92113</v>
      </c>
      <c r="E1481" s="1">
        <v>44104</v>
      </c>
      <c r="F1481" s="2">
        <f t="shared" si="138"/>
        <v>2020</v>
      </c>
      <c r="G1481">
        <v>32</v>
      </c>
      <c r="H1481" s="3">
        <v>135407</v>
      </c>
      <c r="I1481">
        <v>2922</v>
      </c>
      <c r="J1481">
        <v>135407</v>
      </c>
      <c r="K1481">
        <v>124794</v>
      </c>
      <c r="L1481">
        <v>76705</v>
      </c>
      <c r="M1481" t="str">
        <f t="shared" si="139"/>
        <v>Medium</v>
      </c>
      <c r="N1481">
        <f>VLOOKUP(C1481,Lookup!$A$2:$D$5,MATCH(M1481,Lookup!$A$1:$D$1,0),FALSE)</f>
        <v>0.09</v>
      </c>
      <c r="O1481">
        <f t="shared" si="140"/>
        <v>6903.45</v>
      </c>
      <c r="P1481" s="7">
        <f t="shared" si="141"/>
        <v>0.9216214819027081</v>
      </c>
      <c r="Q1481" s="7">
        <f t="shared" si="142"/>
        <v>4231.46875</v>
      </c>
      <c r="R1481">
        <f t="shared" si="143"/>
        <v>0.42326662755578731</v>
      </c>
    </row>
    <row r="1482" spans="1:18" x14ac:dyDescent="0.25">
      <c r="A1482" t="s">
        <v>867</v>
      </c>
      <c r="B1482" t="s">
        <v>1395</v>
      </c>
      <c r="C1482" t="s">
        <v>5</v>
      </c>
      <c r="D1482">
        <v>92019</v>
      </c>
      <c r="E1482" s="1">
        <v>44469</v>
      </c>
      <c r="F1482" s="2">
        <f t="shared" si="138"/>
        <v>2021</v>
      </c>
      <c r="G1482">
        <v>25</v>
      </c>
      <c r="H1482" s="3">
        <v>115990</v>
      </c>
      <c r="I1482">
        <v>2224</v>
      </c>
      <c r="J1482">
        <v>115990</v>
      </c>
      <c r="K1482">
        <v>104950</v>
      </c>
      <c r="L1482">
        <v>83563</v>
      </c>
      <c r="M1482" t="str">
        <f t="shared" si="139"/>
        <v>Medium</v>
      </c>
      <c r="N1482">
        <f>VLOOKUP(C1482,Lookup!$A$2:$D$5,MATCH(M1482,Lookup!$A$1:$D$1,0),FALSE)</f>
        <v>0.09</v>
      </c>
      <c r="O1482">
        <f t="shared" si="140"/>
        <v>7520.67</v>
      </c>
      <c r="P1482" s="7">
        <f t="shared" si="141"/>
        <v>0.90481938098111903</v>
      </c>
      <c r="Q1482" s="7">
        <f t="shared" si="142"/>
        <v>4639.6000000000004</v>
      </c>
      <c r="R1482">
        <f t="shared" si="143"/>
        <v>0.29571833360591543</v>
      </c>
    </row>
    <row r="1483" spans="1:18" x14ac:dyDescent="0.25">
      <c r="A1483" t="s">
        <v>868</v>
      </c>
      <c r="B1483" t="s">
        <v>500</v>
      </c>
      <c r="C1483" t="s">
        <v>5</v>
      </c>
      <c r="D1483">
        <v>91801</v>
      </c>
      <c r="E1483" s="1">
        <v>43738</v>
      </c>
      <c r="F1483" s="2">
        <f t="shared" si="138"/>
        <v>2019</v>
      </c>
      <c r="G1483">
        <v>72</v>
      </c>
      <c r="H1483" s="3">
        <v>482743</v>
      </c>
      <c r="I1483">
        <v>96770</v>
      </c>
      <c r="J1483">
        <v>482743</v>
      </c>
      <c r="K1483">
        <v>413830</v>
      </c>
      <c r="L1483">
        <v>370298</v>
      </c>
      <c r="M1483" t="str">
        <f t="shared" si="139"/>
        <v>Medium</v>
      </c>
      <c r="N1483">
        <f>VLOOKUP(C1483,Lookup!$A$2:$D$5,MATCH(M1483,Lookup!$A$1:$D$1,0),FALSE)</f>
        <v>0.09</v>
      </c>
      <c r="O1483">
        <f t="shared" si="140"/>
        <v>33326.82</v>
      </c>
      <c r="P1483" s="7">
        <f t="shared" si="141"/>
        <v>0.85724702377869799</v>
      </c>
      <c r="Q1483" s="7">
        <f t="shared" si="142"/>
        <v>6704.7638888888887</v>
      </c>
      <c r="R1483">
        <f t="shared" si="143"/>
        <v>2.9036673766053887</v>
      </c>
    </row>
    <row r="1484" spans="1:18" x14ac:dyDescent="0.25">
      <c r="A1484" t="s">
        <v>868</v>
      </c>
      <c r="B1484" t="s">
        <v>500</v>
      </c>
      <c r="C1484" t="s">
        <v>5</v>
      </c>
      <c r="D1484">
        <v>91801</v>
      </c>
      <c r="E1484" s="1">
        <v>44104</v>
      </c>
      <c r="F1484" s="2">
        <f t="shared" si="138"/>
        <v>2020</v>
      </c>
      <c r="G1484">
        <v>64</v>
      </c>
      <c r="H1484" s="3">
        <v>523693</v>
      </c>
      <c r="I1484">
        <v>37964</v>
      </c>
      <c r="J1484">
        <v>523693</v>
      </c>
      <c r="K1484">
        <v>449136</v>
      </c>
      <c r="L1484">
        <v>394743</v>
      </c>
      <c r="M1484" t="str">
        <f t="shared" si="139"/>
        <v>Medium</v>
      </c>
      <c r="N1484">
        <f>VLOOKUP(C1484,Lookup!$A$2:$D$5,MATCH(M1484,Lookup!$A$1:$D$1,0),FALSE)</f>
        <v>0.09</v>
      </c>
      <c r="O1484">
        <f t="shared" si="140"/>
        <v>35526.869999999995</v>
      </c>
      <c r="P1484" s="7">
        <f t="shared" si="141"/>
        <v>0.8576322387352896</v>
      </c>
      <c r="Q1484" s="7">
        <f t="shared" si="142"/>
        <v>8182.703125</v>
      </c>
      <c r="R1484">
        <f t="shared" si="143"/>
        <v>1.0685996261421287</v>
      </c>
    </row>
    <row r="1485" spans="1:18" x14ac:dyDescent="0.25">
      <c r="A1485" t="s">
        <v>868</v>
      </c>
      <c r="B1485" t="s">
        <v>500</v>
      </c>
      <c r="C1485" t="s">
        <v>5</v>
      </c>
      <c r="D1485">
        <v>91801</v>
      </c>
      <c r="E1485" s="1">
        <v>44469</v>
      </c>
      <c r="F1485" s="2">
        <f t="shared" si="138"/>
        <v>2021</v>
      </c>
      <c r="G1485">
        <v>67</v>
      </c>
      <c r="H1485" s="3">
        <v>535900</v>
      </c>
      <c r="I1485">
        <v>73360</v>
      </c>
      <c r="J1485">
        <v>535900</v>
      </c>
      <c r="K1485">
        <v>457065</v>
      </c>
      <c r="L1485">
        <v>412035</v>
      </c>
      <c r="M1485" t="str">
        <f t="shared" si="139"/>
        <v>Medium</v>
      </c>
      <c r="N1485">
        <f>VLOOKUP(C1485,Lookup!$A$2:$D$5,MATCH(M1485,Lookup!$A$1:$D$1,0),FALSE)</f>
        <v>0.09</v>
      </c>
      <c r="O1485">
        <f t="shared" si="140"/>
        <v>37083.15</v>
      </c>
      <c r="P1485" s="7">
        <f t="shared" si="141"/>
        <v>0.85289233065870496</v>
      </c>
      <c r="Q1485" s="7">
        <f t="shared" si="142"/>
        <v>7998.5074626865671</v>
      </c>
      <c r="R1485">
        <f t="shared" si="143"/>
        <v>1.9782569711580595</v>
      </c>
    </row>
    <row r="1486" spans="1:18" x14ac:dyDescent="0.25">
      <c r="A1486" t="s">
        <v>869</v>
      </c>
      <c r="B1486" t="s">
        <v>149</v>
      </c>
      <c r="C1486" t="s">
        <v>20</v>
      </c>
      <c r="D1486">
        <v>1144</v>
      </c>
      <c r="E1486" s="1">
        <v>43738</v>
      </c>
      <c r="F1486" s="2">
        <f t="shared" si="138"/>
        <v>2019</v>
      </c>
      <c r="G1486">
        <v>15</v>
      </c>
      <c r="H1486" s="3">
        <v>45395</v>
      </c>
      <c r="I1486">
        <v>9220</v>
      </c>
      <c r="J1486">
        <v>45395</v>
      </c>
      <c r="K1486">
        <v>24507</v>
      </c>
      <c r="L1486">
        <v>23995</v>
      </c>
      <c r="M1486" t="str">
        <f t="shared" si="139"/>
        <v>Small</v>
      </c>
      <c r="N1486">
        <f>VLOOKUP(C1486,Lookup!$A$2:$D$5,MATCH(M1486,Lookup!$A$1:$D$1,0),FALSE)</f>
        <v>9.5000000000000001E-2</v>
      </c>
      <c r="O1486">
        <f t="shared" si="140"/>
        <v>2279.5250000000001</v>
      </c>
      <c r="P1486" s="7">
        <f t="shared" si="141"/>
        <v>0.53986121819583655</v>
      </c>
      <c r="Q1486" s="7">
        <f t="shared" si="142"/>
        <v>3026.3333333333335</v>
      </c>
      <c r="R1486">
        <f t="shared" si="143"/>
        <v>4.0447022954343561</v>
      </c>
    </row>
    <row r="1487" spans="1:18" x14ac:dyDescent="0.25">
      <c r="A1487" t="s">
        <v>869</v>
      </c>
      <c r="B1487" t="s">
        <v>149</v>
      </c>
      <c r="C1487" t="s">
        <v>20</v>
      </c>
      <c r="D1487">
        <v>1144</v>
      </c>
      <c r="E1487" s="1">
        <v>44104</v>
      </c>
      <c r="F1487" s="2">
        <f t="shared" si="138"/>
        <v>2020</v>
      </c>
      <c r="G1487">
        <v>20</v>
      </c>
      <c r="H1487" s="3">
        <v>210327</v>
      </c>
      <c r="I1487">
        <v>19115</v>
      </c>
      <c r="J1487">
        <v>210327</v>
      </c>
      <c r="K1487">
        <v>190390</v>
      </c>
      <c r="L1487">
        <v>116595</v>
      </c>
      <c r="M1487" t="str">
        <f t="shared" si="139"/>
        <v>Medium</v>
      </c>
      <c r="N1487">
        <f>VLOOKUP(C1487,Lookup!$A$2:$D$5,MATCH(M1487,Lookup!$A$1:$D$1,0),FALSE)</f>
        <v>8.5000000000000006E-2</v>
      </c>
      <c r="O1487">
        <f t="shared" si="140"/>
        <v>9910.5750000000007</v>
      </c>
      <c r="P1487" s="7">
        <f t="shared" si="141"/>
        <v>0.90520950710084769</v>
      </c>
      <c r="Q1487" s="7">
        <f t="shared" si="142"/>
        <v>10516.35</v>
      </c>
      <c r="R1487">
        <f t="shared" si="143"/>
        <v>1.9287478274469441</v>
      </c>
    </row>
    <row r="1488" spans="1:18" x14ac:dyDescent="0.25">
      <c r="A1488" t="s">
        <v>869</v>
      </c>
      <c r="B1488" t="s">
        <v>149</v>
      </c>
      <c r="C1488" t="s">
        <v>20</v>
      </c>
      <c r="D1488">
        <v>1144</v>
      </c>
      <c r="E1488" s="1">
        <v>44469</v>
      </c>
      <c r="F1488" s="2">
        <f t="shared" si="138"/>
        <v>2021</v>
      </c>
      <c r="G1488">
        <v>26</v>
      </c>
      <c r="H1488" s="3">
        <v>242005</v>
      </c>
      <c r="I1488">
        <v>38138</v>
      </c>
      <c r="J1488">
        <v>242005</v>
      </c>
      <c r="K1488">
        <v>220662</v>
      </c>
      <c r="L1488">
        <v>220215</v>
      </c>
      <c r="M1488" t="str">
        <f t="shared" si="139"/>
        <v>Medium</v>
      </c>
      <c r="N1488">
        <f>VLOOKUP(C1488,Lookup!$A$2:$D$5,MATCH(M1488,Lookup!$A$1:$D$1,0),FALSE)</f>
        <v>8.5000000000000006E-2</v>
      </c>
      <c r="O1488">
        <f t="shared" si="140"/>
        <v>18718.275000000001</v>
      </c>
      <c r="P1488" s="7">
        <f t="shared" si="141"/>
        <v>0.91180760728084131</v>
      </c>
      <c r="Q1488" s="7">
        <f t="shared" si="142"/>
        <v>9307.8846153846152</v>
      </c>
      <c r="R1488">
        <f t="shared" si="143"/>
        <v>2.0374740727978407</v>
      </c>
    </row>
    <row r="1489" spans="1:18" x14ac:dyDescent="0.25">
      <c r="A1489" t="s">
        <v>870</v>
      </c>
      <c r="B1489" t="s">
        <v>871</v>
      </c>
      <c r="C1489" t="s">
        <v>17</v>
      </c>
      <c r="D1489">
        <v>11590</v>
      </c>
      <c r="E1489" s="1">
        <v>43738</v>
      </c>
      <c r="F1489" s="2">
        <f t="shared" si="138"/>
        <v>2019</v>
      </c>
      <c r="G1489">
        <v>2774</v>
      </c>
      <c r="H1489" s="3">
        <v>52513906</v>
      </c>
      <c r="I1489">
        <v>849374</v>
      </c>
      <c r="J1489">
        <v>52513906</v>
      </c>
      <c r="K1489">
        <v>45355071</v>
      </c>
      <c r="L1489">
        <v>31752405</v>
      </c>
      <c r="M1489" t="str">
        <f t="shared" si="139"/>
        <v>Large</v>
      </c>
      <c r="N1489">
        <f>VLOOKUP(C1489,Lookup!$A$2:$D$5,MATCH(M1489,Lookup!$A$1:$D$1,0),FALSE)</f>
        <v>0.08</v>
      </c>
      <c r="O1489">
        <f t="shared" si="140"/>
        <v>2540192.4</v>
      </c>
      <c r="P1489" s="7">
        <f t="shared" si="141"/>
        <v>0.86367734672031438</v>
      </c>
      <c r="Q1489" s="7">
        <f t="shared" si="142"/>
        <v>18930.751982696467</v>
      </c>
      <c r="R1489">
        <f t="shared" si="143"/>
        <v>0.33437388443489557</v>
      </c>
    </row>
    <row r="1490" spans="1:18" x14ac:dyDescent="0.25">
      <c r="A1490" t="s">
        <v>870</v>
      </c>
      <c r="B1490" t="s">
        <v>1375</v>
      </c>
      <c r="C1490" t="s">
        <v>17</v>
      </c>
      <c r="D1490">
        <v>11801</v>
      </c>
      <c r="E1490" s="1">
        <v>44104</v>
      </c>
      <c r="F1490" s="2">
        <f t="shared" si="138"/>
        <v>2020</v>
      </c>
      <c r="G1490">
        <v>2751</v>
      </c>
      <c r="H1490" s="3">
        <v>54908208</v>
      </c>
      <c r="I1490">
        <v>1446227</v>
      </c>
      <c r="J1490">
        <v>54908208</v>
      </c>
      <c r="K1490">
        <v>47678210</v>
      </c>
      <c r="L1490">
        <v>31854977</v>
      </c>
      <c r="M1490" t="str">
        <f t="shared" si="139"/>
        <v>Large</v>
      </c>
      <c r="N1490">
        <f>VLOOKUP(C1490,Lookup!$A$2:$D$5,MATCH(M1490,Lookup!$A$1:$D$1,0),FALSE)</f>
        <v>0.08</v>
      </c>
      <c r="O1490">
        <f t="shared" si="140"/>
        <v>2548398.16</v>
      </c>
      <c r="P1490" s="7">
        <f t="shared" si="141"/>
        <v>0.86832573374093724</v>
      </c>
      <c r="Q1490" s="7">
        <f t="shared" si="142"/>
        <v>19959.363140676116</v>
      </c>
      <c r="R1490">
        <f t="shared" si="143"/>
        <v>0.56750433378118592</v>
      </c>
    </row>
    <row r="1491" spans="1:18" x14ac:dyDescent="0.25">
      <c r="A1491" t="s">
        <v>870</v>
      </c>
      <c r="B1491" t="s">
        <v>1375</v>
      </c>
      <c r="C1491" t="s">
        <v>17</v>
      </c>
      <c r="D1491">
        <v>11801</v>
      </c>
      <c r="E1491" s="1">
        <v>44469</v>
      </c>
      <c r="F1491" s="2">
        <f t="shared" si="138"/>
        <v>2021</v>
      </c>
      <c r="G1491">
        <v>2717</v>
      </c>
      <c r="H1491" s="3">
        <v>57845769</v>
      </c>
      <c r="I1491">
        <v>2009544</v>
      </c>
      <c r="J1491">
        <v>57845769</v>
      </c>
      <c r="K1491">
        <v>50391601</v>
      </c>
      <c r="L1491">
        <v>34759539</v>
      </c>
      <c r="M1491" t="str">
        <f t="shared" si="139"/>
        <v>Large</v>
      </c>
      <c r="N1491">
        <f>VLOOKUP(C1491,Lookup!$A$2:$D$5,MATCH(M1491,Lookup!$A$1:$D$1,0),FALSE)</f>
        <v>0.08</v>
      </c>
      <c r="O1491">
        <f t="shared" si="140"/>
        <v>2780763.12</v>
      </c>
      <c r="P1491" s="7">
        <f t="shared" si="141"/>
        <v>0.87113719587684968</v>
      </c>
      <c r="Q1491" s="7">
        <f t="shared" si="142"/>
        <v>21290.308796466692</v>
      </c>
      <c r="R1491">
        <f t="shared" si="143"/>
        <v>0.72265918141204344</v>
      </c>
    </row>
    <row r="1492" spans="1:18" x14ac:dyDescent="0.25">
      <c r="A1492" t="s">
        <v>872</v>
      </c>
      <c r="B1492" t="s">
        <v>45</v>
      </c>
      <c r="C1492" t="s">
        <v>17</v>
      </c>
      <c r="D1492">
        <v>11354</v>
      </c>
      <c r="E1492" s="1">
        <v>43738</v>
      </c>
      <c r="F1492" s="2">
        <f t="shared" si="138"/>
        <v>2019</v>
      </c>
      <c r="G1492">
        <v>46</v>
      </c>
      <c r="H1492" s="3">
        <v>447929</v>
      </c>
      <c r="I1492">
        <v>177988</v>
      </c>
      <c r="J1492">
        <v>447929</v>
      </c>
      <c r="K1492">
        <v>398152</v>
      </c>
      <c r="L1492">
        <v>387646</v>
      </c>
      <c r="M1492" t="str">
        <f t="shared" si="139"/>
        <v>Medium</v>
      </c>
      <c r="N1492">
        <f>VLOOKUP(C1492,Lookup!$A$2:$D$5,MATCH(M1492,Lookup!$A$1:$D$1,0),FALSE)</f>
        <v>8.5000000000000006E-2</v>
      </c>
      <c r="O1492">
        <f t="shared" si="140"/>
        <v>32949.910000000003</v>
      </c>
      <c r="P1492" s="7">
        <f t="shared" si="141"/>
        <v>0.88887301335702762</v>
      </c>
      <c r="Q1492" s="7">
        <f t="shared" si="142"/>
        <v>9737.5869565217399</v>
      </c>
      <c r="R1492">
        <f t="shared" si="143"/>
        <v>5.4017749972609934</v>
      </c>
    </row>
    <row r="1493" spans="1:18" x14ac:dyDescent="0.25">
      <c r="A1493" t="s">
        <v>872</v>
      </c>
      <c r="B1493" t="s">
        <v>45</v>
      </c>
      <c r="C1493" t="s">
        <v>17</v>
      </c>
      <c r="D1493">
        <v>11354</v>
      </c>
      <c r="E1493" s="1">
        <v>44104</v>
      </c>
      <c r="F1493" s="2">
        <f t="shared" si="138"/>
        <v>2020</v>
      </c>
      <c r="G1493">
        <v>48</v>
      </c>
      <c r="H1493" s="3">
        <v>477045</v>
      </c>
      <c r="I1493">
        <v>176295</v>
      </c>
      <c r="J1493">
        <v>477045</v>
      </c>
      <c r="K1493">
        <v>425341</v>
      </c>
      <c r="L1493">
        <v>414164</v>
      </c>
      <c r="M1493" t="str">
        <f t="shared" si="139"/>
        <v>Medium</v>
      </c>
      <c r="N1493">
        <f>VLOOKUP(C1493,Lookup!$A$2:$D$5,MATCH(M1493,Lookup!$A$1:$D$1,0),FALSE)</f>
        <v>8.5000000000000006E-2</v>
      </c>
      <c r="O1493">
        <f t="shared" si="140"/>
        <v>35203.94</v>
      </c>
      <c r="P1493" s="7">
        <f t="shared" si="141"/>
        <v>0.89161609491767024</v>
      </c>
      <c r="Q1493" s="7">
        <f t="shared" si="142"/>
        <v>9938.4375</v>
      </c>
      <c r="R1493">
        <f t="shared" si="143"/>
        <v>5.0078201474039554</v>
      </c>
    </row>
    <row r="1494" spans="1:18" x14ac:dyDescent="0.25">
      <c r="A1494" t="s">
        <v>872</v>
      </c>
      <c r="B1494" t="s">
        <v>45</v>
      </c>
      <c r="C1494" t="s">
        <v>17</v>
      </c>
      <c r="D1494">
        <v>11354</v>
      </c>
      <c r="E1494" s="1">
        <v>44469</v>
      </c>
      <c r="F1494" s="2">
        <f t="shared" si="138"/>
        <v>2021</v>
      </c>
      <c r="G1494">
        <v>51</v>
      </c>
      <c r="H1494" s="3">
        <v>553555</v>
      </c>
      <c r="I1494">
        <v>231217</v>
      </c>
      <c r="J1494">
        <v>553555</v>
      </c>
      <c r="K1494">
        <v>494948</v>
      </c>
      <c r="L1494">
        <v>481433</v>
      </c>
      <c r="M1494" t="str">
        <f t="shared" si="139"/>
        <v>Medium</v>
      </c>
      <c r="N1494">
        <f>VLOOKUP(C1494,Lookup!$A$2:$D$5,MATCH(M1494,Lookup!$A$1:$D$1,0),FALSE)</f>
        <v>8.5000000000000006E-2</v>
      </c>
      <c r="O1494">
        <f t="shared" si="140"/>
        <v>40921.805</v>
      </c>
      <c r="P1494" s="7">
        <f t="shared" si="141"/>
        <v>0.89412614825988379</v>
      </c>
      <c r="Q1494" s="7">
        <f t="shared" si="142"/>
        <v>10854.019607843138</v>
      </c>
      <c r="R1494">
        <f t="shared" si="143"/>
        <v>5.6502150870422261</v>
      </c>
    </row>
    <row r="1495" spans="1:18" x14ac:dyDescent="0.25">
      <c r="A1495" t="s">
        <v>873</v>
      </c>
      <c r="B1495" t="s">
        <v>713</v>
      </c>
      <c r="C1495" t="s">
        <v>20</v>
      </c>
      <c r="D1495">
        <v>1950</v>
      </c>
      <c r="E1495" s="1">
        <v>43738</v>
      </c>
      <c r="F1495" s="2">
        <f t="shared" si="138"/>
        <v>2019</v>
      </c>
      <c r="G1495">
        <v>165</v>
      </c>
      <c r="H1495" s="3">
        <v>1012426</v>
      </c>
      <c r="I1495">
        <v>17923</v>
      </c>
      <c r="J1495">
        <v>1012426</v>
      </c>
      <c r="K1495">
        <v>884901</v>
      </c>
      <c r="L1495">
        <v>775741</v>
      </c>
      <c r="M1495" t="str">
        <f t="shared" si="139"/>
        <v>Large</v>
      </c>
      <c r="N1495">
        <f>VLOOKUP(C1495,Lookup!$A$2:$D$5,MATCH(M1495,Lookup!$A$1:$D$1,0),FALSE)</f>
        <v>0.08</v>
      </c>
      <c r="O1495">
        <f t="shared" si="140"/>
        <v>62059.28</v>
      </c>
      <c r="P1495" s="7">
        <f t="shared" si="141"/>
        <v>0.87404017676353629</v>
      </c>
      <c r="Q1495" s="7">
        <f t="shared" si="142"/>
        <v>6135.9151515151516</v>
      </c>
      <c r="R1495">
        <f t="shared" si="143"/>
        <v>0.28880451078388275</v>
      </c>
    </row>
    <row r="1496" spans="1:18" x14ac:dyDescent="0.25">
      <c r="A1496" t="s">
        <v>873</v>
      </c>
      <c r="B1496" t="s">
        <v>713</v>
      </c>
      <c r="C1496" t="s">
        <v>20</v>
      </c>
      <c r="D1496">
        <v>1950</v>
      </c>
      <c r="E1496" s="1">
        <v>44104</v>
      </c>
      <c r="F1496" s="2">
        <f t="shared" si="138"/>
        <v>2020</v>
      </c>
      <c r="G1496">
        <v>166</v>
      </c>
      <c r="H1496" s="3">
        <v>1185617</v>
      </c>
      <c r="I1496">
        <v>29252</v>
      </c>
      <c r="J1496">
        <v>1185617</v>
      </c>
      <c r="K1496">
        <v>1047971</v>
      </c>
      <c r="L1496">
        <v>869170</v>
      </c>
      <c r="M1496" t="str">
        <f t="shared" si="139"/>
        <v>Large</v>
      </c>
      <c r="N1496">
        <f>VLOOKUP(C1496,Lookup!$A$2:$D$5,MATCH(M1496,Lookup!$A$1:$D$1,0),FALSE)</f>
        <v>0.08</v>
      </c>
      <c r="O1496">
        <f t="shared" si="140"/>
        <v>69533.600000000006</v>
      </c>
      <c r="P1496" s="7">
        <f t="shared" si="141"/>
        <v>0.88390348653907624</v>
      </c>
      <c r="Q1496" s="7">
        <f t="shared" si="142"/>
        <v>7142.2710843373497</v>
      </c>
      <c r="R1496">
        <f t="shared" si="143"/>
        <v>0.42068870301552053</v>
      </c>
    </row>
    <row r="1497" spans="1:18" x14ac:dyDescent="0.25">
      <c r="A1497" t="s">
        <v>873</v>
      </c>
      <c r="B1497" t="s">
        <v>713</v>
      </c>
      <c r="C1497" t="s">
        <v>20</v>
      </c>
      <c r="D1497">
        <v>1950</v>
      </c>
      <c r="E1497" s="1">
        <v>44469</v>
      </c>
      <c r="F1497" s="2">
        <f t="shared" si="138"/>
        <v>2021</v>
      </c>
      <c r="G1497">
        <v>179</v>
      </c>
      <c r="H1497" s="3">
        <v>1260795</v>
      </c>
      <c r="I1497">
        <v>67137</v>
      </c>
      <c r="J1497">
        <v>1260795</v>
      </c>
      <c r="K1497">
        <v>1123582</v>
      </c>
      <c r="L1497">
        <v>1081704</v>
      </c>
      <c r="M1497" t="str">
        <f t="shared" si="139"/>
        <v>Large</v>
      </c>
      <c r="N1497">
        <f>VLOOKUP(C1497,Lookup!$A$2:$D$5,MATCH(M1497,Lookup!$A$1:$D$1,0),FALSE)</f>
        <v>0.08</v>
      </c>
      <c r="O1497">
        <f t="shared" si="140"/>
        <v>86536.320000000007</v>
      </c>
      <c r="P1497" s="7">
        <f t="shared" si="141"/>
        <v>0.89116946053878698</v>
      </c>
      <c r="Q1497" s="7">
        <f t="shared" si="142"/>
        <v>7043.5474860335198</v>
      </c>
      <c r="R1497">
        <f t="shared" si="143"/>
        <v>0.7758245324044285</v>
      </c>
    </row>
    <row r="1498" spans="1:18" x14ac:dyDescent="0.25">
      <c r="A1498" t="s">
        <v>874</v>
      </c>
      <c r="B1498" t="s">
        <v>540</v>
      </c>
      <c r="C1498" t="s">
        <v>8</v>
      </c>
      <c r="D1498">
        <v>62075</v>
      </c>
      <c r="E1498" s="1">
        <v>43738</v>
      </c>
      <c r="F1498" s="2">
        <f t="shared" si="138"/>
        <v>2019</v>
      </c>
      <c r="G1498">
        <v>7</v>
      </c>
      <c r="H1498" s="3">
        <v>28744</v>
      </c>
      <c r="I1498">
        <v>657</v>
      </c>
      <c r="J1498">
        <v>28744</v>
      </c>
      <c r="K1498">
        <v>23737</v>
      </c>
      <c r="L1498">
        <v>18933</v>
      </c>
      <c r="M1498" t="str">
        <f t="shared" si="139"/>
        <v>Small</v>
      </c>
      <c r="N1498">
        <f>VLOOKUP(C1498,Lookup!$A$2:$D$5,MATCH(M1498,Lookup!$A$1:$D$1,0),FALSE)</f>
        <v>0.09</v>
      </c>
      <c r="O1498">
        <f t="shared" si="140"/>
        <v>1703.97</v>
      </c>
      <c r="P1498" s="7">
        <f t="shared" si="141"/>
        <v>0.82580712496521014</v>
      </c>
      <c r="Q1498" s="7">
        <f t="shared" si="142"/>
        <v>4106.2857142857147</v>
      </c>
      <c r="R1498">
        <f t="shared" si="143"/>
        <v>0.38557016848888181</v>
      </c>
    </row>
    <row r="1499" spans="1:18" x14ac:dyDescent="0.25">
      <c r="A1499" t="s">
        <v>874</v>
      </c>
      <c r="B1499" t="s">
        <v>540</v>
      </c>
      <c r="C1499" t="s">
        <v>8</v>
      </c>
      <c r="D1499">
        <v>62075</v>
      </c>
      <c r="E1499" s="1">
        <v>44104</v>
      </c>
      <c r="F1499" s="2">
        <f t="shared" si="138"/>
        <v>2020</v>
      </c>
      <c r="G1499">
        <v>6</v>
      </c>
      <c r="H1499" s="3">
        <v>33908</v>
      </c>
      <c r="I1499">
        <v>4324</v>
      </c>
      <c r="J1499">
        <v>33908</v>
      </c>
      <c r="K1499">
        <v>28792</v>
      </c>
      <c r="L1499">
        <v>20689</v>
      </c>
      <c r="M1499" t="str">
        <f t="shared" si="139"/>
        <v>Small</v>
      </c>
      <c r="N1499">
        <f>VLOOKUP(C1499,Lookup!$A$2:$D$5,MATCH(M1499,Lookup!$A$1:$D$1,0),FALSE)</f>
        <v>0.09</v>
      </c>
      <c r="O1499">
        <f t="shared" si="140"/>
        <v>1862.01</v>
      </c>
      <c r="P1499" s="7">
        <f t="shared" si="141"/>
        <v>0.84912115135071364</v>
      </c>
      <c r="Q1499" s="7">
        <f t="shared" si="142"/>
        <v>5651.333333333333</v>
      </c>
      <c r="R1499">
        <f t="shared" si="143"/>
        <v>2.3222216851681785</v>
      </c>
    </row>
    <row r="1500" spans="1:18" x14ac:dyDescent="0.25">
      <c r="A1500" t="s">
        <v>874</v>
      </c>
      <c r="B1500" t="s">
        <v>540</v>
      </c>
      <c r="C1500" t="s">
        <v>8</v>
      </c>
      <c r="D1500">
        <v>62075</v>
      </c>
      <c r="E1500" s="1">
        <v>44469</v>
      </c>
      <c r="F1500" s="2">
        <f t="shared" si="138"/>
        <v>2021</v>
      </c>
      <c r="G1500">
        <v>5</v>
      </c>
      <c r="H1500" s="3">
        <v>33235</v>
      </c>
      <c r="I1500">
        <v>2934</v>
      </c>
      <c r="J1500">
        <v>33235</v>
      </c>
      <c r="K1500">
        <v>28148</v>
      </c>
      <c r="L1500">
        <v>23059</v>
      </c>
      <c r="M1500" t="str">
        <f t="shared" si="139"/>
        <v>Small</v>
      </c>
      <c r="N1500">
        <f>VLOOKUP(C1500,Lookup!$A$2:$D$5,MATCH(M1500,Lookup!$A$1:$D$1,0),FALSE)</f>
        <v>0.09</v>
      </c>
      <c r="O1500">
        <f t="shared" si="140"/>
        <v>2075.31</v>
      </c>
      <c r="P1500" s="7">
        <f t="shared" si="141"/>
        <v>0.84693846848202192</v>
      </c>
      <c r="Q1500" s="7">
        <f t="shared" si="142"/>
        <v>6647</v>
      </c>
      <c r="R1500">
        <f t="shared" si="143"/>
        <v>1.4137646905763477</v>
      </c>
    </row>
    <row r="1501" spans="1:18" x14ac:dyDescent="0.25">
      <c r="A1501" t="s">
        <v>875</v>
      </c>
      <c r="B1501" t="s">
        <v>876</v>
      </c>
      <c r="C1501" t="s">
        <v>8</v>
      </c>
      <c r="D1501">
        <v>62376</v>
      </c>
      <c r="E1501" s="1">
        <v>43738</v>
      </c>
      <c r="F1501" s="2">
        <f t="shared" si="138"/>
        <v>2019</v>
      </c>
      <c r="G1501">
        <v>13</v>
      </c>
      <c r="H1501" s="3">
        <v>38456</v>
      </c>
      <c r="I1501">
        <v>4302</v>
      </c>
      <c r="J1501">
        <v>38456</v>
      </c>
      <c r="K1501">
        <v>32649</v>
      </c>
      <c r="L1501">
        <v>31760</v>
      </c>
      <c r="M1501" t="str">
        <f t="shared" si="139"/>
        <v>Small</v>
      </c>
      <c r="N1501">
        <f>VLOOKUP(C1501,Lookup!$A$2:$D$5,MATCH(M1501,Lookup!$A$1:$D$1,0),FALSE)</f>
        <v>0.09</v>
      </c>
      <c r="O1501">
        <f t="shared" si="140"/>
        <v>2858.4</v>
      </c>
      <c r="P1501" s="7">
        <f t="shared" si="141"/>
        <v>0.84899625546078639</v>
      </c>
      <c r="Q1501" s="7">
        <f t="shared" si="142"/>
        <v>2958.1538461538462</v>
      </c>
      <c r="R1501">
        <f t="shared" si="143"/>
        <v>1.5050377833753148</v>
      </c>
    </row>
    <row r="1502" spans="1:18" x14ac:dyDescent="0.25">
      <c r="A1502" t="s">
        <v>875</v>
      </c>
      <c r="B1502" t="s">
        <v>876</v>
      </c>
      <c r="C1502" t="s">
        <v>8</v>
      </c>
      <c r="D1502">
        <v>62376</v>
      </c>
      <c r="E1502" s="1">
        <v>44104</v>
      </c>
      <c r="F1502" s="2">
        <f t="shared" si="138"/>
        <v>2020</v>
      </c>
      <c r="G1502">
        <v>12</v>
      </c>
      <c r="H1502" s="3">
        <v>43770</v>
      </c>
      <c r="I1502">
        <v>7056</v>
      </c>
      <c r="J1502">
        <v>43769</v>
      </c>
      <c r="K1502">
        <v>37565</v>
      </c>
      <c r="L1502">
        <v>33054</v>
      </c>
      <c r="M1502" t="str">
        <f t="shared" si="139"/>
        <v>Small</v>
      </c>
      <c r="N1502">
        <f>VLOOKUP(C1502,Lookup!$A$2:$D$5,MATCH(M1502,Lookup!$A$1:$D$1,0),FALSE)</f>
        <v>0.09</v>
      </c>
      <c r="O1502">
        <f t="shared" si="140"/>
        <v>2974.8599999999997</v>
      </c>
      <c r="P1502" s="7">
        <f t="shared" si="141"/>
        <v>0.8582362348640622</v>
      </c>
      <c r="Q1502" s="7">
        <f t="shared" si="142"/>
        <v>3647.5</v>
      </c>
      <c r="R1502">
        <f t="shared" si="143"/>
        <v>2.3718763235916986</v>
      </c>
    </row>
    <row r="1503" spans="1:18" x14ac:dyDescent="0.25">
      <c r="A1503" t="s">
        <v>875</v>
      </c>
      <c r="B1503" t="s">
        <v>876</v>
      </c>
      <c r="C1503" t="s">
        <v>8</v>
      </c>
      <c r="D1503">
        <v>62376</v>
      </c>
      <c r="E1503" s="1">
        <v>44469</v>
      </c>
      <c r="F1503" s="2">
        <f t="shared" si="138"/>
        <v>2021</v>
      </c>
      <c r="G1503">
        <v>12</v>
      </c>
      <c r="H1503" s="3">
        <v>48790</v>
      </c>
      <c r="I1503">
        <v>9827</v>
      </c>
      <c r="J1503">
        <v>48790</v>
      </c>
      <c r="K1503">
        <v>42195</v>
      </c>
      <c r="L1503">
        <v>37939</v>
      </c>
      <c r="M1503" t="str">
        <f t="shared" si="139"/>
        <v>Small</v>
      </c>
      <c r="N1503">
        <f>VLOOKUP(C1503,Lookup!$A$2:$D$5,MATCH(M1503,Lookup!$A$1:$D$1,0),FALSE)</f>
        <v>0.09</v>
      </c>
      <c r="O1503">
        <f t="shared" si="140"/>
        <v>3414.5099999999998</v>
      </c>
      <c r="P1503" s="7">
        <f t="shared" si="141"/>
        <v>0.86482885837261736</v>
      </c>
      <c r="Q1503" s="7">
        <f t="shared" si="142"/>
        <v>4065.8333333333335</v>
      </c>
      <c r="R1503">
        <f t="shared" si="143"/>
        <v>2.8780117791425419</v>
      </c>
    </row>
    <row r="1504" spans="1:18" x14ac:dyDescent="0.25">
      <c r="A1504" t="s">
        <v>877</v>
      </c>
      <c r="B1504" t="s">
        <v>878</v>
      </c>
      <c r="C1504" t="s">
        <v>20</v>
      </c>
      <c r="D1504">
        <v>1535</v>
      </c>
      <c r="E1504" s="1">
        <v>43738</v>
      </c>
      <c r="F1504" s="2">
        <f t="shared" si="138"/>
        <v>2019</v>
      </c>
      <c r="G1504">
        <v>67</v>
      </c>
      <c r="H1504" s="3">
        <v>319910</v>
      </c>
      <c r="I1504">
        <v>8228</v>
      </c>
      <c r="J1504">
        <v>319910</v>
      </c>
      <c r="K1504">
        <v>281887</v>
      </c>
      <c r="L1504">
        <v>251045</v>
      </c>
      <c r="M1504" t="str">
        <f t="shared" si="139"/>
        <v>Medium</v>
      </c>
      <c r="N1504">
        <f>VLOOKUP(C1504,Lookup!$A$2:$D$5,MATCH(M1504,Lookup!$A$1:$D$1,0),FALSE)</f>
        <v>8.5000000000000006E-2</v>
      </c>
      <c r="O1504">
        <f t="shared" si="140"/>
        <v>21338.825000000001</v>
      </c>
      <c r="P1504" s="7">
        <f t="shared" si="141"/>
        <v>0.88114469694601605</v>
      </c>
      <c r="Q1504" s="7">
        <f t="shared" si="142"/>
        <v>4774.7761194029854</v>
      </c>
      <c r="R1504">
        <f t="shared" si="143"/>
        <v>0.3855882411519847</v>
      </c>
    </row>
    <row r="1505" spans="1:18" x14ac:dyDescent="0.25">
      <c r="A1505" t="s">
        <v>877</v>
      </c>
      <c r="B1505" t="s">
        <v>878</v>
      </c>
      <c r="C1505" t="s">
        <v>20</v>
      </c>
      <c r="D1505">
        <v>1535</v>
      </c>
      <c r="E1505" s="1">
        <v>44104</v>
      </c>
      <c r="F1505" s="2">
        <f t="shared" si="138"/>
        <v>2020</v>
      </c>
      <c r="G1505">
        <v>55</v>
      </c>
      <c r="H1505" s="3">
        <v>338102</v>
      </c>
      <c r="I1505">
        <v>22551</v>
      </c>
      <c r="J1505">
        <v>338103</v>
      </c>
      <c r="K1505">
        <v>298349</v>
      </c>
      <c r="L1505">
        <v>282835</v>
      </c>
      <c r="M1505" t="str">
        <f t="shared" si="139"/>
        <v>Medium</v>
      </c>
      <c r="N1505">
        <f>VLOOKUP(C1505,Lookup!$A$2:$D$5,MATCH(M1505,Lookup!$A$1:$D$1,0),FALSE)</f>
        <v>8.5000000000000006E-2</v>
      </c>
      <c r="O1505">
        <f t="shared" si="140"/>
        <v>24040.975000000002</v>
      </c>
      <c r="P1505" s="7">
        <f t="shared" si="141"/>
        <v>0.88242305576423685</v>
      </c>
      <c r="Q1505" s="7">
        <f t="shared" si="142"/>
        <v>6147.3090909090906</v>
      </c>
      <c r="R1505">
        <f t="shared" si="143"/>
        <v>0.93802352026072144</v>
      </c>
    </row>
    <row r="1506" spans="1:18" x14ac:dyDescent="0.25">
      <c r="A1506" t="s">
        <v>877</v>
      </c>
      <c r="B1506" t="s">
        <v>878</v>
      </c>
      <c r="C1506" t="s">
        <v>20</v>
      </c>
      <c r="D1506">
        <v>1535</v>
      </c>
      <c r="E1506" s="1">
        <v>44469</v>
      </c>
      <c r="F1506" s="2">
        <f t="shared" si="138"/>
        <v>2021</v>
      </c>
      <c r="G1506">
        <v>66</v>
      </c>
      <c r="H1506" s="3">
        <v>352525</v>
      </c>
      <c r="I1506">
        <v>28785</v>
      </c>
      <c r="J1506">
        <v>352525</v>
      </c>
      <c r="K1506">
        <v>312819</v>
      </c>
      <c r="L1506">
        <v>303116</v>
      </c>
      <c r="M1506" t="str">
        <f t="shared" si="139"/>
        <v>Medium</v>
      </c>
      <c r="N1506">
        <f>VLOOKUP(C1506,Lookup!$A$2:$D$5,MATCH(M1506,Lookup!$A$1:$D$1,0),FALSE)</f>
        <v>8.5000000000000006E-2</v>
      </c>
      <c r="O1506">
        <f t="shared" si="140"/>
        <v>25764.86</v>
      </c>
      <c r="P1506" s="7">
        <f t="shared" si="141"/>
        <v>0.88736685341465149</v>
      </c>
      <c r="Q1506" s="7">
        <f t="shared" si="142"/>
        <v>5341.287878787879</v>
      </c>
      <c r="R1506">
        <f t="shared" si="143"/>
        <v>1.1172193444870262</v>
      </c>
    </row>
    <row r="1507" spans="1:18" x14ac:dyDescent="0.25">
      <c r="A1507" t="s">
        <v>879</v>
      </c>
      <c r="B1507" t="s">
        <v>238</v>
      </c>
      <c r="C1507" t="s">
        <v>20</v>
      </c>
      <c r="D1507">
        <v>2140</v>
      </c>
      <c r="E1507" s="1">
        <v>43738</v>
      </c>
      <c r="F1507" s="2">
        <f t="shared" si="138"/>
        <v>2019</v>
      </c>
      <c r="G1507">
        <v>10</v>
      </c>
      <c r="H1507" s="3">
        <v>91564</v>
      </c>
      <c r="I1507">
        <v>18263</v>
      </c>
      <c r="J1507">
        <v>91564</v>
      </c>
      <c r="K1507">
        <v>70100</v>
      </c>
      <c r="L1507">
        <v>69776</v>
      </c>
      <c r="M1507" t="str">
        <f t="shared" si="139"/>
        <v>Small</v>
      </c>
      <c r="N1507">
        <f>VLOOKUP(C1507,Lookup!$A$2:$D$5,MATCH(M1507,Lookup!$A$1:$D$1,0),FALSE)</f>
        <v>9.5000000000000001E-2</v>
      </c>
      <c r="O1507">
        <f t="shared" si="140"/>
        <v>6628.72</v>
      </c>
      <c r="P1507" s="7">
        <f t="shared" si="141"/>
        <v>0.76558472762220964</v>
      </c>
      <c r="Q1507" s="7">
        <f t="shared" si="142"/>
        <v>9156.4</v>
      </c>
      <c r="R1507">
        <f t="shared" si="143"/>
        <v>2.7551322125538564</v>
      </c>
    </row>
    <row r="1508" spans="1:18" x14ac:dyDescent="0.25">
      <c r="A1508" t="s">
        <v>879</v>
      </c>
      <c r="B1508" t="s">
        <v>238</v>
      </c>
      <c r="C1508" t="s">
        <v>20</v>
      </c>
      <c r="D1508">
        <v>2140</v>
      </c>
      <c r="E1508" s="1">
        <v>44104</v>
      </c>
      <c r="F1508" s="2">
        <f t="shared" si="138"/>
        <v>2020</v>
      </c>
      <c r="G1508">
        <v>10</v>
      </c>
      <c r="H1508" s="3">
        <v>89614</v>
      </c>
      <c r="I1508">
        <v>26891</v>
      </c>
      <c r="J1508">
        <v>89614</v>
      </c>
      <c r="K1508">
        <v>68143</v>
      </c>
      <c r="L1508">
        <v>67811</v>
      </c>
      <c r="M1508" t="str">
        <f t="shared" si="139"/>
        <v>Small</v>
      </c>
      <c r="N1508">
        <f>VLOOKUP(C1508,Lookup!$A$2:$D$5,MATCH(M1508,Lookup!$A$1:$D$1,0),FALSE)</f>
        <v>9.5000000000000001E-2</v>
      </c>
      <c r="O1508">
        <f t="shared" si="140"/>
        <v>6442.0450000000001</v>
      </c>
      <c r="P1508" s="7">
        <f t="shared" si="141"/>
        <v>0.76040574017452633</v>
      </c>
      <c r="Q1508" s="7">
        <f t="shared" si="142"/>
        <v>8961.4</v>
      </c>
      <c r="R1508">
        <f t="shared" si="143"/>
        <v>4.1742955847095136</v>
      </c>
    </row>
    <row r="1509" spans="1:18" x14ac:dyDescent="0.25">
      <c r="A1509" t="s">
        <v>879</v>
      </c>
      <c r="B1509" t="s">
        <v>238</v>
      </c>
      <c r="C1509" t="s">
        <v>20</v>
      </c>
      <c r="D1509">
        <v>2140</v>
      </c>
      <c r="E1509" s="1">
        <v>44469</v>
      </c>
      <c r="F1509" s="2">
        <f t="shared" si="138"/>
        <v>2021</v>
      </c>
      <c r="G1509">
        <v>10</v>
      </c>
      <c r="H1509" s="3">
        <v>89617</v>
      </c>
      <c r="I1509">
        <v>26980</v>
      </c>
      <c r="J1509">
        <v>89617</v>
      </c>
      <c r="K1509">
        <v>67303</v>
      </c>
      <c r="L1509">
        <v>66669</v>
      </c>
      <c r="M1509" t="str">
        <f t="shared" si="139"/>
        <v>Small</v>
      </c>
      <c r="N1509">
        <f>VLOOKUP(C1509,Lookup!$A$2:$D$5,MATCH(M1509,Lookup!$A$1:$D$1,0),FALSE)</f>
        <v>9.5000000000000001E-2</v>
      </c>
      <c r="O1509">
        <f t="shared" si="140"/>
        <v>6333.5550000000003</v>
      </c>
      <c r="P1509" s="7">
        <f t="shared" si="141"/>
        <v>0.7510070633919903</v>
      </c>
      <c r="Q1509" s="7">
        <f t="shared" si="142"/>
        <v>8961.7000000000007</v>
      </c>
      <c r="R1509">
        <f t="shared" si="143"/>
        <v>4.2598509052183173</v>
      </c>
    </row>
    <row r="1510" spans="1:18" x14ac:dyDescent="0.25">
      <c r="A1510" t="s">
        <v>880</v>
      </c>
      <c r="B1510" t="s">
        <v>881</v>
      </c>
      <c r="C1510" t="s">
        <v>8</v>
      </c>
      <c r="D1510">
        <v>61327</v>
      </c>
      <c r="E1510" s="1">
        <v>43738</v>
      </c>
      <c r="F1510" s="2">
        <f t="shared" si="138"/>
        <v>2019</v>
      </c>
      <c r="G1510">
        <v>25</v>
      </c>
      <c r="H1510" s="3">
        <v>124888</v>
      </c>
      <c r="I1510">
        <v>12816</v>
      </c>
      <c r="J1510">
        <v>124888</v>
      </c>
      <c r="K1510">
        <v>107491</v>
      </c>
      <c r="L1510">
        <v>103179</v>
      </c>
      <c r="M1510" t="str">
        <f t="shared" si="139"/>
        <v>Medium</v>
      </c>
      <c r="N1510">
        <f>VLOOKUP(C1510,Lookup!$A$2:$D$5,MATCH(M1510,Lookup!$A$1:$D$1,0),FALSE)</f>
        <v>0.08</v>
      </c>
      <c r="O1510">
        <f t="shared" si="140"/>
        <v>8254.32</v>
      </c>
      <c r="P1510" s="7">
        <f t="shared" si="141"/>
        <v>0.86069918647107813</v>
      </c>
      <c r="Q1510" s="7">
        <f t="shared" si="142"/>
        <v>4995.5200000000004</v>
      </c>
      <c r="R1510">
        <f t="shared" si="143"/>
        <v>1.5526415258918966</v>
      </c>
    </row>
    <row r="1511" spans="1:18" x14ac:dyDescent="0.25">
      <c r="A1511" t="s">
        <v>880</v>
      </c>
      <c r="B1511" t="s">
        <v>881</v>
      </c>
      <c r="C1511" t="s">
        <v>8</v>
      </c>
      <c r="D1511">
        <v>61327</v>
      </c>
      <c r="E1511" s="1">
        <v>44104</v>
      </c>
      <c r="F1511" s="2">
        <f t="shared" si="138"/>
        <v>2020</v>
      </c>
      <c r="G1511">
        <v>24</v>
      </c>
      <c r="H1511" s="3">
        <v>134968</v>
      </c>
      <c r="I1511">
        <v>18876</v>
      </c>
      <c r="J1511">
        <v>134967</v>
      </c>
      <c r="K1511">
        <v>115762</v>
      </c>
      <c r="L1511">
        <v>106952</v>
      </c>
      <c r="M1511" t="str">
        <f t="shared" si="139"/>
        <v>Medium</v>
      </c>
      <c r="N1511">
        <f>VLOOKUP(C1511,Lookup!$A$2:$D$5,MATCH(M1511,Lookup!$A$1:$D$1,0),FALSE)</f>
        <v>0.08</v>
      </c>
      <c r="O1511">
        <f t="shared" si="140"/>
        <v>8556.16</v>
      </c>
      <c r="P1511" s="7">
        <f t="shared" si="141"/>
        <v>0.85769960286882818</v>
      </c>
      <c r="Q1511" s="7">
        <f t="shared" si="142"/>
        <v>5623.666666666667</v>
      </c>
      <c r="R1511">
        <f t="shared" si="143"/>
        <v>2.2061298526441768</v>
      </c>
    </row>
    <row r="1512" spans="1:18" x14ac:dyDescent="0.25">
      <c r="A1512" t="s">
        <v>880</v>
      </c>
      <c r="B1512" t="s">
        <v>881</v>
      </c>
      <c r="C1512" t="s">
        <v>8</v>
      </c>
      <c r="D1512">
        <v>61327</v>
      </c>
      <c r="E1512" s="1">
        <v>44469</v>
      </c>
      <c r="F1512" s="2">
        <f t="shared" si="138"/>
        <v>2021</v>
      </c>
      <c r="G1512">
        <v>24</v>
      </c>
      <c r="H1512" s="3">
        <v>153707</v>
      </c>
      <c r="I1512">
        <v>11705</v>
      </c>
      <c r="J1512">
        <v>153707</v>
      </c>
      <c r="K1512">
        <v>134324</v>
      </c>
      <c r="L1512">
        <v>125507</v>
      </c>
      <c r="M1512" t="str">
        <f t="shared" si="139"/>
        <v>Medium</v>
      </c>
      <c r="N1512">
        <f>VLOOKUP(C1512,Lookup!$A$2:$D$5,MATCH(M1512,Lookup!$A$1:$D$1,0),FALSE)</f>
        <v>0.08</v>
      </c>
      <c r="O1512">
        <f t="shared" si="140"/>
        <v>10040.56</v>
      </c>
      <c r="P1512" s="7">
        <f t="shared" si="141"/>
        <v>0.87389643932937344</v>
      </c>
      <c r="Q1512" s="7">
        <f t="shared" si="142"/>
        <v>6404.458333333333</v>
      </c>
      <c r="R1512">
        <f t="shared" si="143"/>
        <v>1.1657716302676346</v>
      </c>
    </row>
    <row r="1513" spans="1:18" x14ac:dyDescent="0.25">
      <c r="A1513" t="s">
        <v>882</v>
      </c>
      <c r="B1513" t="s">
        <v>883</v>
      </c>
      <c r="C1513" t="s">
        <v>8</v>
      </c>
      <c r="D1513">
        <v>62278</v>
      </c>
      <c r="E1513" s="1">
        <v>43738</v>
      </c>
      <c r="F1513" s="2">
        <f t="shared" si="138"/>
        <v>2019</v>
      </c>
      <c r="G1513">
        <v>12</v>
      </c>
      <c r="H1513" s="3">
        <v>54340</v>
      </c>
      <c r="I1513">
        <v>17037</v>
      </c>
      <c r="J1513">
        <v>54340</v>
      </c>
      <c r="K1513">
        <v>49509</v>
      </c>
      <c r="L1513">
        <v>49372</v>
      </c>
      <c r="M1513" t="str">
        <f t="shared" si="139"/>
        <v>Small</v>
      </c>
      <c r="N1513">
        <f>VLOOKUP(C1513,Lookup!$A$2:$D$5,MATCH(M1513,Lookup!$A$1:$D$1,0),FALSE)</f>
        <v>0.09</v>
      </c>
      <c r="O1513">
        <f t="shared" si="140"/>
        <v>4443.4799999999996</v>
      </c>
      <c r="P1513" s="7">
        <f t="shared" si="141"/>
        <v>0.91109679793890319</v>
      </c>
      <c r="Q1513" s="7">
        <f t="shared" si="142"/>
        <v>4528.333333333333</v>
      </c>
      <c r="R1513">
        <f t="shared" si="143"/>
        <v>3.83415701207162</v>
      </c>
    </row>
    <row r="1514" spans="1:18" x14ac:dyDescent="0.25">
      <c r="A1514" t="s">
        <v>882</v>
      </c>
      <c r="B1514" t="s">
        <v>883</v>
      </c>
      <c r="C1514" t="s">
        <v>8</v>
      </c>
      <c r="D1514">
        <v>62278</v>
      </c>
      <c r="E1514" s="1">
        <v>44104</v>
      </c>
      <c r="F1514" s="2">
        <f t="shared" si="138"/>
        <v>2020</v>
      </c>
      <c r="G1514">
        <v>12</v>
      </c>
      <c r="H1514" s="3">
        <v>59976</v>
      </c>
      <c r="I1514">
        <v>20924</v>
      </c>
      <c r="J1514">
        <v>59976</v>
      </c>
      <c r="K1514">
        <v>54953</v>
      </c>
      <c r="L1514">
        <v>54853</v>
      </c>
      <c r="M1514" t="str">
        <f t="shared" si="139"/>
        <v>Small</v>
      </c>
      <c r="N1514">
        <f>VLOOKUP(C1514,Lookup!$A$2:$D$5,MATCH(M1514,Lookup!$A$1:$D$1,0),FALSE)</f>
        <v>0.09</v>
      </c>
      <c r="O1514">
        <f t="shared" si="140"/>
        <v>4936.7699999999995</v>
      </c>
      <c r="P1514" s="7">
        <f t="shared" si="141"/>
        <v>0.91624983326664</v>
      </c>
      <c r="Q1514" s="7">
        <f t="shared" si="142"/>
        <v>4998</v>
      </c>
      <c r="R1514">
        <f t="shared" si="143"/>
        <v>4.2383987911124077</v>
      </c>
    </row>
    <row r="1515" spans="1:18" x14ac:dyDescent="0.25">
      <c r="A1515" t="s">
        <v>882</v>
      </c>
      <c r="B1515" t="s">
        <v>883</v>
      </c>
      <c r="C1515" t="s">
        <v>8</v>
      </c>
      <c r="D1515">
        <v>62278</v>
      </c>
      <c r="E1515" s="1">
        <v>44469</v>
      </c>
      <c r="F1515" s="2">
        <f t="shared" si="138"/>
        <v>2021</v>
      </c>
      <c r="G1515">
        <v>13</v>
      </c>
      <c r="H1515" s="3">
        <v>67369</v>
      </c>
      <c r="I1515">
        <v>20364</v>
      </c>
      <c r="J1515">
        <v>67369</v>
      </c>
      <c r="K1515">
        <v>62225</v>
      </c>
      <c r="L1515">
        <v>62138</v>
      </c>
      <c r="M1515" t="str">
        <f t="shared" si="139"/>
        <v>Small</v>
      </c>
      <c r="N1515">
        <f>VLOOKUP(C1515,Lookup!$A$2:$D$5,MATCH(M1515,Lookup!$A$1:$D$1,0),FALSE)</f>
        <v>0.09</v>
      </c>
      <c r="O1515">
        <f t="shared" si="140"/>
        <v>5592.42</v>
      </c>
      <c r="P1515" s="7">
        <f t="shared" si="141"/>
        <v>0.92364440618088439</v>
      </c>
      <c r="Q1515" s="7">
        <f t="shared" si="142"/>
        <v>5182.2307692307695</v>
      </c>
      <c r="R1515">
        <f t="shared" si="143"/>
        <v>3.6413574087783105</v>
      </c>
    </row>
    <row r="1516" spans="1:18" x14ac:dyDescent="0.25">
      <c r="A1516" t="s">
        <v>884</v>
      </c>
      <c r="B1516" t="s">
        <v>885</v>
      </c>
      <c r="C1516" t="s">
        <v>20</v>
      </c>
      <c r="D1516">
        <v>2375</v>
      </c>
      <c r="E1516" s="1">
        <v>43738</v>
      </c>
      <c r="F1516" s="2">
        <f t="shared" si="138"/>
        <v>2019</v>
      </c>
      <c r="G1516">
        <v>184</v>
      </c>
      <c r="H1516" s="3">
        <v>1135321</v>
      </c>
      <c r="I1516">
        <v>64523</v>
      </c>
      <c r="J1516">
        <v>1135321</v>
      </c>
      <c r="K1516">
        <v>1021142</v>
      </c>
      <c r="L1516">
        <v>967567</v>
      </c>
      <c r="M1516" t="str">
        <f t="shared" si="139"/>
        <v>Large</v>
      </c>
      <c r="N1516">
        <f>VLOOKUP(C1516,Lookup!$A$2:$D$5,MATCH(M1516,Lookup!$A$1:$D$1,0),FALSE)</f>
        <v>0.08</v>
      </c>
      <c r="O1516">
        <f t="shared" si="140"/>
        <v>77405.36</v>
      </c>
      <c r="P1516" s="7">
        <f t="shared" si="141"/>
        <v>0.89943020520187678</v>
      </c>
      <c r="Q1516" s="7">
        <f t="shared" si="142"/>
        <v>6170.222826086957</v>
      </c>
      <c r="R1516">
        <f t="shared" si="143"/>
        <v>0.83357276550357751</v>
      </c>
    </row>
    <row r="1517" spans="1:18" x14ac:dyDescent="0.25">
      <c r="A1517" t="s">
        <v>884</v>
      </c>
      <c r="B1517" t="s">
        <v>885</v>
      </c>
      <c r="C1517" t="s">
        <v>20</v>
      </c>
      <c r="D1517">
        <v>2375</v>
      </c>
      <c r="E1517" s="1">
        <v>44104</v>
      </c>
      <c r="F1517" s="2">
        <f t="shared" si="138"/>
        <v>2020</v>
      </c>
      <c r="G1517">
        <v>189</v>
      </c>
      <c r="H1517" s="3">
        <v>1251586</v>
      </c>
      <c r="I1517">
        <v>74422</v>
      </c>
      <c r="J1517">
        <v>1251586</v>
      </c>
      <c r="K1517">
        <v>1133061</v>
      </c>
      <c r="L1517">
        <v>1091234</v>
      </c>
      <c r="M1517" t="str">
        <f t="shared" si="139"/>
        <v>Large</v>
      </c>
      <c r="N1517">
        <f>VLOOKUP(C1517,Lookup!$A$2:$D$5,MATCH(M1517,Lookup!$A$1:$D$1,0),FALSE)</f>
        <v>0.08</v>
      </c>
      <c r="O1517">
        <f t="shared" si="140"/>
        <v>87298.72</v>
      </c>
      <c r="P1517" s="7">
        <f t="shared" si="141"/>
        <v>0.90530015516312901</v>
      </c>
      <c r="Q1517" s="7">
        <f t="shared" si="142"/>
        <v>6622.1481481481478</v>
      </c>
      <c r="R1517">
        <f t="shared" si="143"/>
        <v>0.85249818095843788</v>
      </c>
    </row>
    <row r="1518" spans="1:18" x14ac:dyDescent="0.25">
      <c r="A1518" t="s">
        <v>884</v>
      </c>
      <c r="B1518" t="s">
        <v>885</v>
      </c>
      <c r="C1518" t="s">
        <v>20</v>
      </c>
      <c r="D1518">
        <v>2375</v>
      </c>
      <c r="E1518" s="1">
        <v>44469</v>
      </c>
      <c r="F1518" s="2">
        <f t="shared" si="138"/>
        <v>2021</v>
      </c>
      <c r="G1518">
        <v>183</v>
      </c>
      <c r="H1518" s="3">
        <v>1370255</v>
      </c>
      <c r="I1518">
        <v>85358</v>
      </c>
      <c r="J1518">
        <v>1370255</v>
      </c>
      <c r="K1518">
        <v>1242103</v>
      </c>
      <c r="L1518">
        <v>1221879</v>
      </c>
      <c r="M1518" t="str">
        <f t="shared" si="139"/>
        <v>Large</v>
      </c>
      <c r="N1518">
        <f>VLOOKUP(C1518,Lookup!$A$2:$D$5,MATCH(M1518,Lookup!$A$1:$D$1,0),FALSE)</f>
        <v>0.08</v>
      </c>
      <c r="O1518">
        <f t="shared" si="140"/>
        <v>97750.32</v>
      </c>
      <c r="P1518" s="7">
        <f t="shared" si="141"/>
        <v>0.90647580194927224</v>
      </c>
      <c r="Q1518" s="7">
        <f t="shared" si="142"/>
        <v>7487.7322404371589</v>
      </c>
      <c r="R1518">
        <f t="shared" si="143"/>
        <v>0.87322476284476602</v>
      </c>
    </row>
    <row r="1519" spans="1:18" x14ac:dyDescent="0.25">
      <c r="A1519" t="s">
        <v>886</v>
      </c>
      <c r="B1519" t="s">
        <v>887</v>
      </c>
      <c r="C1519" t="s">
        <v>20</v>
      </c>
      <c r="D1519">
        <v>1960</v>
      </c>
      <c r="E1519" s="1">
        <v>43738</v>
      </c>
      <c r="F1519" s="2">
        <f t="shared" si="138"/>
        <v>2019</v>
      </c>
      <c r="G1519">
        <v>140</v>
      </c>
      <c r="H1519" s="3">
        <v>906913</v>
      </c>
      <c r="I1519">
        <v>51555</v>
      </c>
      <c r="J1519">
        <v>906913</v>
      </c>
      <c r="K1519">
        <v>806883</v>
      </c>
      <c r="L1519">
        <v>747928</v>
      </c>
      <c r="M1519" t="str">
        <f t="shared" si="139"/>
        <v>Medium</v>
      </c>
      <c r="N1519">
        <f>VLOOKUP(C1519,Lookup!$A$2:$D$5,MATCH(M1519,Lookup!$A$1:$D$1,0),FALSE)</f>
        <v>8.5000000000000006E-2</v>
      </c>
      <c r="O1519">
        <f t="shared" si="140"/>
        <v>63573.880000000005</v>
      </c>
      <c r="P1519" s="7">
        <f t="shared" si="141"/>
        <v>0.88970276090429845</v>
      </c>
      <c r="Q1519" s="7">
        <f t="shared" si="142"/>
        <v>6477.95</v>
      </c>
      <c r="R1519">
        <f t="shared" si="143"/>
        <v>0.81094625654435437</v>
      </c>
    </row>
    <row r="1520" spans="1:18" x14ac:dyDescent="0.25">
      <c r="A1520" t="s">
        <v>886</v>
      </c>
      <c r="B1520" t="s">
        <v>887</v>
      </c>
      <c r="C1520" t="s">
        <v>20</v>
      </c>
      <c r="D1520">
        <v>1960</v>
      </c>
      <c r="E1520" s="1">
        <v>44104</v>
      </c>
      <c r="F1520" s="2">
        <f t="shared" si="138"/>
        <v>2020</v>
      </c>
      <c r="G1520">
        <v>197</v>
      </c>
      <c r="H1520" s="3">
        <v>1508463</v>
      </c>
      <c r="I1520">
        <v>139151</v>
      </c>
      <c r="J1520">
        <v>1508463</v>
      </c>
      <c r="K1520">
        <v>1354470</v>
      </c>
      <c r="L1520">
        <v>1311268</v>
      </c>
      <c r="M1520" t="str">
        <f t="shared" si="139"/>
        <v>Large</v>
      </c>
      <c r="N1520">
        <f>VLOOKUP(C1520,Lookup!$A$2:$D$5,MATCH(M1520,Lookup!$A$1:$D$1,0),FALSE)</f>
        <v>0.08</v>
      </c>
      <c r="O1520">
        <f t="shared" si="140"/>
        <v>104901.44</v>
      </c>
      <c r="P1520" s="7">
        <f t="shared" si="141"/>
        <v>0.89791396938473134</v>
      </c>
      <c r="Q1520" s="7">
        <f t="shared" si="142"/>
        <v>7657.1725888324872</v>
      </c>
      <c r="R1520">
        <f t="shared" si="143"/>
        <v>1.3264927535789786</v>
      </c>
    </row>
    <row r="1521" spans="1:18" x14ac:dyDescent="0.25">
      <c r="A1521" t="s">
        <v>886</v>
      </c>
      <c r="B1521" t="s">
        <v>887</v>
      </c>
      <c r="C1521" t="s">
        <v>20</v>
      </c>
      <c r="D1521">
        <v>1960</v>
      </c>
      <c r="E1521" s="1">
        <v>44469</v>
      </c>
      <c r="F1521" s="2">
        <f t="shared" si="138"/>
        <v>2021</v>
      </c>
      <c r="G1521">
        <v>188</v>
      </c>
      <c r="H1521" s="3">
        <v>1593271</v>
      </c>
      <c r="I1521">
        <v>266030</v>
      </c>
      <c r="J1521">
        <v>1593271</v>
      </c>
      <c r="K1521">
        <v>1424789</v>
      </c>
      <c r="L1521">
        <v>1400241</v>
      </c>
      <c r="M1521" t="str">
        <f t="shared" si="139"/>
        <v>Large</v>
      </c>
      <c r="N1521">
        <f>VLOOKUP(C1521,Lookup!$A$2:$D$5,MATCH(M1521,Lookup!$A$1:$D$1,0),FALSE)</f>
        <v>0.08</v>
      </c>
      <c r="O1521">
        <f t="shared" si="140"/>
        <v>112019.28</v>
      </c>
      <c r="P1521" s="7">
        <f t="shared" si="141"/>
        <v>0.89425402207157478</v>
      </c>
      <c r="Q1521" s="7">
        <f t="shared" si="142"/>
        <v>8474.8457446808516</v>
      </c>
      <c r="R1521">
        <f t="shared" si="143"/>
        <v>2.3748590421220346</v>
      </c>
    </row>
    <row r="1522" spans="1:18" x14ac:dyDescent="0.25">
      <c r="A1522" t="s">
        <v>888</v>
      </c>
      <c r="B1522" t="s">
        <v>889</v>
      </c>
      <c r="C1522" t="s">
        <v>8</v>
      </c>
      <c r="D1522">
        <v>60085</v>
      </c>
      <c r="E1522" s="1">
        <v>43738</v>
      </c>
      <c r="F1522" s="2">
        <f t="shared" si="138"/>
        <v>2019</v>
      </c>
      <c r="G1522">
        <v>40</v>
      </c>
      <c r="H1522" s="3">
        <v>224465</v>
      </c>
      <c r="I1522">
        <v>39037</v>
      </c>
      <c r="J1522">
        <v>224466</v>
      </c>
      <c r="K1522">
        <v>179012</v>
      </c>
      <c r="L1522">
        <v>176044</v>
      </c>
      <c r="M1522" t="str">
        <f t="shared" si="139"/>
        <v>Medium</v>
      </c>
      <c r="N1522">
        <f>VLOOKUP(C1522,Lookup!$A$2:$D$5,MATCH(M1522,Lookup!$A$1:$D$1,0),FALSE)</f>
        <v>0.08</v>
      </c>
      <c r="O1522">
        <f t="shared" si="140"/>
        <v>14083.52</v>
      </c>
      <c r="P1522" s="7">
        <f t="shared" si="141"/>
        <v>0.79750517898113293</v>
      </c>
      <c r="Q1522" s="7">
        <f t="shared" si="142"/>
        <v>5611.625</v>
      </c>
      <c r="R1522">
        <f t="shared" si="143"/>
        <v>2.7718212492331462</v>
      </c>
    </row>
    <row r="1523" spans="1:18" x14ac:dyDescent="0.25">
      <c r="A1523" t="s">
        <v>888</v>
      </c>
      <c r="B1523" t="s">
        <v>889</v>
      </c>
      <c r="C1523" t="s">
        <v>8</v>
      </c>
      <c r="D1523">
        <v>60085</v>
      </c>
      <c r="E1523" s="1">
        <v>44104</v>
      </c>
      <c r="F1523" s="2">
        <f t="shared" si="138"/>
        <v>2020</v>
      </c>
      <c r="G1523">
        <v>36</v>
      </c>
      <c r="H1523" s="3">
        <v>238758</v>
      </c>
      <c r="I1523">
        <v>46551</v>
      </c>
      <c r="J1523">
        <v>238758</v>
      </c>
      <c r="K1523">
        <v>193196</v>
      </c>
      <c r="L1523">
        <v>186207</v>
      </c>
      <c r="M1523" t="str">
        <f t="shared" si="139"/>
        <v>Medium</v>
      </c>
      <c r="N1523">
        <f>VLOOKUP(C1523,Lookup!$A$2:$D$5,MATCH(M1523,Lookup!$A$1:$D$1,0),FALSE)</f>
        <v>0.08</v>
      </c>
      <c r="O1523">
        <f t="shared" si="140"/>
        <v>14896.56</v>
      </c>
      <c r="P1523" s="7">
        <f t="shared" si="141"/>
        <v>0.80917079218287968</v>
      </c>
      <c r="Q1523" s="7">
        <f t="shared" si="142"/>
        <v>6632.166666666667</v>
      </c>
      <c r="R1523">
        <f t="shared" si="143"/>
        <v>3.1249496528057485</v>
      </c>
    </row>
    <row r="1524" spans="1:18" x14ac:dyDescent="0.25">
      <c r="A1524" t="s">
        <v>888</v>
      </c>
      <c r="B1524" t="s">
        <v>889</v>
      </c>
      <c r="C1524" t="s">
        <v>8</v>
      </c>
      <c r="D1524">
        <v>60085</v>
      </c>
      <c r="E1524" s="1">
        <v>44469</v>
      </c>
      <c r="F1524" s="2">
        <f t="shared" si="138"/>
        <v>2021</v>
      </c>
      <c r="G1524">
        <v>35</v>
      </c>
      <c r="H1524" s="3">
        <v>259426</v>
      </c>
      <c r="I1524">
        <v>48438</v>
      </c>
      <c r="J1524">
        <v>259426</v>
      </c>
      <c r="K1524">
        <v>214524</v>
      </c>
      <c r="L1524">
        <v>207241</v>
      </c>
      <c r="M1524" t="str">
        <f t="shared" si="139"/>
        <v>Medium</v>
      </c>
      <c r="N1524">
        <f>VLOOKUP(C1524,Lookup!$A$2:$D$5,MATCH(M1524,Lookup!$A$1:$D$1,0),FALSE)</f>
        <v>0.08</v>
      </c>
      <c r="O1524">
        <f t="shared" si="140"/>
        <v>16579.28</v>
      </c>
      <c r="P1524" s="7">
        <f t="shared" si="141"/>
        <v>0.82691788795263388</v>
      </c>
      <c r="Q1524" s="7">
        <f t="shared" si="142"/>
        <v>7412.1714285714288</v>
      </c>
      <c r="R1524">
        <f t="shared" si="143"/>
        <v>2.9215985253883163</v>
      </c>
    </row>
    <row r="1525" spans="1:18" x14ac:dyDescent="0.25">
      <c r="A1525" t="s">
        <v>890</v>
      </c>
      <c r="B1525" t="s">
        <v>28</v>
      </c>
      <c r="C1525" t="s">
        <v>8</v>
      </c>
      <c r="D1525">
        <v>60640</v>
      </c>
      <c r="E1525" s="1">
        <v>43738</v>
      </c>
      <c r="F1525" s="2">
        <f t="shared" si="138"/>
        <v>2019</v>
      </c>
      <c r="G1525">
        <v>9</v>
      </c>
      <c r="H1525" s="3">
        <v>39666</v>
      </c>
      <c r="I1525">
        <v>5867</v>
      </c>
      <c r="J1525">
        <v>39666</v>
      </c>
      <c r="K1525">
        <v>35678</v>
      </c>
      <c r="L1525">
        <v>33412</v>
      </c>
      <c r="M1525" t="str">
        <f t="shared" si="139"/>
        <v>Small</v>
      </c>
      <c r="N1525">
        <f>VLOOKUP(C1525,Lookup!$A$2:$D$5,MATCH(M1525,Lookup!$A$1:$D$1,0),FALSE)</f>
        <v>0.09</v>
      </c>
      <c r="O1525">
        <f t="shared" si="140"/>
        <v>3007.08</v>
      </c>
      <c r="P1525" s="7">
        <f t="shared" si="141"/>
        <v>0.89946049513437198</v>
      </c>
      <c r="Q1525" s="7">
        <f t="shared" si="142"/>
        <v>4407.333333333333</v>
      </c>
      <c r="R1525">
        <f t="shared" si="143"/>
        <v>1.9510621599691396</v>
      </c>
    </row>
    <row r="1526" spans="1:18" x14ac:dyDescent="0.25">
      <c r="A1526" t="s">
        <v>890</v>
      </c>
      <c r="B1526" t="s">
        <v>28</v>
      </c>
      <c r="C1526" t="s">
        <v>8</v>
      </c>
      <c r="D1526">
        <v>60640</v>
      </c>
      <c r="E1526" s="1">
        <v>44104</v>
      </c>
      <c r="F1526" s="2">
        <f t="shared" si="138"/>
        <v>2020</v>
      </c>
      <c r="G1526">
        <v>9</v>
      </c>
      <c r="H1526" s="3">
        <v>47243</v>
      </c>
      <c r="I1526">
        <v>8449</v>
      </c>
      <c r="J1526">
        <v>47243</v>
      </c>
      <c r="K1526">
        <v>43277</v>
      </c>
      <c r="L1526">
        <v>37828</v>
      </c>
      <c r="M1526" t="str">
        <f t="shared" si="139"/>
        <v>Small</v>
      </c>
      <c r="N1526">
        <f>VLOOKUP(C1526,Lookup!$A$2:$D$5,MATCH(M1526,Lookup!$A$1:$D$1,0),FALSE)</f>
        <v>0.09</v>
      </c>
      <c r="O1526">
        <f t="shared" si="140"/>
        <v>3404.52</v>
      </c>
      <c r="P1526" s="7">
        <f t="shared" si="141"/>
        <v>0.91605105518277841</v>
      </c>
      <c r="Q1526" s="7">
        <f t="shared" si="142"/>
        <v>5249.2222222222226</v>
      </c>
      <c r="R1526">
        <f t="shared" si="143"/>
        <v>2.4817007977629739</v>
      </c>
    </row>
    <row r="1527" spans="1:18" x14ac:dyDescent="0.25">
      <c r="A1527" t="s">
        <v>890</v>
      </c>
      <c r="B1527" t="s">
        <v>28</v>
      </c>
      <c r="C1527" t="s">
        <v>8</v>
      </c>
      <c r="D1527">
        <v>60640</v>
      </c>
      <c r="E1527" s="1">
        <v>44469</v>
      </c>
      <c r="F1527" s="2">
        <f t="shared" si="138"/>
        <v>2021</v>
      </c>
      <c r="G1527">
        <v>9</v>
      </c>
      <c r="H1527" s="3">
        <v>51088</v>
      </c>
      <c r="I1527">
        <v>13674</v>
      </c>
      <c r="J1527">
        <v>51088</v>
      </c>
      <c r="K1527">
        <v>47643</v>
      </c>
      <c r="L1527">
        <v>43313</v>
      </c>
      <c r="M1527" t="str">
        <f t="shared" si="139"/>
        <v>Small</v>
      </c>
      <c r="N1527">
        <f>VLOOKUP(C1527,Lookup!$A$2:$D$5,MATCH(M1527,Lookup!$A$1:$D$1,0),FALSE)</f>
        <v>0.09</v>
      </c>
      <c r="O1527">
        <f t="shared" si="140"/>
        <v>3898.17</v>
      </c>
      <c r="P1527" s="7">
        <f t="shared" si="141"/>
        <v>0.93256733479486376</v>
      </c>
      <c r="Q1527" s="7">
        <f t="shared" si="142"/>
        <v>5676.4444444444443</v>
      </c>
      <c r="R1527">
        <f t="shared" si="143"/>
        <v>3.5077998137587638</v>
      </c>
    </row>
    <row r="1528" spans="1:18" x14ac:dyDescent="0.25">
      <c r="A1528" t="s">
        <v>891</v>
      </c>
      <c r="B1528" t="s">
        <v>276</v>
      </c>
      <c r="C1528" t="s">
        <v>8</v>
      </c>
      <c r="D1528">
        <v>60062</v>
      </c>
      <c r="E1528" s="1">
        <v>43738</v>
      </c>
      <c r="F1528" s="2">
        <f t="shared" si="138"/>
        <v>2019</v>
      </c>
      <c r="G1528">
        <v>94</v>
      </c>
      <c r="H1528" s="3">
        <v>2872636</v>
      </c>
      <c r="I1528">
        <v>424632</v>
      </c>
      <c r="J1528">
        <v>2872636</v>
      </c>
      <c r="K1528">
        <v>2597185</v>
      </c>
      <c r="L1528">
        <v>2532026</v>
      </c>
      <c r="M1528" t="str">
        <f t="shared" si="139"/>
        <v>Large</v>
      </c>
      <c r="N1528">
        <f>VLOOKUP(C1528,Lookup!$A$2:$D$5,MATCH(M1528,Lookup!$A$1:$D$1,0),FALSE)</f>
        <v>7.4999999999999997E-2</v>
      </c>
      <c r="O1528">
        <f t="shared" si="140"/>
        <v>189901.94999999998</v>
      </c>
      <c r="P1528" s="7">
        <f t="shared" si="141"/>
        <v>0.90411211166329464</v>
      </c>
      <c r="Q1528" s="7">
        <f t="shared" si="142"/>
        <v>30559.957446808512</v>
      </c>
      <c r="R1528">
        <f t="shared" si="143"/>
        <v>2.2360591873859117</v>
      </c>
    </row>
    <row r="1529" spans="1:18" x14ac:dyDescent="0.25">
      <c r="A1529" t="s">
        <v>1376</v>
      </c>
      <c r="B1529" t="s">
        <v>276</v>
      </c>
      <c r="C1529" t="s">
        <v>8</v>
      </c>
      <c r="D1529">
        <v>60062</v>
      </c>
      <c r="E1529" s="1">
        <v>44104</v>
      </c>
      <c r="F1529" s="2">
        <f t="shared" si="138"/>
        <v>2020</v>
      </c>
      <c r="G1529">
        <v>93</v>
      </c>
      <c r="H1529" s="3">
        <v>3377313</v>
      </c>
      <c r="I1529">
        <v>479990</v>
      </c>
      <c r="J1529">
        <v>3377313</v>
      </c>
      <c r="K1529">
        <v>3085600</v>
      </c>
      <c r="L1529">
        <v>2946184</v>
      </c>
      <c r="M1529" t="str">
        <f t="shared" si="139"/>
        <v>Large</v>
      </c>
      <c r="N1529">
        <f>VLOOKUP(C1529,Lookup!$A$2:$D$5,MATCH(M1529,Lookup!$A$1:$D$1,0),FALSE)</f>
        <v>7.4999999999999997E-2</v>
      </c>
      <c r="O1529">
        <f t="shared" si="140"/>
        <v>220963.8</v>
      </c>
      <c r="P1529" s="7">
        <f t="shared" si="141"/>
        <v>0.91362571369606549</v>
      </c>
      <c r="Q1529" s="7">
        <f t="shared" si="142"/>
        <v>36315.193548387098</v>
      </c>
      <c r="R1529">
        <f t="shared" si="143"/>
        <v>2.172256270031562</v>
      </c>
    </row>
    <row r="1530" spans="1:18" x14ac:dyDescent="0.25">
      <c r="A1530" t="s">
        <v>1376</v>
      </c>
      <c r="B1530" t="s">
        <v>276</v>
      </c>
      <c r="C1530" t="s">
        <v>8</v>
      </c>
      <c r="D1530">
        <v>60062</v>
      </c>
      <c r="E1530" s="1">
        <v>44469</v>
      </c>
      <c r="F1530" s="2">
        <f t="shared" si="138"/>
        <v>2021</v>
      </c>
      <c r="G1530">
        <v>97</v>
      </c>
      <c r="H1530" s="3">
        <v>4137711</v>
      </c>
      <c r="I1530">
        <v>957791</v>
      </c>
      <c r="J1530">
        <v>4137711</v>
      </c>
      <c r="K1530">
        <v>3810950</v>
      </c>
      <c r="L1530">
        <v>3669154</v>
      </c>
      <c r="M1530" t="str">
        <f t="shared" si="139"/>
        <v>Large</v>
      </c>
      <c r="N1530">
        <f>VLOOKUP(C1530,Lookup!$A$2:$D$5,MATCH(M1530,Lookup!$A$1:$D$1,0),FALSE)</f>
        <v>7.4999999999999997E-2</v>
      </c>
      <c r="O1530">
        <f t="shared" si="140"/>
        <v>275186.55</v>
      </c>
      <c r="P1530" s="7">
        <f t="shared" si="141"/>
        <v>0.92102855902695957</v>
      </c>
      <c r="Q1530" s="7">
        <f t="shared" si="142"/>
        <v>42656.81443298969</v>
      </c>
      <c r="R1530">
        <f t="shared" si="143"/>
        <v>3.4805153086151921</v>
      </c>
    </row>
    <row r="1531" spans="1:18" x14ac:dyDescent="0.25">
      <c r="A1531" t="s">
        <v>892</v>
      </c>
      <c r="B1531" t="s">
        <v>893</v>
      </c>
      <c r="C1531" t="s">
        <v>17</v>
      </c>
      <c r="D1531">
        <v>10601</v>
      </c>
      <c r="E1531" s="1">
        <v>43738</v>
      </c>
      <c r="F1531" s="2">
        <f t="shared" si="138"/>
        <v>2019</v>
      </c>
      <c r="G1531">
        <v>118</v>
      </c>
      <c r="H1531" s="3">
        <v>1031290</v>
      </c>
      <c r="I1531">
        <v>197181</v>
      </c>
      <c r="J1531">
        <v>1031290</v>
      </c>
      <c r="K1531">
        <v>904411</v>
      </c>
      <c r="L1531">
        <v>869560</v>
      </c>
      <c r="M1531" t="str">
        <f t="shared" si="139"/>
        <v>Large</v>
      </c>
      <c r="N1531">
        <f>VLOOKUP(C1531,Lookup!$A$2:$D$5,MATCH(M1531,Lookup!$A$1:$D$1,0),FALSE)</f>
        <v>0.08</v>
      </c>
      <c r="O1531">
        <f t="shared" si="140"/>
        <v>69564.800000000003</v>
      </c>
      <c r="P1531" s="7">
        <f t="shared" si="141"/>
        <v>0.87697059023165158</v>
      </c>
      <c r="Q1531" s="7">
        <f t="shared" si="142"/>
        <v>8739.7457627118638</v>
      </c>
      <c r="R1531">
        <f t="shared" si="143"/>
        <v>2.8344938819632914</v>
      </c>
    </row>
    <row r="1532" spans="1:18" x14ac:dyDescent="0.25">
      <c r="A1532" t="s">
        <v>892</v>
      </c>
      <c r="B1532" t="s">
        <v>893</v>
      </c>
      <c r="C1532" t="s">
        <v>17</v>
      </c>
      <c r="D1532">
        <v>10601</v>
      </c>
      <c r="E1532" s="1">
        <v>44104</v>
      </c>
      <c r="F1532" s="2">
        <f t="shared" si="138"/>
        <v>2020</v>
      </c>
      <c r="G1532">
        <v>121</v>
      </c>
      <c r="H1532" s="3">
        <v>951247</v>
      </c>
      <c r="I1532">
        <v>69093</v>
      </c>
      <c r="J1532">
        <v>951247</v>
      </c>
      <c r="K1532">
        <v>812428</v>
      </c>
      <c r="L1532">
        <v>766876</v>
      </c>
      <c r="M1532" t="str">
        <f t="shared" si="139"/>
        <v>Medium</v>
      </c>
      <c r="N1532">
        <f>VLOOKUP(C1532,Lookup!$A$2:$D$5,MATCH(M1532,Lookup!$A$1:$D$1,0),FALSE)</f>
        <v>8.5000000000000006E-2</v>
      </c>
      <c r="O1532">
        <f t="shared" si="140"/>
        <v>65184.460000000006</v>
      </c>
      <c r="P1532" s="7">
        <f t="shared" si="141"/>
        <v>0.85406629403299039</v>
      </c>
      <c r="Q1532" s="7">
        <f t="shared" si="142"/>
        <v>7861.545454545455</v>
      </c>
      <c r="R1532">
        <f t="shared" si="143"/>
        <v>1.0599612238867975</v>
      </c>
    </row>
    <row r="1533" spans="1:18" x14ac:dyDescent="0.25">
      <c r="A1533" t="s">
        <v>892</v>
      </c>
      <c r="B1533" t="s">
        <v>893</v>
      </c>
      <c r="C1533" t="s">
        <v>17</v>
      </c>
      <c r="D1533">
        <v>10601</v>
      </c>
      <c r="E1533" s="1">
        <v>44469</v>
      </c>
      <c r="F1533" s="2">
        <f t="shared" si="138"/>
        <v>2021</v>
      </c>
      <c r="G1533">
        <v>128</v>
      </c>
      <c r="H1533" s="3">
        <v>1097105</v>
      </c>
      <c r="I1533">
        <v>102094</v>
      </c>
      <c r="J1533">
        <v>1097105</v>
      </c>
      <c r="K1533">
        <v>907044</v>
      </c>
      <c r="L1533">
        <v>856676</v>
      </c>
      <c r="M1533" t="str">
        <f t="shared" si="139"/>
        <v>Large</v>
      </c>
      <c r="N1533">
        <f>VLOOKUP(C1533,Lookup!$A$2:$D$5,MATCH(M1533,Lookup!$A$1:$D$1,0),FALSE)</f>
        <v>0.08</v>
      </c>
      <c r="O1533">
        <f t="shared" si="140"/>
        <v>68534.080000000002</v>
      </c>
      <c r="P1533" s="7">
        <f t="shared" si="141"/>
        <v>0.82676134007228119</v>
      </c>
      <c r="Q1533" s="7">
        <f t="shared" si="142"/>
        <v>8571.1328125</v>
      </c>
      <c r="R1533">
        <f t="shared" si="143"/>
        <v>1.489682213578996</v>
      </c>
    </row>
    <row r="1534" spans="1:18" x14ac:dyDescent="0.25">
      <c r="A1534" t="s">
        <v>894</v>
      </c>
      <c r="B1534" t="s">
        <v>895</v>
      </c>
      <c r="C1534" t="s">
        <v>20</v>
      </c>
      <c r="D1534">
        <v>1801</v>
      </c>
      <c r="E1534" s="1">
        <v>43738</v>
      </c>
      <c r="F1534" s="2">
        <f t="shared" si="138"/>
        <v>2019</v>
      </c>
      <c r="G1534">
        <v>218</v>
      </c>
      <c r="H1534" s="3">
        <v>2148380</v>
      </c>
      <c r="I1534">
        <v>108536</v>
      </c>
      <c r="J1534">
        <v>2148380</v>
      </c>
      <c r="K1534">
        <v>1893110</v>
      </c>
      <c r="L1534">
        <v>1796878</v>
      </c>
      <c r="M1534" t="str">
        <f t="shared" si="139"/>
        <v>Large</v>
      </c>
      <c r="N1534">
        <f>VLOOKUP(C1534,Lookup!$A$2:$D$5,MATCH(M1534,Lookup!$A$1:$D$1,0),FALSE)</f>
        <v>0.08</v>
      </c>
      <c r="O1534">
        <f t="shared" si="140"/>
        <v>143750.24</v>
      </c>
      <c r="P1534" s="7">
        <f t="shared" si="141"/>
        <v>0.88118023813291879</v>
      </c>
      <c r="Q1534" s="7">
        <f t="shared" si="142"/>
        <v>9854.9541284403676</v>
      </c>
      <c r="R1534">
        <f t="shared" si="143"/>
        <v>0.75503178290345818</v>
      </c>
    </row>
    <row r="1535" spans="1:18" x14ac:dyDescent="0.25">
      <c r="A1535" t="s">
        <v>894</v>
      </c>
      <c r="B1535" t="s">
        <v>895</v>
      </c>
      <c r="C1535" t="s">
        <v>20</v>
      </c>
      <c r="D1535">
        <v>1801</v>
      </c>
      <c r="E1535" s="1">
        <v>44104</v>
      </c>
      <c r="F1535" s="2">
        <f t="shared" si="138"/>
        <v>2020</v>
      </c>
      <c r="G1535">
        <v>223</v>
      </c>
      <c r="H1535" s="3">
        <v>2677239</v>
      </c>
      <c r="I1535">
        <v>343519</v>
      </c>
      <c r="J1535">
        <v>2677239</v>
      </c>
      <c r="K1535">
        <v>2379550</v>
      </c>
      <c r="L1535">
        <v>2150836</v>
      </c>
      <c r="M1535" t="str">
        <f t="shared" si="139"/>
        <v>Large</v>
      </c>
      <c r="N1535">
        <f>VLOOKUP(C1535,Lookup!$A$2:$D$5,MATCH(M1535,Lookup!$A$1:$D$1,0),FALSE)</f>
        <v>0.08</v>
      </c>
      <c r="O1535">
        <f t="shared" si="140"/>
        <v>172066.88</v>
      </c>
      <c r="P1535" s="7">
        <f t="shared" si="141"/>
        <v>0.88880746171708991</v>
      </c>
      <c r="Q1535" s="7">
        <f t="shared" si="142"/>
        <v>12005.556053811659</v>
      </c>
      <c r="R1535">
        <f t="shared" si="143"/>
        <v>1.9964272031898294</v>
      </c>
    </row>
    <row r="1536" spans="1:18" x14ac:dyDescent="0.25">
      <c r="A1536" t="s">
        <v>894</v>
      </c>
      <c r="B1536" t="s">
        <v>895</v>
      </c>
      <c r="C1536" t="s">
        <v>20</v>
      </c>
      <c r="D1536">
        <v>1801</v>
      </c>
      <c r="E1536" s="1">
        <v>44469</v>
      </c>
      <c r="F1536" s="2">
        <f t="shared" si="138"/>
        <v>2021</v>
      </c>
      <c r="G1536">
        <v>224</v>
      </c>
      <c r="H1536" s="3">
        <v>2654610</v>
      </c>
      <c r="I1536">
        <v>352571</v>
      </c>
      <c r="J1536">
        <v>2654610</v>
      </c>
      <c r="K1536">
        <v>2304673</v>
      </c>
      <c r="L1536">
        <v>2269741</v>
      </c>
      <c r="M1536" t="str">
        <f t="shared" si="139"/>
        <v>Large</v>
      </c>
      <c r="N1536">
        <f>VLOOKUP(C1536,Lookup!$A$2:$D$5,MATCH(M1536,Lookup!$A$1:$D$1,0),FALSE)</f>
        <v>0.08</v>
      </c>
      <c r="O1536">
        <f t="shared" si="140"/>
        <v>181579.28</v>
      </c>
      <c r="P1536" s="7">
        <f t="shared" si="141"/>
        <v>0.86817762307834301</v>
      </c>
      <c r="Q1536" s="7">
        <f t="shared" si="142"/>
        <v>11850.9375</v>
      </c>
      <c r="R1536">
        <f t="shared" si="143"/>
        <v>1.9416918053645769</v>
      </c>
    </row>
    <row r="1537" spans="1:18" x14ac:dyDescent="0.25">
      <c r="A1537" t="s">
        <v>896</v>
      </c>
      <c r="B1537" t="s">
        <v>646</v>
      </c>
      <c r="C1537" t="s">
        <v>5</v>
      </c>
      <c r="D1537">
        <v>95926</v>
      </c>
      <c r="E1537" s="1">
        <v>43738</v>
      </c>
      <c r="F1537" s="2">
        <f t="shared" si="138"/>
        <v>2019</v>
      </c>
      <c r="G1537">
        <v>26</v>
      </c>
      <c r="H1537" s="3">
        <v>264781</v>
      </c>
      <c r="I1537">
        <v>99490</v>
      </c>
      <c r="J1537">
        <v>264781</v>
      </c>
      <c r="K1537">
        <v>239264</v>
      </c>
      <c r="L1537">
        <v>238180</v>
      </c>
      <c r="M1537" t="str">
        <f t="shared" si="139"/>
        <v>Medium</v>
      </c>
      <c r="N1537">
        <f>VLOOKUP(C1537,Lookup!$A$2:$D$5,MATCH(M1537,Lookup!$A$1:$D$1,0),FALSE)</f>
        <v>0.09</v>
      </c>
      <c r="O1537">
        <f t="shared" si="140"/>
        <v>21436.2</v>
      </c>
      <c r="P1537" s="7">
        <f t="shared" si="141"/>
        <v>0.90362979216786699</v>
      </c>
      <c r="Q1537" s="7">
        <f t="shared" si="142"/>
        <v>10183.884615384615</v>
      </c>
      <c r="R1537">
        <f t="shared" si="143"/>
        <v>4.6412143943422803</v>
      </c>
    </row>
    <row r="1538" spans="1:18" x14ac:dyDescent="0.25">
      <c r="A1538" t="s">
        <v>896</v>
      </c>
      <c r="B1538" t="s">
        <v>646</v>
      </c>
      <c r="C1538" t="s">
        <v>5</v>
      </c>
      <c r="D1538">
        <v>95926</v>
      </c>
      <c r="E1538" s="1">
        <v>44104</v>
      </c>
      <c r="F1538" s="2">
        <f t="shared" ref="F1538:F1601" si="144">YEAR(E1538)</f>
        <v>2020</v>
      </c>
      <c r="G1538">
        <v>28</v>
      </c>
      <c r="H1538" s="3">
        <v>312343</v>
      </c>
      <c r="I1538">
        <v>80696</v>
      </c>
      <c r="J1538">
        <v>312343</v>
      </c>
      <c r="K1538">
        <v>282933</v>
      </c>
      <c r="L1538">
        <v>275929</v>
      </c>
      <c r="M1538" t="str">
        <f t="shared" ref="M1538:M1601" si="145">IF(H1538&gt;1000000,"Large",IF(H1538&lt;100000,"Small","Medium"))</f>
        <v>Medium</v>
      </c>
      <c r="N1538">
        <f>VLOOKUP(C1538,Lookup!$A$2:$D$5,MATCH(M1538,Lookup!$A$1:$D$1,0),FALSE)</f>
        <v>0.09</v>
      </c>
      <c r="O1538">
        <f t="shared" ref="O1538:O1601" si="146">L1538*N1538</f>
        <v>24833.61</v>
      </c>
      <c r="P1538" s="7">
        <f t="shared" ref="P1538:P1601" si="147">K1538/H1538</f>
        <v>0.90584069436484893</v>
      </c>
      <c r="Q1538" s="7">
        <f t="shared" ref="Q1538:Q1601" si="148">H1538/G1538</f>
        <v>11155.107142857143</v>
      </c>
      <c r="R1538">
        <f t="shared" ref="R1538:R1601" si="149">I1538/O1538</f>
        <v>3.2494671535874162</v>
      </c>
    </row>
    <row r="1539" spans="1:18" x14ac:dyDescent="0.25">
      <c r="A1539" t="s">
        <v>897</v>
      </c>
      <c r="B1539" t="s">
        <v>898</v>
      </c>
      <c r="C1539" t="s">
        <v>17</v>
      </c>
      <c r="D1539">
        <v>10314</v>
      </c>
      <c r="E1539" s="1">
        <v>43738</v>
      </c>
      <c r="F1539" s="2">
        <f t="shared" si="144"/>
        <v>2019</v>
      </c>
      <c r="G1539">
        <v>382</v>
      </c>
      <c r="H1539" s="3">
        <v>4810350</v>
      </c>
      <c r="I1539">
        <v>69258</v>
      </c>
      <c r="J1539">
        <v>4810350</v>
      </c>
      <c r="K1539">
        <v>4179802</v>
      </c>
      <c r="L1539">
        <v>3388040</v>
      </c>
      <c r="M1539" t="str">
        <f t="shared" si="145"/>
        <v>Large</v>
      </c>
      <c r="N1539">
        <f>VLOOKUP(C1539,Lookup!$A$2:$D$5,MATCH(M1539,Lookup!$A$1:$D$1,0),FALSE)</f>
        <v>0.08</v>
      </c>
      <c r="O1539">
        <f t="shared" si="146"/>
        <v>271043.20000000001</v>
      </c>
      <c r="P1539" s="7">
        <f t="shared" si="147"/>
        <v>0.86891847786543597</v>
      </c>
      <c r="Q1539" s="7">
        <f t="shared" si="148"/>
        <v>12592.539267015707</v>
      </c>
      <c r="R1539">
        <f t="shared" si="149"/>
        <v>0.25552384269371081</v>
      </c>
    </row>
    <row r="1540" spans="1:18" x14ac:dyDescent="0.25">
      <c r="A1540" t="s">
        <v>897</v>
      </c>
      <c r="B1540" t="s">
        <v>898</v>
      </c>
      <c r="C1540" t="s">
        <v>17</v>
      </c>
      <c r="D1540">
        <v>10314</v>
      </c>
      <c r="E1540" s="1">
        <v>44104</v>
      </c>
      <c r="F1540" s="2">
        <f t="shared" si="144"/>
        <v>2020</v>
      </c>
      <c r="G1540">
        <v>394</v>
      </c>
      <c r="H1540" s="3">
        <v>5596227</v>
      </c>
      <c r="I1540">
        <v>350559</v>
      </c>
      <c r="J1540">
        <v>5596227</v>
      </c>
      <c r="K1540">
        <v>4898142</v>
      </c>
      <c r="L1540">
        <v>4176267</v>
      </c>
      <c r="M1540" t="str">
        <f t="shared" si="145"/>
        <v>Large</v>
      </c>
      <c r="N1540">
        <f>VLOOKUP(C1540,Lookup!$A$2:$D$5,MATCH(M1540,Lookup!$A$1:$D$1,0),FALSE)</f>
        <v>0.08</v>
      </c>
      <c r="O1540">
        <f t="shared" si="146"/>
        <v>334101.36</v>
      </c>
      <c r="P1540" s="7">
        <f t="shared" si="147"/>
        <v>0.87525791930884866</v>
      </c>
      <c r="Q1540" s="7">
        <f t="shared" si="148"/>
        <v>14203.621827411167</v>
      </c>
      <c r="R1540">
        <f t="shared" si="149"/>
        <v>1.0492594223501515</v>
      </c>
    </row>
    <row r="1541" spans="1:18" x14ac:dyDescent="0.25">
      <c r="A1541" t="s">
        <v>897</v>
      </c>
      <c r="B1541" t="s">
        <v>898</v>
      </c>
      <c r="C1541" t="s">
        <v>17</v>
      </c>
      <c r="D1541">
        <v>10314</v>
      </c>
      <c r="E1541" s="1">
        <v>44469</v>
      </c>
      <c r="F1541" s="2">
        <f t="shared" si="144"/>
        <v>2021</v>
      </c>
      <c r="G1541">
        <v>370</v>
      </c>
      <c r="H1541" s="3">
        <v>5398860</v>
      </c>
      <c r="I1541">
        <v>173414</v>
      </c>
      <c r="J1541">
        <v>5398860</v>
      </c>
      <c r="K1541">
        <v>4708907</v>
      </c>
      <c r="L1541">
        <v>4192244</v>
      </c>
      <c r="M1541" t="str">
        <f t="shared" si="145"/>
        <v>Large</v>
      </c>
      <c r="N1541">
        <f>VLOOKUP(C1541,Lookup!$A$2:$D$5,MATCH(M1541,Lookup!$A$1:$D$1,0),FALSE)</f>
        <v>0.08</v>
      </c>
      <c r="O1541">
        <f t="shared" si="146"/>
        <v>335379.52</v>
      </c>
      <c r="P1541" s="7">
        <f t="shared" si="147"/>
        <v>0.8722039467591306</v>
      </c>
      <c r="Q1541" s="7">
        <f t="shared" si="148"/>
        <v>14591.513513513513</v>
      </c>
      <c r="R1541">
        <f t="shared" si="149"/>
        <v>0.51706794738092532</v>
      </c>
    </row>
    <row r="1542" spans="1:18" x14ac:dyDescent="0.25">
      <c r="A1542" t="s">
        <v>899</v>
      </c>
      <c r="B1542" t="s">
        <v>900</v>
      </c>
      <c r="C1542" t="s">
        <v>20</v>
      </c>
      <c r="D1542">
        <v>1845</v>
      </c>
      <c r="E1542" s="1">
        <v>43738</v>
      </c>
      <c r="F1542" s="2">
        <f t="shared" si="144"/>
        <v>2019</v>
      </c>
      <c r="G1542">
        <v>49</v>
      </c>
      <c r="H1542" s="3">
        <v>365669</v>
      </c>
      <c r="I1542">
        <v>18725</v>
      </c>
      <c r="J1542">
        <v>365668</v>
      </c>
      <c r="K1542">
        <v>318886</v>
      </c>
      <c r="L1542">
        <v>308843</v>
      </c>
      <c r="M1542" t="str">
        <f t="shared" si="145"/>
        <v>Medium</v>
      </c>
      <c r="N1542">
        <f>VLOOKUP(C1542,Lookup!$A$2:$D$5,MATCH(M1542,Lookup!$A$1:$D$1,0),FALSE)</f>
        <v>8.5000000000000006E-2</v>
      </c>
      <c r="O1542">
        <f t="shared" si="146"/>
        <v>26251.655000000002</v>
      </c>
      <c r="P1542" s="7">
        <f t="shared" si="147"/>
        <v>0.87206189203897511</v>
      </c>
      <c r="Q1542" s="7">
        <f t="shared" si="148"/>
        <v>7462.6326530612241</v>
      </c>
      <c r="R1542">
        <f t="shared" si="149"/>
        <v>0.71328836220040215</v>
      </c>
    </row>
    <row r="1543" spans="1:18" x14ac:dyDescent="0.25">
      <c r="A1543" t="s">
        <v>899</v>
      </c>
      <c r="B1543" t="s">
        <v>900</v>
      </c>
      <c r="C1543" t="s">
        <v>20</v>
      </c>
      <c r="D1543">
        <v>1845</v>
      </c>
      <c r="E1543" s="1">
        <v>44104</v>
      </c>
      <c r="F1543" s="2">
        <f t="shared" si="144"/>
        <v>2020</v>
      </c>
      <c r="G1543">
        <v>44</v>
      </c>
      <c r="H1543" s="3">
        <v>417301</v>
      </c>
      <c r="I1543">
        <v>59552</v>
      </c>
      <c r="J1543">
        <v>417301</v>
      </c>
      <c r="K1543">
        <v>367910</v>
      </c>
      <c r="L1543">
        <v>349660</v>
      </c>
      <c r="M1543" t="str">
        <f t="shared" si="145"/>
        <v>Medium</v>
      </c>
      <c r="N1543">
        <f>VLOOKUP(C1543,Lookup!$A$2:$D$5,MATCH(M1543,Lookup!$A$1:$D$1,0),FALSE)</f>
        <v>8.5000000000000006E-2</v>
      </c>
      <c r="O1543">
        <f t="shared" si="146"/>
        <v>29721.100000000002</v>
      </c>
      <c r="P1543" s="7">
        <f t="shared" si="147"/>
        <v>0.88164178854112496</v>
      </c>
      <c r="Q1543" s="7">
        <f t="shared" si="148"/>
        <v>9484.113636363636</v>
      </c>
      <c r="R1543">
        <f t="shared" si="149"/>
        <v>2.0036943450948987</v>
      </c>
    </row>
    <row r="1544" spans="1:18" x14ac:dyDescent="0.25">
      <c r="A1544" t="s">
        <v>899</v>
      </c>
      <c r="B1544" t="s">
        <v>900</v>
      </c>
      <c r="C1544" t="s">
        <v>20</v>
      </c>
      <c r="D1544">
        <v>1845</v>
      </c>
      <c r="E1544" s="1">
        <v>44469</v>
      </c>
      <c r="F1544" s="2">
        <f t="shared" si="144"/>
        <v>2021</v>
      </c>
      <c r="G1544">
        <v>44</v>
      </c>
      <c r="H1544" s="3">
        <v>458468</v>
      </c>
      <c r="I1544">
        <v>96297</v>
      </c>
      <c r="J1544">
        <v>458468</v>
      </c>
      <c r="K1544">
        <v>406175</v>
      </c>
      <c r="L1544">
        <v>392749</v>
      </c>
      <c r="M1544" t="str">
        <f t="shared" si="145"/>
        <v>Medium</v>
      </c>
      <c r="N1544">
        <f>VLOOKUP(C1544,Lookup!$A$2:$D$5,MATCH(M1544,Lookup!$A$1:$D$1,0),FALSE)</f>
        <v>8.5000000000000006E-2</v>
      </c>
      <c r="O1544">
        <f t="shared" si="146"/>
        <v>33383.665000000001</v>
      </c>
      <c r="P1544" s="7">
        <f t="shared" si="147"/>
        <v>0.8859396948096705</v>
      </c>
      <c r="Q1544" s="7">
        <f t="shared" si="148"/>
        <v>10419.727272727272</v>
      </c>
      <c r="R1544">
        <f t="shared" si="149"/>
        <v>2.8845544669825798</v>
      </c>
    </row>
    <row r="1545" spans="1:18" x14ac:dyDescent="0.25">
      <c r="A1545" t="s">
        <v>901</v>
      </c>
      <c r="B1545" t="s">
        <v>902</v>
      </c>
      <c r="C1545" t="s">
        <v>8</v>
      </c>
      <c r="D1545">
        <v>60031</v>
      </c>
      <c r="E1545" s="1">
        <v>43738</v>
      </c>
      <c r="F1545" s="2">
        <f t="shared" si="144"/>
        <v>2019</v>
      </c>
      <c r="G1545">
        <v>39</v>
      </c>
      <c r="H1545" s="3">
        <v>240838</v>
      </c>
      <c r="I1545">
        <v>22024</v>
      </c>
      <c r="J1545">
        <v>240838</v>
      </c>
      <c r="K1545">
        <v>185031</v>
      </c>
      <c r="L1545">
        <v>178930</v>
      </c>
      <c r="M1545" t="str">
        <f t="shared" si="145"/>
        <v>Medium</v>
      </c>
      <c r="N1545">
        <f>VLOOKUP(C1545,Lookup!$A$2:$D$5,MATCH(M1545,Lookup!$A$1:$D$1,0),FALSE)</f>
        <v>0.08</v>
      </c>
      <c r="O1545">
        <f t="shared" si="146"/>
        <v>14314.4</v>
      </c>
      <c r="P1545" s="7">
        <f t="shared" si="147"/>
        <v>0.7682799226035758</v>
      </c>
      <c r="Q1545" s="7">
        <f t="shared" si="148"/>
        <v>6175.333333333333</v>
      </c>
      <c r="R1545">
        <f t="shared" si="149"/>
        <v>1.5385905102554072</v>
      </c>
    </row>
    <row r="1546" spans="1:18" x14ac:dyDescent="0.25">
      <c r="A1546" t="s">
        <v>901</v>
      </c>
      <c r="B1546" t="s">
        <v>902</v>
      </c>
      <c r="C1546" t="s">
        <v>8</v>
      </c>
      <c r="D1546">
        <v>60031</v>
      </c>
      <c r="E1546" s="1">
        <v>44104</v>
      </c>
      <c r="F1546" s="2">
        <f t="shared" si="144"/>
        <v>2020</v>
      </c>
      <c r="G1546">
        <v>39</v>
      </c>
      <c r="H1546" s="3">
        <v>278005</v>
      </c>
      <c r="I1546">
        <v>40259</v>
      </c>
      <c r="J1546">
        <v>278005</v>
      </c>
      <c r="K1546">
        <v>220312</v>
      </c>
      <c r="L1546">
        <v>209808</v>
      </c>
      <c r="M1546" t="str">
        <f t="shared" si="145"/>
        <v>Medium</v>
      </c>
      <c r="N1546">
        <f>VLOOKUP(C1546,Lookup!$A$2:$D$5,MATCH(M1546,Lookup!$A$1:$D$1,0),FALSE)</f>
        <v>0.08</v>
      </c>
      <c r="O1546">
        <f t="shared" si="146"/>
        <v>16784.64</v>
      </c>
      <c r="P1546" s="7">
        <f t="shared" si="147"/>
        <v>0.79247495548641211</v>
      </c>
      <c r="Q1546" s="7">
        <f t="shared" si="148"/>
        <v>7128.333333333333</v>
      </c>
      <c r="R1546">
        <f t="shared" si="149"/>
        <v>2.398562018607489</v>
      </c>
    </row>
    <row r="1547" spans="1:18" x14ac:dyDescent="0.25">
      <c r="A1547" t="s">
        <v>901</v>
      </c>
      <c r="B1547" t="s">
        <v>902</v>
      </c>
      <c r="C1547" t="s">
        <v>8</v>
      </c>
      <c r="D1547">
        <v>60031</v>
      </c>
      <c r="E1547" s="1">
        <v>44469</v>
      </c>
      <c r="F1547" s="2">
        <f t="shared" si="144"/>
        <v>2021</v>
      </c>
      <c r="G1547">
        <v>35</v>
      </c>
      <c r="H1547" s="3">
        <v>291592</v>
      </c>
      <c r="I1547">
        <v>62832</v>
      </c>
      <c r="J1547">
        <v>291592</v>
      </c>
      <c r="K1547">
        <v>232092</v>
      </c>
      <c r="L1547">
        <v>220018</v>
      </c>
      <c r="M1547" t="str">
        <f t="shared" si="145"/>
        <v>Medium</v>
      </c>
      <c r="N1547">
        <f>VLOOKUP(C1547,Lookup!$A$2:$D$5,MATCH(M1547,Lookup!$A$1:$D$1,0),FALSE)</f>
        <v>0.08</v>
      </c>
      <c r="O1547">
        <f t="shared" si="146"/>
        <v>17601.439999999999</v>
      </c>
      <c r="P1547" s="7">
        <f t="shared" si="147"/>
        <v>0.79594776262723255</v>
      </c>
      <c r="Q1547" s="7">
        <f t="shared" si="148"/>
        <v>8331.2000000000007</v>
      </c>
      <c r="R1547">
        <f t="shared" si="149"/>
        <v>3.5697079329873014</v>
      </c>
    </row>
    <row r="1548" spans="1:18" x14ac:dyDescent="0.25">
      <c r="A1548" t="s">
        <v>903</v>
      </c>
      <c r="B1548" t="s">
        <v>707</v>
      </c>
      <c r="C1548" t="s">
        <v>8</v>
      </c>
      <c r="D1548">
        <v>61101</v>
      </c>
      <c r="E1548" s="1">
        <v>43738</v>
      </c>
      <c r="F1548" s="2">
        <f t="shared" si="144"/>
        <v>2019</v>
      </c>
      <c r="G1548">
        <v>76</v>
      </c>
      <c r="H1548" s="3">
        <v>285868</v>
      </c>
      <c r="I1548">
        <v>12523</v>
      </c>
      <c r="J1548">
        <v>285868</v>
      </c>
      <c r="K1548">
        <v>257571</v>
      </c>
      <c r="L1548">
        <v>244307</v>
      </c>
      <c r="M1548" t="str">
        <f t="shared" si="145"/>
        <v>Medium</v>
      </c>
      <c r="N1548">
        <f>VLOOKUP(C1548,Lookup!$A$2:$D$5,MATCH(M1548,Lookup!$A$1:$D$1,0),FALSE)</f>
        <v>0.08</v>
      </c>
      <c r="O1548">
        <f t="shared" si="146"/>
        <v>19544.560000000001</v>
      </c>
      <c r="P1548" s="7">
        <f t="shared" si="147"/>
        <v>0.9010137546000252</v>
      </c>
      <c r="Q1548" s="7">
        <f t="shared" si="148"/>
        <v>3761.4210526315787</v>
      </c>
      <c r="R1548">
        <f t="shared" si="149"/>
        <v>0.64074095298128986</v>
      </c>
    </row>
    <row r="1549" spans="1:18" x14ac:dyDescent="0.25">
      <c r="A1549" t="s">
        <v>903</v>
      </c>
      <c r="B1549" t="s">
        <v>707</v>
      </c>
      <c r="C1549" t="s">
        <v>8</v>
      </c>
      <c r="D1549">
        <v>61101</v>
      </c>
      <c r="E1549" s="1">
        <v>44104</v>
      </c>
      <c r="F1549" s="2">
        <f t="shared" si="144"/>
        <v>2020</v>
      </c>
      <c r="G1549">
        <v>78</v>
      </c>
      <c r="H1549" s="3">
        <v>338535</v>
      </c>
      <c r="I1549">
        <v>7839</v>
      </c>
      <c r="J1549">
        <v>338535</v>
      </c>
      <c r="K1549">
        <v>309257</v>
      </c>
      <c r="L1549">
        <v>283697</v>
      </c>
      <c r="M1549" t="str">
        <f t="shared" si="145"/>
        <v>Medium</v>
      </c>
      <c r="N1549">
        <f>VLOOKUP(C1549,Lookup!$A$2:$D$5,MATCH(M1549,Lookup!$A$1:$D$1,0),FALSE)</f>
        <v>0.08</v>
      </c>
      <c r="O1549">
        <f t="shared" si="146"/>
        <v>22695.760000000002</v>
      </c>
      <c r="P1549" s="7">
        <f t="shared" si="147"/>
        <v>0.91351558923006482</v>
      </c>
      <c r="Q1549" s="7">
        <f t="shared" si="148"/>
        <v>4340.1923076923076</v>
      </c>
      <c r="R1549">
        <f t="shared" si="149"/>
        <v>0.3453949107674737</v>
      </c>
    </row>
    <row r="1550" spans="1:18" x14ac:dyDescent="0.25">
      <c r="A1550" t="s">
        <v>903</v>
      </c>
      <c r="B1550" t="s">
        <v>707</v>
      </c>
      <c r="C1550" t="s">
        <v>8</v>
      </c>
      <c r="D1550">
        <v>61101</v>
      </c>
      <c r="E1550" s="1">
        <v>44469</v>
      </c>
      <c r="F1550" s="2">
        <f t="shared" si="144"/>
        <v>2021</v>
      </c>
      <c r="G1550">
        <v>71</v>
      </c>
      <c r="H1550" s="3">
        <v>397927</v>
      </c>
      <c r="I1550">
        <v>79775</v>
      </c>
      <c r="J1550">
        <v>397927</v>
      </c>
      <c r="K1550">
        <v>364917</v>
      </c>
      <c r="L1550">
        <v>324612</v>
      </c>
      <c r="M1550" t="str">
        <f t="shared" si="145"/>
        <v>Medium</v>
      </c>
      <c r="N1550">
        <f>VLOOKUP(C1550,Lookup!$A$2:$D$5,MATCH(M1550,Lookup!$A$1:$D$1,0),FALSE)</f>
        <v>0.08</v>
      </c>
      <c r="O1550">
        <f t="shared" si="146"/>
        <v>25968.959999999999</v>
      </c>
      <c r="P1550" s="7">
        <f t="shared" si="147"/>
        <v>0.91704508615901914</v>
      </c>
      <c r="Q1550" s="7">
        <f t="shared" si="148"/>
        <v>5604.6056338028166</v>
      </c>
      <c r="R1550">
        <f t="shared" si="149"/>
        <v>3.0719366505243184</v>
      </c>
    </row>
    <row r="1551" spans="1:18" x14ac:dyDescent="0.25">
      <c r="A1551" t="s">
        <v>904</v>
      </c>
      <c r="B1551" t="s">
        <v>905</v>
      </c>
      <c r="C1551" t="s">
        <v>20</v>
      </c>
      <c r="D1551">
        <v>2062</v>
      </c>
      <c r="E1551" s="1">
        <v>43738</v>
      </c>
      <c r="F1551" s="2">
        <f t="shared" si="144"/>
        <v>2019</v>
      </c>
      <c r="G1551">
        <v>53</v>
      </c>
      <c r="H1551" s="3">
        <v>571595</v>
      </c>
      <c r="I1551">
        <v>7559</v>
      </c>
      <c r="J1551">
        <v>571595</v>
      </c>
      <c r="K1551">
        <v>494370</v>
      </c>
      <c r="L1551">
        <v>462815</v>
      </c>
      <c r="M1551" t="str">
        <f t="shared" si="145"/>
        <v>Medium</v>
      </c>
      <c r="N1551">
        <f>VLOOKUP(C1551,Lookup!$A$2:$D$5,MATCH(M1551,Lookup!$A$1:$D$1,0),FALSE)</f>
        <v>8.5000000000000006E-2</v>
      </c>
      <c r="O1551">
        <f t="shared" si="146"/>
        <v>39339.275000000001</v>
      </c>
      <c r="P1551" s="7">
        <f t="shared" si="147"/>
        <v>0.86489559915674563</v>
      </c>
      <c r="Q1551" s="7">
        <f t="shared" si="148"/>
        <v>10784.811320754718</v>
      </c>
      <c r="R1551">
        <f t="shared" si="149"/>
        <v>0.19214894021305678</v>
      </c>
    </row>
    <row r="1552" spans="1:18" x14ac:dyDescent="0.25">
      <c r="A1552" t="s">
        <v>904</v>
      </c>
      <c r="B1552" t="s">
        <v>905</v>
      </c>
      <c r="C1552" t="s">
        <v>20</v>
      </c>
      <c r="D1552">
        <v>2062</v>
      </c>
      <c r="E1552" s="1">
        <v>44104</v>
      </c>
      <c r="F1552" s="2">
        <f t="shared" si="144"/>
        <v>2020</v>
      </c>
      <c r="G1552">
        <v>52</v>
      </c>
      <c r="H1552" s="3">
        <v>628903</v>
      </c>
      <c r="I1552">
        <v>39679</v>
      </c>
      <c r="J1552">
        <v>628903</v>
      </c>
      <c r="K1552">
        <v>546885</v>
      </c>
      <c r="L1552">
        <v>510516</v>
      </c>
      <c r="M1552" t="str">
        <f t="shared" si="145"/>
        <v>Medium</v>
      </c>
      <c r="N1552">
        <f>VLOOKUP(C1552,Lookup!$A$2:$D$5,MATCH(M1552,Lookup!$A$1:$D$1,0),FALSE)</f>
        <v>8.5000000000000006E-2</v>
      </c>
      <c r="O1552">
        <f t="shared" si="146"/>
        <v>43393.86</v>
      </c>
      <c r="P1552" s="7">
        <f t="shared" si="147"/>
        <v>0.86958561177160865</v>
      </c>
      <c r="Q1552" s="7">
        <f t="shared" si="148"/>
        <v>12094.288461538461</v>
      </c>
      <c r="R1552">
        <f t="shared" si="149"/>
        <v>0.91439203610833419</v>
      </c>
    </row>
    <row r="1553" spans="1:18" x14ac:dyDescent="0.25">
      <c r="A1553" t="s">
        <v>904</v>
      </c>
      <c r="B1553" t="s">
        <v>905</v>
      </c>
      <c r="C1553" t="s">
        <v>20</v>
      </c>
      <c r="D1553">
        <v>2062</v>
      </c>
      <c r="E1553" s="1">
        <v>44469</v>
      </c>
      <c r="F1553" s="2">
        <f t="shared" si="144"/>
        <v>2021</v>
      </c>
      <c r="G1553">
        <v>51</v>
      </c>
      <c r="H1553" s="3">
        <v>690126</v>
      </c>
      <c r="I1553">
        <v>108007</v>
      </c>
      <c r="J1553">
        <v>690126</v>
      </c>
      <c r="K1553">
        <v>598422</v>
      </c>
      <c r="L1553">
        <v>573181</v>
      </c>
      <c r="M1553" t="str">
        <f t="shared" si="145"/>
        <v>Medium</v>
      </c>
      <c r="N1553">
        <f>VLOOKUP(C1553,Lookup!$A$2:$D$5,MATCH(M1553,Lookup!$A$1:$D$1,0),FALSE)</f>
        <v>8.5000000000000006E-2</v>
      </c>
      <c r="O1553">
        <f t="shared" si="146"/>
        <v>48720.385000000002</v>
      </c>
      <c r="P1553" s="7">
        <f t="shared" si="147"/>
        <v>0.86711991723250537</v>
      </c>
      <c r="Q1553" s="7">
        <f t="shared" si="148"/>
        <v>13531.882352941177</v>
      </c>
      <c r="R1553">
        <f t="shared" si="149"/>
        <v>2.2168749282256286</v>
      </c>
    </row>
    <row r="1554" spans="1:18" x14ac:dyDescent="0.25">
      <c r="A1554" t="s">
        <v>906</v>
      </c>
      <c r="B1554" t="s">
        <v>907</v>
      </c>
      <c r="C1554" t="s">
        <v>5</v>
      </c>
      <c r="D1554">
        <v>95361</v>
      </c>
      <c r="E1554" s="1">
        <v>43738</v>
      </c>
      <c r="F1554" s="2">
        <f t="shared" si="144"/>
        <v>2019</v>
      </c>
      <c r="G1554">
        <v>182</v>
      </c>
      <c r="H1554" s="3">
        <v>1101057</v>
      </c>
      <c r="I1554">
        <v>106009</v>
      </c>
      <c r="J1554">
        <v>1101057</v>
      </c>
      <c r="K1554">
        <v>991950</v>
      </c>
      <c r="L1554">
        <v>978132</v>
      </c>
      <c r="M1554" t="str">
        <f t="shared" si="145"/>
        <v>Large</v>
      </c>
      <c r="N1554">
        <f>VLOOKUP(C1554,Lookup!$A$2:$D$5,MATCH(M1554,Lookup!$A$1:$D$1,0),FALSE)</f>
        <v>0.08</v>
      </c>
      <c r="O1554">
        <f t="shared" si="146"/>
        <v>78250.559999999998</v>
      </c>
      <c r="P1554" s="7">
        <f t="shared" si="147"/>
        <v>0.90090703751031964</v>
      </c>
      <c r="Q1554" s="7">
        <f t="shared" si="148"/>
        <v>6049.7637362637361</v>
      </c>
      <c r="R1554">
        <f t="shared" si="149"/>
        <v>1.3547379085849354</v>
      </c>
    </row>
    <row r="1555" spans="1:18" x14ac:dyDescent="0.25">
      <c r="A1555" t="s">
        <v>906</v>
      </c>
      <c r="B1555" t="s">
        <v>907</v>
      </c>
      <c r="C1555" t="s">
        <v>5</v>
      </c>
      <c r="D1555">
        <v>95361</v>
      </c>
      <c r="E1555" s="1">
        <v>44104</v>
      </c>
      <c r="F1555" s="2">
        <f t="shared" si="144"/>
        <v>2020</v>
      </c>
      <c r="G1555">
        <v>187</v>
      </c>
      <c r="H1555" s="3">
        <v>1448980</v>
      </c>
      <c r="I1555">
        <v>120890</v>
      </c>
      <c r="J1555">
        <v>1448980</v>
      </c>
      <c r="K1555">
        <v>1325335</v>
      </c>
      <c r="L1555">
        <v>1311454</v>
      </c>
      <c r="M1555" t="str">
        <f t="shared" si="145"/>
        <v>Large</v>
      </c>
      <c r="N1555">
        <f>VLOOKUP(C1555,Lookup!$A$2:$D$5,MATCH(M1555,Lookup!$A$1:$D$1,0),FALSE)</f>
        <v>0.08</v>
      </c>
      <c r="O1555">
        <f t="shared" si="146"/>
        <v>104916.32</v>
      </c>
      <c r="P1555" s="7">
        <f t="shared" si="147"/>
        <v>0.9146675592485749</v>
      </c>
      <c r="Q1555" s="7">
        <f t="shared" si="148"/>
        <v>7748.5561497326207</v>
      </c>
      <c r="R1555">
        <f t="shared" si="149"/>
        <v>1.1522516230077455</v>
      </c>
    </row>
    <row r="1556" spans="1:18" x14ac:dyDescent="0.25">
      <c r="A1556" t="s">
        <v>906</v>
      </c>
      <c r="B1556" t="s">
        <v>907</v>
      </c>
      <c r="C1556" t="s">
        <v>5</v>
      </c>
      <c r="D1556">
        <v>95361</v>
      </c>
      <c r="E1556" s="1">
        <v>44469</v>
      </c>
      <c r="F1556" s="2">
        <f t="shared" si="144"/>
        <v>2021</v>
      </c>
      <c r="G1556">
        <v>196</v>
      </c>
      <c r="H1556" s="3">
        <v>1856700</v>
      </c>
      <c r="I1556">
        <v>623408</v>
      </c>
      <c r="J1556">
        <v>1856700</v>
      </c>
      <c r="K1556">
        <v>1717076</v>
      </c>
      <c r="L1556">
        <v>1701287</v>
      </c>
      <c r="M1556" t="str">
        <f t="shared" si="145"/>
        <v>Large</v>
      </c>
      <c r="N1556">
        <f>VLOOKUP(C1556,Lookup!$A$2:$D$5,MATCH(M1556,Lookup!$A$1:$D$1,0),FALSE)</f>
        <v>0.08</v>
      </c>
      <c r="O1556">
        <f t="shared" si="146"/>
        <v>136102.96</v>
      </c>
      <c r="P1556" s="7">
        <f t="shared" si="147"/>
        <v>0.92479991382560456</v>
      </c>
      <c r="Q1556" s="7">
        <f t="shared" si="148"/>
        <v>9472.9591836734689</v>
      </c>
      <c r="R1556">
        <f t="shared" si="149"/>
        <v>4.5804147095698733</v>
      </c>
    </row>
    <row r="1557" spans="1:18" x14ac:dyDescent="0.25">
      <c r="A1557" t="s">
        <v>908</v>
      </c>
      <c r="B1557" t="s">
        <v>907</v>
      </c>
      <c r="C1557" t="s">
        <v>8</v>
      </c>
      <c r="D1557">
        <v>62268</v>
      </c>
      <c r="E1557" s="1">
        <v>43738</v>
      </c>
      <c r="F1557" s="2">
        <f t="shared" si="144"/>
        <v>2019</v>
      </c>
      <c r="G1557">
        <v>5</v>
      </c>
      <c r="H1557" s="3">
        <v>20986</v>
      </c>
      <c r="I1557">
        <v>4482</v>
      </c>
      <c r="J1557">
        <v>20986</v>
      </c>
      <c r="K1557">
        <v>18368</v>
      </c>
      <c r="L1557">
        <v>18248</v>
      </c>
      <c r="M1557" t="str">
        <f t="shared" si="145"/>
        <v>Small</v>
      </c>
      <c r="N1557">
        <f>VLOOKUP(C1557,Lookup!$A$2:$D$5,MATCH(M1557,Lookup!$A$1:$D$1,0),FALSE)</f>
        <v>0.09</v>
      </c>
      <c r="O1557">
        <f t="shared" si="146"/>
        <v>1642.32</v>
      </c>
      <c r="P1557" s="7">
        <f t="shared" si="147"/>
        <v>0.87525016677785195</v>
      </c>
      <c r="Q1557" s="7">
        <f t="shared" si="148"/>
        <v>4197.2</v>
      </c>
      <c r="R1557">
        <f t="shared" si="149"/>
        <v>2.7290661990355107</v>
      </c>
    </row>
    <row r="1558" spans="1:18" x14ac:dyDescent="0.25">
      <c r="A1558" t="s">
        <v>908</v>
      </c>
      <c r="B1558" t="s">
        <v>907</v>
      </c>
      <c r="C1558" t="s">
        <v>8</v>
      </c>
      <c r="D1558">
        <v>62268</v>
      </c>
      <c r="E1558" s="1">
        <v>44104</v>
      </c>
      <c r="F1558" s="2">
        <f t="shared" si="144"/>
        <v>2020</v>
      </c>
      <c r="G1558">
        <v>5</v>
      </c>
      <c r="H1558" s="3">
        <v>23414</v>
      </c>
      <c r="I1558">
        <v>3873</v>
      </c>
      <c r="J1558">
        <v>23414</v>
      </c>
      <c r="K1558">
        <v>20656</v>
      </c>
      <c r="L1558">
        <v>20556</v>
      </c>
      <c r="M1558" t="str">
        <f t="shared" si="145"/>
        <v>Small</v>
      </c>
      <c r="N1558">
        <f>VLOOKUP(C1558,Lookup!$A$2:$D$5,MATCH(M1558,Lookup!$A$1:$D$1,0),FALSE)</f>
        <v>0.09</v>
      </c>
      <c r="O1558">
        <f t="shared" si="146"/>
        <v>1850.04</v>
      </c>
      <c r="P1558" s="7">
        <f t="shared" si="147"/>
        <v>0.88220722644571625</v>
      </c>
      <c r="Q1558" s="7">
        <f t="shared" si="148"/>
        <v>4682.8</v>
      </c>
      <c r="R1558">
        <f t="shared" si="149"/>
        <v>2.0934682493351495</v>
      </c>
    </row>
    <row r="1559" spans="1:18" x14ac:dyDescent="0.25">
      <c r="A1559" t="s">
        <v>908</v>
      </c>
      <c r="B1559" t="s">
        <v>907</v>
      </c>
      <c r="C1559" t="s">
        <v>8</v>
      </c>
      <c r="D1559">
        <v>62268</v>
      </c>
      <c r="E1559" s="1">
        <v>44469</v>
      </c>
      <c r="F1559" s="2">
        <f t="shared" si="144"/>
        <v>2021</v>
      </c>
      <c r="G1559">
        <v>5</v>
      </c>
      <c r="H1559" s="3">
        <v>25010</v>
      </c>
      <c r="I1559">
        <v>4458</v>
      </c>
      <c r="J1559">
        <v>25010</v>
      </c>
      <c r="K1559">
        <v>22166</v>
      </c>
      <c r="L1559">
        <v>22087</v>
      </c>
      <c r="M1559" t="str">
        <f t="shared" si="145"/>
        <v>Small</v>
      </c>
      <c r="N1559">
        <f>VLOOKUP(C1559,Lookup!$A$2:$D$5,MATCH(M1559,Lookup!$A$1:$D$1,0),FALSE)</f>
        <v>0.09</v>
      </c>
      <c r="O1559">
        <f t="shared" si="146"/>
        <v>1987.83</v>
      </c>
      <c r="P1559" s="7">
        <f t="shared" si="147"/>
        <v>0.88628548580567768</v>
      </c>
      <c r="Q1559" s="7">
        <f t="shared" si="148"/>
        <v>5002</v>
      </c>
      <c r="R1559">
        <f t="shared" si="149"/>
        <v>2.2426465039766983</v>
      </c>
    </row>
    <row r="1560" spans="1:18" x14ac:dyDescent="0.25">
      <c r="A1560" t="s">
        <v>909</v>
      </c>
      <c r="B1560" t="s">
        <v>754</v>
      </c>
      <c r="C1560" t="s">
        <v>8</v>
      </c>
      <c r="D1560">
        <v>60451</v>
      </c>
      <c r="E1560" s="1">
        <v>43738</v>
      </c>
      <c r="F1560" s="2">
        <f t="shared" si="144"/>
        <v>2019</v>
      </c>
      <c r="G1560">
        <v>150</v>
      </c>
      <c r="H1560" s="3">
        <v>1655908</v>
      </c>
      <c r="I1560">
        <v>131073</v>
      </c>
      <c r="J1560">
        <v>1655908</v>
      </c>
      <c r="K1560">
        <v>1486915</v>
      </c>
      <c r="L1560">
        <v>1450872</v>
      </c>
      <c r="M1560" t="str">
        <f t="shared" si="145"/>
        <v>Large</v>
      </c>
      <c r="N1560">
        <f>VLOOKUP(C1560,Lookup!$A$2:$D$5,MATCH(M1560,Lookup!$A$1:$D$1,0),FALSE)</f>
        <v>7.4999999999999997E-2</v>
      </c>
      <c r="O1560">
        <f t="shared" si="146"/>
        <v>108815.4</v>
      </c>
      <c r="P1560" s="7">
        <f t="shared" si="147"/>
        <v>0.89794541725748045</v>
      </c>
      <c r="Q1560" s="7">
        <f t="shared" si="148"/>
        <v>11039.386666666667</v>
      </c>
      <c r="R1560">
        <f t="shared" si="149"/>
        <v>1.2045445773300472</v>
      </c>
    </row>
    <row r="1561" spans="1:18" x14ac:dyDescent="0.25">
      <c r="A1561" t="s">
        <v>909</v>
      </c>
      <c r="B1561" t="s">
        <v>754</v>
      </c>
      <c r="C1561" t="s">
        <v>8</v>
      </c>
      <c r="D1561">
        <v>60451</v>
      </c>
      <c r="E1561" s="1">
        <v>44104</v>
      </c>
      <c r="F1561" s="2">
        <f t="shared" si="144"/>
        <v>2020</v>
      </c>
      <c r="G1561">
        <v>152</v>
      </c>
      <c r="H1561" s="3">
        <v>1994257</v>
      </c>
      <c r="I1561">
        <v>314681</v>
      </c>
      <c r="J1561">
        <v>1994257</v>
      </c>
      <c r="K1561">
        <v>1823603</v>
      </c>
      <c r="L1561">
        <v>1779323</v>
      </c>
      <c r="M1561" t="str">
        <f t="shared" si="145"/>
        <v>Large</v>
      </c>
      <c r="N1561">
        <f>VLOOKUP(C1561,Lookup!$A$2:$D$5,MATCH(M1561,Lookup!$A$1:$D$1,0),FALSE)</f>
        <v>7.4999999999999997E-2</v>
      </c>
      <c r="O1561">
        <f t="shared" si="146"/>
        <v>133449.22500000001</v>
      </c>
      <c r="P1561" s="7">
        <f t="shared" si="147"/>
        <v>0.91442727792857192</v>
      </c>
      <c r="Q1561" s="7">
        <f t="shared" si="148"/>
        <v>13120.111842105263</v>
      </c>
      <c r="R1561">
        <f t="shared" si="149"/>
        <v>2.3580579055442246</v>
      </c>
    </row>
    <row r="1562" spans="1:18" x14ac:dyDescent="0.25">
      <c r="A1562" t="s">
        <v>909</v>
      </c>
      <c r="B1562" t="s">
        <v>754</v>
      </c>
      <c r="C1562" t="s">
        <v>8</v>
      </c>
      <c r="D1562">
        <v>60451</v>
      </c>
      <c r="E1562" s="1">
        <v>44469</v>
      </c>
      <c r="F1562" s="2">
        <f t="shared" si="144"/>
        <v>2021</v>
      </c>
      <c r="G1562">
        <v>136</v>
      </c>
      <c r="H1562" s="3">
        <v>2133923</v>
      </c>
      <c r="I1562">
        <v>147257</v>
      </c>
      <c r="J1562">
        <v>2133923</v>
      </c>
      <c r="K1562">
        <v>1945299</v>
      </c>
      <c r="L1562">
        <v>1907867</v>
      </c>
      <c r="M1562" t="str">
        <f t="shared" si="145"/>
        <v>Large</v>
      </c>
      <c r="N1562">
        <f>VLOOKUP(C1562,Lookup!$A$2:$D$5,MATCH(M1562,Lookup!$A$1:$D$1,0),FALSE)</f>
        <v>7.4999999999999997E-2</v>
      </c>
      <c r="O1562">
        <f t="shared" si="146"/>
        <v>143090.02499999999</v>
      </c>
      <c r="P1562" s="7">
        <f t="shared" si="147"/>
        <v>0.91160693239634227</v>
      </c>
      <c r="Q1562" s="7">
        <f t="shared" si="148"/>
        <v>15690.610294117647</v>
      </c>
      <c r="R1562">
        <f t="shared" si="149"/>
        <v>1.0291213520998408</v>
      </c>
    </row>
    <row r="1563" spans="1:18" x14ac:dyDescent="0.25">
      <c r="A1563" t="s">
        <v>910</v>
      </c>
      <c r="B1563" t="s">
        <v>911</v>
      </c>
      <c r="C1563" t="s">
        <v>8</v>
      </c>
      <c r="D1563">
        <v>60506</v>
      </c>
      <c r="E1563" s="1">
        <v>43738</v>
      </c>
      <c r="F1563" s="2">
        <f t="shared" si="144"/>
        <v>2019</v>
      </c>
      <c r="G1563">
        <v>532</v>
      </c>
      <c r="H1563" s="3">
        <v>2611102</v>
      </c>
      <c r="I1563">
        <v>54037</v>
      </c>
      <c r="J1563">
        <v>2611102</v>
      </c>
      <c r="K1563">
        <v>2253485</v>
      </c>
      <c r="L1563">
        <v>2086762</v>
      </c>
      <c r="M1563" t="str">
        <f t="shared" si="145"/>
        <v>Large</v>
      </c>
      <c r="N1563">
        <f>VLOOKUP(C1563,Lookup!$A$2:$D$5,MATCH(M1563,Lookup!$A$1:$D$1,0),FALSE)</f>
        <v>7.4999999999999997E-2</v>
      </c>
      <c r="O1563">
        <f t="shared" si="146"/>
        <v>156507.15</v>
      </c>
      <c r="P1563" s="7">
        <f t="shared" si="147"/>
        <v>0.86303981996873347</v>
      </c>
      <c r="Q1563" s="7">
        <f t="shared" si="148"/>
        <v>4908.0864661654132</v>
      </c>
      <c r="R1563">
        <f t="shared" si="149"/>
        <v>0.34526857079692524</v>
      </c>
    </row>
    <row r="1564" spans="1:18" x14ac:dyDescent="0.25">
      <c r="A1564" t="s">
        <v>910</v>
      </c>
      <c r="B1564" t="s">
        <v>911</v>
      </c>
      <c r="C1564" t="s">
        <v>8</v>
      </c>
      <c r="D1564">
        <v>60506</v>
      </c>
      <c r="E1564" s="1">
        <v>44104</v>
      </c>
      <c r="F1564" s="2">
        <f t="shared" si="144"/>
        <v>2020</v>
      </c>
      <c r="G1564">
        <v>527</v>
      </c>
      <c r="H1564" s="3">
        <v>2981114</v>
      </c>
      <c r="I1564">
        <v>313140</v>
      </c>
      <c r="J1564">
        <v>2981114</v>
      </c>
      <c r="K1564">
        <v>2629455</v>
      </c>
      <c r="L1564">
        <v>2519101</v>
      </c>
      <c r="M1564" t="str">
        <f t="shared" si="145"/>
        <v>Large</v>
      </c>
      <c r="N1564">
        <f>VLOOKUP(C1564,Lookup!$A$2:$D$5,MATCH(M1564,Lookup!$A$1:$D$1,0),FALSE)</f>
        <v>7.4999999999999997E-2</v>
      </c>
      <c r="O1564">
        <f t="shared" si="146"/>
        <v>188932.57499999998</v>
      </c>
      <c r="P1564" s="7">
        <f t="shared" si="147"/>
        <v>0.88203772146922255</v>
      </c>
      <c r="Q1564" s="7">
        <f t="shared" si="148"/>
        <v>5656.7628083491463</v>
      </c>
      <c r="R1564">
        <f t="shared" si="149"/>
        <v>1.6574166736466702</v>
      </c>
    </row>
    <row r="1565" spans="1:18" x14ac:dyDescent="0.25">
      <c r="A1565" t="s">
        <v>910</v>
      </c>
      <c r="B1565" t="s">
        <v>911</v>
      </c>
      <c r="C1565" t="s">
        <v>8</v>
      </c>
      <c r="D1565">
        <v>60506</v>
      </c>
      <c r="E1565" s="1">
        <v>44469</v>
      </c>
      <c r="F1565" s="2">
        <f t="shared" si="144"/>
        <v>2021</v>
      </c>
      <c r="G1565">
        <v>523</v>
      </c>
      <c r="H1565" s="3">
        <v>3276400</v>
      </c>
      <c r="I1565">
        <v>519253</v>
      </c>
      <c r="J1565">
        <v>3276400</v>
      </c>
      <c r="K1565">
        <v>2893362</v>
      </c>
      <c r="L1565">
        <v>2806168</v>
      </c>
      <c r="M1565" t="str">
        <f t="shared" si="145"/>
        <v>Large</v>
      </c>
      <c r="N1565">
        <f>VLOOKUP(C1565,Lookup!$A$2:$D$5,MATCH(M1565,Lookup!$A$1:$D$1,0),FALSE)</f>
        <v>7.4999999999999997E-2</v>
      </c>
      <c r="O1565">
        <f t="shared" si="146"/>
        <v>210462.6</v>
      </c>
      <c r="P1565" s="7">
        <f t="shared" si="147"/>
        <v>0.88309180808204124</v>
      </c>
      <c r="Q1565" s="7">
        <f t="shared" si="148"/>
        <v>6264.6271510516253</v>
      </c>
      <c r="R1565">
        <f t="shared" si="149"/>
        <v>2.4671984476101692</v>
      </c>
    </row>
    <row r="1566" spans="1:18" x14ac:dyDescent="0.25">
      <c r="A1566" t="s">
        <v>912</v>
      </c>
      <c r="B1566" t="s">
        <v>26</v>
      </c>
      <c r="C1566" t="s">
        <v>20</v>
      </c>
      <c r="D1566">
        <v>2110</v>
      </c>
      <c r="E1566" s="1">
        <v>43738</v>
      </c>
      <c r="F1566" s="2">
        <f t="shared" si="144"/>
        <v>2019</v>
      </c>
      <c r="G1566">
        <v>95</v>
      </c>
      <c r="H1566" s="3">
        <v>650210</v>
      </c>
      <c r="I1566">
        <v>17854</v>
      </c>
      <c r="J1566">
        <v>650210</v>
      </c>
      <c r="K1566">
        <v>604568</v>
      </c>
      <c r="L1566">
        <v>365383</v>
      </c>
      <c r="M1566" t="str">
        <f t="shared" si="145"/>
        <v>Medium</v>
      </c>
      <c r="N1566">
        <f>VLOOKUP(C1566,Lookup!$A$2:$D$5,MATCH(M1566,Lookup!$A$1:$D$1,0),FALSE)</f>
        <v>8.5000000000000006E-2</v>
      </c>
      <c r="O1566">
        <f t="shared" si="146"/>
        <v>31057.555000000004</v>
      </c>
      <c r="P1566" s="7">
        <f t="shared" si="147"/>
        <v>0.92980421709909111</v>
      </c>
      <c r="Q1566" s="7">
        <f t="shared" si="148"/>
        <v>6844.3157894736842</v>
      </c>
      <c r="R1566">
        <f t="shared" si="149"/>
        <v>0.57486817619738573</v>
      </c>
    </row>
    <row r="1567" spans="1:18" x14ac:dyDescent="0.25">
      <c r="A1567" t="s">
        <v>912</v>
      </c>
      <c r="B1567" t="s">
        <v>26</v>
      </c>
      <c r="C1567" t="s">
        <v>20</v>
      </c>
      <c r="D1567">
        <v>2110</v>
      </c>
      <c r="E1567" s="1">
        <v>44104</v>
      </c>
      <c r="F1567" s="2">
        <f t="shared" si="144"/>
        <v>2020</v>
      </c>
      <c r="G1567">
        <v>93</v>
      </c>
      <c r="H1567" s="3">
        <v>683653</v>
      </c>
      <c r="I1567">
        <v>80153</v>
      </c>
      <c r="J1567">
        <v>683653</v>
      </c>
      <c r="K1567">
        <v>640131</v>
      </c>
      <c r="L1567">
        <v>423960</v>
      </c>
      <c r="M1567" t="str">
        <f t="shared" si="145"/>
        <v>Medium</v>
      </c>
      <c r="N1567">
        <f>VLOOKUP(C1567,Lookup!$A$2:$D$5,MATCH(M1567,Lookup!$A$1:$D$1,0),FALSE)</f>
        <v>8.5000000000000006E-2</v>
      </c>
      <c r="O1567">
        <f t="shared" si="146"/>
        <v>36036.600000000006</v>
      </c>
      <c r="P1567" s="7">
        <f t="shared" si="147"/>
        <v>0.9363390491960103</v>
      </c>
      <c r="Q1567" s="7">
        <f t="shared" si="148"/>
        <v>7351.1075268817203</v>
      </c>
      <c r="R1567">
        <f t="shared" si="149"/>
        <v>2.2242109410987716</v>
      </c>
    </row>
    <row r="1568" spans="1:18" x14ac:dyDescent="0.25">
      <c r="A1568" t="s">
        <v>912</v>
      </c>
      <c r="B1568" t="s">
        <v>26</v>
      </c>
      <c r="C1568" t="s">
        <v>20</v>
      </c>
      <c r="D1568">
        <v>2110</v>
      </c>
      <c r="E1568" s="1">
        <v>44469</v>
      </c>
      <c r="F1568" s="2">
        <f t="shared" si="144"/>
        <v>2021</v>
      </c>
      <c r="G1568">
        <v>101</v>
      </c>
      <c r="H1568" s="3">
        <v>634946</v>
      </c>
      <c r="I1568">
        <v>29450</v>
      </c>
      <c r="J1568">
        <v>634946</v>
      </c>
      <c r="K1568">
        <v>580502</v>
      </c>
      <c r="L1568">
        <v>469430</v>
      </c>
      <c r="M1568" t="str">
        <f t="shared" si="145"/>
        <v>Medium</v>
      </c>
      <c r="N1568">
        <f>VLOOKUP(C1568,Lookup!$A$2:$D$5,MATCH(M1568,Lookup!$A$1:$D$1,0),FALSE)</f>
        <v>8.5000000000000006E-2</v>
      </c>
      <c r="O1568">
        <f t="shared" si="146"/>
        <v>39901.550000000003</v>
      </c>
      <c r="P1568" s="7">
        <f t="shared" si="147"/>
        <v>0.91425412554768437</v>
      </c>
      <c r="Q1568" s="7">
        <f t="shared" si="148"/>
        <v>6286.5940594059402</v>
      </c>
      <c r="R1568">
        <f t="shared" si="149"/>
        <v>0.73806656633639545</v>
      </c>
    </row>
    <row r="1569" spans="1:18" x14ac:dyDescent="0.25">
      <c r="A1569" t="s">
        <v>913</v>
      </c>
      <c r="B1569" t="s">
        <v>47</v>
      </c>
      <c r="C1569" t="s">
        <v>5</v>
      </c>
      <c r="D1569">
        <v>90017</v>
      </c>
      <c r="E1569" s="1">
        <v>43738</v>
      </c>
      <c r="F1569" s="2">
        <f t="shared" si="144"/>
        <v>2019</v>
      </c>
      <c r="G1569">
        <v>171</v>
      </c>
      <c r="H1569" s="3">
        <v>1151623</v>
      </c>
      <c r="I1569">
        <v>89107</v>
      </c>
      <c r="J1569">
        <v>1151623</v>
      </c>
      <c r="K1569">
        <v>1017265</v>
      </c>
      <c r="L1569">
        <v>998916</v>
      </c>
      <c r="M1569" t="str">
        <f t="shared" si="145"/>
        <v>Large</v>
      </c>
      <c r="N1569">
        <f>VLOOKUP(C1569,Lookup!$A$2:$D$5,MATCH(M1569,Lookup!$A$1:$D$1,0),FALSE)</f>
        <v>0.08</v>
      </c>
      <c r="O1569">
        <f t="shared" si="146"/>
        <v>79913.279999999999</v>
      </c>
      <c r="P1569" s="7">
        <f t="shared" si="147"/>
        <v>0.88333161112621061</v>
      </c>
      <c r="Q1569" s="7">
        <f t="shared" si="148"/>
        <v>6734.6374269005846</v>
      </c>
      <c r="R1569">
        <f t="shared" si="149"/>
        <v>1.1150462100917395</v>
      </c>
    </row>
    <row r="1570" spans="1:18" x14ac:dyDescent="0.25">
      <c r="A1570" t="s">
        <v>913</v>
      </c>
      <c r="B1570" t="s">
        <v>47</v>
      </c>
      <c r="C1570" t="s">
        <v>5</v>
      </c>
      <c r="D1570">
        <v>90017</v>
      </c>
      <c r="E1570" s="1">
        <v>44104</v>
      </c>
      <c r="F1570" s="2">
        <f t="shared" si="144"/>
        <v>2020</v>
      </c>
      <c r="G1570">
        <v>167</v>
      </c>
      <c r="H1570" s="3">
        <v>1339959</v>
      </c>
      <c r="I1570">
        <v>87983</v>
      </c>
      <c r="J1570">
        <v>1339960</v>
      </c>
      <c r="K1570">
        <v>1202609</v>
      </c>
      <c r="L1570">
        <v>1174500</v>
      </c>
      <c r="M1570" t="str">
        <f t="shared" si="145"/>
        <v>Large</v>
      </c>
      <c r="N1570">
        <f>VLOOKUP(C1570,Lookup!$A$2:$D$5,MATCH(M1570,Lookup!$A$1:$D$1,0),FALSE)</f>
        <v>0.08</v>
      </c>
      <c r="O1570">
        <f t="shared" si="146"/>
        <v>93960</v>
      </c>
      <c r="P1570" s="7">
        <f t="shared" si="147"/>
        <v>0.89749686371000903</v>
      </c>
      <c r="Q1570" s="7">
        <f t="shared" si="148"/>
        <v>8023.7065868263471</v>
      </c>
      <c r="R1570">
        <f t="shared" si="149"/>
        <v>0.93638782460621539</v>
      </c>
    </row>
    <row r="1571" spans="1:18" x14ac:dyDescent="0.25">
      <c r="A1571" t="s">
        <v>913</v>
      </c>
      <c r="B1571" t="s">
        <v>47</v>
      </c>
      <c r="C1571" t="s">
        <v>5</v>
      </c>
      <c r="D1571">
        <v>90017</v>
      </c>
      <c r="E1571" s="1">
        <v>44469</v>
      </c>
      <c r="F1571" s="2">
        <f t="shared" si="144"/>
        <v>2021</v>
      </c>
      <c r="G1571">
        <v>188</v>
      </c>
      <c r="H1571" s="3">
        <v>1679733</v>
      </c>
      <c r="I1571">
        <v>188241</v>
      </c>
      <c r="J1571">
        <v>1679733</v>
      </c>
      <c r="K1571">
        <v>1523811</v>
      </c>
      <c r="L1571">
        <v>1498855</v>
      </c>
      <c r="M1571" t="str">
        <f t="shared" si="145"/>
        <v>Large</v>
      </c>
      <c r="N1571">
        <f>VLOOKUP(C1571,Lookup!$A$2:$D$5,MATCH(M1571,Lookup!$A$1:$D$1,0),FALSE)</f>
        <v>0.08</v>
      </c>
      <c r="O1571">
        <f t="shared" si="146"/>
        <v>119908.40000000001</v>
      </c>
      <c r="P1571" s="7">
        <f t="shared" si="147"/>
        <v>0.90717453309543838</v>
      </c>
      <c r="Q1571" s="7">
        <f t="shared" si="148"/>
        <v>8934.75</v>
      </c>
      <c r="R1571">
        <f t="shared" si="149"/>
        <v>1.5698733366469737</v>
      </c>
    </row>
    <row r="1572" spans="1:18" x14ac:dyDescent="0.25">
      <c r="A1572" t="s">
        <v>914</v>
      </c>
      <c r="B1572" t="s">
        <v>228</v>
      </c>
      <c r="C1572" t="s">
        <v>5</v>
      </c>
      <c r="D1572">
        <v>92612</v>
      </c>
      <c r="E1572" s="1">
        <v>43738</v>
      </c>
      <c r="F1572" s="2">
        <f t="shared" si="144"/>
        <v>2019</v>
      </c>
      <c r="G1572">
        <v>737</v>
      </c>
      <c r="H1572" s="3">
        <v>7771343</v>
      </c>
      <c r="I1572">
        <v>286276</v>
      </c>
      <c r="J1572">
        <v>7771343</v>
      </c>
      <c r="K1572">
        <v>6688300</v>
      </c>
      <c r="L1572">
        <v>6282057</v>
      </c>
      <c r="M1572" t="str">
        <f t="shared" si="145"/>
        <v>Large</v>
      </c>
      <c r="N1572">
        <f>VLOOKUP(C1572,Lookup!$A$2:$D$5,MATCH(M1572,Lookup!$A$1:$D$1,0),FALSE)</f>
        <v>0.08</v>
      </c>
      <c r="O1572">
        <f t="shared" si="146"/>
        <v>502564.56</v>
      </c>
      <c r="P1572" s="7">
        <f t="shared" si="147"/>
        <v>0.86063631472706836</v>
      </c>
      <c r="Q1572" s="7">
        <f t="shared" si="148"/>
        <v>10544.563093622795</v>
      </c>
      <c r="R1572">
        <f t="shared" si="149"/>
        <v>0.56963029784670849</v>
      </c>
    </row>
    <row r="1573" spans="1:18" x14ac:dyDescent="0.25">
      <c r="A1573" t="s">
        <v>915</v>
      </c>
      <c r="B1573" t="s">
        <v>520</v>
      </c>
      <c r="C1573" t="s">
        <v>17</v>
      </c>
      <c r="D1573">
        <v>10940</v>
      </c>
      <c r="E1573" s="1">
        <v>43738</v>
      </c>
      <c r="F1573" s="2">
        <f t="shared" si="144"/>
        <v>2019</v>
      </c>
      <c r="G1573">
        <v>170</v>
      </c>
      <c r="H1573" s="3">
        <v>1235431</v>
      </c>
      <c r="I1573">
        <v>65663</v>
      </c>
      <c r="J1573">
        <v>1235431</v>
      </c>
      <c r="K1573">
        <v>1131559</v>
      </c>
      <c r="L1573">
        <v>1114720</v>
      </c>
      <c r="M1573" t="str">
        <f t="shared" si="145"/>
        <v>Large</v>
      </c>
      <c r="N1573">
        <f>VLOOKUP(C1573,Lookup!$A$2:$D$5,MATCH(M1573,Lookup!$A$1:$D$1,0),FALSE)</f>
        <v>0.08</v>
      </c>
      <c r="O1573">
        <f t="shared" si="146"/>
        <v>89177.600000000006</v>
      </c>
      <c r="P1573" s="7">
        <f t="shared" si="147"/>
        <v>0.91592245944937434</v>
      </c>
      <c r="Q1573" s="7">
        <f t="shared" si="148"/>
        <v>7267.2411764705885</v>
      </c>
      <c r="R1573">
        <f t="shared" si="149"/>
        <v>0.73631719176115973</v>
      </c>
    </row>
    <row r="1574" spans="1:18" x14ac:dyDescent="0.25">
      <c r="A1574" t="s">
        <v>915</v>
      </c>
      <c r="B1574" t="s">
        <v>520</v>
      </c>
      <c r="C1574" t="s">
        <v>17</v>
      </c>
      <c r="D1574">
        <v>10940</v>
      </c>
      <c r="E1574" s="1">
        <v>44104</v>
      </c>
      <c r="F1574" s="2">
        <f t="shared" si="144"/>
        <v>2020</v>
      </c>
      <c r="G1574">
        <v>170</v>
      </c>
      <c r="H1574" s="3">
        <v>1715865</v>
      </c>
      <c r="I1574">
        <v>259702</v>
      </c>
      <c r="J1574">
        <v>1715865</v>
      </c>
      <c r="K1574">
        <v>1593050</v>
      </c>
      <c r="L1574">
        <v>1576762</v>
      </c>
      <c r="M1574" t="str">
        <f t="shared" si="145"/>
        <v>Large</v>
      </c>
      <c r="N1574">
        <f>VLOOKUP(C1574,Lookup!$A$2:$D$5,MATCH(M1574,Lookup!$A$1:$D$1,0),FALSE)</f>
        <v>0.08</v>
      </c>
      <c r="O1574">
        <f t="shared" si="146"/>
        <v>126140.96</v>
      </c>
      <c r="P1574" s="7">
        <f t="shared" si="147"/>
        <v>0.92842385618915246</v>
      </c>
      <c r="Q1574" s="7">
        <f t="shared" si="148"/>
        <v>10093.323529411764</v>
      </c>
      <c r="R1574">
        <f t="shared" si="149"/>
        <v>2.058823715944448</v>
      </c>
    </row>
    <row r="1575" spans="1:18" x14ac:dyDescent="0.25">
      <c r="A1575" t="s">
        <v>915</v>
      </c>
      <c r="B1575" t="s">
        <v>520</v>
      </c>
      <c r="C1575" t="s">
        <v>17</v>
      </c>
      <c r="D1575">
        <v>10940</v>
      </c>
      <c r="E1575" s="1">
        <v>44469</v>
      </c>
      <c r="F1575" s="2">
        <f t="shared" si="144"/>
        <v>2021</v>
      </c>
      <c r="G1575">
        <v>180</v>
      </c>
      <c r="H1575" s="3">
        <v>2166815</v>
      </c>
      <c r="I1575">
        <v>390065</v>
      </c>
      <c r="J1575">
        <v>2166815</v>
      </c>
      <c r="K1575">
        <v>1997059</v>
      </c>
      <c r="L1575">
        <v>1978515</v>
      </c>
      <c r="M1575" t="str">
        <f t="shared" si="145"/>
        <v>Large</v>
      </c>
      <c r="N1575">
        <f>VLOOKUP(C1575,Lookup!$A$2:$D$5,MATCH(M1575,Lookup!$A$1:$D$1,0),FALSE)</f>
        <v>0.08</v>
      </c>
      <c r="O1575">
        <f t="shared" si="146"/>
        <v>158281.20000000001</v>
      </c>
      <c r="P1575" s="7">
        <f t="shared" si="147"/>
        <v>0.92165644044369266</v>
      </c>
      <c r="Q1575" s="7">
        <f t="shared" si="148"/>
        <v>12037.861111111111</v>
      </c>
      <c r="R1575">
        <f t="shared" si="149"/>
        <v>2.4643798505444736</v>
      </c>
    </row>
    <row r="1576" spans="1:18" x14ac:dyDescent="0.25">
      <c r="A1576" t="s">
        <v>1396</v>
      </c>
      <c r="B1576" t="s">
        <v>517</v>
      </c>
      <c r="C1576" t="s">
        <v>8</v>
      </c>
      <c r="D1576">
        <v>61350</v>
      </c>
      <c r="E1576" s="1">
        <v>44469</v>
      </c>
      <c r="F1576" s="2">
        <f t="shared" si="144"/>
        <v>2021</v>
      </c>
      <c r="G1576">
        <v>56</v>
      </c>
      <c r="H1576" s="3">
        <v>342948</v>
      </c>
      <c r="I1576">
        <v>8442</v>
      </c>
      <c r="J1576">
        <v>342948</v>
      </c>
      <c r="K1576">
        <v>295754</v>
      </c>
      <c r="L1576">
        <v>274480</v>
      </c>
      <c r="M1576" t="str">
        <f t="shared" si="145"/>
        <v>Medium</v>
      </c>
      <c r="N1576">
        <f>VLOOKUP(C1576,Lookup!$A$2:$D$5,MATCH(M1576,Lookup!$A$1:$D$1,0),FALSE)</f>
        <v>0.08</v>
      </c>
      <c r="O1576">
        <f t="shared" si="146"/>
        <v>21958.400000000001</v>
      </c>
      <c r="P1576" s="7">
        <f t="shared" si="147"/>
        <v>0.86238730069864822</v>
      </c>
      <c r="Q1576" s="7">
        <f t="shared" si="148"/>
        <v>6124.0714285714284</v>
      </c>
      <c r="R1576">
        <f t="shared" si="149"/>
        <v>0.38445424074613815</v>
      </c>
    </row>
    <row r="1577" spans="1:18" x14ac:dyDescent="0.25">
      <c r="A1577" t="s">
        <v>916</v>
      </c>
      <c r="B1577" t="s">
        <v>517</v>
      </c>
      <c r="C1577" t="s">
        <v>8</v>
      </c>
      <c r="D1577">
        <v>61350</v>
      </c>
      <c r="E1577" s="1">
        <v>43738</v>
      </c>
      <c r="F1577" s="2">
        <f t="shared" si="144"/>
        <v>2019</v>
      </c>
      <c r="G1577">
        <v>64</v>
      </c>
      <c r="H1577" s="3">
        <v>304040</v>
      </c>
      <c r="I1577">
        <v>14250</v>
      </c>
      <c r="J1577">
        <v>304040</v>
      </c>
      <c r="K1577">
        <v>257877</v>
      </c>
      <c r="L1577">
        <v>242505</v>
      </c>
      <c r="M1577" t="str">
        <f t="shared" si="145"/>
        <v>Medium</v>
      </c>
      <c r="N1577">
        <f>VLOOKUP(C1577,Lookup!$A$2:$D$5,MATCH(M1577,Lookup!$A$1:$D$1,0),FALSE)</f>
        <v>0.08</v>
      </c>
      <c r="O1577">
        <f t="shared" si="146"/>
        <v>19400.400000000001</v>
      </c>
      <c r="P1577" s="7">
        <f t="shared" si="147"/>
        <v>0.8481680042099724</v>
      </c>
      <c r="Q1577" s="7">
        <f t="shared" si="148"/>
        <v>4750.625</v>
      </c>
      <c r="R1577">
        <f t="shared" si="149"/>
        <v>0.73452093771262439</v>
      </c>
    </row>
    <row r="1578" spans="1:18" x14ac:dyDescent="0.25">
      <c r="A1578" t="s">
        <v>916</v>
      </c>
      <c r="B1578" t="s">
        <v>517</v>
      </c>
      <c r="C1578" t="s">
        <v>8</v>
      </c>
      <c r="D1578">
        <v>61350</v>
      </c>
      <c r="E1578" s="1">
        <v>44104</v>
      </c>
      <c r="F1578" s="2">
        <f t="shared" si="144"/>
        <v>2020</v>
      </c>
      <c r="G1578">
        <v>52</v>
      </c>
      <c r="H1578" s="3">
        <v>310402</v>
      </c>
      <c r="I1578">
        <v>10897</v>
      </c>
      <c r="J1578">
        <v>310402</v>
      </c>
      <c r="K1578">
        <v>264248</v>
      </c>
      <c r="L1578">
        <v>242586</v>
      </c>
      <c r="M1578" t="str">
        <f t="shared" si="145"/>
        <v>Medium</v>
      </c>
      <c r="N1578">
        <f>VLOOKUP(C1578,Lookup!$A$2:$D$5,MATCH(M1578,Lookup!$A$1:$D$1,0),FALSE)</f>
        <v>0.08</v>
      </c>
      <c r="O1578">
        <f t="shared" si="146"/>
        <v>19406.88</v>
      </c>
      <c r="P1578" s="7">
        <f t="shared" si="147"/>
        <v>0.85130894775162536</v>
      </c>
      <c r="Q1578" s="7">
        <f t="shared" si="148"/>
        <v>5969.2692307692305</v>
      </c>
      <c r="R1578">
        <f t="shared" si="149"/>
        <v>0.56150190035698677</v>
      </c>
    </row>
    <row r="1579" spans="1:18" x14ac:dyDescent="0.25">
      <c r="A1579" t="s">
        <v>917</v>
      </c>
      <c r="B1579" t="s">
        <v>439</v>
      </c>
      <c r="C1579" t="s">
        <v>8</v>
      </c>
      <c r="D1579">
        <v>60523</v>
      </c>
      <c r="E1579" s="1">
        <v>43738</v>
      </c>
      <c r="F1579" s="2">
        <f t="shared" si="144"/>
        <v>2019</v>
      </c>
      <c r="G1579">
        <v>113</v>
      </c>
      <c r="H1579" s="3">
        <v>583189</v>
      </c>
      <c r="I1579">
        <v>11424</v>
      </c>
      <c r="J1579">
        <v>583189</v>
      </c>
      <c r="K1579">
        <v>523080</v>
      </c>
      <c r="L1579">
        <v>505914</v>
      </c>
      <c r="M1579" t="str">
        <f t="shared" si="145"/>
        <v>Medium</v>
      </c>
      <c r="N1579">
        <f>VLOOKUP(C1579,Lookup!$A$2:$D$5,MATCH(M1579,Lookup!$A$1:$D$1,0),FALSE)</f>
        <v>0.08</v>
      </c>
      <c r="O1579">
        <f t="shared" si="146"/>
        <v>40473.120000000003</v>
      </c>
      <c r="P1579" s="7">
        <f t="shared" si="147"/>
        <v>0.89693049766027821</v>
      </c>
      <c r="Q1579" s="7">
        <f t="shared" si="148"/>
        <v>5160.9646017699115</v>
      </c>
      <c r="R1579">
        <f t="shared" si="149"/>
        <v>0.28226141201864346</v>
      </c>
    </row>
    <row r="1580" spans="1:18" x14ac:dyDescent="0.25">
      <c r="A1580" t="s">
        <v>917</v>
      </c>
      <c r="B1580" t="s">
        <v>439</v>
      </c>
      <c r="C1580" t="s">
        <v>8</v>
      </c>
      <c r="D1580">
        <v>60523</v>
      </c>
      <c r="E1580" s="1">
        <v>44104</v>
      </c>
      <c r="F1580" s="2">
        <f t="shared" si="144"/>
        <v>2020</v>
      </c>
      <c r="G1580">
        <v>112</v>
      </c>
      <c r="H1580" s="3">
        <v>717578</v>
      </c>
      <c r="I1580">
        <v>59035</v>
      </c>
      <c r="J1580">
        <v>717578</v>
      </c>
      <c r="K1580">
        <v>646427</v>
      </c>
      <c r="L1580">
        <v>618315</v>
      </c>
      <c r="M1580" t="str">
        <f t="shared" si="145"/>
        <v>Medium</v>
      </c>
      <c r="N1580">
        <f>VLOOKUP(C1580,Lookup!$A$2:$D$5,MATCH(M1580,Lookup!$A$1:$D$1,0),FALSE)</f>
        <v>0.08</v>
      </c>
      <c r="O1580">
        <f t="shared" si="146"/>
        <v>49465.200000000004</v>
      </c>
      <c r="P1580" s="7">
        <f t="shared" si="147"/>
        <v>0.90084562235743015</v>
      </c>
      <c r="Q1580" s="7">
        <f t="shared" si="148"/>
        <v>6406.9464285714284</v>
      </c>
      <c r="R1580">
        <f t="shared" si="149"/>
        <v>1.1934653049012234</v>
      </c>
    </row>
    <row r="1581" spans="1:18" x14ac:dyDescent="0.25">
      <c r="A1581" t="s">
        <v>917</v>
      </c>
      <c r="B1581" t="s">
        <v>439</v>
      </c>
      <c r="C1581" t="s">
        <v>8</v>
      </c>
      <c r="D1581">
        <v>60523</v>
      </c>
      <c r="E1581" s="1">
        <v>44469</v>
      </c>
      <c r="F1581" s="2">
        <f t="shared" si="144"/>
        <v>2021</v>
      </c>
      <c r="G1581">
        <v>110</v>
      </c>
      <c r="H1581" s="3">
        <v>743200</v>
      </c>
      <c r="I1581">
        <v>310328</v>
      </c>
      <c r="J1581">
        <v>743200</v>
      </c>
      <c r="K1581">
        <v>675730</v>
      </c>
      <c r="L1581">
        <v>658994</v>
      </c>
      <c r="M1581" t="str">
        <f t="shared" si="145"/>
        <v>Medium</v>
      </c>
      <c r="N1581">
        <f>VLOOKUP(C1581,Lookup!$A$2:$D$5,MATCH(M1581,Lookup!$A$1:$D$1,0),FALSE)</f>
        <v>0.08</v>
      </c>
      <c r="O1581">
        <f t="shared" si="146"/>
        <v>52719.520000000004</v>
      </c>
      <c r="P1581" s="7">
        <f t="shared" si="147"/>
        <v>0.90921689989235732</v>
      </c>
      <c r="Q1581" s="7">
        <f t="shared" si="148"/>
        <v>6756.363636363636</v>
      </c>
      <c r="R1581">
        <f t="shared" si="149"/>
        <v>5.886396537752999</v>
      </c>
    </row>
    <row r="1582" spans="1:18" x14ac:dyDescent="0.25">
      <c r="A1582" t="s">
        <v>918</v>
      </c>
      <c r="B1582" t="s">
        <v>919</v>
      </c>
      <c r="C1582" t="s">
        <v>5</v>
      </c>
      <c r="D1582">
        <v>91770</v>
      </c>
      <c r="E1582" s="1">
        <v>43738</v>
      </c>
      <c r="F1582" s="2">
        <f t="shared" si="144"/>
        <v>2019</v>
      </c>
      <c r="G1582">
        <v>35</v>
      </c>
      <c r="H1582" s="3">
        <v>276757</v>
      </c>
      <c r="I1582">
        <v>35856</v>
      </c>
      <c r="J1582">
        <v>276757</v>
      </c>
      <c r="K1582">
        <v>238243</v>
      </c>
      <c r="L1582">
        <v>229727</v>
      </c>
      <c r="M1582" t="str">
        <f t="shared" si="145"/>
        <v>Medium</v>
      </c>
      <c r="N1582">
        <f>VLOOKUP(C1582,Lookup!$A$2:$D$5,MATCH(M1582,Lookup!$A$1:$D$1,0),FALSE)</f>
        <v>0.09</v>
      </c>
      <c r="O1582">
        <f t="shared" si="146"/>
        <v>20675.43</v>
      </c>
      <c r="P1582" s="7">
        <f t="shared" si="147"/>
        <v>0.86083820824766855</v>
      </c>
      <c r="Q1582" s="7">
        <f t="shared" si="148"/>
        <v>7907.3428571428567</v>
      </c>
      <c r="R1582">
        <f t="shared" si="149"/>
        <v>1.734232371467002</v>
      </c>
    </row>
    <row r="1583" spans="1:18" x14ac:dyDescent="0.25">
      <c r="A1583" t="s">
        <v>918</v>
      </c>
      <c r="B1583" t="s">
        <v>919</v>
      </c>
      <c r="C1583" t="s">
        <v>5</v>
      </c>
      <c r="D1583">
        <v>91770</v>
      </c>
      <c r="E1583" s="1">
        <v>44104</v>
      </c>
      <c r="F1583" s="2">
        <f t="shared" si="144"/>
        <v>2020</v>
      </c>
      <c r="G1583">
        <v>35</v>
      </c>
      <c r="H1583" s="3">
        <v>358668</v>
      </c>
      <c r="I1583">
        <v>53635</v>
      </c>
      <c r="J1583">
        <v>358668</v>
      </c>
      <c r="K1583">
        <v>317737</v>
      </c>
      <c r="L1583">
        <v>296219</v>
      </c>
      <c r="M1583" t="str">
        <f t="shared" si="145"/>
        <v>Medium</v>
      </c>
      <c r="N1583">
        <f>VLOOKUP(C1583,Lookup!$A$2:$D$5,MATCH(M1583,Lookup!$A$1:$D$1,0),FALSE)</f>
        <v>0.09</v>
      </c>
      <c r="O1583">
        <f t="shared" si="146"/>
        <v>26659.71</v>
      </c>
      <c r="P1583" s="7">
        <f t="shared" si="147"/>
        <v>0.88588053576009007</v>
      </c>
      <c r="Q1583" s="7">
        <f t="shared" si="148"/>
        <v>10247.657142857142</v>
      </c>
      <c r="R1583">
        <f t="shared" si="149"/>
        <v>2.0118373380655679</v>
      </c>
    </row>
    <row r="1584" spans="1:18" x14ac:dyDescent="0.25">
      <c r="A1584" t="s">
        <v>918</v>
      </c>
      <c r="B1584" t="s">
        <v>919</v>
      </c>
      <c r="C1584" t="s">
        <v>5</v>
      </c>
      <c r="D1584">
        <v>91770</v>
      </c>
      <c r="E1584" s="1">
        <v>44469</v>
      </c>
      <c r="F1584" s="2">
        <f t="shared" si="144"/>
        <v>2021</v>
      </c>
      <c r="G1584">
        <v>36</v>
      </c>
      <c r="H1584" s="3">
        <v>372918</v>
      </c>
      <c r="I1584">
        <v>35323</v>
      </c>
      <c r="J1584">
        <v>372918</v>
      </c>
      <c r="K1584">
        <v>329014</v>
      </c>
      <c r="L1584">
        <v>317459</v>
      </c>
      <c r="M1584" t="str">
        <f t="shared" si="145"/>
        <v>Medium</v>
      </c>
      <c r="N1584">
        <f>VLOOKUP(C1584,Lookup!$A$2:$D$5,MATCH(M1584,Lookup!$A$1:$D$1,0),FALSE)</f>
        <v>0.09</v>
      </c>
      <c r="O1584">
        <f t="shared" si="146"/>
        <v>28571.309999999998</v>
      </c>
      <c r="P1584" s="7">
        <f t="shared" si="147"/>
        <v>0.88226902428952214</v>
      </c>
      <c r="Q1584" s="7">
        <f t="shared" si="148"/>
        <v>10358.833333333334</v>
      </c>
      <c r="R1584">
        <f t="shared" si="149"/>
        <v>1.2363101306870425</v>
      </c>
    </row>
    <row r="1585" spans="1:18" x14ac:dyDescent="0.25">
      <c r="A1585" t="s">
        <v>920</v>
      </c>
      <c r="B1585" t="s">
        <v>47</v>
      </c>
      <c r="C1585" t="s">
        <v>5</v>
      </c>
      <c r="D1585">
        <v>90010</v>
      </c>
      <c r="E1585" s="1">
        <v>43738</v>
      </c>
      <c r="F1585" s="2">
        <f t="shared" si="144"/>
        <v>2019</v>
      </c>
      <c r="G1585">
        <v>249</v>
      </c>
      <c r="H1585" s="3">
        <v>1699395</v>
      </c>
      <c r="I1585">
        <v>121911</v>
      </c>
      <c r="J1585">
        <v>1699395</v>
      </c>
      <c r="K1585">
        <v>1477345</v>
      </c>
      <c r="L1585">
        <v>1434785</v>
      </c>
      <c r="M1585" t="str">
        <f t="shared" si="145"/>
        <v>Large</v>
      </c>
      <c r="N1585">
        <f>VLOOKUP(C1585,Lookup!$A$2:$D$5,MATCH(M1585,Lookup!$A$1:$D$1,0),FALSE)</f>
        <v>0.08</v>
      </c>
      <c r="O1585">
        <f t="shared" si="146"/>
        <v>114782.8</v>
      </c>
      <c r="P1585" s="7">
        <f t="shared" si="147"/>
        <v>0.86933585187669726</v>
      </c>
      <c r="Q1585" s="7">
        <f t="shared" si="148"/>
        <v>6824.8795180722891</v>
      </c>
      <c r="R1585">
        <f t="shared" si="149"/>
        <v>1.0621016389215108</v>
      </c>
    </row>
    <row r="1586" spans="1:18" x14ac:dyDescent="0.25">
      <c r="A1586" t="s">
        <v>920</v>
      </c>
      <c r="B1586" t="s">
        <v>47</v>
      </c>
      <c r="C1586" t="s">
        <v>5</v>
      </c>
      <c r="D1586">
        <v>90010</v>
      </c>
      <c r="E1586" s="1">
        <v>44104</v>
      </c>
      <c r="F1586" s="2">
        <f t="shared" si="144"/>
        <v>2020</v>
      </c>
      <c r="G1586">
        <v>252</v>
      </c>
      <c r="H1586" s="3">
        <v>2021119</v>
      </c>
      <c r="I1586">
        <v>257382</v>
      </c>
      <c r="J1586">
        <v>2021119</v>
      </c>
      <c r="K1586">
        <v>1795549</v>
      </c>
      <c r="L1586">
        <v>1650798</v>
      </c>
      <c r="M1586" t="str">
        <f t="shared" si="145"/>
        <v>Large</v>
      </c>
      <c r="N1586">
        <f>VLOOKUP(C1586,Lookup!$A$2:$D$5,MATCH(M1586,Lookup!$A$1:$D$1,0),FALSE)</f>
        <v>0.08</v>
      </c>
      <c r="O1586">
        <f t="shared" si="146"/>
        <v>132063.84</v>
      </c>
      <c r="P1586" s="7">
        <f t="shared" si="147"/>
        <v>0.88839350874441336</v>
      </c>
      <c r="Q1586" s="7">
        <f t="shared" si="148"/>
        <v>8020.313492063492</v>
      </c>
      <c r="R1586">
        <f t="shared" si="149"/>
        <v>1.9489210672656498</v>
      </c>
    </row>
    <row r="1587" spans="1:18" x14ac:dyDescent="0.25">
      <c r="A1587" t="s">
        <v>920</v>
      </c>
      <c r="B1587" t="s">
        <v>47</v>
      </c>
      <c r="C1587" t="s">
        <v>5</v>
      </c>
      <c r="D1587">
        <v>90010</v>
      </c>
      <c r="E1587" s="1">
        <v>44469</v>
      </c>
      <c r="F1587" s="2">
        <f t="shared" si="144"/>
        <v>2021</v>
      </c>
      <c r="G1587">
        <v>249</v>
      </c>
      <c r="H1587" s="3">
        <v>2104632</v>
      </c>
      <c r="I1587">
        <v>214973</v>
      </c>
      <c r="J1587">
        <v>2104632</v>
      </c>
      <c r="K1587">
        <v>1862199</v>
      </c>
      <c r="L1587">
        <v>1837743</v>
      </c>
      <c r="M1587" t="str">
        <f t="shared" si="145"/>
        <v>Large</v>
      </c>
      <c r="N1587">
        <f>VLOOKUP(C1587,Lookup!$A$2:$D$5,MATCH(M1587,Lookup!$A$1:$D$1,0),FALSE)</f>
        <v>0.08</v>
      </c>
      <c r="O1587">
        <f t="shared" si="146"/>
        <v>147019.44</v>
      </c>
      <c r="P1587" s="7">
        <f t="shared" si="147"/>
        <v>0.88480979097533441</v>
      </c>
      <c r="Q1587" s="7">
        <f t="shared" si="148"/>
        <v>8452.3373493975905</v>
      </c>
      <c r="R1587">
        <f t="shared" si="149"/>
        <v>1.4622079909976531</v>
      </c>
    </row>
    <row r="1588" spans="1:18" x14ac:dyDescent="0.25">
      <c r="A1588" t="s">
        <v>921</v>
      </c>
      <c r="B1588" t="s">
        <v>793</v>
      </c>
      <c r="C1588" t="s">
        <v>5</v>
      </c>
      <c r="D1588">
        <v>94596</v>
      </c>
      <c r="E1588" s="1">
        <v>43738</v>
      </c>
      <c r="F1588" s="2">
        <f t="shared" si="144"/>
        <v>2019</v>
      </c>
      <c r="G1588">
        <v>104</v>
      </c>
      <c r="H1588" s="3">
        <v>879943</v>
      </c>
      <c r="I1588">
        <v>194123</v>
      </c>
      <c r="J1588">
        <v>879943</v>
      </c>
      <c r="K1588">
        <v>788131</v>
      </c>
      <c r="L1588">
        <v>678315</v>
      </c>
      <c r="M1588" t="str">
        <f t="shared" si="145"/>
        <v>Medium</v>
      </c>
      <c r="N1588">
        <f>VLOOKUP(C1588,Lookup!$A$2:$D$5,MATCH(M1588,Lookup!$A$1:$D$1,0),FALSE)</f>
        <v>0.09</v>
      </c>
      <c r="O1588">
        <f t="shared" si="146"/>
        <v>61048.35</v>
      </c>
      <c r="P1588" s="7">
        <f t="shared" si="147"/>
        <v>0.89566142352402367</v>
      </c>
      <c r="Q1588" s="7">
        <f t="shared" si="148"/>
        <v>8460.9903846153848</v>
      </c>
      <c r="R1588">
        <f t="shared" si="149"/>
        <v>3.1798238609233502</v>
      </c>
    </row>
    <row r="1589" spans="1:18" x14ac:dyDescent="0.25">
      <c r="A1589" t="s">
        <v>921</v>
      </c>
      <c r="B1589" t="s">
        <v>793</v>
      </c>
      <c r="C1589" t="s">
        <v>5</v>
      </c>
      <c r="D1589">
        <v>94596</v>
      </c>
      <c r="E1589" s="1">
        <v>44104</v>
      </c>
      <c r="F1589" s="2">
        <f t="shared" si="144"/>
        <v>2020</v>
      </c>
      <c r="G1589">
        <v>102</v>
      </c>
      <c r="H1589" s="3">
        <v>1300428</v>
      </c>
      <c r="I1589">
        <v>322487</v>
      </c>
      <c r="J1589">
        <v>1300428</v>
      </c>
      <c r="K1589">
        <v>1168327</v>
      </c>
      <c r="L1589">
        <v>1012126</v>
      </c>
      <c r="M1589" t="str">
        <f t="shared" si="145"/>
        <v>Large</v>
      </c>
      <c r="N1589">
        <f>VLOOKUP(C1589,Lookup!$A$2:$D$5,MATCH(M1589,Lookup!$A$1:$D$1,0),FALSE)</f>
        <v>0.08</v>
      </c>
      <c r="O1589">
        <f t="shared" si="146"/>
        <v>80970.080000000002</v>
      </c>
      <c r="P1589" s="7">
        <f t="shared" si="147"/>
        <v>0.89841729030749873</v>
      </c>
      <c r="Q1589" s="7">
        <f t="shared" si="148"/>
        <v>12749.294117647059</v>
      </c>
      <c r="R1589">
        <f t="shared" si="149"/>
        <v>3.9827921622406697</v>
      </c>
    </row>
    <row r="1590" spans="1:18" x14ac:dyDescent="0.25">
      <c r="A1590" t="s">
        <v>921</v>
      </c>
      <c r="B1590" t="s">
        <v>793</v>
      </c>
      <c r="C1590" t="s">
        <v>5</v>
      </c>
      <c r="D1590">
        <v>94596</v>
      </c>
      <c r="E1590" s="1">
        <v>44469</v>
      </c>
      <c r="F1590" s="2">
        <f t="shared" si="144"/>
        <v>2021</v>
      </c>
      <c r="G1590">
        <v>105</v>
      </c>
      <c r="H1590" s="3">
        <v>1364568</v>
      </c>
      <c r="I1590">
        <v>635470</v>
      </c>
      <c r="J1590">
        <v>1364568</v>
      </c>
      <c r="K1590">
        <v>1228782</v>
      </c>
      <c r="L1590">
        <v>1186422</v>
      </c>
      <c r="M1590" t="str">
        <f t="shared" si="145"/>
        <v>Large</v>
      </c>
      <c r="N1590">
        <f>VLOOKUP(C1590,Lookup!$A$2:$D$5,MATCH(M1590,Lookup!$A$1:$D$1,0),FALSE)</f>
        <v>0.08</v>
      </c>
      <c r="O1590">
        <f t="shared" si="146"/>
        <v>94913.76</v>
      </c>
      <c r="P1590" s="7">
        <f t="shared" si="147"/>
        <v>0.90049158414970887</v>
      </c>
      <c r="Q1590" s="7">
        <f t="shared" si="148"/>
        <v>12995.885714285714</v>
      </c>
      <c r="R1590">
        <f t="shared" si="149"/>
        <v>6.6952357592829532</v>
      </c>
    </row>
    <row r="1591" spans="1:18" x14ac:dyDescent="0.25">
      <c r="A1591" t="s">
        <v>922</v>
      </c>
      <c r="B1591" t="s">
        <v>228</v>
      </c>
      <c r="C1591" t="s">
        <v>5</v>
      </c>
      <c r="D1591">
        <v>92614</v>
      </c>
      <c r="E1591" s="1">
        <v>43738</v>
      </c>
      <c r="F1591" s="2">
        <f t="shared" si="144"/>
        <v>2019</v>
      </c>
      <c r="G1591">
        <v>106</v>
      </c>
      <c r="H1591" s="3">
        <v>486699</v>
      </c>
      <c r="I1591">
        <v>101186</v>
      </c>
      <c r="J1591">
        <v>486699</v>
      </c>
      <c r="K1591">
        <v>436435</v>
      </c>
      <c r="L1591">
        <v>414344</v>
      </c>
      <c r="M1591" t="str">
        <f t="shared" si="145"/>
        <v>Medium</v>
      </c>
      <c r="N1591">
        <f>VLOOKUP(C1591,Lookup!$A$2:$D$5,MATCH(M1591,Lookup!$A$1:$D$1,0),FALSE)</f>
        <v>0.09</v>
      </c>
      <c r="O1591">
        <f t="shared" si="146"/>
        <v>37290.959999999999</v>
      </c>
      <c r="P1591" s="7">
        <f t="shared" si="147"/>
        <v>0.89672466966235809</v>
      </c>
      <c r="Q1591" s="7">
        <f t="shared" si="148"/>
        <v>4591.5</v>
      </c>
      <c r="R1591">
        <f t="shared" si="149"/>
        <v>2.7134190162977836</v>
      </c>
    </row>
    <row r="1592" spans="1:18" x14ac:dyDescent="0.25">
      <c r="A1592" t="s">
        <v>922</v>
      </c>
      <c r="B1592" t="s">
        <v>228</v>
      </c>
      <c r="C1592" t="s">
        <v>5</v>
      </c>
      <c r="D1592">
        <v>92614</v>
      </c>
      <c r="E1592" s="1">
        <v>44104</v>
      </c>
      <c r="F1592" s="2">
        <f t="shared" si="144"/>
        <v>2020</v>
      </c>
      <c r="G1592">
        <v>89</v>
      </c>
      <c r="H1592" s="3">
        <v>619183</v>
      </c>
      <c r="I1592">
        <v>53072</v>
      </c>
      <c r="J1592">
        <v>619183</v>
      </c>
      <c r="K1592">
        <v>564952</v>
      </c>
      <c r="L1592">
        <v>483684</v>
      </c>
      <c r="M1592" t="str">
        <f t="shared" si="145"/>
        <v>Medium</v>
      </c>
      <c r="N1592">
        <f>VLOOKUP(C1592,Lookup!$A$2:$D$5,MATCH(M1592,Lookup!$A$1:$D$1,0),FALSE)</f>
        <v>0.09</v>
      </c>
      <c r="O1592">
        <f t="shared" si="146"/>
        <v>43531.56</v>
      </c>
      <c r="P1592" s="7">
        <f t="shared" si="147"/>
        <v>0.9124152310383199</v>
      </c>
      <c r="Q1592" s="7">
        <f t="shared" si="148"/>
        <v>6957.1123595505615</v>
      </c>
      <c r="R1592">
        <f t="shared" si="149"/>
        <v>1.2191614543563338</v>
      </c>
    </row>
    <row r="1593" spans="1:18" x14ac:dyDescent="0.25">
      <c r="A1593" t="s">
        <v>922</v>
      </c>
      <c r="B1593" t="s">
        <v>228</v>
      </c>
      <c r="C1593" t="s">
        <v>5</v>
      </c>
      <c r="D1593">
        <v>92614</v>
      </c>
      <c r="E1593" s="1">
        <v>44469</v>
      </c>
      <c r="F1593" s="2">
        <f t="shared" si="144"/>
        <v>2021</v>
      </c>
      <c r="G1593">
        <v>92</v>
      </c>
      <c r="H1593" s="3">
        <v>578918</v>
      </c>
      <c r="I1593">
        <v>63485</v>
      </c>
      <c r="J1593">
        <v>578918</v>
      </c>
      <c r="K1593">
        <v>516893</v>
      </c>
      <c r="L1593">
        <v>419062</v>
      </c>
      <c r="M1593" t="str">
        <f t="shared" si="145"/>
        <v>Medium</v>
      </c>
      <c r="N1593">
        <f>VLOOKUP(C1593,Lookup!$A$2:$D$5,MATCH(M1593,Lookup!$A$1:$D$1,0),FALSE)</f>
        <v>0.09</v>
      </c>
      <c r="O1593">
        <f t="shared" si="146"/>
        <v>37715.58</v>
      </c>
      <c r="P1593" s="7">
        <f t="shared" si="147"/>
        <v>0.89286047419496373</v>
      </c>
      <c r="Q1593" s="7">
        <f t="shared" si="148"/>
        <v>6292.586956521739</v>
      </c>
      <c r="R1593">
        <f t="shared" si="149"/>
        <v>1.6832566276324001</v>
      </c>
    </row>
    <row r="1594" spans="1:18" x14ac:dyDescent="0.25">
      <c r="A1594" t="s">
        <v>923</v>
      </c>
      <c r="B1594" t="s">
        <v>28</v>
      </c>
      <c r="C1594" t="s">
        <v>8</v>
      </c>
      <c r="D1594">
        <v>60616</v>
      </c>
      <c r="E1594" s="1">
        <v>43738</v>
      </c>
      <c r="F1594" s="2">
        <f t="shared" si="144"/>
        <v>2019</v>
      </c>
      <c r="G1594">
        <v>43</v>
      </c>
      <c r="H1594" s="3">
        <v>224533</v>
      </c>
      <c r="I1594">
        <v>16316</v>
      </c>
      <c r="J1594">
        <v>224533</v>
      </c>
      <c r="K1594">
        <v>199309</v>
      </c>
      <c r="L1594">
        <v>196868</v>
      </c>
      <c r="M1594" t="str">
        <f t="shared" si="145"/>
        <v>Medium</v>
      </c>
      <c r="N1594">
        <f>VLOOKUP(C1594,Lookup!$A$2:$D$5,MATCH(M1594,Lookup!$A$1:$D$1,0),FALSE)</f>
        <v>0.08</v>
      </c>
      <c r="O1594">
        <f t="shared" si="146"/>
        <v>15749.44</v>
      </c>
      <c r="P1594" s="7">
        <f t="shared" si="147"/>
        <v>0.88766016576627937</v>
      </c>
      <c r="Q1594" s="7">
        <f t="shared" si="148"/>
        <v>5221.6976744186049</v>
      </c>
      <c r="R1594">
        <f t="shared" si="149"/>
        <v>1.0359733425442428</v>
      </c>
    </row>
    <row r="1595" spans="1:18" x14ac:dyDescent="0.25">
      <c r="A1595" t="s">
        <v>924</v>
      </c>
      <c r="B1595" t="s">
        <v>925</v>
      </c>
      <c r="C1595" t="s">
        <v>5</v>
      </c>
      <c r="D1595">
        <v>92626</v>
      </c>
      <c r="E1595" s="1">
        <v>43738</v>
      </c>
      <c r="F1595" s="2">
        <f t="shared" si="144"/>
        <v>2019</v>
      </c>
      <c r="G1595">
        <v>169</v>
      </c>
      <c r="H1595" s="3">
        <v>1437734</v>
      </c>
      <c r="I1595">
        <v>213276</v>
      </c>
      <c r="J1595">
        <v>1437734</v>
      </c>
      <c r="K1595">
        <v>1278875</v>
      </c>
      <c r="L1595">
        <v>1220490</v>
      </c>
      <c r="M1595" t="str">
        <f t="shared" si="145"/>
        <v>Large</v>
      </c>
      <c r="N1595">
        <f>VLOOKUP(C1595,Lookup!$A$2:$D$5,MATCH(M1595,Lookup!$A$1:$D$1,0),FALSE)</f>
        <v>0.08</v>
      </c>
      <c r="O1595">
        <f t="shared" si="146"/>
        <v>97639.2</v>
      </c>
      <c r="P1595" s="7">
        <f t="shared" si="147"/>
        <v>0.88950737758166676</v>
      </c>
      <c r="Q1595" s="7">
        <f t="shared" si="148"/>
        <v>8507.3017751479292</v>
      </c>
      <c r="R1595">
        <f t="shared" si="149"/>
        <v>2.1843276061254087</v>
      </c>
    </row>
    <row r="1596" spans="1:18" x14ac:dyDescent="0.25">
      <c r="A1596" t="s">
        <v>924</v>
      </c>
      <c r="B1596" t="s">
        <v>925</v>
      </c>
      <c r="C1596" t="s">
        <v>5</v>
      </c>
      <c r="D1596">
        <v>92626</v>
      </c>
      <c r="E1596" s="1">
        <v>44104</v>
      </c>
      <c r="F1596" s="2">
        <f t="shared" si="144"/>
        <v>2020</v>
      </c>
      <c r="G1596">
        <v>145</v>
      </c>
      <c r="H1596" s="3">
        <v>1617448</v>
      </c>
      <c r="I1596">
        <v>280126</v>
      </c>
      <c r="J1596">
        <v>1617448</v>
      </c>
      <c r="K1596">
        <v>1450758</v>
      </c>
      <c r="L1596">
        <v>1409886</v>
      </c>
      <c r="M1596" t="str">
        <f t="shared" si="145"/>
        <v>Large</v>
      </c>
      <c r="N1596">
        <f>VLOOKUP(C1596,Lookup!$A$2:$D$5,MATCH(M1596,Lookup!$A$1:$D$1,0),FALSE)</f>
        <v>0.08</v>
      </c>
      <c r="O1596">
        <f t="shared" si="146"/>
        <v>112790.88</v>
      </c>
      <c r="P1596" s="7">
        <f t="shared" si="147"/>
        <v>0.89694259104465801</v>
      </c>
      <c r="Q1596" s="7">
        <f t="shared" si="148"/>
        <v>11154.813793103449</v>
      </c>
      <c r="R1596">
        <f t="shared" si="149"/>
        <v>2.4835873255000758</v>
      </c>
    </row>
    <row r="1597" spans="1:18" x14ac:dyDescent="0.25">
      <c r="A1597" t="s">
        <v>924</v>
      </c>
      <c r="B1597" t="s">
        <v>925</v>
      </c>
      <c r="C1597" t="s">
        <v>5</v>
      </c>
      <c r="D1597">
        <v>92626</v>
      </c>
      <c r="E1597" s="1">
        <v>44469</v>
      </c>
      <c r="F1597" s="2">
        <f t="shared" si="144"/>
        <v>2021</v>
      </c>
      <c r="G1597">
        <v>118</v>
      </c>
      <c r="H1597" s="3">
        <v>1490319</v>
      </c>
      <c r="I1597">
        <v>454039</v>
      </c>
      <c r="J1597">
        <v>1490319</v>
      </c>
      <c r="K1597">
        <v>1307284</v>
      </c>
      <c r="L1597">
        <v>1292299</v>
      </c>
      <c r="M1597" t="str">
        <f t="shared" si="145"/>
        <v>Large</v>
      </c>
      <c r="N1597">
        <f>VLOOKUP(C1597,Lookup!$A$2:$D$5,MATCH(M1597,Lookup!$A$1:$D$1,0),FALSE)</f>
        <v>0.08</v>
      </c>
      <c r="O1597">
        <f t="shared" si="146"/>
        <v>103383.92</v>
      </c>
      <c r="P1597" s="7">
        <f t="shared" si="147"/>
        <v>0.87718401228193432</v>
      </c>
      <c r="Q1597" s="7">
        <f t="shared" si="148"/>
        <v>12629.822033898305</v>
      </c>
      <c r="R1597">
        <f t="shared" si="149"/>
        <v>4.3917758196825964</v>
      </c>
    </row>
    <row r="1598" spans="1:18" x14ac:dyDescent="0.25">
      <c r="A1598" t="s">
        <v>926</v>
      </c>
      <c r="B1598" t="s">
        <v>228</v>
      </c>
      <c r="C1598" t="s">
        <v>5</v>
      </c>
      <c r="D1598">
        <v>92614</v>
      </c>
      <c r="E1598" s="1">
        <v>43738</v>
      </c>
      <c r="F1598" s="2">
        <f t="shared" si="144"/>
        <v>2019</v>
      </c>
      <c r="G1598">
        <v>998</v>
      </c>
      <c r="H1598" s="3">
        <v>11811502</v>
      </c>
      <c r="I1598">
        <v>430426</v>
      </c>
      <c r="J1598">
        <v>11811502</v>
      </c>
      <c r="K1598">
        <v>9616623</v>
      </c>
      <c r="L1598">
        <v>8890124</v>
      </c>
      <c r="M1598" t="str">
        <f t="shared" si="145"/>
        <v>Large</v>
      </c>
      <c r="N1598">
        <f>VLOOKUP(C1598,Lookup!$A$2:$D$5,MATCH(M1598,Lookup!$A$1:$D$1,0),FALSE)</f>
        <v>0.08</v>
      </c>
      <c r="O1598">
        <f t="shared" si="146"/>
        <v>711209.92</v>
      </c>
      <c r="P1598" s="7">
        <f t="shared" si="147"/>
        <v>0.81417443776413867</v>
      </c>
      <c r="Q1598" s="7">
        <f t="shared" si="148"/>
        <v>11835.172344689379</v>
      </c>
      <c r="R1598">
        <f t="shared" si="149"/>
        <v>0.60520246961684665</v>
      </c>
    </row>
    <row r="1599" spans="1:18" x14ac:dyDescent="0.25">
      <c r="A1599" t="s">
        <v>926</v>
      </c>
      <c r="B1599" t="s">
        <v>228</v>
      </c>
      <c r="C1599" t="s">
        <v>5</v>
      </c>
      <c r="D1599">
        <v>92614</v>
      </c>
      <c r="E1599" s="1">
        <v>44104</v>
      </c>
      <c r="F1599" s="2">
        <f t="shared" si="144"/>
        <v>2020</v>
      </c>
      <c r="G1599">
        <v>1537</v>
      </c>
      <c r="H1599" s="3">
        <v>19841091</v>
      </c>
      <c r="I1599">
        <v>1105922</v>
      </c>
      <c r="J1599">
        <v>19841091</v>
      </c>
      <c r="K1599">
        <v>16913094</v>
      </c>
      <c r="L1599">
        <v>16488838</v>
      </c>
      <c r="M1599" t="str">
        <f t="shared" si="145"/>
        <v>Large</v>
      </c>
      <c r="N1599">
        <f>VLOOKUP(C1599,Lookup!$A$2:$D$5,MATCH(M1599,Lookup!$A$1:$D$1,0),FALSE)</f>
        <v>0.08</v>
      </c>
      <c r="O1599">
        <f t="shared" si="146"/>
        <v>1319107.04</v>
      </c>
      <c r="P1599" s="7">
        <f t="shared" si="147"/>
        <v>0.85242762104160497</v>
      </c>
      <c r="Q1599" s="7">
        <f t="shared" si="148"/>
        <v>12908.972674040338</v>
      </c>
      <c r="R1599">
        <f t="shared" si="149"/>
        <v>0.83838685297290205</v>
      </c>
    </row>
    <row r="1600" spans="1:18" x14ac:dyDescent="0.25">
      <c r="A1600" t="s">
        <v>926</v>
      </c>
      <c r="B1600" t="s">
        <v>228</v>
      </c>
      <c r="C1600" t="s">
        <v>5</v>
      </c>
      <c r="D1600">
        <v>92614</v>
      </c>
      <c r="E1600" s="1">
        <v>44469</v>
      </c>
      <c r="F1600" s="2">
        <f t="shared" si="144"/>
        <v>2021</v>
      </c>
      <c r="G1600">
        <v>1524</v>
      </c>
      <c r="H1600" s="3">
        <v>21007729</v>
      </c>
      <c r="I1600">
        <v>325028</v>
      </c>
      <c r="J1600">
        <v>21007729</v>
      </c>
      <c r="K1600">
        <v>17865633</v>
      </c>
      <c r="L1600">
        <v>17533543</v>
      </c>
      <c r="M1600" t="str">
        <f t="shared" si="145"/>
        <v>Large</v>
      </c>
      <c r="N1600">
        <f>VLOOKUP(C1600,Lookup!$A$2:$D$5,MATCH(M1600,Lookup!$A$1:$D$1,0),FALSE)</f>
        <v>0.08</v>
      </c>
      <c r="O1600">
        <f t="shared" si="146"/>
        <v>1402683.44</v>
      </c>
      <c r="P1600" s="7">
        <f t="shared" si="147"/>
        <v>0.85043142930870819</v>
      </c>
      <c r="Q1600" s="7">
        <f t="shared" si="148"/>
        <v>13784.59908136483</v>
      </c>
      <c r="R1600">
        <f t="shared" si="149"/>
        <v>0.23171871195684751</v>
      </c>
    </row>
    <row r="1601" spans="1:18" x14ac:dyDescent="0.25">
      <c r="A1601" t="s">
        <v>927</v>
      </c>
      <c r="B1601" t="s">
        <v>4</v>
      </c>
      <c r="C1601" t="s">
        <v>5</v>
      </c>
      <c r="D1601">
        <v>93901</v>
      </c>
      <c r="E1601" s="1">
        <v>43738</v>
      </c>
      <c r="F1601" s="2">
        <f t="shared" si="144"/>
        <v>2019</v>
      </c>
      <c r="G1601">
        <v>47</v>
      </c>
      <c r="H1601" s="3">
        <v>340345</v>
      </c>
      <c r="I1601">
        <v>54331</v>
      </c>
      <c r="J1601">
        <v>340345</v>
      </c>
      <c r="K1601">
        <v>305206</v>
      </c>
      <c r="L1601">
        <v>303521</v>
      </c>
      <c r="M1601" t="str">
        <f t="shared" si="145"/>
        <v>Medium</v>
      </c>
      <c r="N1601">
        <f>VLOOKUP(C1601,Lookup!$A$2:$D$5,MATCH(M1601,Lookup!$A$1:$D$1,0),FALSE)</f>
        <v>0.09</v>
      </c>
      <c r="O1601">
        <f t="shared" si="146"/>
        <v>27316.89</v>
      </c>
      <c r="P1601" s="7">
        <f t="shared" si="147"/>
        <v>0.89675476354875205</v>
      </c>
      <c r="Q1601" s="7">
        <f t="shared" si="148"/>
        <v>7241.3829787234044</v>
      </c>
      <c r="R1601">
        <f t="shared" si="149"/>
        <v>1.988916014963636</v>
      </c>
    </row>
    <row r="1602" spans="1:18" x14ac:dyDescent="0.25">
      <c r="A1602" t="s">
        <v>927</v>
      </c>
      <c r="B1602" t="s">
        <v>4</v>
      </c>
      <c r="C1602" t="s">
        <v>5</v>
      </c>
      <c r="D1602">
        <v>93901</v>
      </c>
      <c r="E1602" s="1">
        <v>44104</v>
      </c>
      <c r="F1602" s="2">
        <f t="shared" ref="F1602:F1665" si="150">YEAR(E1602)</f>
        <v>2020</v>
      </c>
      <c r="G1602">
        <v>49</v>
      </c>
      <c r="H1602" s="3">
        <v>420189</v>
      </c>
      <c r="I1602">
        <v>63102</v>
      </c>
      <c r="J1602">
        <v>420188</v>
      </c>
      <c r="K1602">
        <v>381976</v>
      </c>
      <c r="L1602">
        <v>380349</v>
      </c>
      <c r="M1602" t="str">
        <f t="shared" ref="M1602:M1665" si="151">IF(H1602&gt;1000000,"Large",IF(H1602&lt;100000,"Small","Medium"))</f>
        <v>Medium</v>
      </c>
      <c r="N1602">
        <f>VLOOKUP(C1602,Lookup!$A$2:$D$5,MATCH(M1602,Lookup!$A$1:$D$1,0),FALSE)</f>
        <v>0.09</v>
      </c>
      <c r="O1602">
        <f t="shared" ref="O1602:O1665" si="152">L1602*N1602</f>
        <v>34231.409999999996</v>
      </c>
      <c r="P1602" s="7">
        <f t="shared" ref="P1602:P1665" si="153">K1602/H1602</f>
        <v>0.90905759075082881</v>
      </c>
      <c r="Q1602" s="7">
        <f t="shared" ref="Q1602:Q1665" si="154">H1602/G1602</f>
        <v>8575.2857142857138</v>
      </c>
      <c r="R1602">
        <f t="shared" ref="R1602:R1665" si="155">I1602/O1602</f>
        <v>1.8433947067912191</v>
      </c>
    </row>
    <row r="1603" spans="1:18" x14ac:dyDescent="0.25">
      <c r="A1603" t="s">
        <v>927</v>
      </c>
      <c r="B1603" t="s">
        <v>4</v>
      </c>
      <c r="C1603" t="s">
        <v>5</v>
      </c>
      <c r="D1603">
        <v>93901</v>
      </c>
      <c r="E1603" s="1">
        <v>44469</v>
      </c>
      <c r="F1603" s="2">
        <f t="shared" si="150"/>
        <v>2021</v>
      </c>
      <c r="G1603">
        <v>50</v>
      </c>
      <c r="H1603" s="3">
        <v>473384</v>
      </c>
      <c r="I1603">
        <v>69074</v>
      </c>
      <c r="J1603">
        <v>473384</v>
      </c>
      <c r="K1603">
        <v>431084</v>
      </c>
      <c r="L1603">
        <v>428275</v>
      </c>
      <c r="M1603" t="str">
        <f t="shared" si="151"/>
        <v>Medium</v>
      </c>
      <c r="N1603">
        <f>VLOOKUP(C1603,Lookup!$A$2:$D$5,MATCH(M1603,Lookup!$A$1:$D$1,0),FALSE)</f>
        <v>0.09</v>
      </c>
      <c r="O1603">
        <f t="shared" si="152"/>
        <v>38544.75</v>
      </c>
      <c r="P1603" s="7">
        <f t="shared" si="153"/>
        <v>0.91064336775218424</v>
      </c>
      <c r="Q1603" s="7">
        <f t="shared" si="154"/>
        <v>9467.68</v>
      </c>
      <c r="R1603">
        <f t="shared" si="155"/>
        <v>1.7920469065177489</v>
      </c>
    </row>
    <row r="1604" spans="1:18" x14ac:dyDescent="0.25">
      <c r="A1604" t="s">
        <v>928</v>
      </c>
      <c r="B1604" t="s">
        <v>416</v>
      </c>
      <c r="C1604" t="s">
        <v>5</v>
      </c>
      <c r="D1604">
        <v>90212</v>
      </c>
      <c r="E1604" s="1">
        <v>43738</v>
      </c>
      <c r="F1604" s="2">
        <f t="shared" si="150"/>
        <v>2019</v>
      </c>
      <c r="G1604">
        <v>1807</v>
      </c>
      <c r="H1604" s="3">
        <v>26682657</v>
      </c>
      <c r="I1604">
        <v>731358</v>
      </c>
      <c r="J1604">
        <v>26682657</v>
      </c>
      <c r="K1604">
        <v>21476789</v>
      </c>
      <c r="L1604">
        <v>19839151</v>
      </c>
      <c r="M1604" t="str">
        <f t="shared" si="151"/>
        <v>Large</v>
      </c>
      <c r="N1604">
        <f>VLOOKUP(C1604,Lookup!$A$2:$D$5,MATCH(M1604,Lookup!$A$1:$D$1,0),FALSE)</f>
        <v>0.08</v>
      </c>
      <c r="O1604">
        <f t="shared" si="152"/>
        <v>1587132.08</v>
      </c>
      <c r="P1604" s="7">
        <f t="shared" si="153"/>
        <v>0.80489694111047483</v>
      </c>
      <c r="Q1604" s="7">
        <f t="shared" si="154"/>
        <v>14766.273934698394</v>
      </c>
      <c r="R1604">
        <f t="shared" si="155"/>
        <v>0.46080474915484032</v>
      </c>
    </row>
    <row r="1605" spans="1:18" x14ac:dyDescent="0.25">
      <c r="A1605" t="s">
        <v>928</v>
      </c>
      <c r="B1605" t="s">
        <v>416</v>
      </c>
      <c r="C1605" t="s">
        <v>5</v>
      </c>
      <c r="D1605">
        <v>90212</v>
      </c>
      <c r="E1605" s="1">
        <v>44104</v>
      </c>
      <c r="F1605" s="2">
        <f t="shared" si="150"/>
        <v>2020</v>
      </c>
      <c r="G1605">
        <v>1752</v>
      </c>
      <c r="H1605" s="3">
        <v>28403865</v>
      </c>
      <c r="I1605">
        <v>2949816</v>
      </c>
      <c r="J1605">
        <v>28403865</v>
      </c>
      <c r="K1605">
        <v>24643536</v>
      </c>
      <c r="L1605">
        <v>24086958</v>
      </c>
      <c r="M1605" t="str">
        <f t="shared" si="151"/>
        <v>Large</v>
      </c>
      <c r="N1605">
        <f>VLOOKUP(C1605,Lookup!$A$2:$D$5,MATCH(M1605,Lookup!$A$1:$D$1,0),FALSE)</f>
        <v>0.08</v>
      </c>
      <c r="O1605">
        <f t="shared" si="152"/>
        <v>1926956.6400000001</v>
      </c>
      <c r="P1605" s="7">
        <f t="shared" si="153"/>
        <v>0.86761206617479703</v>
      </c>
      <c r="Q1605" s="7">
        <f t="shared" si="154"/>
        <v>16212.251712328767</v>
      </c>
      <c r="R1605">
        <f t="shared" si="155"/>
        <v>1.5308159710329547</v>
      </c>
    </row>
    <row r="1606" spans="1:18" x14ac:dyDescent="0.25">
      <c r="A1606" t="s">
        <v>928</v>
      </c>
      <c r="B1606" t="s">
        <v>416</v>
      </c>
      <c r="C1606" t="s">
        <v>5</v>
      </c>
      <c r="D1606">
        <v>90212</v>
      </c>
      <c r="E1606" s="1">
        <v>44469</v>
      </c>
      <c r="F1606" s="2">
        <f t="shared" si="150"/>
        <v>2021</v>
      </c>
      <c r="G1606">
        <v>2100</v>
      </c>
      <c r="H1606" s="3">
        <v>35841196</v>
      </c>
      <c r="I1606">
        <v>3425757</v>
      </c>
      <c r="J1606">
        <v>35841196</v>
      </c>
      <c r="K1606">
        <v>31673191</v>
      </c>
      <c r="L1606">
        <v>30702591</v>
      </c>
      <c r="M1606" t="str">
        <f t="shared" si="151"/>
        <v>Large</v>
      </c>
      <c r="N1606">
        <f>VLOOKUP(C1606,Lookup!$A$2:$D$5,MATCH(M1606,Lookup!$A$1:$D$1,0),FALSE)</f>
        <v>0.08</v>
      </c>
      <c r="O1606">
        <f t="shared" si="152"/>
        <v>2456207.2800000003</v>
      </c>
      <c r="P1606" s="7">
        <f t="shared" si="153"/>
        <v>0.88370909832361622</v>
      </c>
      <c r="Q1606" s="7">
        <f t="shared" si="154"/>
        <v>17067.236190476189</v>
      </c>
      <c r="R1606">
        <f t="shared" si="155"/>
        <v>1.3947344867408746</v>
      </c>
    </row>
    <row r="1607" spans="1:18" x14ac:dyDescent="0.25">
      <c r="A1607" t="s">
        <v>929</v>
      </c>
      <c r="B1607" t="s">
        <v>930</v>
      </c>
      <c r="C1607" t="s">
        <v>8</v>
      </c>
      <c r="D1607">
        <v>60160</v>
      </c>
      <c r="E1607" s="1">
        <v>43738</v>
      </c>
      <c r="F1607" s="2">
        <f t="shared" si="150"/>
        <v>2019</v>
      </c>
      <c r="G1607">
        <v>57</v>
      </c>
      <c r="H1607" s="3">
        <v>378607</v>
      </c>
      <c r="I1607">
        <v>13677</v>
      </c>
      <c r="J1607">
        <v>378608</v>
      </c>
      <c r="K1607">
        <v>344098</v>
      </c>
      <c r="L1607">
        <v>342931</v>
      </c>
      <c r="M1607" t="str">
        <f t="shared" si="151"/>
        <v>Medium</v>
      </c>
      <c r="N1607">
        <f>VLOOKUP(C1607,Lookup!$A$2:$D$5,MATCH(M1607,Lookup!$A$1:$D$1,0),FALSE)</f>
        <v>0.08</v>
      </c>
      <c r="O1607">
        <f t="shared" si="152"/>
        <v>27434.48</v>
      </c>
      <c r="P1607" s="7">
        <f t="shared" si="153"/>
        <v>0.90885271534863332</v>
      </c>
      <c r="Q1607" s="7">
        <f t="shared" si="154"/>
        <v>6642.2280701754389</v>
      </c>
      <c r="R1607">
        <f t="shared" si="155"/>
        <v>0.49853323263280369</v>
      </c>
    </row>
    <row r="1608" spans="1:18" x14ac:dyDescent="0.25">
      <c r="A1608" t="s">
        <v>929</v>
      </c>
      <c r="B1608" t="s">
        <v>930</v>
      </c>
      <c r="C1608" t="s">
        <v>8</v>
      </c>
      <c r="D1608">
        <v>60160</v>
      </c>
      <c r="E1608" s="1">
        <v>44104</v>
      </c>
      <c r="F1608" s="2">
        <f t="shared" si="150"/>
        <v>2020</v>
      </c>
      <c r="G1608">
        <v>47</v>
      </c>
      <c r="H1608" s="3">
        <v>376017</v>
      </c>
      <c r="I1608">
        <v>26366</v>
      </c>
      <c r="J1608">
        <v>376017</v>
      </c>
      <c r="K1608">
        <v>340786</v>
      </c>
      <c r="L1608">
        <v>335566</v>
      </c>
      <c r="M1608" t="str">
        <f t="shared" si="151"/>
        <v>Medium</v>
      </c>
      <c r="N1608">
        <f>VLOOKUP(C1608,Lookup!$A$2:$D$5,MATCH(M1608,Lookup!$A$1:$D$1,0),FALSE)</f>
        <v>0.08</v>
      </c>
      <c r="O1608">
        <f t="shared" si="152"/>
        <v>26845.279999999999</v>
      </c>
      <c r="P1608" s="7">
        <f t="shared" si="153"/>
        <v>0.90630476813548322</v>
      </c>
      <c r="Q1608" s="7">
        <f t="shared" si="154"/>
        <v>8000.3617021276596</v>
      </c>
      <c r="R1608">
        <f t="shared" si="155"/>
        <v>0.98214658219247486</v>
      </c>
    </row>
    <row r="1609" spans="1:18" x14ac:dyDescent="0.25">
      <c r="A1609" t="s">
        <v>929</v>
      </c>
      <c r="B1609" t="s">
        <v>930</v>
      </c>
      <c r="C1609" t="s">
        <v>8</v>
      </c>
      <c r="D1609">
        <v>60160</v>
      </c>
      <c r="E1609" s="1">
        <v>44469</v>
      </c>
      <c r="F1609" s="2">
        <f t="shared" si="150"/>
        <v>2021</v>
      </c>
      <c r="G1609">
        <v>46</v>
      </c>
      <c r="H1609" s="3">
        <v>420679</v>
      </c>
      <c r="I1609">
        <v>23527</v>
      </c>
      <c r="J1609">
        <v>420679</v>
      </c>
      <c r="K1609">
        <v>383656</v>
      </c>
      <c r="L1609">
        <v>376945</v>
      </c>
      <c r="M1609" t="str">
        <f t="shared" si="151"/>
        <v>Medium</v>
      </c>
      <c r="N1609">
        <f>VLOOKUP(C1609,Lookup!$A$2:$D$5,MATCH(M1609,Lookup!$A$1:$D$1,0),FALSE)</f>
        <v>0.08</v>
      </c>
      <c r="O1609">
        <f t="shared" si="152"/>
        <v>30155.600000000002</v>
      </c>
      <c r="P1609" s="7">
        <f t="shared" si="153"/>
        <v>0.91199227914870962</v>
      </c>
      <c r="Q1609" s="7">
        <f t="shared" si="154"/>
        <v>9145.1956521739139</v>
      </c>
      <c r="R1609">
        <f t="shared" si="155"/>
        <v>0.78018676464736225</v>
      </c>
    </row>
    <row r="1610" spans="1:18" x14ac:dyDescent="0.25">
      <c r="A1610" t="s">
        <v>931</v>
      </c>
      <c r="B1610" t="s">
        <v>932</v>
      </c>
      <c r="C1610" t="s">
        <v>8</v>
      </c>
      <c r="D1610">
        <v>60068</v>
      </c>
      <c r="E1610" s="1">
        <v>43738</v>
      </c>
      <c r="F1610" s="2">
        <f t="shared" si="150"/>
        <v>2019</v>
      </c>
      <c r="G1610">
        <v>25</v>
      </c>
      <c r="H1610" s="3">
        <v>320589</v>
      </c>
      <c r="I1610">
        <v>17716</v>
      </c>
      <c r="J1610">
        <v>320589</v>
      </c>
      <c r="K1610">
        <v>274669</v>
      </c>
      <c r="L1610">
        <v>267786</v>
      </c>
      <c r="M1610" t="str">
        <f t="shared" si="151"/>
        <v>Medium</v>
      </c>
      <c r="N1610">
        <f>VLOOKUP(C1610,Lookup!$A$2:$D$5,MATCH(M1610,Lookup!$A$1:$D$1,0),FALSE)</f>
        <v>0.08</v>
      </c>
      <c r="O1610">
        <f t="shared" si="152"/>
        <v>21422.880000000001</v>
      </c>
      <c r="P1610" s="7">
        <f t="shared" si="153"/>
        <v>0.85676364441699493</v>
      </c>
      <c r="Q1610" s="7">
        <f t="shared" si="154"/>
        <v>12823.56</v>
      </c>
      <c r="R1610">
        <f t="shared" si="155"/>
        <v>0.82696630891831535</v>
      </c>
    </row>
    <row r="1611" spans="1:18" x14ac:dyDescent="0.25">
      <c r="A1611" t="s">
        <v>931</v>
      </c>
      <c r="B1611" t="s">
        <v>932</v>
      </c>
      <c r="C1611" t="s">
        <v>8</v>
      </c>
      <c r="D1611">
        <v>60068</v>
      </c>
      <c r="E1611" s="1">
        <v>44104</v>
      </c>
      <c r="F1611" s="2">
        <f t="shared" si="150"/>
        <v>2020</v>
      </c>
      <c r="G1611">
        <v>26</v>
      </c>
      <c r="H1611" s="3">
        <v>382718</v>
      </c>
      <c r="I1611">
        <v>33231</v>
      </c>
      <c r="J1611">
        <v>382718</v>
      </c>
      <c r="K1611">
        <v>334222</v>
      </c>
      <c r="L1611">
        <v>324091</v>
      </c>
      <c r="M1611" t="str">
        <f t="shared" si="151"/>
        <v>Medium</v>
      </c>
      <c r="N1611">
        <f>VLOOKUP(C1611,Lookup!$A$2:$D$5,MATCH(M1611,Lookup!$A$1:$D$1,0),FALSE)</f>
        <v>0.08</v>
      </c>
      <c r="O1611">
        <f t="shared" si="152"/>
        <v>25927.279999999999</v>
      </c>
      <c r="P1611" s="7">
        <f t="shared" si="153"/>
        <v>0.87328529099754915</v>
      </c>
      <c r="Q1611" s="7">
        <f t="shared" si="154"/>
        <v>14719.923076923076</v>
      </c>
      <c r="R1611">
        <f t="shared" si="155"/>
        <v>1.2817002014866195</v>
      </c>
    </row>
    <row r="1612" spans="1:18" x14ac:dyDescent="0.25">
      <c r="A1612" t="s">
        <v>931</v>
      </c>
      <c r="B1612" t="s">
        <v>932</v>
      </c>
      <c r="C1612" t="s">
        <v>8</v>
      </c>
      <c r="D1612">
        <v>60068</v>
      </c>
      <c r="E1612" s="1">
        <v>44469</v>
      </c>
      <c r="F1612" s="2">
        <f t="shared" si="150"/>
        <v>2021</v>
      </c>
      <c r="G1612">
        <v>29</v>
      </c>
      <c r="H1612" s="3">
        <v>444612</v>
      </c>
      <c r="I1612">
        <v>79586</v>
      </c>
      <c r="J1612">
        <v>444612</v>
      </c>
      <c r="K1612">
        <v>381846</v>
      </c>
      <c r="L1612">
        <v>370532</v>
      </c>
      <c r="M1612" t="str">
        <f t="shared" si="151"/>
        <v>Medium</v>
      </c>
      <c r="N1612">
        <f>VLOOKUP(C1612,Lookup!$A$2:$D$5,MATCH(M1612,Lookup!$A$1:$D$1,0),FALSE)</f>
        <v>0.08</v>
      </c>
      <c r="O1612">
        <f t="shared" si="152"/>
        <v>29642.560000000001</v>
      </c>
      <c r="P1612" s="7">
        <f t="shared" si="153"/>
        <v>0.85882972119510947</v>
      </c>
      <c r="Q1612" s="7">
        <f t="shared" si="154"/>
        <v>15331.448275862069</v>
      </c>
      <c r="R1612">
        <f t="shared" si="155"/>
        <v>2.6848558289162607</v>
      </c>
    </row>
    <row r="1613" spans="1:18" x14ac:dyDescent="0.25">
      <c r="A1613" t="s">
        <v>933</v>
      </c>
      <c r="B1613" t="s">
        <v>934</v>
      </c>
      <c r="C1613" t="s">
        <v>8</v>
      </c>
      <c r="D1613">
        <v>60656</v>
      </c>
      <c r="E1613" s="1">
        <v>43738</v>
      </c>
      <c r="F1613" s="2">
        <f t="shared" si="150"/>
        <v>2019</v>
      </c>
      <c r="G1613">
        <v>322</v>
      </c>
      <c r="H1613" s="3">
        <v>2620907</v>
      </c>
      <c r="I1613">
        <v>272108</v>
      </c>
      <c r="J1613">
        <v>2620907</v>
      </c>
      <c r="K1613">
        <v>2316716</v>
      </c>
      <c r="L1613">
        <v>2114765</v>
      </c>
      <c r="M1613" t="str">
        <f t="shared" si="151"/>
        <v>Large</v>
      </c>
      <c r="N1613">
        <f>VLOOKUP(C1613,Lookup!$A$2:$D$5,MATCH(M1613,Lookup!$A$1:$D$1,0),FALSE)</f>
        <v>7.4999999999999997E-2</v>
      </c>
      <c r="O1613">
        <f t="shared" si="152"/>
        <v>158607.375</v>
      </c>
      <c r="P1613" s="7">
        <f t="shared" si="153"/>
        <v>0.88393674403555711</v>
      </c>
      <c r="Q1613" s="7">
        <f t="shared" si="154"/>
        <v>8139.4627329192544</v>
      </c>
      <c r="R1613">
        <f t="shared" si="155"/>
        <v>1.7156074867262636</v>
      </c>
    </row>
    <row r="1614" spans="1:18" x14ac:dyDescent="0.25">
      <c r="A1614" t="s">
        <v>933</v>
      </c>
      <c r="B1614" t="s">
        <v>934</v>
      </c>
      <c r="C1614" t="s">
        <v>8</v>
      </c>
      <c r="D1614">
        <v>60656</v>
      </c>
      <c r="E1614" s="1">
        <v>44104</v>
      </c>
      <c r="F1614" s="2">
        <f t="shared" si="150"/>
        <v>2020</v>
      </c>
      <c r="G1614">
        <v>289</v>
      </c>
      <c r="H1614" s="3">
        <v>2786955</v>
      </c>
      <c r="I1614">
        <v>332080</v>
      </c>
      <c r="J1614">
        <v>2786955</v>
      </c>
      <c r="K1614">
        <v>2483983</v>
      </c>
      <c r="L1614">
        <v>2111176</v>
      </c>
      <c r="M1614" t="str">
        <f t="shared" si="151"/>
        <v>Large</v>
      </c>
      <c r="N1614">
        <f>VLOOKUP(C1614,Lookup!$A$2:$D$5,MATCH(M1614,Lookup!$A$1:$D$1,0),FALSE)</f>
        <v>7.4999999999999997E-2</v>
      </c>
      <c r="O1614">
        <f t="shared" si="152"/>
        <v>158338.19999999998</v>
      </c>
      <c r="P1614" s="7">
        <f t="shared" si="153"/>
        <v>0.89128923861346887</v>
      </c>
      <c r="Q1614" s="7">
        <f t="shared" si="154"/>
        <v>9643.4429065743952</v>
      </c>
      <c r="R1614">
        <f t="shared" si="155"/>
        <v>2.0972829045675652</v>
      </c>
    </row>
    <row r="1615" spans="1:18" x14ac:dyDescent="0.25">
      <c r="A1615" t="s">
        <v>933</v>
      </c>
      <c r="B1615" t="s">
        <v>934</v>
      </c>
      <c r="C1615" t="s">
        <v>8</v>
      </c>
      <c r="D1615">
        <v>60656</v>
      </c>
      <c r="E1615" s="1">
        <v>44469</v>
      </c>
      <c r="F1615" s="2">
        <f t="shared" si="150"/>
        <v>2021</v>
      </c>
      <c r="G1615">
        <v>302</v>
      </c>
      <c r="H1615" s="3">
        <v>2892278</v>
      </c>
      <c r="I1615">
        <v>393481</v>
      </c>
      <c r="J1615">
        <v>2892278</v>
      </c>
      <c r="K1615">
        <v>2567813</v>
      </c>
      <c r="L1615">
        <v>2290839</v>
      </c>
      <c r="M1615" t="str">
        <f t="shared" si="151"/>
        <v>Large</v>
      </c>
      <c r="N1615">
        <f>VLOOKUP(C1615,Lookup!$A$2:$D$5,MATCH(M1615,Lookup!$A$1:$D$1,0),FALSE)</f>
        <v>7.4999999999999997E-2</v>
      </c>
      <c r="O1615">
        <f t="shared" si="152"/>
        <v>171812.92499999999</v>
      </c>
      <c r="P1615" s="7">
        <f t="shared" si="153"/>
        <v>0.8878168004597069</v>
      </c>
      <c r="Q1615" s="7">
        <f t="shared" si="154"/>
        <v>9577.0794701986761</v>
      </c>
      <c r="R1615">
        <f t="shared" si="155"/>
        <v>2.2901711265319533</v>
      </c>
    </row>
    <row r="1616" spans="1:18" x14ac:dyDescent="0.25">
      <c r="A1616" t="s">
        <v>935</v>
      </c>
      <c r="B1616" t="s">
        <v>936</v>
      </c>
      <c r="C1616" t="s">
        <v>5</v>
      </c>
      <c r="D1616">
        <v>92691</v>
      </c>
      <c r="E1616" s="1">
        <v>43738</v>
      </c>
      <c r="F1616" s="2">
        <f t="shared" si="150"/>
        <v>2019</v>
      </c>
      <c r="G1616">
        <v>39</v>
      </c>
      <c r="H1616" s="3">
        <v>284677</v>
      </c>
      <c r="I1616">
        <v>42683</v>
      </c>
      <c r="J1616">
        <v>284677</v>
      </c>
      <c r="K1616">
        <v>252591</v>
      </c>
      <c r="L1616">
        <v>240966</v>
      </c>
      <c r="M1616" t="str">
        <f t="shared" si="151"/>
        <v>Medium</v>
      </c>
      <c r="N1616">
        <f>VLOOKUP(C1616,Lookup!$A$2:$D$5,MATCH(M1616,Lookup!$A$1:$D$1,0),FALSE)</f>
        <v>0.09</v>
      </c>
      <c r="O1616">
        <f t="shared" si="152"/>
        <v>21686.94</v>
      </c>
      <c r="P1616" s="7">
        <f t="shared" si="153"/>
        <v>0.88728980563937376</v>
      </c>
      <c r="Q1616" s="7">
        <f t="shared" si="154"/>
        <v>7299.4102564102568</v>
      </c>
      <c r="R1616">
        <f t="shared" si="155"/>
        <v>1.9681430390825079</v>
      </c>
    </row>
    <row r="1617" spans="1:18" x14ac:dyDescent="0.25">
      <c r="A1617" t="s">
        <v>935</v>
      </c>
      <c r="B1617" t="s">
        <v>936</v>
      </c>
      <c r="C1617" t="s">
        <v>5</v>
      </c>
      <c r="D1617">
        <v>92691</v>
      </c>
      <c r="E1617" s="1">
        <v>44104</v>
      </c>
      <c r="F1617" s="2">
        <f t="shared" si="150"/>
        <v>2020</v>
      </c>
      <c r="G1617">
        <v>42</v>
      </c>
      <c r="H1617" s="3">
        <v>438080</v>
      </c>
      <c r="I1617">
        <v>72779</v>
      </c>
      <c r="J1617">
        <v>438080</v>
      </c>
      <c r="K1617">
        <v>402898</v>
      </c>
      <c r="L1617">
        <v>321878</v>
      </c>
      <c r="M1617" t="str">
        <f t="shared" si="151"/>
        <v>Medium</v>
      </c>
      <c r="N1617">
        <f>VLOOKUP(C1617,Lookup!$A$2:$D$5,MATCH(M1617,Lookup!$A$1:$D$1,0),FALSE)</f>
        <v>0.09</v>
      </c>
      <c r="O1617">
        <f t="shared" si="152"/>
        <v>28969.02</v>
      </c>
      <c r="P1617" s="7">
        <f t="shared" si="153"/>
        <v>0.91969046749452155</v>
      </c>
      <c r="Q1617" s="7">
        <f t="shared" si="154"/>
        <v>10430.476190476191</v>
      </c>
      <c r="R1617">
        <f t="shared" si="155"/>
        <v>2.51230452393626</v>
      </c>
    </row>
    <row r="1618" spans="1:18" x14ac:dyDescent="0.25">
      <c r="A1618" t="s">
        <v>935</v>
      </c>
      <c r="B1618" t="s">
        <v>936</v>
      </c>
      <c r="C1618" t="s">
        <v>5</v>
      </c>
      <c r="D1618">
        <v>92691</v>
      </c>
      <c r="E1618" s="1">
        <v>44469</v>
      </c>
      <c r="F1618" s="2">
        <f t="shared" si="150"/>
        <v>2021</v>
      </c>
      <c r="G1618">
        <v>39</v>
      </c>
      <c r="H1618" s="3">
        <v>399809</v>
      </c>
      <c r="I1618">
        <v>89109</v>
      </c>
      <c r="J1618">
        <v>399809</v>
      </c>
      <c r="K1618">
        <v>360701</v>
      </c>
      <c r="L1618">
        <v>327491</v>
      </c>
      <c r="M1618" t="str">
        <f t="shared" si="151"/>
        <v>Medium</v>
      </c>
      <c r="N1618">
        <f>VLOOKUP(C1618,Lookup!$A$2:$D$5,MATCH(M1618,Lookup!$A$1:$D$1,0),FALSE)</f>
        <v>0.09</v>
      </c>
      <c r="O1618">
        <f t="shared" si="152"/>
        <v>29474.19</v>
      </c>
      <c r="P1618" s="7">
        <f t="shared" si="153"/>
        <v>0.90218329252217933</v>
      </c>
      <c r="Q1618" s="7">
        <f t="shared" si="154"/>
        <v>10251.51282051282</v>
      </c>
      <c r="R1618">
        <f t="shared" si="155"/>
        <v>3.0232891896265852</v>
      </c>
    </row>
    <row r="1619" spans="1:18" x14ac:dyDescent="0.25">
      <c r="A1619" t="s">
        <v>937</v>
      </c>
      <c r="B1619" t="s">
        <v>36</v>
      </c>
      <c r="C1619" t="s">
        <v>17</v>
      </c>
      <c r="D1619">
        <v>13126</v>
      </c>
      <c r="E1619" s="1">
        <v>43738</v>
      </c>
      <c r="F1619" s="2">
        <f t="shared" si="150"/>
        <v>2019</v>
      </c>
      <c r="G1619">
        <v>154</v>
      </c>
      <c r="H1619" s="3">
        <v>1052290</v>
      </c>
      <c r="I1619">
        <v>39769</v>
      </c>
      <c r="J1619">
        <v>1052290</v>
      </c>
      <c r="K1619">
        <v>971436</v>
      </c>
      <c r="L1619">
        <v>882300</v>
      </c>
      <c r="M1619" t="str">
        <f t="shared" si="151"/>
        <v>Large</v>
      </c>
      <c r="N1619">
        <f>VLOOKUP(C1619,Lookup!$A$2:$D$5,MATCH(M1619,Lookup!$A$1:$D$1,0),FALSE)</f>
        <v>0.08</v>
      </c>
      <c r="O1619">
        <f t="shared" si="152"/>
        <v>70584</v>
      </c>
      <c r="P1619" s="7">
        <f t="shared" si="153"/>
        <v>0.9231637666422754</v>
      </c>
      <c r="Q1619" s="7">
        <f t="shared" si="154"/>
        <v>6833.0519480519479</v>
      </c>
      <c r="R1619">
        <f t="shared" si="155"/>
        <v>0.56342797234500741</v>
      </c>
    </row>
    <row r="1620" spans="1:18" x14ac:dyDescent="0.25">
      <c r="A1620" t="s">
        <v>937</v>
      </c>
      <c r="B1620" t="s">
        <v>36</v>
      </c>
      <c r="C1620" t="s">
        <v>17</v>
      </c>
      <c r="D1620">
        <v>13126</v>
      </c>
      <c r="E1620" s="1">
        <v>44104</v>
      </c>
      <c r="F1620" s="2">
        <f t="shared" si="150"/>
        <v>2020</v>
      </c>
      <c r="G1620">
        <v>161</v>
      </c>
      <c r="H1620" s="3">
        <v>1196978</v>
      </c>
      <c r="I1620">
        <v>38976</v>
      </c>
      <c r="J1620">
        <v>1196978</v>
      </c>
      <c r="K1620">
        <v>1098606</v>
      </c>
      <c r="L1620">
        <v>1007461</v>
      </c>
      <c r="M1620" t="str">
        <f t="shared" si="151"/>
        <v>Large</v>
      </c>
      <c r="N1620">
        <f>VLOOKUP(C1620,Lookup!$A$2:$D$5,MATCH(M1620,Lookup!$A$1:$D$1,0),FALSE)</f>
        <v>0.08</v>
      </c>
      <c r="O1620">
        <f t="shared" si="152"/>
        <v>80596.88</v>
      </c>
      <c r="P1620" s="7">
        <f t="shared" si="153"/>
        <v>0.91781636755228579</v>
      </c>
      <c r="Q1620" s="7">
        <f t="shared" si="154"/>
        <v>7434.6459627329195</v>
      </c>
      <c r="R1620">
        <f t="shared" si="155"/>
        <v>0.48359192067980794</v>
      </c>
    </row>
    <row r="1621" spans="1:18" x14ac:dyDescent="0.25">
      <c r="A1621" t="s">
        <v>937</v>
      </c>
      <c r="B1621" t="s">
        <v>36</v>
      </c>
      <c r="C1621" t="s">
        <v>17</v>
      </c>
      <c r="D1621">
        <v>13126</v>
      </c>
      <c r="E1621" s="1">
        <v>44469</v>
      </c>
      <c r="F1621" s="2">
        <f t="shared" si="150"/>
        <v>2021</v>
      </c>
      <c r="G1621">
        <v>157</v>
      </c>
      <c r="H1621" s="3">
        <v>1257968</v>
      </c>
      <c r="I1621">
        <v>75235</v>
      </c>
      <c r="J1621">
        <v>1257968</v>
      </c>
      <c r="K1621">
        <v>1140128</v>
      </c>
      <c r="L1621">
        <v>1061310</v>
      </c>
      <c r="M1621" t="str">
        <f t="shared" si="151"/>
        <v>Large</v>
      </c>
      <c r="N1621">
        <f>VLOOKUP(C1621,Lookup!$A$2:$D$5,MATCH(M1621,Lookup!$A$1:$D$1,0),FALSE)</f>
        <v>0.08</v>
      </c>
      <c r="O1621">
        <f t="shared" si="152"/>
        <v>84904.8</v>
      </c>
      <c r="P1621" s="7">
        <f t="shared" si="153"/>
        <v>0.90632512114775576</v>
      </c>
      <c r="Q1621" s="7">
        <f t="shared" si="154"/>
        <v>8012.5350318471337</v>
      </c>
      <c r="R1621">
        <f t="shared" si="155"/>
        <v>0.88611009036002675</v>
      </c>
    </row>
    <row r="1622" spans="1:18" x14ac:dyDescent="0.25">
      <c r="A1622" t="s">
        <v>938</v>
      </c>
      <c r="B1622" t="s">
        <v>895</v>
      </c>
      <c r="C1622" t="s">
        <v>20</v>
      </c>
      <c r="D1622">
        <v>1801</v>
      </c>
      <c r="E1622" s="1">
        <v>43738</v>
      </c>
      <c r="F1622" s="2">
        <f t="shared" si="150"/>
        <v>2019</v>
      </c>
      <c r="G1622">
        <v>21</v>
      </c>
      <c r="H1622" s="3">
        <v>187158</v>
      </c>
      <c r="I1622">
        <v>46185</v>
      </c>
      <c r="J1622">
        <v>187157</v>
      </c>
      <c r="K1622">
        <v>161495</v>
      </c>
      <c r="L1622">
        <v>159957</v>
      </c>
      <c r="M1622" t="str">
        <f t="shared" si="151"/>
        <v>Medium</v>
      </c>
      <c r="N1622">
        <f>VLOOKUP(C1622,Lookup!$A$2:$D$5,MATCH(M1622,Lookup!$A$1:$D$1,0),FALSE)</f>
        <v>8.5000000000000006E-2</v>
      </c>
      <c r="O1622">
        <f t="shared" si="152"/>
        <v>13596.345000000001</v>
      </c>
      <c r="P1622" s="7">
        <f t="shared" si="153"/>
        <v>0.86288056080958331</v>
      </c>
      <c r="Q1622" s="7">
        <f t="shared" si="154"/>
        <v>8912.2857142857138</v>
      </c>
      <c r="R1622">
        <f t="shared" si="155"/>
        <v>3.3968687908404793</v>
      </c>
    </row>
    <row r="1623" spans="1:18" x14ac:dyDescent="0.25">
      <c r="A1623" t="s">
        <v>938</v>
      </c>
      <c r="B1623" t="s">
        <v>895</v>
      </c>
      <c r="C1623" t="s">
        <v>20</v>
      </c>
      <c r="D1623">
        <v>1801</v>
      </c>
      <c r="E1623" s="1">
        <v>44104</v>
      </c>
      <c r="F1623" s="2">
        <f t="shared" si="150"/>
        <v>2020</v>
      </c>
      <c r="G1623">
        <v>26</v>
      </c>
      <c r="H1623" s="3">
        <v>197706</v>
      </c>
      <c r="I1623">
        <v>64094</v>
      </c>
      <c r="J1623">
        <v>197706</v>
      </c>
      <c r="K1623">
        <v>169835</v>
      </c>
      <c r="L1623">
        <v>168579</v>
      </c>
      <c r="M1623" t="str">
        <f t="shared" si="151"/>
        <v>Medium</v>
      </c>
      <c r="N1623">
        <f>VLOOKUP(C1623,Lookup!$A$2:$D$5,MATCH(M1623,Lookup!$A$1:$D$1,0),FALSE)</f>
        <v>8.5000000000000006E-2</v>
      </c>
      <c r="O1623">
        <f t="shared" si="152"/>
        <v>14329.215</v>
      </c>
      <c r="P1623" s="7">
        <f t="shared" si="153"/>
        <v>0.85902805175361396</v>
      </c>
      <c r="Q1623" s="7">
        <f t="shared" si="154"/>
        <v>7604.0769230769229</v>
      </c>
      <c r="R1623">
        <f t="shared" si="155"/>
        <v>4.4729596143263954</v>
      </c>
    </row>
    <row r="1624" spans="1:18" x14ac:dyDescent="0.25">
      <c r="A1624" t="s">
        <v>938</v>
      </c>
      <c r="B1624" t="s">
        <v>895</v>
      </c>
      <c r="C1624" t="s">
        <v>20</v>
      </c>
      <c r="D1624">
        <v>1801</v>
      </c>
      <c r="E1624" s="1">
        <v>44469</v>
      </c>
      <c r="F1624" s="2">
        <f t="shared" si="150"/>
        <v>2021</v>
      </c>
      <c r="G1624">
        <v>24</v>
      </c>
      <c r="H1624" s="3">
        <v>215694</v>
      </c>
      <c r="I1624">
        <v>80437</v>
      </c>
      <c r="J1624">
        <v>215694</v>
      </c>
      <c r="K1624">
        <v>185219</v>
      </c>
      <c r="L1624">
        <v>183541</v>
      </c>
      <c r="M1624" t="str">
        <f t="shared" si="151"/>
        <v>Medium</v>
      </c>
      <c r="N1624">
        <f>VLOOKUP(C1624,Lookup!$A$2:$D$5,MATCH(M1624,Lookup!$A$1:$D$1,0),FALSE)</f>
        <v>8.5000000000000006E-2</v>
      </c>
      <c r="O1624">
        <f t="shared" si="152"/>
        <v>15600.985000000001</v>
      </c>
      <c r="P1624" s="7">
        <f t="shared" si="153"/>
        <v>0.85871187886542977</v>
      </c>
      <c r="Q1624" s="7">
        <f t="shared" si="154"/>
        <v>8987.25</v>
      </c>
      <c r="R1624">
        <f t="shared" si="155"/>
        <v>5.1558924003836939</v>
      </c>
    </row>
    <row r="1625" spans="1:18" x14ac:dyDescent="0.25">
      <c r="A1625" t="s">
        <v>939</v>
      </c>
      <c r="B1625" t="s">
        <v>940</v>
      </c>
      <c r="C1625" t="s">
        <v>17</v>
      </c>
      <c r="D1625">
        <v>10509</v>
      </c>
      <c r="E1625" s="1">
        <v>43738</v>
      </c>
      <c r="F1625" s="2">
        <f t="shared" si="150"/>
        <v>2019</v>
      </c>
      <c r="G1625">
        <v>173</v>
      </c>
      <c r="H1625" s="3">
        <v>1655453</v>
      </c>
      <c r="I1625">
        <v>34066</v>
      </c>
      <c r="J1625">
        <v>1655453</v>
      </c>
      <c r="K1625">
        <v>1440913</v>
      </c>
      <c r="L1625">
        <v>1293568</v>
      </c>
      <c r="M1625" t="str">
        <f t="shared" si="151"/>
        <v>Large</v>
      </c>
      <c r="N1625">
        <f>VLOOKUP(C1625,Lookup!$A$2:$D$5,MATCH(M1625,Lookup!$A$1:$D$1,0),FALSE)</f>
        <v>0.08</v>
      </c>
      <c r="O1625">
        <f t="shared" si="152"/>
        <v>103485.44</v>
      </c>
      <c r="P1625" s="7">
        <f t="shared" si="153"/>
        <v>0.87040405254634234</v>
      </c>
      <c r="Q1625" s="7">
        <f t="shared" si="154"/>
        <v>9569.0924855491321</v>
      </c>
      <c r="R1625">
        <f t="shared" si="155"/>
        <v>0.3291864053532555</v>
      </c>
    </row>
    <row r="1626" spans="1:18" x14ac:dyDescent="0.25">
      <c r="A1626" t="s">
        <v>939</v>
      </c>
      <c r="B1626" t="s">
        <v>940</v>
      </c>
      <c r="C1626" t="s">
        <v>17</v>
      </c>
      <c r="D1626">
        <v>10509</v>
      </c>
      <c r="E1626" s="1">
        <v>44104</v>
      </c>
      <c r="F1626" s="2">
        <f t="shared" si="150"/>
        <v>2020</v>
      </c>
      <c r="G1626">
        <v>168</v>
      </c>
      <c r="H1626" s="3">
        <v>1790028</v>
      </c>
      <c r="I1626">
        <v>160836</v>
      </c>
      <c r="J1626">
        <v>1790028</v>
      </c>
      <c r="K1626">
        <v>1566625</v>
      </c>
      <c r="L1626">
        <v>1421949</v>
      </c>
      <c r="M1626" t="str">
        <f t="shared" si="151"/>
        <v>Large</v>
      </c>
      <c r="N1626">
        <f>VLOOKUP(C1626,Lookup!$A$2:$D$5,MATCH(M1626,Lookup!$A$1:$D$1,0),FALSE)</f>
        <v>0.08</v>
      </c>
      <c r="O1626">
        <f t="shared" si="152"/>
        <v>113755.92</v>
      </c>
      <c r="P1626" s="7">
        <f t="shared" si="153"/>
        <v>0.87519580699296329</v>
      </c>
      <c r="Q1626" s="7">
        <f t="shared" si="154"/>
        <v>10654.928571428571</v>
      </c>
      <c r="R1626">
        <f t="shared" si="155"/>
        <v>1.41386927379252</v>
      </c>
    </row>
    <row r="1627" spans="1:18" x14ac:dyDescent="0.25">
      <c r="A1627" t="s">
        <v>939</v>
      </c>
      <c r="B1627" t="s">
        <v>940</v>
      </c>
      <c r="C1627" t="s">
        <v>17</v>
      </c>
      <c r="D1627">
        <v>10509</v>
      </c>
      <c r="E1627" s="1">
        <v>44469</v>
      </c>
      <c r="F1627" s="2">
        <f t="shared" si="150"/>
        <v>2021</v>
      </c>
      <c r="G1627">
        <v>162</v>
      </c>
      <c r="H1627" s="3">
        <v>1872147</v>
      </c>
      <c r="I1627">
        <v>145174</v>
      </c>
      <c r="J1627">
        <v>1872147</v>
      </c>
      <c r="K1627">
        <v>1631237</v>
      </c>
      <c r="L1627">
        <v>1534609</v>
      </c>
      <c r="M1627" t="str">
        <f t="shared" si="151"/>
        <v>Large</v>
      </c>
      <c r="N1627">
        <f>VLOOKUP(C1627,Lookup!$A$2:$D$5,MATCH(M1627,Lookup!$A$1:$D$1,0),FALSE)</f>
        <v>0.08</v>
      </c>
      <c r="O1627">
        <f t="shared" si="152"/>
        <v>122768.72</v>
      </c>
      <c r="P1627" s="7">
        <f t="shared" si="153"/>
        <v>0.87131886545233894</v>
      </c>
      <c r="Q1627" s="7">
        <f t="shared" si="154"/>
        <v>11556.462962962964</v>
      </c>
      <c r="R1627">
        <f t="shared" si="155"/>
        <v>1.1824999071424709</v>
      </c>
    </row>
    <row r="1628" spans="1:18" x14ac:dyDescent="0.25">
      <c r="A1628" t="s">
        <v>941</v>
      </c>
      <c r="B1628" t="s">
        <v>681</v>
      </c>
      <c r="C1628" t="s">
        <v>20</v>
      </c>
      <c r="D1628">
        <v>1830</v>
      </c>
      <c r="E1628" s="1">
        <v>43738</v>
      </c>
      <c r="F1628" s="2">
        <f t="shared" si="150"/>
        <v>2019</v>
      </c>
      <c r="G1628">
        <v>133</v>
      </c>
      <c r="H1628" s="3">
        <v>793703</v>
      </c>
      <c r="I1628">
        <v>21970</v>
      </c>
      <c r="J1628">
        <v>793703</v>
      </c>
      <c r="K1628">
        <v>698365</v>
      </c>
      <c r="L1628">
        <v>653690</v>
      </c>
      <c r="M1628" t="str">
        <f t="shared" si="151"/>
        <v>Medium</v>
      </c>
      <c r="N1628">
        <f>VLOOKUP(C1628,Lookup!$A$2:$D$5,MATCH(M1628,Lookup!$A$1:$D$1,0),FALSE)</f>
        <v>8.5000000000000006E-2</v>
      </c>
      <c r="O1628">
        <f t="shared" si="152"/>
        <v>55563.65</v>
      </c>
      <c r="P1628" s="7">
        <f t="shared" si="153"/>
        <v>0.87988202136063487</v>
      </c>
      <c r="Q1628" s="7">
        <f t="shared" si="154"/>
        <v>5967.6917293233082</v>
      </c>
      <c r="R1628">
        <f t="shared" si="155"/>
        <v>0.39540238987179566</v>
      </c>
    </row>
    <row r="1629" spans="1:18" x14ac:dyDescent="0.25">
      <c r="A1629" t="s">
        <v>941</v>
      </c>
      <c r="B1629" t="s">
        <v>681</v>
      </c>
      <c r="C1629" t="s">
        <v>20</v>
      </c>
      <c r="D1629">
        <v>1830</v>
      </c>
      <c r="E1629" s="1">
        <v>44104</v>
      </c>
      <c r="F1629" s="2">
        <f t="shared" si="150"/>
        <v>2020</v>
      </c>
      <c r="G1629">
        <v>118</v>
      </c>
      <c r="H1629" s="3">
        <v>890499</v>
      </c>
      <c r="I1629">
        <v>33303</v>
      </c>
      <c r="J1629">
        <v>890499</v>
      </c>
      <c r="K1629">
        <v>793065</v>
      </c>
      <c r="L1629">
        <v>724775</v>
      </c>
      <c r="M1629" t="str">
        <f t="shared" si="151"/>
        <v>Medium</v>
      </c>
      <c r="N1629">
        <f>VLOOKUP(C1629,Lookup!$A$2:$D$5,MATCH(M1629,Lookup!$A$1:$D$1,0),FALSE)</f>
        <v>8.5000000000000006E-2</v>
      </c>
      <c r="O1629">
        <f t="shared" si="152"/>
        <v>61605.875000000007</v>
      </c>
      <c r="P1629" s="7">
        <f t="shared" si="153"/>
        <v>0.89058494170122593</v>
      </c>
      <c r="Q1629" s="7">
        <f t="shared" si="154"/>
        <v>7546.6016949152545</v>
      </c>
      <c r="R1629">
        <f t="shared" si="155"/>
        <v>0.54058155979441891</v>
      </c>
    </row>
    <row r="1630" spans="1:18" x14ac:dyDescent="0.25">
      <c r="A1630" t="s">
        <v>941</v>
      </c>
      <c r="B1630" t="s">
        <v>681</v>
      </c>
      <c r="C1630" t="s">
        <v>20</v>
      </c>
      <c r="D1630">
        <v>1830</v>
      </c>
      <c r="E1630" s="1">
        <v>44469</v>
      </c>
      <c r="F1630" s="2">
        <f t="shared" si="150"/>
        <v>2021</v>
      </c>
      <c r="G1630">
        <v>117</v>
      </c>
      <c r="H1630" s="3">
        <v>932686</v>
      </c>
      <c r="I1630">
        <v>44508</v>
      </c>
      <c r="J1630">
        <v>932686</v>
      </c>
      <c r="K1630">
        <v>825094</v>
      </c>
      <c r="L1630">
        <v>777773</v>
      </c>
      <c r="M1630" t="str">
        <f t="shared" si="151"/>
        <v>Medium</v>
      </c>
      <c r="N1630">
        <f>VLOOKUP(C1630,Lookup!$A$2:$D$5,MATCH(M1630,Lookup!$A$1:$D$1,0),FALSE)</f>
        <v>8.5000000000000006E-2</v>
      </c>
      <c r="O1630">
        <f t="shared" si="152"/>
        <v>66110.705000000002</v>
      </c>
      <c r="P1630" s="7">
        <f t="shared" si="153"/>
        <v>0.88464284871864696</v>
      </c>
      <c r="Q1630" s="7">
        <f t="shared" si="154"/>
        <v>7971.6752136752139</v>
      </c>
      <c r="R1630">
        <f t="shared" si="155"/>
        <v>0.67323438768350752</v>
      </c>
    </row>
    <row r="1631" spans="1:18" x14ac:dyDescent="0.25">
      <c r="A1631" t="s">
        <v>942</v>
      </c>
      <c r="B1631" t="s">
        <v>799</v>
      </c>
      <c r="C1631" t="s">
        <v>8</v>
      </c>
      <c r="D1631">
        <v>60435</v>
      </c>
      <c r="E1631" s="1">
        <v>43738</v>
      </c>
      <c r="F1631" s="2">
        <f t="shared" si="150"/>
        <v>2019</v>
      </c>
      <c r="G1631">
        <v>29</v>
      </c>
      <c r="H1631" s="3">
        <v>138482</v>
      </c>
      <c r="I1631">
        <v>12204</v>
      </c>
      <c r="J1631">
        <v>138482</v>
      </c>
      <c r="K1631">
        <v>120945</v>
      </c>
      <c r="L1631">
        <v>109620</v>
      </c>
      <c r="M1631" t="str">
        <f t="shared" si="151"/>
        <v>Medium</v>
      </c>
      <c r="N1631">
        <f>VLOOKUP(C1631,Lookup!$A$2:$D$5,MATCH(M1631,Lookup!$A$1:$D$1,0),FALSE)</f>
        <v>0.08</v>
      </c>
      <c r="O1631">
        <f t="shared" si="152"/>
        <v>8769.6</v>
      </c>
      <c r="P1631" s="7">
        <f t="shared" si="153"/>
        <v>0.87336260308198899</v>
      </c>
      <c r="Q1631" s="7">
        <f t="shared" si="154"/>
        <v>4775.2413793103451</v>
      </c>
      <c r="R1631">
        <f t="shared" si="155"/>
        <v>1.3916256157635467</v>
      </c>
    </row>
    <row r="1632" spans="1:18" x14ac:dyDescent="0.25">
      <c r="A1632" t="s">
        <v>942</v>
      </c>
      <c r="B1632" t="s">
        <v>799</v>
      </c>
      <c r="C1632" t="s">
        <v>8</v>
      </c>
      <c r="D1632">
        <v>60435</v>
      </c>
      <c r="E1632" s="1">
        <v>44104</v>
      </c>
      <c r="F1632" s="2">
        <f t="shared" si="150"/>
        <v>2020</v>
      </c>
      <c r="G1632">
        <v>29</v>
      </c>
      <c r="H1632" s="3">
        <v>172089</v>
      </c>
      <c r="I1632">
        <v>34697</v>
      </c>
      <c r="J1632">
        <v>172089</v>
      </c>
      <c r="K1632">
        <v>153034</v>
      </c>
      <c r="L1632">
        <v>139679</v>
      </c>
      <c r="M1632" t="str">
        <f t="shared" si="151"/>
        <v>Medium</v>
      </c>
      <c r="N1632">
        <f>VLOOKUP(C1632,Lookup!$A$2:$D$5,MATCH(M1632,Lookup!$A$1:$D$1,0),FALSE)</f>
        <v>0.08</v>
      </c>
      <c r="O1632">
        <f t="shared" si="152"/>
        <v>11174.32</v>
      </c>
      <c r="P1632" s="7">
        <f t="shared" si="153"/>
        <v>0.88927241136853608</v>
      </c>
      <c r="Q1632" s="7">
        <f t="shared" si="154"/>
        <v>5934.1034482758623</v>
      </c>
      <c r="R1632">
        <f t="shared" si="155"/>
        <v>3.105065901101812</v>
      </c>
    </row>
    <row r="1633" spans="1:18" x14ac:dyDescent="0.25">
      <c r="A1633" t="s">
        <v>942</v>
      </c>
      <c r="B1633" t="s">
        <v>799</v>
      </c>
      <c r="C1633" t="s">
        <v>8</v>
      </c>
      <c r="D1633">
        <v>60435</v>
      </c>
      <c r="E1633" s="1">
        <v>44469</v>
      </c>
      <c r="F1633" s="2">
        <f t="shared" si="150"/>
        <v>2021</v>
      </c>
      <c r="G1633">
        <v>30</v>
      </c>
      <c r="H1633" s="3">
        <v>209900</v>
      </c>
      <c r="I1633">
        <v>45192</v>
      </c>
      <c r="J1633">
        <v>209900</v>
      </c>
      <c r="K1633">
        <v>188036</v>
      </c>
      <c r="L1633">
        <v>175430</v>
      </c>
      <c r="M1633" t="str">
        <f t="shared" si="151"/>
        <v>Medium</v>
      </c>
      <c r="N1633">
        <f>VLOOKUP(C1633,Lookup!$A$2:$D$5,MATCH(M1633,Lookup!$A$1:$D$1,0),FALSE)</f>
        <v>0.08</v>
      </c>
      <c r="O1633">
        <f t="shared" si="152"/>
        <v>14034.4</v>
      </c>
      <c r="P1633" s="7">
        <f t="shared" si="153"/>
        <v>0.89583611243449257</v>
      </c>
      <c r="Q1633" s="7">
        <f t="shared" si="154"/>
        <v>6996.666666666667</v>
      </c>
      <c r="R1633">
        <f t="shared" si="155"/>
        <v>3.2200877843014308</v>
      </c>
    </row>
    <row r="1634" spans="1:18" x14ac:dyDescent="0.25">
      <c r="A1634" t="s">
        <v>943</v>
      </c>
      <c r="B1634" t="s">
        <v>542</v>
      </c>
      <c r="C1634" t="s">
        <v>8</v>
      </c>
      <c r="D1634">
        <v>62557</v>
      </c>
      <c r="E1634" s="1">
        <v>43738</v>
      </c>
      <c r="F1634" s="2">
        <f t="shared" si="150"/>
        <v>2019</v>
      </c>
      <c r="G1634">
        <v>76</v>
      </c>
      <c r="H1634" s="3">
        <v>429232</v>
      </c>
      <c r="I1634">
        <v>8476</v>
      </c>
      <c r="J1634">
        <v>429232</v>
      </c>
      <c r="K1634">
        <v>385683</v>
      </c>
      <c r="L1634">
        <v>377511</v>
      </c>
      <c r="M1634" t="str">
        <f t="shared" si="151"/>
        <v>Medium</v>
      </c>
      <c r="N1634">
        <f>VLOOKUP(C1634,Lookup!$A$2:$D$5,MATCH(M1634,Lookup!$A$1:$D$1,0),FALSE)</f>
        <v>0.08</v>
      </c>
      <c r="O1634">
        <f t="shared" si="152"/>
        <v>30200.880000000001</v>
      </c>
      <c r="P1634" s="7">
        <f t="shared" si="153"/>
        <v>0.89854204719126252</v>
      </c>
      <c r="Q1634" s="7">
        <f t="shared" si="154"/>
        <v>5647.7894736842109</v>
      </c>
      <c r="R1634">
        <f t="shared" si="155"/>
        <v>0.28065407365613187</v>
      </c>
    </row>
    <row r="1635" spans="1:18" x14ac:dyDescent="0.25">
      <c r="A1635" t="s">
        <v>943</v>
      </c>
      <c r="B1635" t="s">
        <v>542</v>
      </c>
      <c r="C1635" t="s">
        <v>8</v>
      </c>
      <c r="D1635">
        <v>62557</v>
      </c>
      <c r="E1635" s="1">
        <v>44104</v>
      </c>
      <c r="F1635" s="2">
        <f t="shared" si="150"/>
        <v>2020</v>
      </c>
      <c r="G1635">
        <v>68</v>
      </c>
      <c r="H1635" s="3">
        <v>479962</v>
      </c>
      <c r="I1635">
        <v>8390</v>
      </c>
      <c r="J1635">
        <v>479962</v>
      </c>
      <c r="K1635">
        <v>435472</v>
      </c>
      <c r="L1635">
        <v>410211</v>
      </c>
      <c r="M1635" t="str">
        <f t="shared" si="151"/>
        <v>Medium</v>
      </c>
      <c r="N1635">
        <f>VLOOKUP(C1635,Lookup!$A$2:$D$5,MATCH(M1635,Lookup!$A$1:$D$1,0),FALSE)</f>
        <v>0.08</v>
      </c>
      <c r="O1635">
        <f t="shared" si="152"/>
        <v>32816.879999999997</v>
      </c>
      <c r="P1635" s="7">
        <f t="shared" si="153"/>
        <v>0.90730516165863129</v>
      </c>
      <c r="Q1635" s="7">
        <f t="shared" si="154"/>
        <v>7058.2647058823532</v>
      </c>
      <c r="R1635">
        <f t="shared" si="155"/>
        <v>0.25566111098922262</v>
      </c>
    </row>
    <row r="1636" spans="1:18" x14ac:dyDescent="0.25">
      <c r="A1636" t="s">
        <v>943</v>
      </c>
      <c r="B1636" t="s">
        <v>542</v>
      </c>
      <c r="C1636" t="s">
        <v>8</v>
      </c>
      <c r="D1636">
        <v>62557</v>
      </c>
      <c r="E1636" s="1">
        <v>44469</v>
      </c>
      <c r="F1636" s="2">
        <f t="shared" si="150"/>
        <v>2021</v>
      </c>
      <c r="G1636">
        <v>64</v>
      </c>
      <c r="H1636" s="3">
        <v>559429</v>
      </c>
      <c r="I1636">
        <v>7205</v>
      </c>
      <c r="J1636">
        <v>559429</v>
      </c>
      <c r="K1636">
        <v>509260</v>
      </c>
      <c r="L1636">
        <v>474024</v>
      </c>
      <c r="M1636" t="str">
        <f t="shared" si="151"/>
        <v>Medium</v>
      </c>
      <c r="N1636">
        <f>VLOOKUP(C1636,Lookup!$A$2:$D$5,MATCH(M1636,Lookup!$A$1:$D$1,0),FALSE)</f>
        <v>0.08</v>
      </c>
      <c r="O1636">
        <f t="shared" si="152"/>
        <v>37921.919999999998</v>
      </c>
      <c r="P1636" s="7">
        <f t="shared" si="153"/>
        <v>0.91032105950889208</v>
      </c>
      <c r="Q1636" s="7">
        <f t="shared" si="154"/>
        <v>8741.078125</v>
      </c>
      <c r="R1636">
        <f t="shared" si="155"/>
        <v>0.18999565422847789</v>
      </c>
    </row>
    <row r="1637" spans="1:18" x14ac:dyDescent="0.25">
      <c r="A1637" t="s">
        <v>944</v>
      </c>
      <c r="B1637" t="s">
        <v>851</v>
      </c>
      <c r="C1637" t="s">
        <v>8</v>
      </c>
      <c r="D1637">
        <v>60914</v>
      </c>
      <c r="E1637" s="1">
        <v>43738</v>
      </c>
      <c r="F1637" s="2">
        <f t="shared" si="150"/>
        <v>2019</v>
      </c>
      <c r="G1637">
        <v>53</v>
      </c>
      <c r="H1637" s="3">
        <v>220922</v>
      </c>
      <c r="I1637">
        <v>27205</v>
      </c>
      <c r="J1637">
        <v>220922</v>
      </c>
      <c r="K1637">
        <v>202867</v>
      </c>
      <c r="L1637">
        <v>168527</v>
      </c>
      <c r="M1637" t="str">
        <f t="shared" si="151"/>
        <v>Medium</v>
      </c>
      <c r="N1637">
        <f>VLOOKUP(C1637,Lookup!$A$2:$D$5,MATCH(M1637,Lookup!$A$1:$D$1,0),FALSE)</f>
        <v>0.08</v>
      </c>
      <c r="O1637">
        <f t="shared" si="152"/>
        <v>13482.16</v>
      </c>
      <c r="P1637" s="7">
        <f t="shared" si="153"/>
        <v>0.91827432306424894</v>
      </c>
      <c r="Q1637" s="7">
        <f t="shared" si="154"/>
        <v>4168.3396226415098</v>
      </c>
      <c r="R1637">
        <f t="shared" si="155"/>
        <v>2.0178517388905042</v>
      </c>
    </row>
    <row r="1638" spans="1:18" x14ac:dyDescent="0.25">
      <c r="A1638" t="s">
        <v>944</v>
      </c>
      <c r="B1638" t="s">
        <v>851</v>
      </c>
      <c r="C1638" t="s">
        <v>8</v>
      </c>
      <c r="D1638">
        <v>60914</v>
      </c>
      <c r="E1638" s="1">
        <v>44104</v>
      </c>
      <c r="F1638" s="2">
        <f t="shared" si="150"/>
        <v>2020</v>
      </c>
      <c r="G1638">
        <v>50</v>
      </c>
      <c r="H1638" s="3">
        <v>275316</v>
      </c>
      <c r="I1638">
        <v>25284</v>
      </c>
      <c r="J1638">
        <v>275316</v>
      </c>
      <c r="K1638">
        <v>252890</v>
      </c>
      <c r="L1638">
        <v>221675</v>
      </c>
      <c r="M1638" t="str">
        <f t="shared" si="151"/>
        <v>Medium</v>
      </c>
      <c r="N1638">
        <f>VLOOKUP(C1638,Lookup!$A$2:$D$5,MATCH(M1638,Lookup!$A$1:$D$1,0),FALSE)</f>
        <v>0.08</v>
      </c>
      <c r="O1638">
        <f t="shared" si="152"/>
        <v>17734</v>
      </c>
      <c r="P1638" s="7">
        <f t="shared" si="153"/>
        <v>0.91854450885527905</v>
      </c>
      <c r="Q1638" s="7">
        <f t="shared" si="154"/>
        <v>5506.32</v>
      </c>
      <c r="R1638">
        <f t="shared" si="155"/>
        <v>1.4257358745911808</v>
      </c>
    </row>
    <row r="1639" spans="1:18" x14ac:dyDescent="0.25">
      <c r="A1639" t="s">
        <v>944</v>
      </c>
      <c r="B1639" t="s">
        <v>851</v>
      </c>
      <c r="C1639" t="s">
        <v>8</v>
      </c>
      <c r="D1639">
        <v>60914</v>
      </c>
      <c r="E1639" s="1">
        <v>44469</v>
      </c>
      <c r="F1639" s="2">
        <f t="shared" si="150"/>
        <v>2021</v>
      </c>
      <c r="G1639">
        <v>53</v>
      </c>
      <c r="H1639" s="3">
        <v>314303</v>
      </c>
      <c r="I1639">
        <v>42560</v>
      </c>
      <c r="J1639">
        <v>314303</v>
      </c>
      <c r="K1639">
        <v>290664</v>
      </c>
      <c r="L1639">
        <v>254409</v>
      </c>
      <c r="M1639" t="str">
        <f t="shared" si="151"/>
        <v>Medium</v>
      </c>
      <c r="N1639">
        <f>VLOOKUP(C1639,Lookup!$A$2:$D$5,MATCH(M1639,Lookup!$A$1:$D$1,0),FALSE)</f>
        <v>0.08</v>
      </c>
      <c r="O1639">
        <f t="shared" si="152"/>
        <v>20352.72</v>
      </c>
      <c r="P1639" s="7">
        <f t="shared" si="153"/>
        <v>0.92478913659748718</v>
      </c>
      <c r="Q1639" s="7">
        <f t="shared" si="154"/>
        <v>5930.2452830188677</v>
      </c>
      <c r="R1639">
        <f t="shared" si="155"/>
        <v>2.0911209902165409</v>
      </c>
    </row>
    <row r="1640" spans="1:18" x14ac:dyDescent="0.25">
      <c r="A1640" t="s">
        <v>945</v>
      </c>
      <c r="B1640" t="s">
        <v>946</v>
      </c>
      <c r="C1640" t="s">
        <v>8</v>
      </c>
      <c r="D1640">
        <v>62544</v>
      </c>
      <c r="E1640" s="1">
        <v>43738</v>
      </c>
      <c r="F1640" s="2">
        <f t="shared" si="150"/>
        <v>2019</v>
      </c>
      <c r="G1640">
        <v>4</v>
      </c>
      <c r="H1640" s="3">
        <v>20697</v>
      </c>
      <c r="I1640">
        <v>3413</v>
      </c>
      <c r="J1640">
        <v>20697</v>
      </c>
      <c r="K1640">
        <v>17755</v>
      </c>
      <c r="L1640">
        <v>17092</v>
      </c>
      <c r="M1640" t="str">
        <f t="shared" si="151"/>
        <v>Small</v>
      </c>
      <c r="N1640">
        <f>VLOOKUP(C1640,Lookup!$A$2:$D$5,MATCH(M1640,Lookup!$A$1:$D$1,0),FALSE)</f>
        <v>0.09</v>
      </c>
      <c r="O1640">
        <f t="shared" si="152"/>
        <v>1538.28</v>
      </c>
      <c r="P1640" s="7">
        <f t="shared" si="153"/>
        <v>0.85785379523602456</v>
      </c>
      <c r="Q1640" s="7">
        <f t="shared" si="154"/>
        <v>5174.25</v>
      </c>
      <c r="R1640">
        <f t="shared" si="155"/>
        <v>2.2187118079933432</v>
      </c>
    </row>
    <row r="1641" spans="1:18" x14ac:dyDescent="0.25">
      <c r="A1641" t="s">
        <v>945</v>
      </c>
      <c r="B1641" t="s">
        <v>946</v>
      </c>
      <c r="C1641" t="s">
        <v>8</v>
      </c>
      <c r="D1641">
        <v>62544</v>
      </c>
      <c r="E1641" s="1">
        <v>44104</v>
      </c>
      <c r="F1641" s="2">
        <f t="shared" si="150"/>
        <v>2020</v>
      </c>
      <c r="G1641">
        <v>4</v>
      </c>
      <c r="H1641" s="3">
        <v>22612</v>
      </c>
      <c r="I1641">
        <v>6613</v>
      </c>
      <c r="J1641">
        <v>22612</v>
      </c>
      <c r="K1641">
        <v>19674</v>
      </c>
      <c r="L1641">
        <v>19014</v>
      </c>
      <c r="M1641" t="str">
        <f t="shared" si="151"/>
        <v>Small</v>
      </c>
      <c r="N1641">
        <f>VLOOKUP(C1641,Lookup!$A$2:$D$5,MATCH(M1641,Lookup!$A$1:$D$1,0),FALSE)</f>
        <v>0.09</v>
      </c>
      <c r="O1641">
        <f t="shared" si="152"/>
        <v>1711.26</v>
      </c>
      <c r="P1641" s="7">
        <f t="shared" si="153"/>
        <v>0.87006898991685833</v>
      </c>
      <c r="Q1641" s="7">
        <f t="shared" si="154"/>
        <v>5653</v>
      </c>
      <c r="R1641">
        <f t="shared" si="155"/>
        <v>3.8644040064046377</v>
      </c>
    </row>
    <row r="1642" spans="1:18" x14ac:dyDescent="0.25">
      <c r="A1642" t="s">
        <v>945</v>
      </c>
      <c r="B1642" t="s">
        <v>946</v>
      </c>
      <c r="C1642" t="s">
        <v>8</v>
      </c>
      <c r="D1642">
        <v>62544</v>
      </c>
      <c r="E1642" s="1">
        <v>44469</v>
      </c>
      <c r="F1642" s="2">
        <f t="shared" si="150"/>
        <v>2021</v>
      </c>
      <c r="G1642">
        <v>4</v>
      </c>
      <c r="H1642" s="3">
        <v>25670</v>
      </c>
      <c r="I1642">
        <v>9891</v>
      </c>
      <c r="J1642">
        <v>25670</v>
      </c>
      <c r="K1642">
        <v>22768</v>
      </c>
      <c r="L1642">
        <v>22108</v>
      </c>
      <c r="M1642" t="str">
        <f t="shared" si="151"/>
        <v>Small</v>
      </c>
      <c r="N1642">
        <f>VLOOKUP(C1642,Lookup!$A$2:$D$5,MATCH(M1642,Lookup!$A$1:$D$1,0),FALSE)</f>
        <v>0.09</v>
      </c>
      <c r="O1642">
        <f t="shared" si="152"/>
        <v>1989.72</v>
      </c>
      <c r="P1642" s="7">
        <f t="shared" si="153"/>
        <v>0.8869497467861317</v>
      </c>
      <c r="Q1642" s="7">
        <f t="shared" si="154"/>
        <v>6417.5</v>
      </c>
      <c r="R1642">
        <f t="shared" si="155"/>
        <v>4.9710512031843672</v>
      </c>
    </row>
    <row r="1643" spans="1:18" x14ac:dyDescent="0.25">
      <c r="A1643" t="s">
        <v>947</v>
      </c>
      <c r="B1643" t="s">
        <v>352</v>
      </c>
      <c r="C1643" t="s">
        <v>8</v>
      </c>
      <c r="D1643">
        <v>62864</v>
      </c>
      <c r="E1643" s="1">
        <v>43738</v>
      </c>
      <c r="F1643" s="2">
        <f t="shared" si="150"/>
        <v>2019</v>
      </c>
      <c r="G1643">
        <v>270</v>
      </c>
      <c r="H1643" s="3">
        <v>1211565</v>
      </c>
      <c r="I1643">
        <v>53455</v>
      </c>
      <c r="J1643">
        <v>1211565</v>
      </c>
      <c r="K1643">
        <v>1096954</v>
      </c>
      <c r="L1643">
        <v>1020954</v>
      </c>
      <c r="M1643" t="str">
        <f t="shared" si="151"/>
        <v>Large</v>
      </c>
      <c r="N1643">
        <f>VLOOKUP(C1643,Lookup!$A$2:$D$5,MATCH(M1643,Lookup!$A$1:$D$1,0),FALSE)</f>
        <v>7.4999999999999997E-2</v>
      </c>
      <c r="O1643">
        <f t="shared" si="152"/>
        <v>76571.55</v>
      </c>
      <c r="P1643" s="7">
        <f t="shared" si="153"/>
        <v>0.90540251657979554</v>
      </c>
      <c r="Q1643" s="7">
        <f t="shared" si="154"/>
        <v>4487.2777777777774</v>
      </c>
      <c r="R1643">
        <f t="shared" si="155"/>
        <v>0.69810523621371123</v>
      </c>
    </row>
    <row r="1644" spans="1:18" x14ac:dyDescent="0.25">
      <c r="A1644" t="s">
        <v>947</v>
      </c>
      <c r="B1644" t="s">
        <v>352</v>
      </c>
      <c r="C1644" t="s">
        <v>8</v>
      </c>
      <c r="D1644">
        <v>62864</v>
      </c>
      <c r="E1644" s="1">
        <v>44104</v>
      </c>
      <c r="F1644" s="2">
        <f t="shared" si="150"/>
        <v>2020</v>
      </c>
      <c r="G1644">
        <v>290</v>
      </c>
      <c r="H1644" s="3">
        <v>1468081</v>
      </c>
      <c r="I1644">
        <v>120704</v>
      </c>
      <c r="J1644">
        <v>1468081</v>
      </c>
      <c r="K1644">
        <v>1349953</v>
      </c>
      <c r="L1644">
        <v>1161895</v>
      </c>
      <c r="M1644" t="str">
        <f t="shared" si="151"/>
        <v>Large</v>
      </c>
      <c r="N1644">
        <f>VLOOKUP(C1644,Lookup!$A$2:$D$5,MATCH(M1644,Lookup!$A$1:$D$1,0),FALSE)</f>
        <v>7.4999999999999997E-2</v>
      </c>
      <c r="O1644">
        <f t="shared" si="152"/>
        <v>87142.125</v>
      </c>
      <c r="P1644" s="7">
        <f t="shared" si="153"/>
        <v>0.91953577493339944</v>
      </c>
      <c r="Q1644" s="7">
        <f t="shared" si="154"/>
        <v>5062.3482758620694</v>
      </c>
      <c r="R1644">
        <f t="shared" si="155"/>
        <v>1.3851395062950325</v>
      </c>
    </row>
    <row r="1645" spans="1:18" x14ac:dyDescent="0.25">
      <c r="A1645" t="s">
        <v>947</v>
      </c>
      <c r="B1645" t="s">
        <v>352</v>
      </c>
      <c r="C1645" t="s">
        <v>8</v>
      </c>
      <c r="D1645">
        <v>62864</v>
      </c>
      <c r="E1645" s="1">
        <v>44469</v>
      </c>
      <c r="F1645" s="2">
        <f t="shared" si="150"/>
        <v>2021</v>
      </c>
      <c r="G1645">
        <v>284</v>
      </c>
      <c r="H1645" s="3">
        <v>1513664</v>
      </c>
      <c r="I1645">
        <v>190927</v>
      </c>
      <c r="J1645">
        <v>1513664</v>
      </c>
      <c r="K1645">
        <v>1388131</v>
      </c>
      <c r="L1645">
        <v>1342579</v>
      </c>
      <c r="M1645" t="str">
        <f t="shared" si="151"/>
        <v>Large</v>
      </c>
      <c r="N1645">
        <f>VLOOKUP(C1645,Lookup!$A$2:$D$5,MATCH(M1645,Lookup!$A$1:$D$1,0),FALSE)</f>
        <v>7.4999999999999997E-2</v>
      </c>
      <c r="O1645">
        <f t="shared" si="152"/>
        <v>100693.425</v>
      </c>
      <c r="P1645" s="7">
        <f t="shared" si="153"/>
        <v>0.91706679950107817</v>
      </c>
      <c r="Q1645" s="7">
        <f t="shared" si="154"/>
        <v>5329.8028169014087</v>
      </c>
      <c r="R1645">
        <f t="shared" si="155"/>
        <v>1.8961218172884673</v>
      </c>
    </row>
    <row r="1646" spans="1:18" x14ac:dyDescent="0.25">
      <c r="A1646" t="s">
        <v>948</v>
      </c>
      <c r="B1646" t="s">
        <v>949</v>
      </c>
      <c r="C1646" t="s">
        <v>8</v>
      </c>
      <c r="D1646">
        <v>61443</v>
      </c>
      <c r="E1646" s="1">
        <v>43738</v>
      </c>
      <c r="F1646" s="2">
        <f t="shared" si="150"/>
        <v>2019</v>
      </c>
      <c r="G1646">
        <v>91</v>
      </c>
      <c r="H1646" s="3">
        <v>360662</v>
      </c>
      <c r="I1646">
        <v>60815</v>
      </c>
      <c r="J1646">
        <v>360662</v>
      </c>
      <c r="K1646">
        <v>306752</v>
      </c>
      <c r="L1646">
        <v>302392</v>
      </c>
      <c r="M1646" t="str">
        <f t="shared" si="151"/>
        <v>Medium</v>
      </c>
      <c r="N1646">
        <f>VLOOKUP(C1646,Lookup!$A$2:$D$5,MATCH(M1646,Lookup!$A$1:$D$1,0),FALSE)</f>
        <v>0.08</v>
      </c>
      <c r="O1646">
        <f t="shared" si="152"/>
        <v>24191.360000000001</v>
      </c>
      <c r="P1646" s="7">
        <f t="shared" si="153"/>
        <v>0.85052486815910744</v>
      </c>
      <c r="Q1646" s="7">
        <f t="shared" si="154"/>
        <v>3963.3186813186812</v>
      </c>
      <c r="R1646">
        <f t="shared" si="155"/>
        <v>2.5139140585729782</v>
      </c>
    </row>
    <row r="1647" spans="1:18" x14ac:dyDescent="0.25">
      <c r="A1647" t="s">
        <v>948</v>
      </c>
      <c r="B1647" t="s">
        <v>949</v>
      </c>
      <c r="C1647" t="s">
        <v>8</v>
      </c>
      <c r="D1647">
        <v>61443</v>
      </c>
      <c r="E1647" s="1">
        <v>44104</v>
      </c>
      <c r="F1647" s="2">
        <f t="shared" si="150"/>
        <v>2020</v>
      </c>
      <c r="G1647">
        <v>86</v>
      </c>
      <c r="H1647" s="3">
        <v>410215</v>
      </c>
      <c r="I1647">
        <v>69199</v>
      </c>
      <c r="J1647">
        <v>410215</v>
      </c>
      <c r="K1647">
        <v>354755</v>
      </c>
      <c r="L1647">
        <v>347451</v>
      </c>
      <c r="M1647" t="str">
        <f t="shared" si="151"/>
        <v>Medium</v>
      </c>
      <c r="N1647">
        <f>VLOOKUP(C1647,Lookup!$A$2:$D$5,MATCH(M1647,Lookup!$A$1:$D$1,0),FALSE)</f>
        <v>0.08</v>
      </c>
      <c r="O1647">
        <f t="shared" si="152"/>
        <v>27796.080000000002</v>
      </c>
      <c r="P1647" s="7">
        <f t="shared" si="153"/>
        <v>0.86480260351279203</v>
      </c>
      <c r="Q1647" s="7">
        <f t="shared" si="154"/>
        <v>4769.9418604651164</v>
      </c>
      <c r="R1647">
        <f t="shared" si="155"/>
        <v>2.4895237026228156</v>
      </c>
    </row>
    <row r="1648" spans="1:18" x14ac:dyDescent="0.25">
      <c r="A1648" t="s">
        <v>948</v>
      </c>
      <c r="B1648" t="s">
        <v>949</v>
      </c>
      <c r="C1648" t="s">
        <v>8</v>
      </c>
      <c r="D1648">
        <v>61443</v>
      </c>
      <c r="E1648" s="1">
        <v>44469</v>
      </c>
      <c r="F1648" s="2">
        <f t="shared" si="150"/>
        <v>2021</v>
      </c>
      <c r="G1648">
        <v>90</v>
      </c>
      <c r="H1648" s="3">
        <v>565691</v>
      </c>
      <c r="I1648">
        <v>69127</v>
      </c>
      <c r="J1648">
        <v>565691</v>
      </c>
      <c r="K1648">
        <v>508831</v>
      </c>
      <c r="L1648">
        <v>500228</v>
      </c>
      <c r="M1648" t="str">
        <f t="shared" si="151"/>
        <v>Medium</v>
      </c>
      <c r="N1648">
        <f>VLOOKUP(C1648,Lookup!$A$2:$D$5,MATCH(M1648,Lookup!$A$1:$D$1,0),FALSE)</f>
        <v>0.08</v>
      </c>
      <c r="O1648">
        <f t="shared" si="152"/>
        <v>40018.239999999998</v>
      </c>
      <c r="P1648" s="7">
        <f t="shared" si="153"/>
        <v>0.89948576166140171</v>
      </c>
      <c r="Q1648" s="7">
        <f t="shared" si="154"/>
        <v>6285.4555555555553</v>
      </c>
      <c r="R1648">
        <f t="shared" si="155"/>
        <v>1.7273873113860081</v>
      </c>
    </row>
    <row r="1649" spans="1:18" x14ac:dyDescent="0.25">
      <c r="A1649" t="s">
        <v>950</v>
      </c>
      <c r="B1649" t="s">
        <v>951</v>
      </c>
      <c r="C1649" t="s">
        <v>8</v>
      </c>
      <c r="D1649">
        <v>61728</v>
      </c>
      <c r="E1649" s="1">
        <v>43738</v>
      </c>
      <c r="F1649" s="2">
        <f t="shared" si="150"/>
        <v>2019</v>
      </c>
      <c r="G1649">
        <v>6</v>
      </c>
      <c r="H1649" s="3">
        <v>34797</v>
      </c>
      <c r="I1649">
        <v>9743</v>
      </c>
      <c r="J1649">
        <v>34797</v>
      </c>
      <c r="K1649">
        <v>30416</v>
      </c>
      <c r="L1649">
        <v>30268</v>
      </c>
      <c r="M1649" t="str">
        <f t="shared" si="151"/>
        <v>Small</v>
      </c>
      <c r="N1649">
        <f>VLOOKUP(C1649,Lookup!$A$2:$D$5,MATCH(M1649,Lookup!$A$1:$D$1,0),FALSE)</f>
        <v>0.09</v>
      </c>
      <c r="O1649">
        <f t="shared" si="152"/>
        <v>2724.12</v>
      </c>
      <c r="P1649" s="7">
        <f t="shared" si="153"/>
        <v>0.87409834181107571</v>
      </c>
      <c r="Q1649" s="7">
        <f t="shared" si="154"/>
        <v>5799.5</v>
      </c>
      <c r="R1649">
        <f t="shared" si="155"/>
        <v>3.5765678457630354</v>
      </c>
    </row>
    <row r="1650" spans="1:18" x14ac:dyDescent="0.25">
      <c r="A1650" t="s">
        <v>950</v>
      </c>
      <c r="B1650" t="s">
        <v>951</v>
      </c>
      <c r="C1650" t="s">
        <v>8</v>
      </c>
      <c r="D1650">
        <v>61728</v>
      </c>
      <c r="E1650" s="1">
        <v>44104</v>
      </c>
      <c r="F1650" s="2">
        <f t="shared" si="150"/>
        <v>2020</v>
      </c>
      <c r="G1650">
        <v>7</v>
      </c>
      <c r="H1650" s="3">
        <v>41438</v>
      </c>
      <c r="I1650">
        <v>17517</v>
      </c>
      <c r="J1650">
        <v>41438</v>
      </c>
      <c r="K1650">
        <v>36943</v>
      </c>
      <c r="L1650">
        <v>34779</v>
      </c>
      <c r="M1650" t="str">
        <f t="shared" si="151"/>
        <v>Small</v>
      </c>
      <c r="N1650">
        <f>VLOOKUP(C1650,Lookup!$A$2:$D$5,MATCH(M1650,Lookup!$A$1:$D$1,0),FALSE)</f>
        <v>0.09</v>
      </c>
      <c r="O1650">
        <f t="shared" si="152"/>
        <v>3130.1099999999997</v>
      </c>
      <c r="P1650" s="7">
        <f t="shared" si="153"/>
        <v>0.8915246874849172</v>
      </c>
      <c r="Q1650" s="7">
        <f t="shared" si="154"/>
        <v>5919.7142857142853</v>
      </c>
      <c r="R1650">
        <f t="shared" si="155"/>
        <v>5.5962889483117211</v>
      </c>
    </row>
    <row r="1651" spans="1:18" x14ac:dyDescent="0.25">
      <c r="A1651" t="s">
        <v>950</v>
      </c>
      <c r="B1651" t="s">
        <v>951</v>
      </c>
      <c r="C1651" t="s">
        <v>8</v>
      </c>
      <c r="D1651">
        <v>61728</v>
      </c>
      <c r="E1651" s="1">
        <v>44469</v>
      </c>
      <c r="F1651" s="2">
        <f t="shared" si="150"/>
        <v>2021</v>
      </c>
      <c r="G1651">
        <v>8</v>
      </c>
      <c r="H1651" s="3">
        <v>41597</v>
      </c>
      <c r="I1651">
        <v>13722</v>
      </c>
      <c r="J1651">
        <v>41597</v>
      </c>
      <c r="K1651">
        <v>36885</v>
      </c>
      <c r="L1651">
        <v>36735</v>
      </c>
      <c r="M1651" t="str">
        <f t="shared" si="151"/>
        <v>Small</v>
      </c>
      <c r="N1651">
        <f>VLOOKUP(C1651,Lookup!$A$2:$D$5,MATCH(M1651,Lookup!$A$1:$D$1,0),FALSE)</f>
        <v>0.09</v>
      </c>
      <c r="O1651">
        <f t="shared" si="152"/>
        <v>3306.15</v>
      </c>
      <c r="P1651" s="7">
        <f t="shared" si="153"/>
        <v>0.88672260018751348</v>
      </c>
      <c r="Q1651" s="7">
        <f t="shared" si="154"/>
        <v>5199.625</v>
      </c>
      <c r="R1651">
        <f t="shared" si="155"/>
        <v>4.1504468944240278</v>
      </c>
    </row>
    <row r="1652" spans="1:18" x14ac:dyDescent="0.25">
      <c r="A1652" t="s">
        <v>952</v>
      </c>
      <c r="B1652" t="s">
        <v>953</v>
      </c>
      <c r="C1652" t="s">
        <v>20</v>
      </c>
      <c r="D1652">
        <v>1040</v>
      </c>
      <c r="E1652" s="1">
        <v>43738</v>
      </c>
      <c r="F1652" s="2">
        <f t="shared" si="150"/>
        <v>2019</v>
      </c>
      <c r="G1652">
        <v>303</v>
      </c>
      <c r="H1652" s="3">
        <v>2926907</v>
      </c>
      <c r="I1652">
        <v>119533</v>
      </c>
      <c r="J1652">
        <v>2926908</v>
      </c>
      <c r="K1652">
        <v>2631466</v>
      </c>
      <c r="L1652">
        <v>2064134</v>
      </c>
      <c r="M1652" t="str">
        <f t="shared" si="151"/>
        <v>Large</v>
      </c>
      <c r="N1652">
        <f>VLOOKUP(C1652,Lookup!$A$2:$D$5,MATCH(M1652,Lookup!$A$1:$D$1,0),FALSE)</f>
        <v>0.08</v>
      </c>
      <c r="O1652">
        <f t="shared" si="152"/>
        <v>165130.72</v>
      </c>
      <c r="P1652" s="7">
        <f t="shared" si="153"/>
        <v>0.8990603391224935</v>
      </c>
      <c r="Q1652" s="7">
        <f t="shared" si="154"/>
        <v>9659.7590759075902</v>
      </c>
      <c r="R1652">
        <f t="shared" si="155"/>
        <v>0.72386894455495621</v>
      </c>
    </row>
    <row r="1653" spans="1:18" x14ac:dyDescent="0.25">
      <c r="A1653" t="s">
        <v>952</v>
      </c>
      <c r="B1653" t="s">
        <v>953</v>
      </c>
      <c r="C1653" t="s">
        <v>20</v>
      </c>
      <c r="D1653">
        <v>1040</v>
      </c>
      <c r="E1653" s="1">
        <v>44104</v>
      </c>
      <c r="F1653" s="2">
        <f t="shared" si="150"/>
        <v>2020</v>
      </c>
      <c r="G1653">
        <v>298</v>
      </c>
      <c r="H1653" s="3">
        <v>3233477</v>
      </c>
      <c r="I1653">
        <v>218376</v>
      </c>
      <c r="J1653">
        <v>3233478</v>
      </c>
      <c r="K1653">
        <v>2933754</v>
      </c>
      <c r="L1653">
        <v>2244872</v>
      </c>
      <c r="M1653" t="str">
        <f t="shared" si="151"/>
        <v>Large</v>
      </c>
      <c r="N1653">
        <f>VLOOKUP(C1653,Lookup!$A$2:$D$5,MATCH(M1653,Lookup!$A$1:$D$1,0),FALSE)</f>
        <v>0.08</v>
      </c>
      <c r="O1653">
        <f t="shared" si="152"/>
        <v>179589.76000000001</v>
      </c>
      <c r="P1653" s="7">
        <f t="shared" si="153"/>
        <v>0.90730628360739851</v>
      </c>
      <c r="Q1653" s="7">
        <f t="shared" si="154"/>
        <v>10850.593959731543</v>
      </c>
      <c r="R1653">
        <f t="shared" si="155"/>
        <v>1.215971333777605</v>
      </c>
    </row>
    <row r="1654" spans="1:18" x14ac:dyDescent="0.25">
      <c r="A1654" t="s">
        <v>952</v>
      </c>
      <c r="B1654" t="s">
        <v>953</v>
      </c>
      <c r="C1654" t="s">
        <v>20</v>
      </c>
      <c r="D1654">
        <v>1040</v>
      </c>
      <c r="E1654" s="1">
        <v>44469</v>
      </c>
      <c r="F1654" s="2">
        <f t="shared" si="150"/>
        <v>2021</v>
      </c>
      <c r="G1654">
        <v>304</v>
      </c>
      <c r="H1654" s="3">
        <v>3439206</v>
      </c>
      <c r="I1654">
        <v>157143</v>
      </c>
      <c r="J1654">
        <v>3439206</v>
      </c>
      <c r="K1654">
        <v>3107252</v>
      </c>
      <c r="L1654">
        <v>2988973</v>
      </c>
      <c r="M1654" t="str">
        <f t="shared" si="151"/>
        <v>Large</v>
      </c>
      <c r="N1654">
        <f>VLOOKUP(C1654,Lookup!$A$2:$D$5,MATCH(M1654,Lookup!$A$1:$D$1,0),FALSE)</f>
        <v>0.08</v>
      </c>
      <c r="O1654">
        <f t="shared" si="152"/>
        <v>239117.84</v>
      </c>
      <c r="P1654" s="7">
        <f t="shared" si="153"/>
        <v>0.90347946589997807</v>
      </c>
      <c r="Q1654" s="7">
        <f t="shared" si="154"/>
        <v>11313.177631578947</v>
      </c>
      <c r="R1654">
        <f t="shared" si="155"/>
        <v>0.65717806751683605</v>
      </c>
    </row>
    <row r="1655" spans="1:18" x14ac:dyDescent="0.25">
      <c r="A1655" t="s">
        <v>954</v>
      </c>
      <c r="B1655" t="s">
        <v>955</v>
      </c>
      <c r="C1655" t="s">
        <v>8</v>
      </c>
      <c r="D1655">
        <v>61354</v>
      </c>
      <c r="E1655" s="1">
        <v>43738</v>
      </c>
      <c r="F1655" s="2">
        <f t="shared" si="150"/>
        <v>2019</v>
      </c>
      <c r="G1655">
        <v>24</v>
      </c>
      <c r="H1655" s="3">
        <v>150695</v>
      </c>
      <c r="I1655">
        <v>12997</v>
      </c>
      <c r="J1655">
        <v>150695</v>
      </c>
      <c r="K1655">
        <v>129408</v>
      </c>
      <c r="L1655">
        <v>128615</v>
      </c>
      <c r="M1655" t="str">
        <f t="shared" si="151"/>
        <v>Medium</v>
      </c>
      <c r="N1655">
        <f>VLOOKUP(C1655,Lookup!$A$2:$D$5,MATCH(M1655,Lookup!$A$1:$D$1,0),FALSE)</f>
        <v>0.08</v>
      </c>
      <c r="O1655">
        <f t="shared" si="152"/>
        <v>10289.200000000001</v>
      </c>
      <c r="P1655" s="7">
        <f t="shared" si="153"/>
        <v>0.85874116593118555</v>
      </c>
      <c r="Q1655" s="7">
        <f t="shared" si="154"/>
        <v>6278.958333333333</v>
      </c>
      <c r="R1655">
        <f t="shared" si="155"/>
        <v>1.2631691482330987</v>
      </c>
    </row>
    <row r="1656" spans="1:18" x14ac:dyDescent="0.25">
      <c r="A1656" t="s">
        <v>954</v>
      </c>
      <c r="B1656" t="s">
        <v>955</v>
      </c>
      <c r="C1656" t="s">
        <v>8</v>
      </c>
      <c r="D1656">
        <v>61354</v>
      </c>
      <c r="E1656" s="1">
        <v>44104</v>
      </c>
      <c r="F1656" s="2">
        <f t="shared" si="150"/>
        <v>2020</v>
      </c>
      <c r="G1656">
        <v>23</v>
      </c>
      <c r="H1656" s="3">
        <v>170806</v>
      </c>
      <c r="I1656">
        <v>14000</v>
      </c>
      <c r="J1656">
        <v>170806</v>
      </c>
      <c r="K1656">
        <v>147603</v>
      </c>
      <c r="L1656">
        <v>142580</v>
      </c>
      <c r="M1656" t="str">
        <f t="shared" si="151"/>
        <v>Medium</v>
      </c>
      <c r="N1656">
        <f>VLOOKUP(C1656,Lookup!$A$2:$D$5,MATCH(M1656,Lookup!$A$1:$D$1,0),FALSE)</f>
        <v>0.08</v>
      </c>
      <c r="O1656">
        <f t="shared" si="152"/>
        <v>11406.4</v>
      </c>
      <c r="P1656" s="7">
        <f t="shared" si="153"/>
        <v>0.86415582590775497</v>
      </c>
      <c r="Q1656" s="7">
        <f t="shared" si="154"/>
        <v>7426.347826086957</v>
      </c>
      <c r="R1656">
        <f t="shared" si="155"/>
        <v>1.2273811193715809</v>
      </c>
    </row>
    <row r="1657" spans="1:18" x14ac:dyDescent="0.25">
      <c r="A1657" t="s">
        <v>954</v>
      </c>
      <c r="B1657" t="s">
        <v>955</v>
      </c>
      <c r="C1657" t="s">
        <v>8</v>
      </c>
      <c r="D1657">
        <v>61354</v>
      </c>
      <c r="E1657" s="1">
        <v>44469</v>
      </c>
      <c r="F1657" s="2">
        <f t="shared" si="150"/>
        <v>2021</v>
      </c>
      <c r="G1657">
        <v>22</v>
      </c>
      <c r="H1657" s="3">
        <v>183474</v>
      </c>
      <c r="I1657">
        <v>16096</v>
      </c>
      <c r="J1657">
        <v>183474</v>
      </c>
      <c r="K1657">
        <v>159821</v>
      </c>
      <c r="L1657">
        <v>153722</v>
      </c>
      <c r="M1657" t="str">
        <f t="shared" si="151"/>
        <v>Medium</v>
      </c>
      <c r="N1657">
        <f>VLOOKUP(C1657,Lookup!$A$2:$D$5,MATCH(M1657,Lookup!$A$1:$D$1,0),FALSE)</f>
        <v>0.08</v>
      </c>
      <c r="O1657">
        <f t="shared" si="152"/>
        <v>12297.76</v>
      </c>
      <c r="P1657" s="7">
        <f t="shared" si="153"/>
        <v>0.8710825512061654</v>
      </c>
      <c r="Q1657" s="7">
        <f t="shared" si="154"/>
        <v>8339.7272727272721</v>
      </c>
      <c r="R1657">
        <f t="shared" si="155"/>
        <v>1.3088562469913221</v>
      </c>
    </row>
    <row r="1658" spans="1:18" x14ac:dyDescent="0.25">
      <c r="A1658" t="s">
        <v>956</v>
      </c>
      <c r="B1658" t="s">
        <v>957</v>
      </c>
      <c r="C1658" t="s">
        <v>8</v>
      </c>
      <c r="D1658">
        <v>62691</v>
      </c>
      <c r="E1658" s="1">
        <v>43738</v>
      </c>
      <c r="F1658" s="2">
        <f t="shared" si="150"/>
        <v>2019</v>
      </c>
      <c r="G1658">
        <v>43</v>
      </c>
      <c r="H1658" s="3">
        <v>198143</v>
      </c>
      <c r="I1658">
        <v>14247</v>
      </c>
      <c r="J1658">
        <v>198143</v>
      </c>
      <c r="K1658">
        <v>171695</v>
      </c>
      <c r="L1658">
        <v>157006</v>
      </c>
      <c r="M1658" t="str">
        <f t="shared" si="151"/>
        <v>Medium</v>
      </c>
      <c r="N1658">
        <f>VLOOKUP(C1658,Lookup!$A$2:$D$5,MATCH(M1658,Lookup!$A$1:$D$1,0),FALSE)</f>
        <v>0.08</v>
      </c>
      <c r="O1658">
        <f t="shared" si="152"/>
        <v>12560.48</v>
      </c>
      <c r="P1658" s="7">
        <f t="shared" si="153"/>
        <v>0.86652064418122265</v>
      </c>
      <c r="Q1658" s="7">
        <f t="shared" si="154"/>
        <v>4607.9767441860467</v>
      </c>
      <c r="R1658">
        <f t="shared" si="155"/>
        <v>1.1342719386520261</v>
      </c>
    </row>
    <row r="1659" spans="1:18" x14ac:dyDescent="0.25">
      <c r="A1659" t="s">
        <v>956</v>
      </c>
      <c r="B1659" t="s">
        <v>957</v>
      </c>
      <c r="C1659" t="s">
        <v>8</v>
      </c>
      <c r="D1659">
        <v>62691</v>
      </c>
      <c r="E1659" s="1">
        <v>44104</v>
      </c>
      <c r="F1659" s="2">
        <f t="shared" si="150"/>
        <v>2020</v>
      </c>
      <c r="G1659">
        <v>48</v>
      </c>
      <c r="H1659" s="3">
        <v>225702</v>
      </c>
      <c r="I1659">
        <v>12855</v>
      </c>
      <c r="J1659">
        <v>225702</v>
      </c>
      <c r="K1659">
        <v>196747</v>
      </c>
      <c r="L1659">
        <v>176080</v>
      </c>
      <c r="M1659" t="str">
        <f t="shared" si="151"/>
        <v>Medium</v>
      </c>
      <c r="N1659">
        <f>VLOOKUP(C1659,Lookup!$A$2:$D$5,MATCH(M1659,Lookup!$A$1:$D$1,0),FALSE)</f>
        <v>0.08</v>
      </c>
      <c r="O1659">
        <f t="shared" si="152"/>
        <v>14086.4</v>
      </c>
      <c r="P1659" s="7">
        <f t="shared" si="153"/>
        <v>0.87171137163162049</v>
      </c>
      <c r="Q1659" s="7">
        <f t="shared" si="154"/>
        <v>4702.125</v>
      </c>
      <c r="R1659">
        <f t="shared" si="155"/>
        <v>0.9125823489323035</v>
      </c>
    </row>
    <row r="1660" spans="1:18" x14ac:dyDescent="0.25">
      <c r="A1660" t="s">
        <v>956</v>
      </c>
      <c r="B1660" t="s">
        <v>957</v>
      </c>
      <c r="C1660" t="s">
        <v>8</v>
      </c>
      <c r="D1660">
        <v>62691</v>
      </c>
      <c r="E1660" s="1">
        <v>44469</v>
      </c>
      <c r="F1660" s="2">
        <f t="shared" si="150"/>
        <v>2021</v>
      </c>
      <c r="G1660">
        <v>55</v>
      </c>
      <c r="H1660" s="3">
        <v>255888</v>
      </c>
      <c r="I1660">
        <v>32424</v>
      </c>
      <c r="J1660">
        <v>255888</v>
      </c>
      <c r="K1660">
        <v>225183</v>
      </c>
      <c r="L1660">
        <v>203247</v>
      </c>
      <c r="M1660" t="str">
        <f t="shared" si="151"/>
        <v>Medium</v>
      </c>
      <c r="N1660">
        <f>VLOOKUP(C1660,Lookup!$A$2:$D$5,MATCH(M1660,Lookup!$A$1:$D$1,0),FALSE)</f>
        <v>0.08</v>
      </c>
      <c r="O1660">
        <f t="shared" si="152"/>
        <v>16259.76</v>
      </c>
      <c r="P1660" s="7">
        <f t="shared" si="153"/>
        <v>0.88000609641718253</v>
      </c>
      <c r="Q1660" s="7">
        <f t="shared" si="154"/>
        <v>4652.5090909090914</v>
      </c>
      <c r="R1660">
        <f t="shared" si="155"/>
        <v>1.9941253745442737</v>
      </c>
    </row>
    <row r="1661" spans="1:18" x14ac:dyDescent="0.25">
      <c r="A1661" t="s">
        <v>958</v>
      </c>
      <c r="B1661" t="s">
        <v>959</v>
      </c>
      <c r="C1661" t="s">
        <v>8</v>
      </c>
      <c r="D1661">
        <v>61864</v>
      </c>
      <c r="E1661" s="1">
        <v>43738</v>
      </c>
      <c r="F1661" s="2">
        <f t="shared" si="150"/>
        <v>2019</v>
      </c>
      <c r="G1661">
        <v>17</v>
      </c>
      <c r="H1661" s="3">
        <v>97417</v>
      </c>
      <c r="I1661">
        <v>4651</v>
      </c>
      <c r="J1661">
        <v>97417</v>
      </c>
      <c r="K1661">
        <v>85065</v>
      </c>
      <c r="L1661">
        <v>82323</v>
      </c>
      <c r="M1661" t="str">
        <f t="shared" si="151"/>
        <v>Small</v>
      </c>
      <c r="N1661">
        <f>VLOOKUP(C1661,Lookup!$A$2:$D$5,MATCH(M1661,Lookup!$A$1:$D$1,0),FALSE)</f>
        <v>0.09</v>
      </c>
      <c r="O1661">
        <f t="shared" si="152"/>
        <v>7409.07</v>
      </c>
      <c r="P1661" s="7">
        <f t="shared" si="153"/>
        <v>0.8732048821047661</v>
      </c>
      <c r="Q1661" s="7">
        <f t="shared" si="154"/>
        <v>5730.411764705882</v>
      </c>
      <c r="R1661">
        <f t="shared" si="155"/>
        <v>0.62774410283611848</v>
      </c>
    </row>
    <row r="1662" spans="1:18" x14ac:dyDescent="0.25">
      <c r="A1662" t="s">
        <v>958</v>
      </c>
      <c r="B1662" t="s">
        <v>959</v>
      </c>
      <c r="C1662" t="s">
        <v>8</v>
      </c>
      <c r="D1662">
        <v>61864</v>
      </c>
      <c r="E1662" s="1">
        <v>44104</v>
      </c>
      <c r="F1662" s="2">
        <f t="shared" si="150"/>
        <v>2020</v>
      </c>
      <c r="G1662">
        <v>19</v>
      </c>
      <c r="H1662" s="3">
        <v>115971</v>
      </c>
      <c r="I1662">
        <v>15954</v>
      </c>
      <c r="J1662">
        <v>115971</v>
      </c>
      <c r="K1662">
        <v>102049</v>
      </c>
      <c r="L1662">
        <v>97487</v>
      </c>
      <c r="M1662" t="str">
        <f t="shared" si="151"/>
        <v>Medium</v>
      </c>
      <c r="N1662">
        <f>VLOOKUP(C1662,Lookup!$A$2:$D$5,MATCH(M1662,Lookup!$A$1:$D$1,0),FALSE)</f>
        <v>0.08</v>
      </c>
      <c r="O1662">
        <f t="shared" si="152"/>
        <v>7798.96</v>
      </c>
      <c r="P1662" s="7">
        <f t="shared" si="153"/>
        <v>0.87995274680739155</v>
      </c>
      <c r="Q1662" s="7">
        <f t="shared" si="154"/>
        <v>6103.7368421052633</v>
      </c>
      <c r="R1662">
        <f t="shared" si="155"/>
        <v>2.0456573697005753</v>
      </c>
    </row>
    <row r="1663" spans="1:18" x14ac:dyDescent="0.25">
      <c r="A1663" t="s">
        <v>958</v>
      </c>
      <c r="B1663" t="s">
        <v>959</v>
      </c>
      <c r="C1663" t="s">
        <v>8</v>
      </c>
      <c r="D1663">
        <v>61864</v>
      </c>
      <c r="E1663" s="1">
        <v>44469</v>
      </c>
      <c r="F1663" s="2">
        <f t="shared" si="150"/>
        <v>2021</v>
      </c>
      <c r="G1663">
        <v>19</v>
      </c>
      <c r="H1663" s="3">
        <v>124643</v>
      </c>
      <c r="I1663">
        <v>8268</v>
      </c>
      <c r="J1663">
        <v>124643</v>
      </c>
      <c r="K1663">
        <v>110843</v>
      </c>
      <c r="L1663">
        <v>110246</v>
      </c>
      <c r="M1663" t="str">
        <f t="shared" si="151"/>
        <v>Medium</v>
      </c>
      <c r="N1663">
        <f>VLOOKUP(C1663,Lookup!$A$2:$D$5,MATCH(M1663,Lookup!$A$1:$D$1,0),FALSE)</f>
        <v>0.08</v>
      </c>
      <c r="O1663">
        <f t="shared" si="152"/>
        <v>8819.68</v>
      </c>
      <c r="P1663" s="7">
        <f t="shared" si="153"/>
        <v>0.8892837945171409</v>
      </c>
      <c r="Q1663" s="7">
        <f t="shared" si="154"/>
        <v>6560.1578947368425</v>
      </c>
      <c r="R1663">
        <f t="shared" si="155"/>
        <v>0.93744897774068903</v>
      </c>
    </row>
    <row r="1664" spans="1:18" x14ac:dyDescent="0.25">
      <c r="A1664" t="s">
        <v>960</v>
      </c>
      <c r="B1664" t="s">
        <v>16</v>
      </c>
      <c r="C1664" t="s">
        <v>17</v>
      </c>
      <c r="D1664">
        <v>10018</v>
      </c>
      <c r="E1664" s="1">
        <v>43738</v>
      </c>
      <c r="F1664" s="2">
        <f t="shared" si="150"/>
        <v>2019</v>
      </c>
      <c r="G1664">
        <v>23</v>
      </c>
      <c r="H1664" s="3">
        <v>41547</v>
      </c>
      <c r="I1664">
        <v>39943</v>
      </c>
      <c r="J1664">
        <v>41547</v>
      </c>
      <c r="K1664">
        <v>8937</v>
      </c>
      <c r="L1664">
        <v>8685</v>
      </c>
      <c r="M1664" t="str">
        <f t="shared" si="151"/>
        <v>Small</v>
      </c>
      <c r="N1664">
        <f>VLOOKUP(C1664,Lookup!$A$2:$D$5,MATCH(M1664,Lookup!$A$1:$D$1,0),FALSE)</f>
        <v>0.09</v>
      </c>
      <c r="O1664">
        <f t="shared" si="152"/>
        <v>781.65</v>
      </c>
      <c r="P1664" s="7">
        <f t="shared" si="153"/>
        <v>0.21510578381110548</v>
      </c>
      <c r="Q1664" s="7">
        <f t="shared" si="154"/>
        <v>1806.391304347826</v>
      </c>
      <c r="R1664">
        <f t="shared" si="155"/>
        <v>51.100876351308131</v>
      </c>
    </row>
    <row r="1665" spans="1:18" x14ac:dyDescent="0.25">
      <c r="A1665" t="s">
        <v>960</v>
      </c>
      <c r="B1665" t="s">
        <v>16</v>
      </c>
      <c r="C1665" t="s">
        <v>17</v>
      </c>
      <c r="D1665">
        <v>10018</v>
      </c>
      <c r="E1665" s="1">
        <v>44104</v>
      </c>
      <c r="F1665" s="2">
        <f t="shared" si="150"/>
        <v>2020</v>
      </c>
      <c r="G1665">
        <v>23</v>
      </c>
      <c r="H1665" s="3">
        <v>128336</v>
      </c>
      <c r="I1665">
        <v>27185</v>
      </c>
      <c r="J1665">
        <v>128336</v>
      </c>
      <c r="K1665">
        <v>97839</v>
      </c>
      <c r="L1665">
        <v>96529</v>
      </c>
      <c r="M1665" t="str">
        <f t="shared" si="151"/>
        <v>Medium</v>
      </c>
      <c r="N1665">
        <f>VLOOKUP(C1665,Lookup!$A$2:$D$5,MATCH(M1665,Lookup!$A$1:$D$1,0),FALSE)</f>
        <v>8.5000000000000006E-2</v>
      </c>
      <c r="O1665">
        <f t="shared" si="152"/>
        <v>8204.9650000000001</v>
      </c>
      <c r="P1665" s="7">
        <f t="shared" si="153"/>
        <v>0.76236597681087148</v>
      </c>
      <c r="Q1665" s="7">
        <f t="shared" si="154"/>
        <v>5579.826086956522</v>
      </c>
      <c r="R1665">
        <f t="shared" si="155"/>
        <v>3.3132377773701656</v>
      </c>
    </row>
    <row r="1666" spans="1:18" x14ac:dyDescent="0.25">
      <c r="A1666" t="s">
        <v>960</v>
      </c>
      <c r="B1666" t="s">
        <v>16</v>
      </c>
      <c r="C1666" t="s">
        <v>17</v>
      </c>
      <c r="D1666">
        <v>10018</v>
      </c>
      <c r="E1666" s="1">
        <v>44469</v>
      </c>
      <c r="F1666" s="2">
        <f t="shared" ref="F1666:F1729" si="156">YEAR(E1666)</f>
        <v>2021</v>
      </c>
      <c r="G1666">
        <v>30</v>
      </c>
      <c r="H1666" s="3">
        <v>346764</v>
      </c>
      <c r="I1666">
        <v>144932</v>
      </c>
      <c r="J1666">
        <v>346764</v>
      </c>
      <c r="K1666">
        <v>296922</v>
      </c>
      <c r="L1666">
        <v>293490</v>
      </c>
      <c r="M1666" t="str">
        <f t="shared" ref="M1666:M1729" si="157">IF(H1666&gt;1000000,"Large",IF(H1666&lt;100000,"Small","Medium"))</f>
        <v>Medium</v>
      </c>
      <c r="N1666">
        <f>VLOOKUP(C1666,Lookup!$A$2:$D$5,MATCH(M1666,Lookup!$A$1:$D$1,0),FALSE)</f>
        <v>8.5000000000000006E-2</v>
      </c>
      <c r="O1666">
        <f t="shared" ref="O1666:O1729" si="158">L1666*N1666</f>
        <v>24946.65</v>
      </c>
      <c r="P1666" s="7">
        <f t="shared" ref="P1666:P1729" si="159">K1666/H1666</f>
        <v>0.85626535626535627</v>
      </c>
      <c r="Q1666" s="7">
        <f t="shared" ref="Q1666:Q1729" si="160">H1666/G1666</f>
        <v>11558.8</v>
      </c>
      <c r="R1666">
        <f t="shared" ref="R1666:R1729" si="161">I1666/O1666</f>
        <v>5.8096778525373143</v>
      </c>
    </row>
    <row r="1667" spans="1:18" x14ac:dyDescent="0.25">
      <c r="A1667" t="s">
        <v>961</v>
      </c>
      <c r="B1667" t="s">
        <v>962</v>
      </c>
      <c r="C1667" t="s">
        <v>5</v>
      </c>
      <c r="D1667">
        <v>95020</v>
      </c>
      <c r="E1667" s="1">
        <v>43738</v>
      </c>
      <c r="F1667" s="2">
        <f t="shared" si="156"/>
        <v>2019</v>
      </c>
      <c r="G1667">
        <v>64</v>
      </c>
      <c r="H1667" s="3">
        <v>399513</v>
      </c>
      <c r="I1667">
        <v>34395</v>
      </c>
      <c r="J1667">
        <v>399513</v>
      </c>
      <c r="K1667">
        <v>347286</v>
      </c>
      <c r="L1667">
        <v>341506</v>
      </c>
      <c r="M1667" t="str">
        <f t="shared" si="157"/>
        <v>Medium</v>
      </c>
      <c r="N1667">
        <f>VLOOKUP(C1667,Lookup!$A$2:$D$5,MATCH(M1667,Lookup!$A$1:$D$1,0),FALSE)</f>
        <v>0.09</v>
      </c>
      <c r="O1667">
        <f t="shared" si="158"/>
        <v>30735.539999999997</v>
      </c>
      <c r="P1667" s="7">
        <f t="shared" si="159"/>
        <v>0.86927334029180525</v>
      </c>
      <c r="Q1667" s="7">
        <f t="shared" si="160"/>
        <v>6242.390625</v>
      </c>
      <c r="R1667">
        <f t="shared" si="161"/>
        <v>1.1190628178323856</v>
      </c>
    </row>
    <row r="1668" spans="1:18" x14ac:dyDescent="0.25">
      <c r="A1668" t="s">
        <v>961</v>
      </c>
      <c r="B1668" t="s">
        <v>962</v>
      </c>
      <c r="C1668" t="s">
        <v>5</v>
      </c>
      <c r="D1668">
        <v>95020</v>
      </c>
      <c r="E1668" s="1">
        <v>44104</v>
      </c>
      <c r="F1668" s="2">
        <f t="shared" si="156"/>
        <v>2020</v>
      </c>
      <c r="G1668">
        <v>71</v>
      </c>
      <c r="H1668" s="3">
        <v>625764</v>
      </c>
      <c r="I1668">
        <v>93750</v>
      </c>
      <c r="J1668">
        <v>625764</v>
      </c>
      <c r="K1668">
        <v>569083</v>
      </c>
      <c r="L1668">
        <v>548818</v>
      </c>
      <c r="M1668" t="str">
        <f t="shared" si="157"/>
        <v>Medium</v>
      </c>
      <c r="N1668">
        <f>VLOOKUP(C1668,Lookup!$A$2:$D$5,MATCH(M1668,Lookup!$A$1:$D$1,0),FALSE)</f>
        <v>0.09</v>
      </c>
      <c r="O1668">
        <f t="shared" si="158"/>
        <v>49393.619999999995</v>
      </c>
      <c r="P1668" s="7">
        <f t="shared" si="159"/>
        <v>0.90942112361848881</v>
      </c>
      <c r="Q1668" s="7">
        <f t="shared" si="160"/>
        <v>8813.577464788732</v>
      </c>
      <c r="R1668">
        <f t="shared" si="161"/>
        <v>1.8980184080454117</v>
      </c>
    </row>
    <row r="1669" spans="1:18" x14ac:dyDescent="0.25">
      <c r="A1669" t="s">
        <v>961</v>
      </c>
      <c r="B1669" t="s">
        <v>962</v>
      </c>
      <c r="C1669" t="s">
        <v>5</v>
      </c>
      <c r="D1669">
        <v>95020</v>
      </c>
      <c r="E1669" s="1">
        <v>44469</v>
      </c>
      <c r="F1669" s="2">
        <f t="shared" si="156"/>
        <v>2021</v>
      </c>
      <c r="G1669">
        <v>79</v>
      </c>
      <c r="H1669" s="3">
        <v>722686</v>
      </c>
      <c r="I1669">
        <v>218991</v>
      </c>
      <c r="J1669">
        <v>722686</v>
      </c>
      <c r="K1669">
        <v>658403</v>
      </c>
      <c r="L1669">
        <v>647060</v>
      </c>
      <c r="M1669" t="str">
        <f t="shared" si="157"/>
        <v>Medium</v>
      </c>
      <c r="N1669">
        <f>VLOOKUP(C1669,Lookup!$A$2:$D$5,MATCH(M1669,Lookup!$A$1:$D$1,0),FALSE)</f>
        <v>0.09</v>
      </c>
      <c r="O1669">
        <f t="shared" si="158"/>
        <v>58235.4</v>
      </c>
      <c r="P1669" s="7">
        <f t="shared" si="159"/>
        <v>0.91104988888673644</v>
      </c>
      <c r="Q1669" s="7">
        <f t="shared" si="160"/>
        <v>9147.9240506329115</v>
      </c>
      <c r="R1669">
        <f t="shared" si="161"/>
        <v>3.7604446779793732</v>
      </c>
    </row>
    <row r="1670" spans="1:18" x14ac:dyDescent="0.25">
      <c r="A1670" t="s">
        <v>963</v>
      </c>
      <c r="B1670" t="s">
        <v>589</v>
      </c>
      <c r="C1670" t="s">
        <v>17</v>
      </c>
      <c r="D1670">
        <v>12211</v>
      </c>
      <c r="E1670" s="1">
        <v>43738</v>
      </c>
      <c r="F1670" s="2">
        <f t="shared" si="156"/>
        <v>2019</v>
      </c>
      <c r="G1670">
        <v>255</v>
      </c>
      <c r="H1670" s="3">
        <v>1448078</v>
      </c>
      <c r="I1670">
        <v>184042</v>
      </c>
      <c r="J1670">
        <v>1448078</v>
      </c>
      <c r="K1670">
        <v>1280442</v>
      </c>
      <c r="L1670">
        <v>1258135</v>
      </c>
      <c r="M1670" t="str">
        <f t="shared" si="157"/>
        <v>Large</v>
      </c>
      <c r="N1670">
        <f>VLOOKUP(C1670,Lookup!$A$2:$D$5,MATCH(M1670,Lookup!$A$1:$D$1,0),FALSE)</f>
        <v>0.08</v>
      </c>
      <c r="O1670">
        <f t="shared" si="158"/>
        <v>100650.8</v>
      </c>
      <c r="P1670" s="7">
        <f t="shared" si="159"/>
        <v>0.88423551770001341</v>
      </c>
      <c r="Q1670" s="7">
        <f t="shared" si="160"/>
        <v>5678.737254901961</v>
      </c>
      <c r="R1670">
        <f t="shared" si="161"/>
        <v>1.8285199918927619</v>
      </c>
    </row>
    <row r="1671" spans="1:18" x14ac:dyDescent="0.25">
      <c r="A1671" t="s">
        <v>963</v>
      </c>
      <c r="B1671" t="s">
        <v>589</v>
      </c>
      <c r="C1671" t="s">
        <v>17</v>
      </c>
      <c r="D1671">
        <v>12211</v>
      </c>
      <c r="E1671" s="1">
        <v>44104</v>
      </c>
      <c r="F1671" s="2">
        <f t="shared" si="156"/>
        <v>2020</v>
      </c>
      <c r="G1671">
        <v>245</v>
      </c>
      <c r="H1671" s="3">
        <v>1627418</v>
      </c>
      <c r="I1671">
        <v>261008</v>
      </c>
      <c r="J1671">
        <v>1627418</v>
      </c>
      <c r="K1671">
        <v>1458512</v>
      </c>
      <c r="L1671">
        <v>1425438</v>
      </c>
      <c r="M1671" t="str">
        <f t="shared" si="157"/>
        <v>Large</v>
      </c>
      <c r="N1671">
        <f>VLOOKUP(C1671,Lookup!$A$2:$D$5,MATCH(M1671,Lookup!$A$1:$D$1,0),FALSE)</f>
        <v>0.08</v>
      </c>
      <c r="O1671">
        <f t="shared" si="158"/>
        <v>114035.04000000001</v>
      </c>
      <c r="P1671" s="7">
        <f t="shared" si="159"/>
        <v>0.8962122822778168</v>
      </c>
      <c r="Q1671" s="7">
        <f t="shared" si="160"/>
        <v>6642.5224489795919</v>
      </c>
      <c r="R1671">
        <f t="shared" si="161"/>
        <v>2.2888403424070356</v>
      </c>
    </row>
    <row r="1672" spans="1:18" x14ac:dyDescent="0.25">
      <c r="A1672" t="s">
        <v>963</v>
      </c>
      <c r="B1672" t="s">
        <v>589</v>
      </c>
      <c r="C1672" t="s">
        <v>17</v>
      </c>
      <c r="D1672">
        <v>12211</v>
      </c>
      <c r="E1672" s="1">
        <v>44469</v>
      </c>
      <c r="F1672" s="2">
        <f t="shared" si="156"/>
        <v>2021</v>
      </c>
      <c r="G1672">
        <v>241</v>
      </c>
      <c r="H1672" s="3">
        <v>1966573</v>
      </c>
      <c r="I1672">
        <v>475294</v>
      </c>
      <c r="J1672">
        <v>1966573</v>
      </c>
      <c r="K1672">
        <v>1784003</v>
      </c>
      <c r="L1672">
        <v>1749764</v>
      </c>
      <c r="M1672" t="str">
        <f t="shared" si="157"/>
        <v>Large</v>
      </c>
      <c r="N1672">
        <f>VLOOKUP(C1672,Lookup!$A$2:$D$5,MATCH(M1672,Lookup!$A$1:$D$1,0),FALSE)</f>
        <v>0.08</v>
      </c>
      <c r="O1672">
        <f t="shared" si="158"/>
        <v>139981.12</v>
      </c>
      <c r="P1672" s="7">
        <f t="shared" si="159"/>
        <v>0.9071633750692194</v>
      </c>
      <c r="Q1672" s="7">
        <f t="shared" si="160"/>
        <v>8160.0539419087136</v>
      </c>
      <c r="R1672">
        <f t="shared" si="161"/>
        <v>3.3954150388280935</v>
      </c>
    </row>
    <row r="1673" spans="1:18" x14ac:dyDescent="0.25">
      <c r="A1673" t="s">
        <v>964</v>
      </c>
      <c r="B1673" t="s">
        <v>589</v>
      </c>
      <c r="C1673" t="s">
        <v>17</v>
      </c>
      <c r="D1673">
        <v>12211</v>
      </c>
      <c r="E1673" s="1">
        <v>43738</v>
      </c>
      <c r="F1673" s="2">
        <f t="shared" si="156"/>
        <v>2019</v>
      </c>
      <c r="G1673">
        <v>2</v>
      </c>
      <c r="H1673" s="3">
        <v>355118</v>
      </c>
      <c r="I1673">
        <v>340699</v>
      </c>
      <c r="J1673">
        <v>355118</v>
      </c>
      <c r="K1673">
        <v>329779</v>
      </c>
      <c r="L1673">
        <v>328013</v>
      </c>
      <c r="M1673" t="str">
        <f t="shared" si="157"/>
        <v>Medium</v>
      </c>
      <c r="N1673">
        <f>VLOOKUP(C1673,Lookup!$A$2:$D$5,MATCH(M1673,Lookup!$A$1:$D$1,0),FALSE)</f>
        <v>8.5000000000000006E-2</v>
      </c>
      <c r="O1673">
        <f t="shared" si="158"/>
        <v>27881.105000000003</v>
      </c>
      <c r="P1673" s="7">
        <f t="shared" si="159"/>
        <v>0.92864625279484569</v>
      </c>
      <c r="Q1673" s="7">
        <f t="shared" si="160"/>
        <v>177559</v>
      </c>
      <c r="R1673">
        <f t="shared" si="161"/>
        <v>12.219709369481588</v>
      </c>
    </row>
    <row r="1674" spans="1:18" x14ac:dyDescent="0.25">
      <c r="A1674" t="s">
        <v>964</v>
      </c>
      <c r="B1674" t="s">
        <v>589</v>
      </c>
      <c r="C1674" t="s">
        <v>17</v>
      </c>
      <c r="D1674">
        <v>12211</v>
      </c>
      <c r="E1674" s="1">
        <v>44104</v>
      </c>
      <c r="F1674" s="2">
        <f t="shared" si="156"/>
        <v>2020</v>
      </c>
      <c r="G1674">
        <v>2</v>
      </c>
      <c r="H1674" s="3">
        <v>398797</v>
      </c>
      <c r="I1674">
        <v>379434</v>
      </c>
      <c r="J1674">
        <v>398797</v>
      </c>
      <c r="K1674">
        <v>371299</v>
      </c>
      <c r="L1674">
        <v>368252</v>
      </c>
      <c r="M1674" t="str">
        <f t="shared" si="157"/>
        <v>Medium</v>
      </c>
      <c r="N1674">
        <f>VLOOKUP(C1674,Lookup!$A$2:$D$5,MATCH(M1674,Lookup!$A$1:$D$1,0),FALSE)</f>
        <v>8.5000000000000006E-2</v>
      </c>
      <c r="O1674">
        <f t="shared" si="158"/>
        <v>31301.420000000002</v>
      </c>
      <c r="P1674" s="7">
        <f t="shared" si="159"/>
        <v>0.93104762573439614</v>
      </c>
      <c r="Q1674" s="7">
        <f t="shared" si="160"/>
        <v>199398.5</v>
      </c>
      <c r="R1674">
        <f t="shared" si="161"/>
        <v>12.121942071637644</v>
      </c>
    </row>
    <row r="1675" spans="1:18" x14ac:dyDescent="0.25">
      <c r="A1675" t="s">
        <v>964</v>
      </c>
      <c r="B1675" t="s">
        <v>589</v>
      </c>
      <c r="C1675" t="s">
        <v>17</v>
      </c>
      <c r="D1675">
        <v>12211</v>
      </c>
      <c r="E1675" s="1">
        <v>44469</v>
      </c>
      <c r="F1675" s="2">
        <f t="shared" si="156"/>
        <v>2021</v>
      </c>
      <c r="G1675">
        <v>2</v>
      </c>
      <c r="H1675" s="3">
        <v>557356</v>
      </c>
      <c r="I1675">
        <v>484213</v>
      </c>
      <c r="J1675">
        <v>557356</v>
      </c>
      <c r="K1675">
        <v>526169</v>
      </c>
      <c r="L1675">
        <v>517021</v>
      </c>
      <c r="M1675" t="str">
        <f t="shared" si="157"/>
        <v>Medium</v>
      </c>
      <c r="N1675">
        <f>VLOOKUP(C1675,Lookup!$A$2:$D$5,MATCH(M1675,Lookup!$A$1:$D$1,0),FALSE)</f>
        <v>8.5000000000000006E-2</v>
      </c>
      <c r="O1675">
        <f t="shared" si="158"/>
        <v>43946.785000000003</v>
      </c>
      <c r="P1675" s="7">
        <f t="shared" si="159"/>
        <v>0.94404473980723269</v>
      </c>
      <c r="Q1675" s="7">
        <f t="shared" si="160"/>
        <v>278678</v>
      </c>
      <c r="R1675">
        <f t="shared" si="161"/>
        <v>11.018166630391732</v>
      </c>
    </row>
    <row r="1676" spans="1:18" x14ac:dyDescent="0.25">
      <c r="A1676" t="s">
        <v>965</v>
      </c>
      <c r="B1676" t="s">
        <v>966</v>
      </c>
      <c r="C1676" t="s">
        <v>8</v>
      </c>
      <c r="D1676">
        <v>60518</v>
      </c>
      <c r="E1676" s="1">
        <v>43738</v>
      </c>
      <c r="F1676" s="2">
        <f t="shared" si="156"/>
        <v>2019</v>
      </c>
      <c r="G1676">
        <v>24</v>
      </c>
      <c r="H1676" s="3">
        <v>107660</v>
      </c>
      <c r="I1676">
        <v>4801</v>
      </c>
      <c r="J1676">
        <v>107660</v>
      </c>
      <c r="K1676">
        <v>94604</v>
      </c>
      <c r="L1676">
        <v>84263</v>
      </c>
      <c r="M1676" t="str">
        <f t="shared" si="157"/>
        <v>Medium</v>
      </c>
      <c r="N1676">
        <f>VLOOKUP(C1676,Lookup!$A$2:$D$5,MATCH(M1676,Lookup!$A$1:$D$1,0),FALSE)</f>
        <v>0.08</v>
      </c>
      <c r="O1676">
        <f t="shared" si="158"/>
        <v>6741.04</v>
      </c>
      <c r="P1676" s="7">
        <f t="shared" si="159"/>
        <v>0.87872933308563994</v>
      </c>
      <c r="Q1676" s="7">
        <f t="shared" si="160"/>
        <v>4485.833333333333</v>
      </c>
      <c r="R1676">
        <f t="shared" si="161"/>
        <v>0.71220464498059644</v>
      </c>
    </row>
    <row r="1677" spans="1:18" x14ac:dyDescent="0.25">
      <c r="A1677" t="s">
        <v>965</v>
      </c>
      <c r="B1677" t="s">
        <v>966</v>
      </c>
      <c r="C1677" t="s">
        <v>8</v>
      </c>
      <c r="D1677">
        <v>60518</v>
      </c>
      <c r="E1677" s="1">
        <v>44104</v>
      </c>
      <c r="F1677" s="2">
        <f t="shared" si="156"/>
        <v>2020</v>
      </c>
      <c r="G1677">
        <v>24</v>
      </c>
      <c r="H1677" s="3">
        <v>117029</v>
      </c>
      <c r="I1677">
        <v>19149</v>
      </c>
      <c r="J1677">
        <v>117029</v>
      </c>
      <c r="K1677">
        <v>103500</v>
      </c>
      <c r="L1677">
        <v>93349</v>
      </c>
      <c r="M1677" t="str">
        <f t="shared" si="157"/>
        <v>Medium</v>
      </c>
      <c r="N1677">
        <f>VLOOKUP(C1677,Lookup!$A$2:$D$5,MATCH(M1677,Lookup!$A$1:$D$1,0),FALSE)</f>
        <v>0.08</v>
      </c>
      <c r="O1677">
        <f t="shared" si="158"/>
        <v>7467.92</v>
      </c>
      <c r="P1677" s="7">
        <f t="shared" si="159"/>
        <v>0.88439617530697523</v>
      </c>
      <c r="Q1677" s="7">
        <f t="shared" si="160"/>
        <v>4876.208333333333</v>
      </c>
      <c r="R1677">
        <f t="shared" si="161"/>
        <v>2.564167800404932</v>
      </c>
    </row>
    <row r="1678" spans="1:18" x14ac:dyDescent="0.25">
      <c r="A1678" t="s">
        <v>965</v>
      </c>
      <c r="B1678" t="s">
        <v>966</v>
      </c>
      <c r="C1678" t="s">
        <v>8</v>
      </c>
      <c r="D1678">
        <v>60518</v>
      </c>
      <c r="E1678" s="1">
        <v>44469</v>
      </c>
      <c r="F1678" s="2">
        <f t="shared" si="156"/>
        <v>2021</v>
      </c>
      <c r="G1678">
        <v>26</v>
      </c>
      <c r="H1678" s="3">
        <v>133575</v>
      </c>
      <c r="I1678">
        <v>19969</v>
      </c>
      <c r="J1678">
        <v>133575</v>
      </c>
      <c r="K1678">
        <v>119412</v>
      </c>
      <c r="L1678">
        <v>109864</v>
      </c>
      <c r="M1678" t="str">
        <f t="shared" si="157"/>
        <v>Medium</v>
      </c>
      <c r="N1678">
        <f>VLOOKUP(C1678,Lookup!$A$2:$D$5,MATCH(M1678,Lookup!$A$1:$D$1,0),FALSE)</f>
        <v>0.08</v>
      </c>
      <c r="O1678">
        <f t="shared" si="158"/>
        <v>8789.1200000000008</v>
      </c>
      <c r="P1678" s="7">
        <f t="shared" si="159"/>
        <v>0.89396967995508136</v>
      </c>
      <c r="Q1678" s="7">
        <f t="shared" si="160"/>
        <v>5137.5</v>
      </c>
      <c r="R1678">
        <f t="shared" si="161"/>
        <v>2.2720135804267092</v>
      </c>
    </row>
    <row r="1679" spans="1:18" x14ac:dyDescent="0.25">
      <c r="A1679" t="s">
        <v>967</v>
      </c>
      <c r="B1679" t="s">
        <v>325</v>
      </c>
      <c r="C1679" t="s">
        <v>5</v>
      </c>
      <c r="D1679">
        <v>95971</v>
      </c>
      <c r="E1679" s="1">
        <v>43738</v>
      </c>
      <c r="F1679" s="2">
        <f t="shared" si="156"/>
        <v>2019</v>
      </c>
      <c r="G1679">
        <v>161</v>
      </c>
      <c r="H1679" s="3">
        <v>887915</v>
      </c>
      <c r="I1679">
        <v>77880</v>
      </c>
      <c r="J1679">
        <v>887915</v>
      </c>
      <c r="K1679">
        <v>796831</v>
      </c>
      <c r="L1679">
        <v>776574</v>
      </c>
      <c r="M1679" t="str">
        <f t="shared" si="157"/>
        <v>Medium</v>
      </c>
      <c r="N1679">
        <f>VLOOKUP(C1679,Lookup!$A$2:$D$5,MATCH(M1679,Lookup!$A$1:$D$1,0),FALSE)</f>
        <v>0.09</v>
      </c>
      <c r="O1679">
        <f t="shared" si="158"/>
        <v>69891.66</v>
      </c>
      <c r="P1679" s="7">
        <f t="shared" si="159"/>
        <v>0.89741810871536132</v>
      </c>
      <c r="Q1679" s="7">
        <f t="shared" si="160"/>
        <v>5515</v>
      </c>
      <c r="R1679">
        <f t="shared" si="161"/>
        <v>1.1142960404717817</v>
      </c>
    </row>
    <row r="1680" spans="1:18" x14ac:dyDescent="0.25">
      <c r="A1680" t="s">
        <v>967</v>
      </c>
      <c r="B1680" t="s">
        <v>325</v>
      </c>
      <c r="C1680" t="s">
        <v>5</v>
      </c>
      <c r="D1680">
        <v>95971</v>
      </c>
      <c r="E1680" s="1">
        <v>44104</v>
      </c>
      <c r="F1680" s="2">
        <f t="shared" si="156"/>
        <v>2020</v>
      </c>
      <c r="G1680">
        <v>156</v>
      </c>
      <c r="H1680" s="3">
        <v>1114796</v>
      </c>
      <c r="I1680">
        <v>175531</v>
      </c>
      <c r="J1680">
        <v>1114796</v>
      </c>
      <c r="K1680">
        <v>1009838</v>
      </c>
      <c r="L1680">
        <v>977767</v>
      </c>
      <c r="M1680" t="str">
        <f t="shared" si="157"/>
        <v>Large</v>
      </c>
      <c r="N1680">
        <f>VLOOKUP(C1680,Lookup!$A$2:$D$5,MATCH(M1680,Lookup!$A$1:$D$1,0),FALSE)</f>
        <v>0.08</v>
      </c>
      <c r="O1680">
        <f t="shared" si="158"/>
        <v>78221.36</v>
      </c>
      <c r="P1680" s="7">
        <f t="shared" si="159"/>
        <v>0.90585003893088956</v>
      </c>
      <c r="Q1680" s="7">
        <f t="shared" si="160"/>
        <v>7146.1282051282051</v>
      </c>
      <c r="R1680">
        <f t="shared" si="161"/>
        <v>2.2440289966832587</v>
      </c>
    </row>
    <row r="1681" spans="1:18" x14ac:dyDescent="0.25">
      <c r="A1681" t="s">
        <v>967</v>
      </c>
      <c r="B1681" t="s">
        <v>325</v>
      </c>
      <c r="C1681" t="s">
        <v>5</v>
      </c>
      <c r="D1681">
        <v>95971</v>
      </c>
      <c r="E1681" s="1">
        <v>44469</v>
      </c>
      <c r="F1681" s="2">
        <f t="shared" si="156"/>
        <v>2021</v>
      </c>
      <c r="G1681">
        <v>176</v>
      </c>
      <c r="H1681" s="3">
        <v>1570281</v>
      </c>
      <c r="I1681">
        <v>372993</v>
      </c>
      <c r="J1681">
        <v>1570281</v>
      </c>
      <c r="K1681">
        <v>1432171</v>
      </c>
      <c r="L1681">
        <v>1405545</v>
      </c>
      <c r="M1681" t="str">
        <f t="shared" si="157"/>
        <v>Large</v>
      </c>
      <c r="N1681">
        <f>VLOOKUP(C1681,Lookup!$A$2:$D$5,MATCH(M1681,Lookup!$A$1:$D$1,0),FALSE)</f>
        <v>0.08</v>
      </c>
      <c r="O1681">
        <f t="shared" si="158"/>
        <v>112443.6</v>
      </c>
      <c r="P1681" s="7">
        <f t="shared" si="159"/>
        <v>0.91204758893471938</v>
      </c>
      <c r="Q1681" s="7">
        <f t="shared" si="160"/>
        <v>8922.051136363636</v>
      </c>
      <c r="R1681">
        <f t="shared" si="161"/>
        <v>3.3171563343756336</v>
      </c>
    </row>
    <row r="1682" spans="1:18" x14ac:dyDescent="0.25">
      <c r="A1682" t="s">
        <v>968</v>
      </c>
      <c r="B1682" t="s">
        <v>969</v>
      </c>
      <c r="C1682" t="s">
        <v>17</v>
      </c>
      <c r="D1682">
        <v>10462</v>
      </c>
      <c r="E1682" s="1">
        <v>43738</v>
      </c>
      <c r="F1682" s="2">
        <f t="shared" si="156"/>
        <v>2019</v>
      </c>
      <c r="G1682">
        <v>187</v>
      </c>
      <c r="H1682" s="3">
        <v>1098506</v>
      </c>
      <c r="I1682">
        <v>47389</v>
      </c>
      <c r="J1682">
        <v>1098506</v>
      </c>
      <c r="K1682">
        <v>962995</v>
      </c>
      <c r="L1682">
        <v>782381</v>
      </c>
      <c r="M1682" t="str">
        <f t="shared" si="157"/>
        <v>Large</v>
      </c>
      <c r="N1682">
        <f>VLOOKUP(C1682,Lookup!$A$2:$D$5,MATCH(M1682,Lookup!$A$1:$D$1,0),FALSE)</f>
        <v>0.08</v>
      </c>
      <c r="O1682">
        <f t="shared" si="158"/>
        <v>62590.48</v>
      </c>
      <c r="P1682" s="7">
        <f t="shared" si="159"/>
        <v>0.87664063737476172</v>
      </c>
      <c r="Q1682" s="7">
        <f t="shared" si="160"/>
        <v>5874.363636363636</v>
      </c>
      <c r="R1682">
        <f t="shared" si="161"/>
        <v>0.75712792105125248</v>
      </c>
    </row>
    <row r="1683" spans="1:18" x14ac:dyDescent="0.25">
      <c r="A1683" t="s">
        <v>968</v>
      </c>
      <c r="B1683" t="s">
        <v>969</v>
      </c>
      <c r="C1683" t="s">
        <v>17</v>
      </c>
      <c r="D1683">
        <v>10462</v>
      </c>
      <c r="E1683" s="1">
        <v>44104</v>
      </c>
      <c r="F1683" s="2">
        <f t="shared" si="156"/>
        <v>2020</v>
      </c>
      <c r="G1683">
        <v>186</v>
      </c>
      <c r="H1683" s="3">
        <v>1260820</v>
      </c>
      <c r="I1683">
        <v>78564</v>
      </c>
      <c r="J1683">
        <v>1260820</v>
      </c>
      <c r="K1683">
        <v>1119945</v>
      </c>
      <c r="L1683">
        <v>987357</v>
      </c>
      <c r="M1683" t="str">
        <f t="shared" si="157"/>
        <v>Large</v>
      </c>
      <c r="N1683">
        <f>VLOOKUP(C1683,Lookup!$A$2:$D$5,MATCH(M1683,Lookup!$A$1:$D$1,0),FALSE)</f>
        <v>0.08</v>
      </c>
      <c r="O1683">
        <f t="shared" si="158"/>
        <v>78988.56</v>
      </c>
      <c r="P1683" s="7">
        <f t="shared" si="159"/>
        <v>0.888267159467648</v>
      </c>
      <c r="Q1683" s="7">
        <f t="shared" si="160"/>
        <v>6778.6021505376348</v>
      </c>
      <c r="R1683">
        <f t="shared" si="161"/>
        <v>0.99462504443681465</v>
      </c>
    </row>
    <row r="1684" spans="1:18" x14ac:dyDescent="0.25">
      <c r="A1684" t="s">
        <v>968</v>
      </c>
      <c r="B1684" t="s">
        <v>969</v>
      </c>
      <c r="C1684" t="s">
        <v>17</v>
      </c>
      <c r="D1684">
        <v>10462</v>
      </c>
      <c r="E1684" s="1">
        <v>44469</v>
      </c>
      <c r="F1684" s="2">
        <f t="shared" si="156"/>
        <v>2021</v>
      </c>
      <c r="G1684">
        <v>182</v>
      </c>
      <c r="H1684" s="3">
        <v>1542915</v>
      </c>
      <c r="I1684">
        <v>65120</v>
      </c>
      <c r="J1684">
        <v>1542915</v>
      </c>
      <c r="K1684">
        <v>1388422</v>
      </c>
      <c r="L1684">
        <v>1267520</v>
      </c>
      <c r="M1684" t="str">
        <f t="shared" si="157"/>
        <v>Large</v>
      </c>
      <c r="N1684">
        <f>VLOOKUP(C1684,Lookup!$A$2:$D$5,MATCH(M1684,Lookup!$A$1:$D$1,0),FALSE)</f>
        <v>0.08</v>
      </c>
      <c r="O1684">
        <f t="shared" si="158"/>
        <v>101401.60000000001</v>
      </c>
      <c r="P1684" s="7">
        <f t="shared" si="159"/>
        <v>0.89986940304553398</v>
      </c>
      <c r="Q1684" s="7">
        <f t="shared" si="160"/>
        <v>8477.5549450549443</v>
      </c>
      <c r="R1684">
        <f t="shared" si="161"/>
        <v>0.64219893966170161</v>
      </c>
    </row>
    <row r="1685" spans="1:18" x14ac:dyDescent="0.25">
      <c r="A1685" t="s">
        <v>970</v>
      </c>
      <c r="B1685" t="s">
        <v>41</v>
      </c>
      <c r="C1685" t="s">
        <v>5</v>
      </c>
      <c r="D1685">
        <v>95404</v>
      </c>
      <c r="E1685" s="1">
        <v>43738</v>
      </c>
      <c r="F1685" s="2">
        <f t="shared" si="156"/>
        <v>2019</v>
      </c>
      <c r="G1685">
        <v>159</v>
      </c>
      <c r="H1685" s="3">
        <v>2347223</v>
      </c>
      <c r="I1685">
        <v>241053</v>
      </c>
      <c r="J1685">
        <v>2347223</v>
      </c>
      <c r="K1685">
        <v>2094904</v>
      </c>
      <c r="L1685">
        <v>1984817</v>
      </c>
      <c r="M1685" t="str">
        <f t="shared" si="157"/>
        <v>Large</v>
      </c>
      <c r="N1685">
        <f>VLOOKUP(C1685,Lookup!$A$2:$D$5,MATCH(M1685,Lookup!$A$1:$D$1,0),FALSE)</f>
        <v>0.08</v>
      </c>
      <c r="O1685">
        <f t="shared" si="158"/>
        <v>158785.36000000002</v>
      </c>
      <c r="P1685" s="7">
        <f t="shared" si="159"/>
        <v>0.89250318354924096</v>
      </c>
      <c r="Q1685" s="7">
        <f t="shared" si="160"/>
        <v>14762.408805031446</v>
      </c>
      <c r="R1685">
        <f t="shared" si="161"/>
        <v>1.5181059513295179</v>
      </c>
    </row>
    <row r="1686" spans="1:18" x14ac:dyDescent="0.25">
      <c r="A1686" t="s">
        <v>970</v>
      </c>
      <c r="B1686" t="s">
        <v>41</v>
      </c>
      <c r="C1686" t="s">
        <v>5</v>
      </c>
      <c r="D1686">
        <v>95404</v>
      </c>
      <c r="E1686" s="1">
        <v>44104</v>
      </c>
      <c r="F1686" s="2">
        <f t="shared" si="156"/>
        <v>2020</v>
      </c>
      <c r="G1686">
        <v>146</v>
      </c>
      <c r="H1686" s="3">
        <v>3157255</v>
      </c>
      <c r="I1686">
        <v>492475</v>
      </c>
      <c r="J1686">
        <v>3157255</v>
      </c>
      <c r="K1686">
        <v>2908716</v>
      </c>
      <c r="L1686">
        <v>2788066</v>
      </c>
      <c r="M1686" t="str">
        <f t="shared" si="157"/>
        <v>Large</v>
      </c>
      <c r="N1686">
        <f>VLOOKUP(C1686,Lookup!$A$2:$D$5,MATCH(M1686,Lookup!$A$1:$D$1,0),FALSE)</f>
        <v>0.08</v>
      </c>
      <c r="O1686">
        <f t="shared" si="158"/>
        <v>223045.28</v>
      </c>
      <c r="P1686" s="7">
        <f t="shared" si="159"/>
        <v>0.92128003598062236</v>
      </c>
      <c r="Q1686" s="7">
        <f t="shared" si="160"/>
        <v>21625.034246575342</v>
      </c>
      <c r="R1686">
        <f t="shared" si="161"/>
        <v>2.2079597470074237</v>
      </c>
    </row>
    <row r="1687" spans="1:18" x14ac:dyDescent="0.25">
      <c r="A1687" t="s">
        <v>970</v>
      </c>
      <c r="B1687" t="s">
        <v>41</v>
      </c>
      <c r="C1687" t="s">
        <v>5</v>
      </c>
      <c r="D1687">
        <v>95404</v>
      </c>
      <c r="E1687" s="1">
        <v>44469</v>
      </c>
      <c r="F1687" s="2">
        <f t="shared" si="156"/>
        <v>2021</v>
      </c>
      <c r="G1687">
        <v>173</v>
      </c>
      <c r="H1687" s="3">
        <v>3928568</v>
      </c>
      <c r="I1687">
        <v>426995</v>
      </c>
      <c r="J1687">
        <v>3928568</v>
      </c>
      <c r="K1687">
        <v>3618560</v>
      </c>
      <c r="L1687">
        <v>3502603</v>
      </c>
      <c r="M1687" t="str">
        <f t="shared" si="157"/>
        <v>Large</v>
      </c>
      <c r="N1687">
        <f>VLOOKUP(C1687,Lookup!$A$2:$D$5,MATCH(M1687,Lookup!$A$1:$D$1,0),FALSE)</f>
        <v>0.08</v>
      </c>
      <c r="O1687">
        <f t="shared" si="158"/>
        <v>280208.24</v>
      </c>
      <c r="P1687" s="7">
        <f t="shared" si="159"/>
        <v>0.92108880385931968</v>
      </c>
      <c r="Q1687" s="7">
        <f t="shared" si="160"/>
        <v>22708.485549132947</v>
      </c>
      <c r="R1687">
        <f t="shared" si="161"/>
        <v>1.5238488347095003</v>
      </c>
    </row>
    <row r="1688" spans="1:18" x14ac:dyDescent="0.25">
      <c r="A1688" t="s">
        <v>971</v>
      </c>
      <c r="B1688" t="s">
        <v>16</v>
      </c>
      <c r="C1688" t="s">
        <v>17</v>
      </c>
      <c r="D1688">
        <v>10004</v>
      </c>
      <c r="E1688" s="1">
        <v>43738</v>
      </c>
      <c r="F1688" s="2">
        <f t="shared" si="156"/>
        <v>2019</v>
      </c>
      <c r="G1688">
        <v>727</v>
      </c>
      <c r="H1688" s="3">
        <v>10095163</v>
      </c>
      <c r="I1688">
        <v>648678</v>
      </c>
      <c r="J1688">
        <v>10095163</v>
      </c>
      <c r="K1688">
        <v>8288514</v>
      </c>
      <c r="L1688">
        <v>7638693</v>
      </c>
      <c r="M1688" t="str">
        <f t="shared" si="157"/>
        <v>Large</v>
      </c>
      <c r="N1688">
        <f>VLOOKUP(C1688,Lookup!$A$2:$D$5,MATCH(M1688,Lookup!$A$1:$D$1,0),FALSE)</f>
        <v>0.08</v>
      </c>
      <c r="O1688">
        <f t="shared" si="158"/>
        <v>611095.44000000006</v>
      </c>
      <c r="P1688" s="7">
        <f t="shared" si="159"/>
        <v>0.82103815460929164</v>
      </c>
      <c r="Q1688" s="7">
        <f t="shared" si="160"/>
        <v>13886.056396148555</v>
      </c>
      <c r="R1688">
        <f t="shared" si="161"/>
        <v>1.0615003116370823</v>
      </c>
    </row>
    <row r="1689" spans="1:18" x14ac:dyDescent="0.25">
      <c r="A1689" t="s">
        <v>971</v>
      </c>
      <c r="B1689" t="s">
        <v>16</v>
      </c>
      <c r="C1689" t="s">
        <v>17</v>
      </c>
      <c r="D1689">
        <v>10004</v>
      </c>
      <c r="E1689" s="1">
        <v>44104</v>
      </c>
      <c r="F1689" s="2">
        <f t="shared" si="156"/>
        <v>2020</v>
      </c>
      <c r="G1689">
        <v>706</v>
      </c>
      <c r="H1689" s="3">
        <v>10220472</v>
      </c>
      <c r="I1689">
        <v>261764</v>
      </c>
      <c r="J1689">
        <v>10220472</v>
      </c>
      <c r="K1689">
        <v>8428957</v>
      </c>
      <c r="L1689">
        <v>7683168</v>
      </c>
      <c r="M1689" t="str">
        <f t="shared" si="157"/>
        <v>Large</v>
      </c>
      <c r="N1689">
        <f>VLOOKUP(C1689,Lookup!$A$2:$D$5,MATCH(M1689,Lookup!$A$1:$D$1,0),FALSE)</f>
        <v>0.08</v>
      </c>
      <c r="O1689">
        <f t="shared" si="158"/>
        <v>614653.44000000006</v>
      </c>
      <c r="P1689" s="7">
        <f t="shared" si="159"/>
        <v>0.82471308565788348</v>
      </c>
      <c r="Q1689" s="7">
        <f t="shared" si="160"/>
        <v>14476.589235127478</v>
      </c>
      <c r="R1689">
        <f t="shared" si="161"/>
        <v>0.42587250467515481</v>
      </c>
    </row>
    <row r="1690" spans="1:18" x14ac:dyDescent="0.25">
      <c r="A1690" t="s">
        <v>971</v>
      </c>
      <c r="B1690" t="s">
        <v>16</v>
      </c>
      <c r="C1690" t="s">
        <v>17</v>
      </c>
      <c r="D1690">
        <v>10004</v>
      </c>
      <c r="E1690" s="1">
        <v>44469</v>
      </c>
      <c r="F1690" s="2">
        <f t="shared" si="156"/>
        <v>2021</v>
      </c>
      <c r="G1690">
        <v>622</v>
      </c>
      <c r="H1690" s="3">
        <v>10338113</v>
      </c>
      <c r="I1690">
        <v>879851</v>
      </c>
      <c r="J1690">
        <v>10338113</v>
      </c>
      <c r="K1690">
        <v>8441880</v>
      </c>
      <c r="L1690">
        <v>7844416</v>
      </c>
      <c r="M1690" t="str">
        <f t="shared" si="157"/>
        <v>Large</v>
      </c>
      <c r="N1690">
        <f>VLOOKUP(C1690,Lookup!$A$2:$D$5,MATCH(M1690,Lookup!$A$1:$D$1,0),FALSE)</f>
        <v>0.08</v>
      </c>
      <c r="O1690">
        <f t="shared" si="158"/>
        <v>627553.28000000003</v>
      </c>
      <c r="P1690" s="7">
        <f t="shared" si="159"/>
        <v>0.81657842200022379</v>
      </c>
      <c r="Q1690" s="7">
        <f t="shared" si="160"/>
        <v>16620.760450160771</v>
      </c>
      <c r="R1690">
        <f t="shared" si="161"/>
        <v>1.4020339436358296</v>
      </c>
    </row>
    <row r="1691" spans="1:18" x14ac:dyDescent="0.25">
      <c r="A1691" t="s">
        <v>972</v>
      </c>
      <c r="B1691" t="s">
        <v>973</v>
      </c>
      <c r="C1691" t="s">
        <v>8</v>
      </c>
      <c r="D1691">
        <v>60152</v>
      </c>
      <c r="E1691" s="1">
        <v>43738</v>
      </c>
      <c r="F1691" s="2">
        <f t="shared" si="156"/>
        <v>2019</v>
      </c>
      <c r="G1691">
        <v>27</v>
      </c>
      <c r="H1691" s="3">
        <v>125072</v>
      </c>
      <c r="I1691">
        <v>10955</v>
      </c>
      <c r="J1691">
        <v>125072</v>
      </c>
      <c r="K1691">
        <v>111800</v>
      </c>
      <c r="L1691">
        <v>109283</v>
      </c>
      <c r="M1691" t="str">
        <f t="shared" si="157"/>
        <v>Medium</v>
      </c>
      <c r="N1691">
        <f>VLOOKUP(C1691,Lookup!$A$2:$D$5,MATCH(M1691,Lookup!$A$1:$D$1,0),FALSE)</f>
        <v>0.08</v>
      </c>
      <c r="O1691">
        <f t="shared" si="158"/>
        <v>8742.64</v>
      </c>
      <c r="P1691" s="7">
        <f t="shared" si="159"/>
        <v>0.89388512216963034</v>
      </c>
      <c r="Q1691" s="7">
        <f t="shared" si="160"/>
        <v>4632.2962962962965</v>
      </c>
      <c r="R1691">
        <f t="shared" si="161"/>
        <v>1.2530539974195438</v>
      </c>
    </row>
    <row r="1692" spans="1:18" x14ac:dyDescent="0.25">
      <c r="A1692" t="s">
        <v>972</v>
      </c>
      <c r="B1692" t="s">
        <v>973</v>
      </c>
      <c r="C1692" t="s">
        <v>8</v>
      </c>
      <c r="D1692">
        <v>60152</v>
      </c>
      <c r="E1692" s="1">
        <v>44104</v>
      </c>
      <c r="F1692" s="2">
        <f t="shared" si="156"/>
        <v>2020</v>
      </c>
      <c r="G1692">
        <v>32</v>
      </c>
      <c r="H1692" s="3">
        <v>157381</v>
      </c>
      <c r="I1692">
        <v>42374</v>
      </c>
      <c r="J1692">
        <v>157381</v>
      </c>
      <c r="K1692">
        <v>143896</v>
      </c>
      <c r="L1692">
        <v>135425</v>
      </c>
      <c r="M1692" t="str">
        <f t="shared" si="157"/>
        <v>Medium</v>
      </c>
      <c r="N1692">
        <f>VLOOKUP(C1692,Lookup!$A$2:$D$5,MATCH(M1692,Lookup!$A$1:$D$1,0),FALSE)</f>
        <v>0.08</v>
      </c>
      <c r="O1692">
        <f t="shared" si="158"/>
        <v>10834</v>
      </c>
      <c r="P1692" s="7">
        <f t="shared" si="159"/>
        <v>0.91431621352005643</v>
      </c>
      <c r="Q1692" s="7">
        <f t="shared" si="160"/>
        <v>4918.15625</v>
      </c>
      <c r="R1692">
        <f t="shared" si="161"/>
        <v>3.9112054642791212</v>
      </c>
    </row>
    <row r="1693" spans="1:18" x14ac:dyDescent="0.25">
      <c r="A1693" t="s">
        <v>972</v>
      </c>
      <c r="B1693" t="s">
        <v>973</v>
      </c>
      <c r="C1693" t="s">
        <v>8</v>
      </c>
      <c r="D1693">
        <v>60152</v>
      </c>
      <c r="E1693" s="1">
        <v>44469</v>
      </c>
      <c r="F1693" s="2">
        <f t="shared" si="156"/>
        <v>2021</v>
      </c>
      <c r="G1693">
        <v>32</v>
      </c>
      <c r="H1693" s="3">
        <v>168498</v>
      </c>
      <c r="I1693">
        <v>33638</v>
      </c>
      <c r="J1693">
        <v>168498</v>
      </c>
      <c r="K1693">
        <v>155081</v>
      </c>
      <c r="L1693">
        <v>151649</v>
      </c>
      <c r="M1693" t="str">
        <f t="shared" si="157"/>
        <v>Medium</v>
      </c>
      <c r="N1693">
        <f>VLOOKUP(C1693,Lookup!$A$2:$D$5,MATCH(M1693,Lookup!$A$1:$D$1,0),FALSE)</f>
        <v>0.08</v>
      </c>
      <c r="O1693">
        <f t="shared" si="158"/>
        <v>12131.92</v>
      </c>
      <c r="P1693" s="7">
        <f t="shared" si="159"/>
        <v>0.92037294211207255</v>
      </c>
      <c r="Q1693" s="7">
        <f t="shared" si="160"/>
        <v>5265.5625</v>
      </c>
      <c r="R1693">
        <f t="shared" si="161"/>
        <v>2.7726856095325387</v>
      </c>
    </row>
    <row r="1694" spans="1:18" x14ac:dyDescent="0.25">
      <c r="A1694" t="s">
        <v>974</v>
      </c>
      <c r="B1694" t="s">
        <v>149</v>
      </c>
      <c r="C1694" t="s">
        <v>8</v>
      </c>
      <c r="D1694">
        <v>62711</v>
      </c>
      <c r="E1694" s="1">
        <v>43738</v>
      </c>
      <c r="F1694" s="2">
        <f t="shared" si="156"/>
        <v>2019</v>
      </c>
      <c r="G1694">
        <v>150</v>
      </c>
      <c r="H1694" s="3">
        <v>692509</v>
      </c>
      <c r="I1694">
        <v>18074</v>
      </c>
      <c r="J1694">
        <v>692509</v>
      </c>
      <c r="K1694">
        <v>612091</v>
      </c>
      <c r="L1694">
        <v>601019</v>
      </c>
      <c r="M1694" t="str">
        <f t="shared" si="157"/>
        <v>Medium</v>
      </c>
      <c r="N1694">
        <f>VLOOKUP(C1694,Lookup!$A$2:$D$5,MATCH(M1694,Lookup!$A$1:$D$1,0),FALSE)</f>
        <v>0.08</v>
      </c>
      <c r="O1694">
        <f t="shared" si="158"/>
        <v>48081.520000000004</v>
      </c>
      <c r="P1694" s="7">
        <f t="shared" si="159"/>
        <v>0.88387443340086558</v>
      </c>
      <c r="Q1694" s="7">
        <f t="shared" si="160"/>
        <v>4616.7266666666665</v>
      </c>
      <c r="R1694">
        <f t="shared" si="161"/>
        <v>0.37590325763411803</v>
      </c>
    </row>
    <row r="1695" spans="1:18" x14ac:dyDescent="0.25">
      <c r="A1695" t="s">
        <v>974</v>
      </c>
      <c r="B1695" t="s">
        <v>149</v>
      </c>
      <c r="C1695" t="s">
        <v>8</v>
      </c>
      <c r="D1695">
        <v>62711</v>
      </c>
      <c r="E1695" s="1">
        <v>44104</v>
      </c>
      <c r="F1695" s="2">
        <f t="shared" si="156"/>
        <v>2020</v>
      </c>
      <c r="G1695">
        <v>149</v>
      </c>
      <c r="H1695" s="3">
        <v>769859</v>
      </c>
      <c r="I1695">
        <v>84324</v>
      </c>
      <c r="J1695">
        <v>769859</v>
      </c>
      <c r="K1695">
        <v>688477</v>
      </c>
      <c r="L1695">
        <v>679328</v>
      </c>
      <c r="M1695" t="str">
        <f t="shared" si="157"/>
        <v>Medium</v>
      </c>
      <c r="N1695">
        <f>VLOOKUP(C1695,Lookup!$A$2:$D$5,MATCH(M1695,Lookup!$A$1:$D$1,0),FALSE)</f>
        <v>0.08</v>
      </c>
      <c r="O1695">
        <f t="shared" si="158"/>
        <v>54346.239999999998</v>
      </c>
      <c r="P1695" s="7">
        <f t="shared" si="159"/>
        <v>0.89428973357458963</v>
      </c>
      <c r="Q1695" s="7">
        <f t="shared" si="160"/>
        <v>5166.8389261744969</v>
      </c>
      <c r="R1695">
        <f t="shared" si="161"/>
        <v>1.5516068820952471</v>
      </c>
    </row>
    <row r="1696" spans="1:18" x14ac:dyDescent="0.25">
      <c r="A1696" t="s">
        <v>974</v>
      </c>
      <c r="B1696" t="s">
        <v>149</v>
      </c>
      <c r="C1696" t="s">
        <v>8</v>
      </c>
      <c r="D1696">
        <v>62711</v>
      </c>
      <c r="E1696" s="1">
        <v>44469</v>
      </c>
      <c r="F1696" s="2">
        <f t="shared" si="156"/>
        <v>2021</v>
      </c>
      <c r="G1696">
        <v>148</v>
      </c>
      <c r="H1696" s="3">
        <v>834763</v>
      </c>
      <c r="I1696">
        <v>137189</v>
      </c>
      <c r="J1696">
        <v>834763</v>
      </c>
      <c r="K1696">
        <v>750062</v>
      </c>
      <c r="L1696">
        <v>738371</v>
      </c>
      <c r="M1696" t="str">
        <f t="shared" si="157"/>
        <v>Medium</v>
      </c>
      <c r="N1696">
        <f>VLOOKUP(C1696,Lookup!$A$2:$D$5,MATCH(M1696,Lookup!$A$1:$D$1,0),FALSE)</f>
        <v>0.08</v>
      </c>
      <c r="O1696">
        <f t="shared" si="158"/>
        <v>59069.68</v>
      </c>
      <c r="P1696" s="7">
        <f t="shared" si="159"/>
        <v>0.8985328769962253</v>
      </c>
      <c r="Q1696" s="7">
        <f t="shared" si="160"/>
        <v>5640.2905405405409</v>
      </c>
      <c r="R1696">
        <f t="shared" si="161"/>
        <v>2.3224943829050706</v>
      </c>
    </row>
    <row r="1697" spans="1:18" x14ac:dyDescent="0.25">
      <c r="A1697" t="s">
        <v>975</v>
      </c>
      <c r="B1697" t="s">
        <v>47</v>
      </c>
      <c r="C1697" t="s">
        <v>5</v>
      </c>
      <c r="D1697">
        <v>90017</v>
      </c>
      <c r="E1697" s="1">
        <v>43738</v>
      </c>
      <c r="F1697" s="2">
        <f t="shared" si="156"/>
        <v>2019</v>
      </c>
      <c r="G1697">
        <v>282</v>
      </c>
      <c r="H1697" s="3">
        <v>4497081</v>
      </c>
      <c r="I1697">
        <v>409866</v>
      </c>
      <c r="J1697">
        <v>4497081</v>
      </c>
      <c r="K1697">
        <v>4038001</v>
      </c>
      <c r="L1697">
        <v>3869572</v>
      </c>
      <c r="M1697" t="str">
        <f t="shared" si="157"/>
        <v>Large</v>
      </c>
      <c r="N1697">
        <f>VLOOKUP(C1697,Lookup!$A$2:$D$5,MATCH(M1697,Lookup!$A$1:$D$1,0),FALSE)</f>
        <v>0.08</v>
      </c>
      <c r="O1697">
        <f t="shared" si="158"/>
        <v>309565.76</v>
      </c>
      <c r="P1697" s="7">
        <f t="shared" si="159"/>
        <v>0.89791600373664604</v>
      </c>
      <c r="Q1697" s="7">
        <f t="shared" si="160"/>
        <v>15947.095744680852</v>
      </c>
      <c r="R1697">
        <f t="shared" si="161"/>
        <v>1.3240030163542635</v>
      </c>
    </row>
    <row r="1698" spans="1:18" x14ac:dyDescent="0.25">
      <c r="A1698" t="s">
        <v>975</v>
      </c>
      <c r="B1698" t="s">
        <v>256</v>
      </c>
      <c r="C1698" t="s">
        <v>8</v>
      </c>
      <c r="D1698">
        <v>62420</v>
      </c>
      <c r="E1698" s="1">
        <v>43738</v>
      </c>
      <c r="F1698" s="2">
        <f t="shared" si="156"/>
        <v>2019</v>
      </c>
      <c r="G1698">
        <v>17</v>
      </c>
      <c r="H1698" s="3">
        <v>58957</v>
      </c>
      <c r="I1698">
        <v>958</v>
      </c>
      <c r="J1698">
        <v>58957</v>
      </c>
      <c r="K1698">
        <v>53283</v>
      </c>
      <c r="L1698">
        <v>53260</v>
      </c>
      <c r="M1698" t="str">
        <f t="shared" si="157"/>
        <v>Small</v>
      </c>
      <c r="N1698">
        <f>VLOOKUP(C1698,Lookup!$A$2:$D$5,MATCH(M1698,Lookup!$A$1:$D$1,0),FALSE)</f>
        <v>0.09</v>
      </c>
      <c r="O1698">
        <f t="shared" si="158"/>
        <v>4793.3999999999996</v>
      </c>
      <c r="P1698" s="7">
        <f t="shared" si="159"/>
        <v>0.90376036772563051</v>
      </c>
      <c r="Q1698" s="7">
        <f t="shared" si="160"/>
        <v>3468.0588235294117</v>
      </c>
      <c r="R1698">
        <f t="shared" si="161"/>
        <v>0.19985813827345936</v>
      </c>
    </row>
    <row r="1699" spans="1:18" x14ac:dyDescent="0.25">
      <c r="A1699" t="s">
        <v>975</v>
      </c>
      <c r="B1699" t="s">
        <v>47</v>
      </c>
      <c r="C1699" t="s">
        <v>5</v>
      </c>
      <c r="D1699">
        <v>90017</v>
      </c>
      <c r="E1699" s="1">
        <v>44104</v>
      </c>
      <c r="F1699" s="2">
        <f t="shared" si="156"/>
        <v>2020</v>
      </c>
      <c r="G1699">
        <v>271</v>
      </c>
      <c r="H1699" s="3">
        <v>5087666</v>
      </c>
      <c r="I1699">
        <v>781346</v>
      </c>
      <c r="J1699">
        <v>5087666</v>
      </c>
      <c r="K1699">
        <v>4583798</v>
      </c>
      <c r="L1699">
        <v>4415502</v>
      </c>
      <c r="M1699" t="str">
        <f t="shared" si="157"/>
        <v>Large</v>
      </c>
      <c r="N1699">
        <f>VLOOKUP(C1699,Lookup!$A$2:$D$5,MATCH(M1699,Lookup!$A$1:$D$1,0),FALSE)</f>
        <v>0.08</v>
      </c>
      <c r="O1699">
        <f t="shared" si="158"/>
        <v>353240.16000000003</v>
      </c>
      <c r="P1699" s="7">
        <f t="shared" si="159"/>
        <v>0.90096283836242397</v>
      </c>
      <c r="Q1699" s="7">
        <f t="shared" si="160"/>
        <v>18773.675276752769</v>
      </c>
      <c r="R1699">
        <f t="shared" si="161"/>
        <v>2.2119398881486179</v>
      </c>
    </row>
    <row r="1700" spans="1:18" x14ac:dyDescent="0.25">
      <c r="A1700" t="s">
        <v>975</v>
      </c>
      <c r="B1700" t="s">
        <v>256</v>
      </c>
      <c r="C1700" t="s">
        <v>8</v>
      </c>
      <c r="D1700">
        <v>62420</v>
      </c>
      <c r="E1700" s="1">
        <v>44104</v>
      </c>
      <c r="F1700" s="2">
        <f t="shared" si="156"/>
        <v>2020</v>
      </c>
      <c r="G1700">
        <v>15</v>
      </c>
      <c r="H1700" s="3">
        <v>66121</v>
      </c>
      <c r="I1700">
        <v>7426</v>
      </c>
      <c r="J1700">
        <v>66121</v>
      </c>
      <c r="K1700">
        <v>60140</v>
      </c>
      <c r="L1700">
        <v>56124</v>
      </c>
      <c r="M1700" t="str">
        <f t="shared" si="157"/>
        <v>Small</v>
      </c>
      <c r="N1700">
        <f>VLOOKUP(C1700,Lookup!$A$2:$D$5,MATCH(M1700,Lookup!$A$1:$D$1,0),FALSE)</f>
        <v>0.09</v>
      </c>
      <c r="O1700">
        <f t="shared" si="158"/>
        <v>5051.16</v>
      </c>
      <c r="P1700" s="7">
        <f t="shared" si="159"/>
        <v>0.90954462273710324</v>
      </c>
      <c r="Q1700" s="7">
        <f t="shared" si="160"/>
        <v>4408.0666666666666</v>
      </c>
      <c r="R1700">
        <f t="shared" si="161"/>
        <v>1.4701573499948528</v>
      </c>
    </row>
    <row r="1701" spans="1:18" x14ac:dyDescent="0.25">
      <c r="A1701" t="s">
        <v>975</v>
      </c>
      <c r="B1701" t="s">
        <v>47</v>
      </c>
      <c r="C1701" t="s">
        <v>5</v>
      </c>
      <c r="D1701">
        <v>90017</v>
      </c>
      <c r="E1701" s="1">
        <v>44469</v>
      </c>
      <c r="F1701" s="2">
        <f t="shared" si="156"/>
        <v>2021</v>
      </c>
      <c r="G1701">
        <v>277</v>
      </c>
      <c r="H1701" s="3">
        <v>5980905</v>
      </c>
      <c r="I1701">
        <v>1061094</v>
      </c>
      <c r="J1701">
        <v>5980905</v>
      </c>
      <c r="K1701">
        <v>5418884</v>
      </c>
      <c r="L1701">
        <v>5196180</v>
      </c>
      <c r="M1701" t="str">
        <f t="shared" si="157"/>
        <v>Large</v>
      </c>
      <c r="N1701">
        <f>VLOOKUP(C1701,Lookup!$A$2:$D$5,MATCH(M1701,Lookup!$A$1:$D$1,0),FALSE)</f>
        <v>0.08</v>
      </c>
      <c r="O1701">
        <f t="shared" si="158"/>
        <v>415694.4</v>
      </c>
      <c r="P1701" s="7">
        <f t="shared" si="159"/>
        <v>0.90603077627884077</v>
      </c>
      <c r="Q1701" s="7">
        <f t="shared" si="160"/>
        <v>21591.714801444043</v>
      </c>
      <c r="R1701">
        <f t="shared" si="161"/>
        <v>2.5525818967010379</v>
      </c>
    </row>
    <row r="1702" spans="1:18" x14ac:dyDescent="0.25">
      <c r="A1702" t="s">
        <v>975</v>
      </c>
      <c r="B1702" t="s">
        <v>256</v>
      </c>
      <c r="C1702" t="s">
        <v>8</v>
      </c>
      <c r="D1702">
        <v>62420</v>
      </c>
      <c r="E1702" s="1">
        <v>44469</v>
      </c>
      <c r="F1702" s="2">
        <f t="shared" si="156"/>
        <v>2021</v>
      </c>
      <c r="G1702">
        <v>12</v>
      </c>
      <c r="H1702" s="3">
        <v>66129</v>
      </c>
      <c r="I1702">
        <v>5235</v>
      </c>
      <c r="J1702">
        <v>66129</v>
      </c>
      <c r="K1702">
        <v>60184</v>
      </c>
      <c r="L1702">
        <v>60173</v>
      </c>
      <c r="M1702" t="str">
        <f t="shared" si="157"/>
        <v>Small</v>
      </c>
      <c r="N1702">
        <f>VLOOKUP(C1702,Lookup!$A$2:$D$5,MATCH(M1702,Lookup!$A$1:$D$1,0),FALSE)</f>
        <v>0.09</v>
      </c>
      <c r="O1702">
        <f t="shared" si="158"/>
        <v>5415.57</v>
      </c>
      <c r="P1702" s="7">
        <f t="shared" si="159"/>
        <v>0.91009995614632011</v>
      </c>
      <c r="Q1702" s="7">
        <f t="shared" si="160"/>
        <v>5510.75</v>
      </c>
      <c r="R1702">
        <f t="shared" si="161"/>
        <v>0.96665724937541209</v>
      </c>
    </row>
    <row r="1703" spans="1:18" x14ac:dyDescent="0.25">
      <c r="A1703" t="s">
        <v>976</v>
      </c>
      <c r="B1703" t="s">
        <v>274</v>
      </c>
      <c r="C1703" t="s">
        <v>5</v>
      </c>
      <c r="D1703">
        <v>93720</v>
      </c>
      <c r="E1703" s="1">
        <v>43738</v>
      </c>
      <c r="F1703" s="2">
        <f t="shared" si="156"/>
        <v>2019</v>
      </c>
      <c r="G1703">
        <v>85</v>
      </c>
      <c r="H1703" s="3">
        <v>888401</v>
      </c>
      <c r="I1703">
        <v>26218</v>
      </c>
      <c r="J1703">
        <v>888401</v>
      </c>
      <c r="K1703">
        <v>743703</v>
      </c>
      <c r="L1703">
        <v>719141</v>
      </c>
      <c r="M1703" t="str">
        <f t="shared" si="157"/>
        <v>Medium</v>
      </c>
      <c r="N1703">
        <f>VLOOKUP(C1703,Lookup!$A$2:$D$5,MATCH(M1703,Lookup!$A$1:$D$1,0),FALSE)</f>
        <v>0.09</v>
      </c>
      <c r="O1703">
        <f t="shared" si="158"/>
        <v>64722.689999999995</v>
      </c>
      <c r="P1703" s="7">
        <f t="shared" si="159"/>
        <v>0.83712535217767647</v>
      </c>
      <c r="Q1703" s="7">
        <f t="shared" si="160"/>
        <v>10451.776470588235</v>
      </c>
      <c r="R1703">
        <f t="shared" si="161"/>
        <v>0.40508205082328935</v>
      </c>
    </row>
    <row r="1704" spans="1:18" x14ac:dyDescent="0.25">
      <c r="A1704" t="s">
        <v>976</v>
      </c>
      <c r="B1704" t="s">
        <v>274</v>
      </c>
      <c r="C1704" t="s">
        <v>5</v>
      </c>
      <c r="D1704">
        <v>93720</v>
      </c>
      <c r="E1704" s="1">
        <v>44104</v>
      </c>
      <c r="F1704" s="2">
        <f t="shared" si="156"/>
        <v>2020</v>
      </c>
      <c r="G1704">
        <v>69</v>
      </c>
      <c r="H1704" s="3">
        <v>1042436</v>
      </c>
      <c r="I1704">
        <v>19261</v>
      </c>
      <c r="J1704">
        <v>1042436</v>
      </c>
      <c r="K1704">
        <v>900275</v>
      </c>
      <c r="L1704">
        <v>855913</v>
      </c>
      <c r="M1704" t="str">
        <f t="shared" si="157"/>
        <v>Large</v>
      </c>
      <c r="N1704">
        <f>VLOOKUP(C1704,Lookup!$A$2:$D$5,MATCH(M1704,Lookup!$A$1:$D$1,0),FALSE)</f>
        <v>0.08</v>
      </c>
      <c r="O1704">
        <f t="shared" si="158"/>
        <v>68473.040000000008</v>
      </c>
      <c r="P1704" s="7">
        <f t="shared" si="159"/>
        <v>0.86362616026307615</v>
      </c>
      <c r="Q1704" s="7">
        <f t="shared" si="160"/>
        <v>15107.768115942028</v>
      </c>
      <c r="R1704">
        <f t="shared" si="161"/>
        <v>0.28129319218191567</v>
      </c>
    </row>
    <row r="1705" spans="1:18" x14ac:dyDescent="0.25">
      <c r="A1705" t="s">
        <v>976</v>
      </c>
      <c r="B1705" t="s">
        <v>274</v>
      </c>
      <c r="C1705" t="s">
        <v>5</v>
      </c>
      <c r="D1705">
        <v>93720</v>
      </c>
      <c r="E1705" s="1">
        <v>44469</v>
      </c>
      <c r="F1705" s="2">
        <f t="shared" si="156"/>
        <v>2021</v>
      </c>
      <c r="G1705">
        <v>61</v>
      </c>
      <c r="H1705" s="3">
        <v>1206506</v>
      </c>
      <c r="I1705">
        <v>15647</v>
      </c>
      <c r="J1705">
        <v>1206506</v>
      </c>
      <c r="K1705">
        <v>1054479</v>
      </c>
      <c r="L1705">
        <v>988579</v>
      </c>
      <c r="M1705" t="str">
        <f t="shared" si="157"/>
        <v>Large</v>
      </c>
      <c r="N1705">
        <f>VLOOKUP(C1705,Lookup!$A$2:$D$5,MATCH(M1705,Lookup!$A$1:$D$1,0),FALSE)</f>
        <v>0.08</v>
      </c>
      <c r="O1705">
        <f t="shared" si="158"/>
        <v>79086.320000000007</v>
      </c>
      <c r="P1705" s="7">
        <f t="shared" si="159"/>
        <v>0.87399399588563997</v>
      </c>
      <c r="Q1705" s="7">
        <f t="shared" si="160"/>
        <v>19778.786885245903</v>
      </c>
      <c r="R1705">
        <f t="shared" si="161"/>
        <v>0.19784711186460566</v>
      </c>
    </row>
    <row r="1706" spans="1:18" x14ac:dyDescent="0.25">
      <c r="A1706" t="s">
        <v>977</v>
      </c>
      <c r="B1706" t="s">
        <v>101</v>
      </c>
      <c r="C1706" t="s">
        <v>5</v>
      </c>
      <c r="D1706">
        <v>94111</v>
      </c>
      <c r="E1706" s="1">
        <v>43738</v>
      </c>
      <c r="F1706" s="2">
        <f t="shared" si="156"/>
        <v>2019</v>
      </c>
      <c r="G1706">
        <v>56</v>
      </c>
      <c r="H1706" s="3">
        <v>877412</v>
      </c>
      <c r="I1706">
        <v>98942</v>
      </c>
      <c r="J1706">
        <v>877412</v>
      </c>
      <c r="K1706">
        <v>777981</v>
      </c>
      <c r="L1706">
        <v>754494</v>
      </c>
      <c r="M1706" t="str">
        <f t="shared" si="157"/>
        <v>Medium</v>
      </c>
      <c r="N1706">
        <f>VLOOKUP(C1706,Lookup!$A$2:$D$5,MATCH(M1706,Lookup!$A$1:$D$1,0),FALSE)</f>
        <v>0.09</v>
      </c>
      <c r="O1706">
        <f t="shared" si="158"/>
        <v>67904.459999999992</v>
      </c>
      <c r="P1706" s="7">
        <f t="shared" si="159"/>
        <v>0.88667695449800099</v>
      </c>
      <c r="Q1706" s="7">
        <f t="shared" si="160"/>
        <v>15668.071428571429</v>
      </c>
      <c r="R1706">
        <f t="shared" si="161"/>
        <v>1.4570766043938794</v>
      </c>
    </row>
    <row r="1707" spans="1:18" x14ac:dyDescent="0.25">
      <c r="A1707" t="s">
        <v>978</v>
      </c>
      <c r="B1707" t="s">
        <v>979</v>
      </c>
      <c r="C1707" t="s">
        <v>8</v>
      </c>
      <c r="D1707">
        <v>61559</v>
      </c>
      <c r="E1707" s="1">
        <v>43738</v>
      </c>
      <c r="F1707" s="2">
        <f t="shared" si="156"/>
        <v>2019</v>
      </c>
      <c r="G1707">
        <v>16</v>
      </c>
      <c r="H1707" s="3">
        <v>86296</v>
      </c>
      <c r="I1707">
        <v>8030</v>
      </c>
      <c r="J1707">
        <v>86296</v>
      </c>
      <c r="K1707">
        <v>78011</v>
      </c>
      <c r="L1707">
        <v>72509</v>
      </c>
      <c r="M1707" t="str">
        <f t="shared" si="157"/>
        <v>Small</v>
      </c>
      <c r="N1707">
        <f>VLOOKUP(C1707,Lookup!$A$2:$D$5,MATCH(M1707,Lookup!$A$1:$D$1,0),FALSE)</f>
        <v>0.09</v>
      </c>
      <c r="O1707">
        <f t="shared" si="158"/>
        <v>6525.8099999999995</v>
      </c>
      <c r="P1707" s="7">
        <f t="shared" si="159"/>
        <v>0.90399323259479003</v>
      </c>
      <c r="Q1707" s="7">
        <f t="shared" si="160"/>
        <v>5393.5</v>
      </c>
      <c r="R1707">
        <f t="shared" si="161"/>
        <v>1.2304985894471339</v>
      </c>
    </row>
    <row r="1708" spans="1:18" x14ac:dyDescent="0.25">
      <c r="A1708" t="s">
        <v>978</v>
      </c>
      <c r="B1708" t="s">
        <v>979</v>
      </c>
      <c r="C1708" t="s">
        <v>8</v>
      </c>
      <c r="D1708">
        <v>61559</v>
      </c>
      <c r="E1708" s="1">
        <v>44104</v>
      </c>
      <c r="F1708" s="2">
        <f t="shared" si="156"/>
        <v>2020</v>
      </c>
      <c r="G1708">
        <v>16</v>
      </c>
      <c r="H1708" s="3">
        <v>111885</v>
      </c>
      <c r="I1708">
        <v>11641</v>
      </c>
      <c r="J1708">
        <v>111885</v>
      </c>
      <c r="K1708">
        <v>102104</v>
      </c>
      <c r="L1708">
        <v>81805</v>
      </c>
      <c r="M1708" t="str">
        <f t="shared" si="157"/>
        <v>Medium</v>
      </c>
      <c r="N1708">
        <f>VLOOKUP(C1708,Lookup!$A$2:$D$5,MATCH(M1708,Lookup!$A$1:$D$1,0),FALSE)</f>
        <v>0.08</v>
      </c>
      <c r="O1708">
        <f t="shared" si="158"/>
        <v>6544.4000000000005</v>
      </c>
      <c r="P1708" s="7">
        <f t="shared" si="159"/>
        <v>0.91257988112794386</v>
      </c>
      <c r="Q1708" s="7">
        <f t="shared" si="160"/>
        <v>6992.8125</v>
      </c>
      <c r="R1708">
        <f t="shared" si="161"/>
        <v>1.7787726911557973</v>
      </c>
    </row>
    <row r="1709" spans="1:18" x14ac:dyDescent="0.25">
      <c r="A1709" t="s">
        <v>978</v>
      </c>
      <c r="B1709" t="s">
        <v>979</v>
      </c>
      <c r="C1709" t="s">
        <v>8</v>
      </c>
      <c r="D1709">
        <v>61559</v>
      </c>
      <c r="E1709" s="1">
        <v>44469</v>
      </c>
      <c r="F1709" s="2">
        <f t="shared" si="156"/>
        <v>2021</v>
      </c>
      <c r="G1709">
        <v>16</v>
      </c>
      <c r="H1709" s="3">
        <v>121063</v>
      </c>
      <c r="I1709">
        <v>13387</v>
      </c>
      <c r="J1709">
        <v>121063</v>
      </c>
      <c r="K1709">
        <v>110536</v>
      </c>
      <c r="L1709">
        <v>96963</v>
      </c>
      <c r="M1709" t="str">
        <f t="shared" si="157"/>
        <v>Medium</v>
      </c>
      <c r="N1709">
        <f>VLOOKUP(C1709,Lookup!$A$2:$D$5,MATCH(M1709,Lookup!$A$1:$D$1,0),FALSE)</f>
        <v>0.08</v>
      </c>
      <c r="O1709">
        <f t="shared" si="158"/>
        <v>7757.04</v>
      </c>
      <c r="P1709" s="7">
        <f t="shared" si="159"/>
        <v>0.91304527394827484</v>
      </c>
      <c r="Q1709" s="7">
        <f t="shared" si="160"/>
        <v>7566.4375</v>
      </c>
      <c r="R1709">
        <f t="shared" si="161"/>
        <v>1.7257871559254561</v>
      </c>
    </row>
    <row r="1710" spans="1:18" x14ac:dyDescent="0.25">
      <c r="A1710" t="s">
        <v>980</v>
      </c>
      <c r="B1710" t="s">
        <v>981</v>
      </c>
      <c r="C1710" t="s">
        <v>8</v>
      </c>
      <c r="D1710">
        <v>61944</v>
      </c>
      <c r="E1710" s="1">
        <v>43738</v>
      </c>
      <c r="F1710" s="2">
        <f t="shared" si="156"/>
        <v>2019</v>
      </c>
      <c r="G1710">
        <v>85</v>
      </c>
      <c r="H1710" s="3">
        <v>545721</v>
      </c>
      <c r="I1710">
        <v>19599</v>
      </c>
      <c r="J1710">
        <v>545721</v>
      </c>
      <c r="K1710">
        <v>493487</v>
      </c>
      <c r="L1710">
        <v>455975</v>
      </c>
      <c r="M1710" t="str">
        <f t="shared" si="157"/>
        <v>Medium</v>
      </c>
      <c r="N1710">
        <f>VLOOKUP(C1710,Lookup!$A$2:$D$5,MATCH(M1710,Lookup!$A$1:$D$1,0),FALSE)</f>
        <v>0.08</v>
      </c>
      <c r="O1710">
        <f t="shared" si="158"/>
        <v>36478</v>
      </c>
      <c r="P1710" s="7">
        <f t="shared" si="159"/>
        <v>0.90428442372567663</v>
      </c>
      <c r="Q1710" s="7">
        <f t="shared" si="160"/>
        <v>6420.2470588235292</v>
      </c>
      <c r="R1710">
        <f t="shared" si="161"/>
        <v>0.53728274576457047</v>
      </c>
    </row>
    <row r="1711" spans="1:18" x14ac:dyDescent="0.25">
      <c r="A1711" t="s">
        <v>980</v>
      </c>
      <c r="B1711" t="s">
        <v>981</v>
      </c>
      <c r="C1711" t="s">
        <v>8</v>
      </c>
      <c r="D1711">
        <v>61944</v>
      </c>
      <c r="E1711" s="1">
        <v>44104</v>
      </c>
      <c r="F1711" s="2">
        <f t="shared" si="156"/>
        <v>2020</v>
      </c>
      <c r="G1711">
        <v>86</v>
      </c>
      <c r="H1711" s="3">
        <v>626872</v>
      </c>
      <c r="I1711">
        <v>9832</v>
      </c>
      <c r="J1711">
        <v>626872</v>
      </c>
      <c r="K1711">
        <v>569396</v>
      </c>
      <c r="L1711">
        <v>527404</v>
      </c>
      <c r="M1711" t="str">
        <f t="shared" si="157"/>
        <v>Medium</v>
      </c>
      <c r="N1711">
        <f>VLOOKUP(C1711,Lookup!$A$2:$D$5,MATCH(M1711,Lookup!$A$1:$D$1,0),FALSE)</f>
        <v>0.08</v>
      </c>
      <c r="O1711">
        <f t="shared" si="158"/>
        <v>42192.32</v>
      </c>
      <c r="P1711" s="7">
        <f t="shared" si="159"/>
        <v>0.90831302083998011</v>
      </c>
      <c r="Q1711" s="7">
        <f t="shared" si="160"/>
        <v>7289.2093023255811</v>
      </c>
      <c r="R1711">
        <f t="shared" si="161"/>
        <v>0.23302819091246937</v>
      </c>
    </row>
    <row r="1712" spans="1:18" x14ac:dyDescent="0.25">
      <c r="A1712" t="s">
        <v>980</v>
      </c>
      <c r="B1712" t="s">
        <v>981</v>
      </c>
      <c r="C1712" t="s">
        <v>8</v>
      </c>
      <c r="D1712">
        <v>61944</v>
      </c>
      <c r="E1712" s="1">
        <v>44469</v>
      </c>
      <c r="F1712" s="2">
        <f t="shared" si="156"/>
        <v>2021</v>
      </c>
      <c r="G1712">
        <v>88</v>
      </c>
      <c r="H1712" s="3">
        <v>684011</v>
      </c>
      <c r="I1712">
        <v>6333</v>
      </c>
      <c r="J1712">
        <v>684011</v>
      </c>
      <c r="K1712">
        <v>626091</v>
      </c>
      <c r="L1712">
        <v>565144</v>
      </c>
      <c r="M1712" t="str">
        <f t="shared" si="157"/>
        <v>Medium</v>
      </c>
      <c r="N1712">
        <f>VLOOKUP(C1712,Lookup!$A$2:$D$5,MATCH(M1712,Lookup!$A$1:$D$1,0),FALSE)</f>
        <v>0.08</v>
      </c>
      <c r="O1712">
        <f t="shared" si="158"/>
        <v>45211.520000000004</v>
      </c>
      <c r="P1712" s="7">
        <f t="shared" si="159"/>
        <v>0.91532299919153348</v>
      </c>
      <c r="Q1712" s="7">
        <f t="shared" si="160"/>
        <v>7772.852272727273</v>
      </c>
      <c r="R1712">
        <f t="shared" si="161"/>
        <v>0.14007491895870786</v>
      </c>
    </row>
    <row r="1713" spans="1:18" x14ac:dyDescent="0.25">
      <c r="A1713" t="s">
        <v>982</v>
      </c>
      <c r="B1713" t="s">
        <v>983</v>
      </c>
      <c r="C1713" t="s">
        <v>8</v>
      </c>
      <c r="D1713">
        <v>60473</v>
      </c>
      <c r="E1713" s="1">
        <v>43738</v>
      </c>
      <c r="F1713" s="2">
        <f t="shared" si="156"/>
        <v>2019</v>
      </c>
      <c r="G1713">
        <v>192</v>
      </c>
      <c r="H1713" s="3">
        <v>1035130</v>
      </c>
      <c r="I1713">
        <v>90407</v>
      </c>
      <c r="J1713">
        <v>1035130</v>
      </c>
      <c r="K1713">
        <v>907197</v>
      </c>
      <c r="L1713">
        <v>886326</v>
      </c>
      <c r="M1713" t="str">
        <f t="shared" si="157"/>
        <v>Large</v>
      </c>
      <c r="N1713">
        <f>VLOOKUP(C1713,Lookup!$A$2:$D$5,MATCH(M1713,Lookup!$A$1:$D$1,0),FALSE)</f>
        <v>7.4999999999999997E-2</v>
      </c>
      <c r="O1713">
        <f t="shared" si="158"/>
        <v>66474.45</v>
      </c>
      <c r="P1713" s="7">
        <f t="shared" si="159"/>
        <v>0.87640876025233549</v>
      </c>
      <c r="Q1713" s="7">
        <f t="shared" si="160"/>
        <v>5391.302083333333</v>
      </c>
      <c r="R1713">
        <f t="shared" si="161"/>
        <v>1.3600262958174156</v>
      </c>
    </row>
    <row r="1714" spans="1:18" x14ac:dyDescent="0.25">
      <c r="A1714" t="s">
        <v>982</v>
      </c>
      <c r="B1714" t="s">
        <v>983</v>
      </c>
      <c r="C1714" t="s">
        <v>8</v>
      </c>
      <c r="D1714">
        <v>60473</v>
      </c>
      <c r="E1714" s="1">
        <v>44104</v>
      </c>
      <c r="F1714" s="2">
        <f t="shared" si="156"/>
        <v>2020</v>
      </c>
      <c r="G1714">
        <v>189</v>
      </c>
      <c r="H1714" s="3">
        <v>1199517</v>
      </c>
      <c r="I1714">
        <v>84215</v>
      </c>
      <c r="J1714">
        <v>1199517</v>
      </c>
      <c r="K1714">
        <v>1064383</v>
      </c>
      <c r="L1714">
        <v>1039756</v>
      </c>
      <c r="M1714" t="str">
        <f t="shared" si="157"/>
        <v>Large</v>
      </c>
      <c r="N1714">
        <f>VLOOKUP(C1714,Lookup!$A$2:$D$5,MATCH(M1714,Lookup!$A$1:$D$1,0),FALSE)</f>
        <v>7.4999999999999997E-2</v>
      </c>
      <c r="O1714">
        <f t="shared" si="158"/>
        <v>77981.7</v>
      </c>
      <c r="P1714" s="7">
        <f t="shared" si="159"/>
        <v>0.8873429888863601</v>
      </c>
      <c r="Q1714" s="7">
        <f t="shared" si="160"/>
        <v>6346.6507936507933</v>
      </c>
      <c r="R1714">
        <f t="shared" si="161"/>
        <v>1.0799328560418662</v>
      </c>
    </row>
    <row r="1715" spans="1:18" x14ac:dyDescent="0.25">
      <c r="A1715" t="s">
        <v>982</v>
      </c>
      <c r="B1715" t="s">
        <v>983</v>
      </c>
      <c r="C1715" t="s">
        <v>8</v>
      </c>
      <c r="D1715">
        <v>60473</v>
      </c>
      <c r="E1715" s="1">
        <v>44469</v>
      </c>
      <c r="F1715" s="2">
        <f t="shared" si="156"/>
        <v>2021</v>
      </c>
      <c r="G1715">
        <v>188</v>
      </c>
      <c r="H1715" s="3">
        <v>1330720</v>
      </c>
      <c r="I1715">
        <v>81044</v>
      </c>
      <c r="J1715">
        <v>1330720</v>
      </c>
      <c r="K1715">
        <v>1184469</v>
      </c>
      <c r="L1715">
        <v>1165552</v>
      </c>
      <c r="M1715" t="str">
        <f t="shared" si="157"/>
        <v>Large</v>
      </c>
      <c r="N1715">
        <f>VLOOKUP(C1715,Lookup!$A$2:$D$5,MATCH(M1715,Lookup!$A$1:$D$1,0),FALSE)</f>
        <v>7.4999999999999997E-2</v>
      </c>
      <c r="O1715">
        <f t="shared" si="158"/>
        <v>87416.4</v>
      </c>
      <c r="P1715" s="7">
        <f t="shared" si="159"/>
        <v>0.89009633882409522</v>
      </c>
      <c r="Q1715" s="7">
        <f t="shared" si="160"/>
        <v>7078.2978723404258</v>
      </c>
      <c r="R1715">
        <f t="shared" si="161"/>
        <v>0.92710292347888956</v>
      </c>
    </row>
    <row r="1716" spans="1:18" x14ac:dyDescent="0.25">
      <c r="A1716" t="s">
        <v>984</v>
      </c>
      <c r="B1716" t="s">
        <v>985</v>
      </c>
      <c r="C1716" t="s">
        <v>5</v>
      </c>
      <c r="D1716">
        <v>92506</v>
      </c>
      <c r="E1716" s="1">
        <v>43738</v>
      </c>
      <c r="F1716" s="2">
        <f t="shared" si="156"/>
        <v>2019</v>
      </c>
      <c r="G1716">
        <v>188</v>
      </c>
      <c r="H1716" s="3">
        <v>1105270</v>
      </c>
      <c r="I1716">
        <v>55317</v>
      </c>
      <c r="J1716">
        <v>1105270</v>
      </c>
      <c r="K1716">
        <v>994560</v>
      </c>
      <c r="L1716">
        <v>848997</v>
      </c>
      <c r="M1716" t="str">
        <f t="shared" si="157"/>
        <v>Large</v>
      </c>
      <c r="N1716">
        <f>VLOOKUP(C1716,Lookup!$A$2:$D$5,MATCH(M1716,Lookup!$A$1:$D$1,0),FALSE)</f>
        <v>0.08</v>
      </c>
      <c r="O1716">
        <f t="shared" si="158"/>
        <v>67919.759999999995</v>
      </c>
      <c r="P1716" s="7">
        <f t="shared" si="159"/>
        <v>0.89983442959638826</v>
      </c>
      <c r="Q1716" s="7">
        <f t="shared" si="160"/>
        <v>5879.0957446808507</v>
      </c>
      <c r="R1716">
        <f t="shared" si="161"/>
        <v>0.81444634079979084</v>
      </c>
    </row>
    <row r="1717" spans="1:18" x14ac:dyDescent="0.25">
      <c r="A1717" t="s">
        <v>984</v>
      </c>
      <c r="B1717" t="s">
        <v>985</v>
      </c>
      <c r="C1717" t="s">
        <v>5</v>
      </c>
      <c r="D1717">
        <v>92506</v>
      </c>
      <c r="E1717" s="1">
        <v>44104</v>
      </c>
      <c r="F1717" s="2">
        <f t="shared" si="156"/>
        <v>2020</v>
      </c>
      <c r="G1717">
        <v>163</v>
      </c>
      <c r="H1717" s="3">
        <v>1184018</v>
      </c>
      <c r="I1717">
        <v>67068</v>
      </c>
      <c r="J1717">
        <v>1184018</v>
      </c>
      <c r="K1717">
        <v>1069970</v>
      </c>
      <c r="L1717">
        <v>920683</v>
      </c>
      <c r="M1717" t="str">
        <f t="shared" si="157"/>
        <v>Large</v>
      </c>
      <c r="N1717">
        <f>VLOOKUP(C1717,Lookup!$A$2:$D$5,MATCH(M1717,Lookup!$A$1:$D$1,0),FALSE)</f>
        <v>0.08</v>
      </c>
      <c r="O1717">
        <f t="shared" si="158"/>
        <v>73654.64</v>
      </c>
      <c r="P1717" s="7">
        <f t="shared" si="159"/>
        <v>0.9036771400434791</v>
      </c>
      <c r="Q1717" s="7">
        <f t="shared" si="160"/>
        <v>7263.9141104294476</v>
      </c>
      <c r="R1717">
        <f t="shared" si="161"/>
        <v>0.91057399778208137</v>
      </c>
    </row>
    <row r="1718" spans="1:18" x14ac:dyDescent="0.25">
      <c r="A1718" t="s">
        <v>984</v>
      </c>
      <c r="B1718" t="s">
        <v>985</v>
      </c>
      <c r="C1718" t="s">
        <v>5</v>
      </c>
      <c r="D1718">
        <v>92506</v>
      </c>
      <c r="E1718" s="1">
        <v>44469</v>
      </c>
      <c r="F1718" s="2">
        <f t="shared" si="156"/>
        <v>2021</v>
      </c>
      <c r="G1718">
        <v>164</v>
      </c>
      <c r="H1718" s="3">
        <v>1192261</v>
      </c>
      <c r="I1718">
        <v>89053</v>
      </c>
      <c r="J1718">
        <v>1192261</v>
      </c>
      <c r="K1718">
        <v>1074963</v>
      </c>
      <c r="L1718">
        <v>972342</v>
      </c>
      <c r="M1718" t="str">
        <f t="shared" si="157"/>
        <v>Large</v>
      </c>
      <c r="N1718">
        <f>VLOOKUP(C1718,Lookup!$A$2:$D$5,MATCH(M1718,Lookup!$A$1:$D$1,0),FALSE)</f>
        <v>0.08</v>
      </c>
      <c r="O1718">
        <f t="shared" si="158"/>
        <v>77787.360000000001</v>
      </c>
      <c r="P1718" s="7">
        <f t="shared" si="159"/>
        <v>0.90161717945986664</v>
      </c>
      <c r="Q1718" s="7">
        <f t="shared" si="160"/>
        <v>7269.8841463414637</v>
      </c>
      <c r="R1718">
        <f t="shared" si="161"/>
        <v>1.1448261002815883</v>
      </c>
    </row>
    <row r="1719" spans="1:18" x14ac:dyDescent="0.25">
      <c r="A1719" t="s">
        <v>986</v>
      </c>
      <c r="B1719" t="s">
        <v>28</v>
      </c>
      <c r="C1719" t="s">
        <v>8</v>
      </c>
      <c r="D1719">
        <v>60608</v>
      </c>
      <c r="E1719" s="1">
        <v>43738</v>
      </c>
      <c r="F1719" s="2">
        <f t="shared" si="156"/>
        <v>2019</v>
      </c>
      <c r="G1719">
        <v>8</v>
      </c>
      <c r="H1719" s="3">
        <v>48960</v>
      </c>
      <c r="I1719">
        <v>2619</v>
      </c>
      <c r="J1719">
        <v>48960</v>
      </c>
      <c r="K1719">
        <v>45540</v>
      </c>
      <c r="L1719">
        <v>38478</v>
      </c>
      <c r="M1719" t="str">
        <f t="shared" si="157"/>
        <v>Small</v>
      </c>
      <c r="N1719">
        <f>VLOOKUP(C1719,Lookup!$A$2:$D$5,MATCH(M1719,Lookup!$A$1:$D$1,0),FALSE)</f>
        <v>0.09</v>
      </c>
      <c r="O1719">
        <f t="shared" si="158"/>
        <v>3463.02</v>
      </c>
      <c r="P1719" s="7">
        <f t="shared" si="159"/>
        <v>0.93014705882352944</v>
      </c>
      <c r="Q1719" s="7">
        <f t="shared" si="160"/>
        <v>6120</v>
      </c>
      <c r="R1719">
        <f t="shared" si="161"/>
        <v>0.75627631373772031</v>
      </c>
    </row>
    <row r="1720" spans="1:18" x14ac:dyDescent="0.25">
      <c r="A1720" t="s">
        <v>986</v>
      </c>
      <c r="B1720" t="s">
        <v>28</v>
      </c>
      <c r="C1720" t="s">
        <v>8</v>
      </c>
      <c r="D1720">
        <v>60608</v>
      </c>
      <c r="E1720" s="1">
        <v>44104</v>
      </c>
      <c r="F1720" s="2">
        <f t="shared" si="156"/>
        <v>2020</v>
      </c>
      <c r="G1720">
        <v>8</v>
      </c>
      <c r="H1720" s="3">
        <v>48528</v>
      </c>
      <c r="I1720">
        <v>5292</v>
      </c>
      <c r="J1720">
        <v>48528</v>
      </c>
      <c r="K1720">
        <v>44962</v>
      </c>
      <c r="L1720">
        <v>39544</v>
      </c>
      <c r="M1720" t="str">
        <f t="shared" si="157"/>
        <v>Small</v>
      </c>
      <c r="N1720">
        <f>VLOOKUP(C1720,Lookup!$A$2:$D$5,MATCH(M1720,Lookup!$A$1:$D$1,0),FALSE)</f>
        <v>0.09</v>
      </c>
      <c r="O1720">
        <f t="shared" si="158"/>
        <v>3558.96</v>
      </c>
      <c r="P1720" s="7">
        <f t="shared" si="159"/>
        <v>0.92651665018133866</v>
      </c>
      <c r="Q1720" s="7">
        <f t="shared" si="160"/>
        <v>6066</v>
      </c>
      <c r="R1720">
        <f t="shared" si="161"/>
        <v>1.4869512441836941</v>
      </c>
    </row>
    <row r="1721" spans="1:18" x14ac:dyDescent="0.25">
      <c r="A1721" t="s">
        <v>986</v>
      </c>
      <c r="B1721" t="s">
        <v>28</v>
      </c>
      <c r="C1721" t="s">
        <v>8</v>
      </c>
      <c r="D1721">
        <v>60608</v>
      </c>
      <c r="E1721" s="1">
        <v>44469</v>
      </c>
      <c r="F1721" s="2">
        <f t="shared" si="156"/>
        <v>2021</v>
      </c>
      <c r="G1721">
        <v>7</v>
      </c>
      <c r="H1721" s="3">
        <v>50177</v>
      </c>
      <c r="I1721">
        <v>5358</v>
      </c>
      <c r="J1721">
        <v>50177</v>
      </c>
      <c r="K1721">
        <v>45520</v>
      </c>
      <c r="L1721">
        <v>43589</v>
      </c>
      <c r="M1721" t="str">
        <f t="shared" si="157"/>
        <v>Small</v>
      </c>
      <c r="N1721">
        <f>VLOOKUP(C1721,Lookup!$A$2:$D$5,MATCH(M1721,Lookup!$A$1:$D$1,0),FALSE)</f>
        <v>0.09</v>
      </c>
      <c r="O1721">
        <f t="shared" si="158"/>
        <v>3923.0099999999998</v>
      </c>
      <c r="P1721" s="7">
        <f t="shared" si="159"/>
        <v>0.90718855252406483</v>
      </c>
      <c r="Q1721" s="7">
        <f t="shared" si="160"/>
        <v>7168.1428571428569</v>
      </c>
      <c r="R1721">
        <f t="shared" si="161"/>
        <v>1.3657880046189024</v>
      </c>
    </row>
    <row r="1722" spans="1:18" x14ac:dyDescent="0.25">
      <c r="A1722" t="s">
        <v>987</v>
      </c>
      <c r="B1722" t="s">
        <v>16</v>
      </c>
      <c r="C1722" t="s">
        <v>17</v>
      </c>
      <c r="D1722">
        <v>10020</v>
      </c>
      <c r="E1722" s="1">
        <v>43738</v>
      </c>
      <c r="F1722" s="2">
        <f t="shared" si="156"/>
        <v>2019</v>
      </c>
      <c r="G1722">
        <v>146</v>
      </c>
      <c r="H1722" s="3">
        <v>392656</v>
      </c>
      <c r="I1722">
        <v>88973</v>
      </c>
      <c r="J1722">
        <v>392656</v>
      </c>
      <c r="K1722">
        <v>352595</v>
      </c>
      <c r="L1722">
        <v>316017</v>
      </c>
      <c r="M1722" t="str">
        <f t="shared" si="157"/>
        <v>Medium</v>
      </c>
      <c r="N1722">
        <f>VLOOKUP(C1722,Lookup!$A$2:$D$5,MATCH(M1722,Lookup!$A$1:$D$1,0),FALSE)</f>
        <v>8.5000000000000006E-2</v>
      </c>
      <c r="O1722">
        <f t="shared" si="158"/>
        <v>26861.445000000003</v>
      </c>
      <c r="P1722" s="7">
        <f t="shared" si="159"/>
        <v>0.89797430830039526</v>
      </c>
      <c r="Q1722" s="7">
        <f t="shared" si="160"/>
        <v>2689.4246575342468</v>
      </c>
      <c r="R1722">
        <f t="shared" si="161"/>
        <v>3.3122938844131427</v>
      </c>
    </row>
    <row r="1723" spans="1:18" x14ac:dyDescent="0.25">
      <c r="A1723" t="s">
        <v>987</v>
      </c>
      <c r="B1723" t="s">
        <v>16</v>
      </c>
      <c r="C1723" t="s">
        <v>17</v>
      </c>
      <c r="D1723">
        <v>10020</v>
      </c>
      <c r="E1723" s="1">
        <v>44104</v>
      </c>
      <c r="F1723" s="2">
        <f t="shared" si="156"/>
        <v>2020</v>
      </c>
      <c r="G1723">
        <v>160</v>
      </c>
      <c r="H1723" s="3">
        <v>1380124</v>
      </c>
      <c r="I1723">
        <v>117659</v>
      </c>
      <c r="J1723">
        <v>1380124</v>
      </c>
      <c r="K1723">
        <v>1328966</v>
      </c>
      <c r="L1723">
        <v>424649</v>
      </c>
      <c r="M1723" t="str">
        <f t="shared" si="157"/>
        <v>Large</v>
      </c>
      <c r="N1723">
        <f>VLOOKUP(C1723,Lookup!$A$2:$D$5,MATCH(M1723,Lookup!$A$1:$D$1,0),FALSE)</f>
        <v>0.08</v>
      </c>
      <c r="O1723">
        <f t="shared" si="158"/>
        <v>33971.919999999998</v>
      </c>
      <c r="P1723" s="7">
        <f t="shared" si="159"/>
        <v>0.96293231622665787</v>
      </c>
      <c r="Q1723" s="7">
        <f t="shared" si="160"/>
        <v>8625.7749999999996</v>
      </c>
      <c r="R1723">
        <f t="shared" si="161"/>
        <v>3.4634192003278002</v>
      </c>
    </row>
    <row r="1724" spans="1:18" x14ac:dyDescent="0.25">
      <c r="A1724" t="s">
        <v>987</v>
      </c>
      <c r="B1724" t="s">
        <v>16</v>
      </c>
      <c r="C1724" t="s">
        <v>17</v>
      </c>
      <c r="D1724">
        <v>10020</v>
      </c>
      <c r="E1724" s="1">
        <v>44469</v>
      </c>
      <c r="F1724" s="2">
        <f t="shared" si="156"/>
        <v>2021</v>
      </c>
      <c r="G1724">
        <v>308</v>
      </c>
      <c r="H1724" s="3">
        <v>1048828</v>
      </c>
      <c r="I1724">
        <v>164050</v>
      </c>
      <c r="J1724">
        <v>1048828</v>
      </c>
      <c r="K1724">
        <v>955831</v>
      </c>
      <c r="L1724">
        <v>557317</v>
      </c>
      <c r="M1724" t="str">
        <f t="shared" si="157"/>
        <v>Large</v>
      </c>
      <c r="N1724">
        <f>VLOOKUP(C1724,Lookup!$A$2:$D$5,MATCH(M1724,Lookup!$A$1:$D$1,0),FALSE)</f>
        <v>0.08</v>
      </c>
      <c r="O1724">
        <f t="shared" si="158"/>
        <v>44585.36</v>
      </c>
      <c r="P1724" s="7">
        <f t="shared" si="159"/>
        <v>0.91133245870628932</v>
      </c>
      <c r="Q1724" s="7">
        <f t="shared" si="160"/>
        <v>3405.2857142857142</v>
      </c>
      <c r="R1724">
        <f t="shared" si="161"/>
        <v>3.6794589075876027</v>
      </c>
    </row>
    <row r="1725" spans="1:18" x14ac:dyDescent="0.25">
      <c r="A1725" t="s">
        <v>988</v>
      </c>
      <c r="B1725" t="s">
        <v>26</v>
      </c>
      <c r="C1725" t="s">
        <v>20</v>
      </c>
      <c r="D1725">
        <v>2210</v>
      </c>
      <c r="E1725" s="1">
        <v>43738</v>
      </c>
      <c r="F1725" s="2">
        <f t="shared" si="156"/>
        <v>2019</v>
      </c>
      <c r="G1725">
        <v>148</v>
      </c>
      <c r="H1725" s="3">
        <v>1356036</v>
      </c>
      <c r="I1725">
        <v>74594</v>
      </c>
      <c r="J1725">
        <v>1356036</v>
      </c>
      <c r="K1725">
        <v>1229777</v>
      </c>
      <c r="L1725">
        <v>1193688</v>
      </c>
      <c r="M1725" t="str">
        <f t="shared" si="157"/>
        <v>Large</v>
      </c>
      <c r="N1725">
        <f>VLOOKUP(C1725,Lookup!$A$2:$D$5,MATCH(M1725,Lookup!$A$1:$D$1,0),FALSE)</f>
        <v>0.08</v>
      </c>
      <c r="O1725">
        <f t="shared" si="158"/>
        <v>95495.040000000008</v>
      </c>
      <c r="P1725" s="7">
        <f t="shared" si="159"/>
        <v>0.90689111498514785</v>
      </c>
      <c r="Q1725" s="7">
        <f t="shared" si="160"/>
        <v>9162.405405405405</v>
      </c>
      <c r="R1725">
        <f t="shared" si="161"/>
        <v>0.78112957489729307</v>
      </c>
    </row>
    <row r="1726" spans="1:18" x14ac:dyDescent="0.25">
      <c r="A1726" t="s">
        <v>988</v>
      </c>
      <c r="B1726" t="s">
        <v>26</v>
      </c>
      <c r="C1726" t="s">
        <v>20</v>
      </c>
      <c r="D1726">
        <v>2210</v>
      </c>
      <c r="E1726" s="1">
        <v>44104</v>
      </c>
      <c r="F1726" s="2">
        <f t="shared" si="156"/>
        <v>2020</v>
      </c>
      <c r="G1726">
        <v>166</v>
      </c>
      <c r="H1726" s="3">
        <v>2186558</v>
      </c>
      <c r="I1726">
        <v>79319</v>
      </c>
      <c r="J1726">
        <v>2186558</v>
      </c>
      <c r="K1726">
        <v>2056281</v>
      </c>
      <c r="L1726">
        <v>1431046</v>
      </c>
      <c r="M1726" t="str">
        <f t="shared" si="157"/>
        <v>Large</v>
      </c>
      <c r="N1726">
        <f>VLOOKUP(C1726,Lookup!$A$2:$D$5,MATCH(M1726,Lookup!$A$1:$D$1,0),FALSE)</f>
        <v>0.08</v>
      </c>
      <c r="O1726">
        <f t="shared" si="158"/>
        <v>114483.68000000001</v>
      </c>
      <c r="P1726" s="7">
        <f t="shared" si="159"/>
        <v>0.94041914278057115</v>
      </c>
      <c r="Q1726" s="7">
        <f t="shared" si="160"/>
        <v>13172.036144578313</v>
      </c>
      <c r="R1726">
        <f t="shared" si="161"/>
        <v>0.69284111062816989</v>
      </c>
    </row>
    <row r="1727" spans="1:18" x14ac:dyDescent="0.25">
      <c r="A1727" t="s">
        <v>989</v>
      </c>
      <c r="B1727" t="s">
        <v>990</v>
      </c>
      <c r="C1727" t="s">
        <v>8</v>
      </c>
      <c r="D1727">
        <v>61471</v>
      </c>
      <c r="E1727" s="1">
        <v>43738</v>
      </c>
      <c r="F1727" s="2">
        <f t="shared" si="156"/>
        <v>2019</v>
      </c>
      <c r="G1727">
        <v>32</v>
      </c>
      <c r="H1727" s="3">
        <v>182237</v>
      </c>
      <c r="I1727">
        <v>5925</v>
      </c>
      <c r="J1727">
        <v>182237</v>
      </c>
      <c r="K1727">
        <v>160926</v>
      </c>
      <c r="L1727">
        <v>159898</v>
      </c>
      <c r="M1727" t="str">
        <f t="shared" si="157"/>
        <v>Medium</v>
      </c>
      <c r="N1727">
        <f>VLOOKUP(C1727,Lookup!$A$2:$D$5,MATCH(M1727,Lookup!$A$1:$D$1,0),FALSE)</f>
        <v>0.08</v>
      </c>
      <c r="O1727">
        <f t="shared" si="158"/>
        <v>12791.84</v>
      </c>
      <c r="P1727" s="7">
        <f t="shared" si="159"/>
        <v>0.88305887388400817</v>
      </c>
      <c r="Q1727" s="7">
        <f t="shared" si="160"/>
        <v>5694.90625</v>
      </c>
      <c r="R1727">
        <f t="shared" si="161"/>
        <v>0.46318590601508464</v>
      </c>
    </row>
    <row r="1728" spans="1:18" x14ac:dyDescent="0.25">
      <c r="A1728" t="s">
        <v>989</v>
      </c>
      <c r="B1728" t="s">
        <v>990</v>
      </c>
      <c r="C1728" t="s">
        <v>8</v>
      </c>
      <c r="D1728">
        <v>61471</v>
      </c>
      <c r="E1728" s="1">
        <v>44104</v>
      </c>
      <c r="F1728" s="2">
        <f t="shared" si="156"/>
        <v>2020</v>
      </c>
      <c r="G1728">
        <v>30</v>
      </c>
      <c r="H1728" s="3">
        <v>199062</v>
      </c>
      <c r="I1728">
        <v>5383</v>
      </c>
      <c r="J1728">
        <v>199062</v>
      </c>
      <c r="K1728">
        <v>176399</v>
      </c>
      <c r="L1728">
        <v>175573</v>
      </c>
      <c r="M1728" t="str">
        <f t="shared" si="157"/>
        <v>Medium</v>
      </c>
      <c r="N1728">
        <f>VLOOKUP(C1728,Lookup!$A$2:$D$5,MATCH(M1728,Lookup!$A$1:$D$1,0),FALSE)</f>
        <v>0.08</v>
      </c>
      <c r="O1728">
        <f t="shared" si="158"/>
        <v>14045.84</v>
      </c>
      <c r="P1728" s="7">
        <f t="shared" si="159"/>
        <v>0.88615104841707604</v>
      </c>
      <c r="Q1728" s="7">
        <f t="shared" si="160"/>
        <v>6635.4</v>
      </c>
      <c r="R1728">
        <f t="shared" si="161"/>
        <v>0.38324514589373082</v>
      </c>
    </row>
    <row r="1729" spans="1:18" x14ac:dyDescent="0.25">
      <c r="A1729" t="s">
        <v>989</v>
      </c>
      <c r="B1729" t="s">
        <v>990</v>
      </c>
      <c r="C1729" t="s">
        <v>8</v>
      </c>
      <c r="D1729">
        <v>61471</v>
      </c>
      <c r="E1729" s="1">
        <v>44469</v>
      </c>
      <c r="F1729" s="2">
        <f t="shared" si="156"/>
        <v>2021</v>
      </c>
      <c r="G1729">
        <v>33</v>
      </c>
      <c r="H1729" s="3">
        <v>224709</v>
      </c>
      <c r="I1729">
        <v>7585</v>
      </c>
      <c r="J1729">
        <v>224709</v>
      </c>
      <c r="K1729">
        <v>201330</v>
      </c>
      <c r="L1729">
        <v>200711</v>
      </c>
      <c r="M1729" t="str">
        <f t="shared" si="157"/>
        <v>Medium</v>
      </c>
      <c r="N1729">
        <f>VLOOKUP(C1729,Lookup!$A$2:$D$5,MATCH(M1729,Lookup!$A$1:$D$1,0),FALSE)</f>
        <v>0.08</v>
      </c>
      <c r="O1729">
        <f t="shared" si="158"/>
        <v>16056.880000000001</v>
      </c>
      <c r="P1729" s="7">
        <f t="shared" si="159"/>
        <v>0.89595877334686191</v>
      </c>
      <c r="Q1729" s="7">
        <f t="shared" si="160"/>
        <v>6809.363636363636</v>
      </c>
      <c r="R1729">
        <f t="shared" si="161"/>
        <v>0.47238317780291061</v>
      </c>
    </row>
    <row r="1730" spans="1:18" x14ac:dyDescent="0.25">
      <c r="A1730" t="s">
        <v>991</v>
      </c>
      <c r="B1730" t="s">
        <v>992</v>
      </c>
      <c r="C1730" t="s">
        <v>20</v>
      </c>
      <c r="D1730">
        <v>1867</v>
      </c>
      <c r="E1730" s="1">
        <v>43738</v>
      </c>
      <c r="F1730" s="2">
        <f t="shared" ref="F1730:F1793" si="162">YEAR(E1730)</f>
        <v>2019</v>
      </c>
      <c r="G1730">
        <v>78</v>
      </c>
      <c r="H1730" s="3">
        <v>591492</v>
      </c>
      <c r="I1730">
        <v>10155</v>
      </c>
      <c r="J1730">
        <v>591492</v>
      </c>
      <c r="K1730">
        <v>537650</v>
      </c>
      <c r="L1730">
        <v>477958</v>
      </c>
      <c r="M1730" t="str">
        <f t="shared" ref="M1730:M1793" si="163">IF(H1730&gt;1000000,"Large",IF(H1730&lt;100000,"Small","Medium"))</f>
        <v>Medium</v>
      </c>
      <c r="N1730">
        <f>VLOOKUP(C1730,Lookup!$A$2:$D$5,MATCH(M1730,Lookup!$A$1:$D$1,0),FALSE)</f>
        <v>8.5000000000000006E-2</v>
      </c>
      <c r="O1730">
        <f t="shared" ref="O1730:O1793" si="164">L1730*N1730</f>
        <v>40626.43</v>
      </c>
      <c r="P1730" s="7">
        <f t="shared" ref="P1730:P1793" si="165">K1730/H1730</f>
        <v>0.90897256429503692</v>
      </c>
      <c r="Q1730" s="7">
        <f t="shared" ref="Q1730:Q1793" si="166">H1730/G1730</f>
        <v>7583.2307692307695</v>
      </c>
      <c r="R1730">
        <f t="shared" ref="R1730:R1793" si="167">I1730/O1730</f>
        <v>0.24996043216201866</v>
      </c>
    </row>
    <row r="1731" spans="1:18" x14ac:dyDescent="0.25">
      <c r="A1731" t="s">
        <v>991</v>
      </c>
      <c r="B1731" t="s">
        <v>992</v>
      </c>
      <c r="C1731" t="s">
        <v>20</v>
      </c>
      <c r="D1731">
        <v>1867</v>
      </c>
      <c r="E1731" s="1">
        <v>44104</v>
      </c>
      <c r="F1731" s="2">
        <f t="shared" si="162"/>
        <v>2020</v>
      </c>
      <c r="G1731">
        <v>76</v>
      </c>
      <c r="H1731" s="3">
        <v>630668</v>
      </c>
      <c r="I1731">
        <v>9169</v>
      </c>
      <c r="J1731">
        <v>630668</v>
      </c>
      <c r="K1731">
        <v>572646</v>
      </c>
      <c r="L1731">
        <v>526460</v>
      </c>
      <c r="M1731" t="str">
        <f t="shared" si="163"/>
        <v>Medium</v>
      </c>
      <c r="N1731">
        <f>VLOOKUP(C1731,Lookup!$A$2:$D$5,MATCH(M1731,Lookup!$A$1:$D$1,0),FALSE)</f>
        <v>8.5000000000000006E-2</v>
      </c>
      <c r="O1731">
        <f t="shared" si="164"/>
        <v>44749.100000000006</v>
      </c>
      <c r="P1731" s="7">
        <f t="shared" si="165"/>
        <v>0.90799913742254246</v>
      </c>
      <c r="Q1731" s="7">
        <f t="shared" si="166"/>
        <v>8298.2631578947367</v>
      </c>
      <c r="R1731">
        <f t="shared" si="167"/>
        <v>0.20489797560174391</v>
      </c>
    </row>
    <row r="1732" spans="1:18" x14ac:dyDescent="0.25">
      <c r="A1732" t="s">
        <v>991</v>
      </c>
      <c r="B1732" t="s">
        <v>992</v>
      </c>
      <c r="C1732" t="s">
        <v>20</v>
      </c>
      <c r="D1732">
        <v>1867</v>
      </c>
      <c r="E1732" s="1">
        <v>44469</v>
      </c>
      <c r="F1732" s="2">
        <f t="shared" si="162"/>
        <v>2021</v>
      </c>
      <c r="G1732">
        <v>83</v>
      </c>
      <c r="H1732" s="3">
        <v>661678</v>
      </c>
      <c r="I1732">
        <v>5953</v>
      </c>
      <c r="J1732">
        <v>661678</v>
      </c>
      <c r="K1732">
        <v>600270</v>
      </c>
      <c r="L1732">
        <v>578781</v>
      </c>
      <c r="M1732" t="str">
        <f t="shared" si="163"/>
        <v>Medium</v>
      </c>
      <c r="N1732">
        <f>VLOOKUP(C1732,Lookup!$A$2:$D$5,MATCH(M1732,Lookup!$A$1:$D$1,0),FALSE)</f>
        <v>8.5000000000000006E-2</v>
      </c>
      <c r="O1732">
        <f t="shared" si="164"/>
        <v>49196.385000000002</v>
      </c>
      <c r="P1732" s="7">
        <f t="shared" si="165"/>
        <v>0.90719352917884533</v>
      </c>
      <c r="Q1732" s="7">
        <f t="shared" si="166"/>
        <v>7972.0240963855422</v>
      </c>
      <c r="R1732">
        <f t="shared" si="167"/>
        <v>0.12100482586271329</v>
      </c>
    </row>
    <row r="1733" spans="1:18" x14ac:dyDescent="0.25">
      <c r="A1733" t="s">
        <v>993</v>
      </c>
      <c r="B1733" t="s">
        <v>994</v>
      </c>
      <c r="C1733" t="s">
        <v>5</v>
      </c>
      <c r="D1733">
        <v>95501</v>
      </c>
      <c r="E1733" s="1">
        <v>43738</v>
      </c>
      <c r="F1733" s="2">
        <f t="shared" si="162"/>
        <v>2019</v>
      </c>
      <c r="G1733">
        <v>72</v>
      </c>
      <c r="H1733" s="3">
        <v>374869</v>
      </c>
      <c r="I1733">
        <v>22118</v>
      </c>
      <c r="J1733">
        <v>374869</v>
      </c>
      <c r="K1733">
        <v>340743</v>
      </c>
      <c r="L1733">
        <v>338344</v>
      </c>
      <c r="M1733" t="str">
        <f t="shared" si="163"/>
        <v>Medium</v>
      </c>
      <c r="N1733">
        <f>VLOOKUP(C1733,Lookup!$A$2:$D$5,MATCH(M1733,Lookup!$A$1:$D$1,0),FALSE)</f>
        <v>0.09</v>
      </c>
      <c r="O1733">
        <f t="shared" si="164"/>
        <v>30450.959999999999</v>
      </c>
      <c r="P1733" s="7">
        <f t="shared" si="165"/>
        <v>0.90896553195916441</v>
      </c>
      <c r="Q1733" s="7">
        <f t="shared" si="166"/>
        <v>5206.5138888888887</v>
      </c>
      <c r="R1733">
        <f t="shared" si="167"/>
        <v>0.72634820051650262</v>
      </c>
    </row>
    <row r="1734" spans="1:18" x14ac:dyDescent="0.25">
      <c r="A1734" t="s">
        <v>993</v>
      </c>
      <c r="B1734" t="s">
        <v>994</v>
      </c>
      <c r="C1734" t="s">
        <v>5</v>
      </c>
      <c r="D1734">
        <v>95501</v>
      </c>
      <c r="E1734" s="1">
        <v>44104</v>
      </c>
      <c r="F1734" s="2">
        <f t="shared" si="162"/>
        <v>2020</v>
      </c>
      <c r="G1734">
        <v>70</v>
      </c>
      <c r="H1734" s="3">
        <v>492194</v>
      </c>
      <c r="I1734">
        <v>56740</v>
      </c>
      <c r="J1734">
        <v>492194</v>
      </c>
      <c r="K1734">
        <v>451171</v>
      </c>
      <c r="L1734">
        <v>448236</v>
      </c>
      <c r="M1734" t="str">
        <f t="shared" si="163"/>
        <v>Medium</v>
      </c>
      <c r="N1734">
        <f>VLOOKUP(C1734,Lookup!$A$2:$D$5,MATCH(M1734,Lookup!$A$1:$D$1,0),FALSE)</f>
        <v>0.09</v>
      </c>
      <c r="O1734">
        <f t="shared" si="164"/>
        <v>40341.24</v>
      </c>
      <c r="P1734" s="7">
        <f t="shared" si="165"/>
        <v>0.91665278325213229</v>
      </c>
      <c r="Q1734" s="7">
        <f t="shared" si="166"/>
        <v>7031.3428571428567</v>
      </c>
      <c r="R1734">
        <f t="shared" si="167"/>
        <v>1.406501138785025</v>
      </c>
    </row>
    <row r="1735" spans="1:18" x14ac:dyDescent="0.25">
      <c r="A1735" t="s">
        <v>993</v>
      </c>
      <c r="B1735" t="s">
        <v>994</v>
      </c>
      <c r="C1735" t="s">
        <v>5</v>
      </c>
      <c r="D1735">
        <v>95501</v>
      </c>
      <c r="E1735" s="1">
        <v>44469</v>
      </c>
      <c r="F1735" s="2">
        <f t="shared" si="162"/>
        <v>2021</v>
      </c>
      <c r="G1735">
        <v>76</v>
      </c>
      <c r="H1735" s="3">
        <v>589935</v>
      </c>
      <c r="I1735">
        <v>106161</v>
      </c>
      <c r="J1735">
        <v>589935</v>
      </c>
      <c r="K1735">
        <v>540608</v>
      </c>
      <c r="L1735">
        <v>537410</v>
      </c>
      <c r="M1735" t="str">
        <f t="shared" si="163"/>
        <v>Medium</v>
      </c>
      <c r="N1735">
        <f>VLOOKUP(C1735,Lookup!$A$2:$D$5,MATCH(M1735,Lookup!$A$1:$D$1,0),FALSE)</f>
        <v>0.09</v>
      </c>
      <c r="O1735">
        <f t="shared" si="164"/>
        <v>48366.9</v>
      </c>
      <c r="P1735" s="7">
        <f t="shared" si="165"/>
        <v>0.91638570350970872</v>
      </c>
      <c r="Q1735" s="7">
        <f t="shared" si="166"/>
        <v>7762.3026315789475</v>
      </c>
      <c r="R1735">
        <f t="shared" si="167"/>
        <v>2.194910155498905</v>
      </c>
    </row>
    <row r="1736" spans="1:18" x14ac:dyDescent="0.25">
      <c r="A1736" t="s">
        <v>995</v>
      </c>
      <c r="B1736" t="s">
        <v>439</v>
      </c>
      <c r="C1736" t="s">
        <v>8</v>
      </c>
      <c r="D1736">
        <v>60523</v>
      </c>
      <c r="E1736" s="1">
        <v>43738</v>
      </c>
      <c r="F1736" s="2">
        <f t="shared" si="162"/>
        <v>2019</v>
      </c>
      <c r="G1736">
        <v>271</v>
      </c>
      <c r="H1736" s="3">
        <v>2027559</v>
      </c>
      <c r="I1736">
        <v>191430</v>
      </c>
      <c r="J1736">
        <v>2027559</v>
      </c>
      <c r="K1736">
        <v>1810096</v>
      </c>
      <c r="L1736">
        <v>1689313</v>
      </c>
      <c r="M1736" t="str">
        <f t="shared" si="163"/>
        <v>Large</v>
      </c>
      <c r="N1736">
        <f>VLOOKUP(C1736,Lookup!$A$2:$D$5,MATCH(M1736,Lookup!$A$1:$D$1,0),FALSE)</f>
        <v>7.4999999999999997E-2</v>
      </c>
      <c r="O1736">
        <f t="shared" si="164"/>
        <v>126698.47499999999</v>
      </c>
      <c r="P1736" s="7">
        <f t="shared" si="165"/>
        <v>0.89274640096786329</v>
      </c>
      <c r="Q1736" s="7">
        <f t="shared" si="166"/>
        <v>7481.7675276752771</v>
      </c>
      <c r="R1736">
        <f t="shared" si="167"/>
        <v>1.5109100563365108</v>
      </c>
    </row>
    <row r="1737" spans="1:18" x14ac:dyDescent="0.25">
      <c r="A1737" t="s">
        <v>995</v>
      </c>
      <c r="B1737" t="s">
        <v>439</v>
      </c>
      <c r="C1737" t="s">
        <v>8</v>
      </c>
      <c r="D1737">
        <v>60523</v>
      </c>
      <c r="E1737" s="1">
        <v>44104</v>
      </c>
      <c r="F1737" s="2">
        <f t="shared" si="162"/>
        <v>2020</v>
      </c>
      <c r="G1737">
        <v>268</v>
      </c>
      <c r="H1737" s="3">
        <v>2267629</v>
      </c>
      <c r="I1737">
        <v>342533</v>
      </c>
      <c r="J1737">
        <v>2267629</v>
      </c>
      <c r="K1737">
        <v>2034913</v>
      </c>
      <c r="L1737">
        <v>1890355</v>
      </c>
      <c r="M1737" t="str">
        <f t="shared" si="163"/>
        <v>Large</v>
      </c>
      <c r="N1737">
        <f>VLOOKUP(C1737,Lookup!$A$2:$D$5,MATCH(M1737,Lookup!$A$1:$D$1,0),FALSE)</f>
        <v>7.4999999999999997E-2</v>
      </c>
      <c r="O1737">
        <f t="shared" si="164"/>
        <v>141776.625</v>
      </c>
      <c r="P1737" s="7">
        <f t="shared" si="165"/>
        <v>0.89737474692729724</v>
      </c>
      <c r="Q1737" s="7">
        <f t="shared" si="166"/>
        <v>8461.3022388059708</v>
      </c>
      <c r="R1737">
        <f t="shared" si="167"/>
        <v>2.4160047539571492</v>
      </c>
    </row>
    <row r="1738" spans="1:18" x14ac:dyDescent="0.25">
      <c r="A1738" t="s">
        <v>995</v>
      </c>
      <c r="B1738" t="s">
        <v>439</v>
      </c>
      <c r="C1738" t="s">
        <v>8</v>
      </c>
      <c r="D1738">
        <v>60523</v>
      </c>
      <c r="E1738" s="1">
        <v>44469</v>
      </c>
      <c r="F1738" s="2">
        <f t="shared" si="162"/>
        <v>2021</v>
      </c>
      <c r="G1738">
        <v>259</v>
      </c>
      <c r="H1738" s="3">
        <v>2526150</v>
      </c>
      <c r="I1738">
        <v>528474</v>
      </c>
      <c r="J1738">
        <v>2526150</v>
      </c>
      <c r="K1738">
        <v>2265369</v>
      </c>
      <c r="L1738">
        <v>2130379</v>
      </c>
      <c r="M1738" t="str">
        <f t="shared" si="163"/>
        <v>Large</v>
      </c>
      <c r="N1738">
        <f>VLOOKUP(C1738,Lookup!$A$2:$D$5,MATCH(M1738,Lookup!$A$1:$D$1,0),FALSE)</f>
        <v>7.4999999999999997E-2</v>
      </c>
      <c r="O1738">
        <f t="shared" si="164"/>
        <v>159778.42499999999</v>
      </c>
      <c r="P1738" s="7">
        <f t="shared" si="165"/>
        <v>0.89676741286146899</v>
      </c>
      <c r="Q1738" s="7">
        <f t="shared" si="166"/>
        <v>9753.4749034749038</v>
      </c>
      <c r="R1738">
        <f t="shared" si="167"/>
        <v>3.3075429301546815</v>
      </c>
    </row>
    <row r="1739" spans="1:18" x14ac:dyDescent="0.25">
      <c r="A1739" t="s">
        <v>996</v>
      </c>
      <c r="B1739" t="s">
        <v>997</v>
      </c>
      <c r="C1739" t="s">
        <v>8</v>
      </c>
      <c r="D1739">
        <v>60115</v>
      </c>
      <c r="E1739" s="1">
        <v>43738</v>
      </c>
      <c r="F1739" s="2">
        <f t="shared" si="162"/>
        <v>2019</v>
      </c>
      <c r="G1739">
        <v>159</v>
      </c>
      <c r="H1739" s="3">
        <v>526851</v>
      </c>
      <c r="I1739">
        <v>42243</v>
      </c>
      <c r="J1739">
        <v>526851</v>
      </c>
      <c r="K1739">
        <v>476816</v>
      </c>
      <c r="L1739">
        <v>474884</v>
      </c>
      <c r="M1739" t="str">
        <f t="shared" si="163"/>
        <v>Medium</v>
      </c>
      <c r="N1739">
        <f>VLOOKUP(C1739,Lookup!$A$2:$D$5,MATCH(M1739,Lookup!$A$1:$D$1,0),FALSE)</f>
        <v>0.08</v>
      </c>
      <c r="O1739">
        <f t="shared" si="164"/>
        <v>37990.720000000001</v>
      </c>
      <c r="P1739" s="7">
        <f t="shared" si="165"/>
        <v>0.90503007491681708</v>
      </c>
      <c r="Q1739" s="7">
        <f t="shared" si="166"/>
        <v>3313.5283018867926</v>
      </c>
      <c r="R1739">
        <f t="shared" si="167"/>
        <v>1.1119294396105153</v>
      </c>
    </row>
    <row r="1740" spans="1:18" x14ac:dyDescent="0.25">
      <c r="A1740" t="s">
        <v>996</v>
      </c>
      <c r="B1740" t="s">
        <v>997</v>
      </c>
      <c r="C1740" t="s">
        <v>8</v>
      </c>
      <c r="D1740">
        <v>60115</v>
      </c>
      <c r="E1740" s="1">
        <v>44104</v>
      </c>
      <c r="F1740" s="2">
        <f t="shared" si="162"/>
        <v>2020</v>
      </c>
      <c r="G1740">
        <v>159</v>
      </c>
      <c r="H1740" s="3">
        <v>624607</v>
      </c>
      <c r="I1740">
        <v>49678</v>
      </c>
      <c r="J1740">
        <v>624607</v>
      </c>
      <c r="K1740">
        <v>568433</v>
      </c>
      <c r="L1740">
        <v>566413</v>
      </c>
      <c r="M1740" t="str">
        <f t="shared" si="163"/>
        <v>Medium</v>
      </c>
      <c r="N1740">
        <f>VLOOKUP(C1740,Lookup!$A$2:$D$5,MATCH(M1740,Lookup!$A$1:$D$1,0),FALSE)</f>
        <v>0.08</v>
      </c>
      <c r="O1740">
        <f t="shared" si="164"/>
        <v>45313.04</v>
      </c>
      <c r="P1740" s="7">
        <f t="shared" si="165"/>
        <v>0.91006504890275008</v>
      </c>
      <c r="Q1740" s="7">
        <f t="shared" si="166"/>
        <v>3928.3459119496856</v>
      </c>
      <c r="R1740">
        <f t="shared" si="167"/>
        <v>1.0963290037481483</v>
      </c>
    </row>
    <row r="1741" spans="1:18" x14ac:dyDescent="0.25">
      <c r="A1741" t="s">
        <v>996</v>
      </c>
      <c r="B1741" t="s">
        <v>997</v>
      </c>
      <c r="C1741" t="s">
        <v>8</v>
      </c>
      <c r="D1741">
        <v>60115</v>
      </c>
      <c r="E1741" s="1">
        <v>44469</v>
      </c>
      <c r="F1741" s="2">
        <f t="shared" si="162"/>
        <v>2021</v>
      </c>
      <c r="G1741">
        <v>160</v>
      </c>
      <c r="H1741" s="3">
        <v>729347</v>
      </c>
      <c r="I1741">
        <v>74193</v>
      </c>
      <c r="J1741">
        <v>729347</v>
      </c>
      <c r="K1741">
        <v>669384</v>
      </c>
      <c r="L1741">
        <v>666903</v>
      </c>
      <c r="M1741" t="str">
        <f t="shared" si="163"/>
        <v>Medium</v>
      </c>
      <c r="N1741">
        <f>VLOOKUP(C1741,Lookup!$A$2:$D$5,MATCH(M1741,Lookup!$A$1:$D$1,0),FALSE)</f>
        <v>0.08</v>
      </c>
      <c r="O1741">
        <f t="shared" si="164"/>
        <v>53352.24</v>
      </c>
      <c r="P1741" s="7">
        <f t="shared" si="165"/>
        <v>0.91778536142604272</v>
      </c>
      <c r="Q1741" s="7">
        <f t="shared" si="166"/>
        <v>4558.4187499999998</v>
      </c>
      <c r="R1741">
        <f t="shared" si="167"/>
        <v>1.3906257731634135</v>
      </c>
    </row>
    <row r="1742" spans="1:18" x14ac:dyDescent="0.25">
      <c r="A1742" t="s">
        <v>998</v>
      </c>
      <c r="B1742" t="s">
        <v>999</v>
      </c>
      <c r="C1742" t="s">
        <v>8</v>
      </c>
      <c r="D1742">
        <v>61279</v>
      </c>
      <c r="E1742" s="1">
        <v>43738</v>
      </c>
      <c r="F1742" s="2">
        <f t="shared" si="162"/>
        <v>2019</v>
      </c>
      <c r="G1742">
        <v>6</v>
      </c>
      <c r="H1742" s="3">
        <v>106715</v>
      </c>
      <c r="I1742">
        <v>15353</v>
      </c>
      <c r="J1742">
        <v>106715</v>
      </c>
      <c r="K1742">
        <v>80246</v>
      </c>
      <c r="L1742">
        <v>79619</v>
      </c>
      <c r="M1742" t="str">
        <f t="shared" si="163"/>
        <v>Medium</v>
      </c>
      <c r="N1742">
        <f>VLOOKUP(C1742,Lookup!$A$2:$D$5,MATCH(M1742,Lookup!$A$1:$D$1,0),FALSE)</f>
        <v>0.08</v>
      </c>
      <c r="O1742">
        <f t="shared" si="164"/>
        <v>6369.52</v>
      </c>
      <c r="P1742" s="7">
        <f t="shared" si="165"/>
        <v>0.75196551562573211</v>
      </c>
      <c r="Q1742" s="7">
        <f t="shared" si="166"/>
        <v>17785.833333333332</v>
      </c>
      <c r="R1742">
        <f t="shared" si="167"/>
        <v>2.4103857119531766</v>
      </c>
    </row>
    <row r="1743" spans="1:18" x14ac:dyDescent="0.25">
      <c r="A1743" t="s">
        <v>998</v>
      </c>
      <c r="B1743" t="s">
        <v>999</v>
      </c>
      <c r="C1743" t="s">
        <v>8</v>
      </c>
      <c r="D1743">
        <v>61279</v>
      </c>
      <c r="E1743" s="1">
        <v>44104</v>
      </c>
      <c r="F1743" s="2">
        <f t="shared" si="162"/>
        <v>2020</v>
      </c>
      <c r="G1743">
        <v>5</v>
      </c>
      <c r="H1743" s="3">
        <v>107678</v>
      </c>
      <c r="I1743">
        <v>31129</v>
      </c>
      <c r="J1743">
        <v>107678</v>
      </c>
      <c r="K1743">
        <v>85697</v>
      </c>
      <c r="L1743">
        <v>84911</v>
      </c>
      <c r="M1743" t="str">
        <f t="shared" si="163"/>
        <v>Medium</v>
      </c>
      <c r="N1743">
        <f>VLOOKUP(C1743,Lookup!$A$2:$D$5,MATCH(M1743,Lookup!$A$1:$D$1,0),FALSE)</f>
        <v>0.08</v>
      </c>
      <c r="O1743">
        <f t="shared" si="164"/>
        <v>6792.88</v>
      </c>
      <c r="P1743" s="7">
        <f t="shared" si="165"/>
        <v>0.79586359330596779</v>
      </c>
      <c r="Q1743" s="7">
        <f t="shared" si="166"/>
        <v>21535.599999999999</v>
      </c>
      <c r="R1743">
        <f t="shared" si="167"/>
        <v>4.5825923614137158</v>
      </c>
    </row>
    <row r="1744" spans="1:18" x14ac:dyDescent="0.25">
      <c r="A1744" t="s">
        <v>1000</v>
      </c>
      <c r="B1744" t="s">
        <v>1001</v>
      </c>
      <c r="C1744" t="s">
        <v>17</v>
      </c>
      <c r="D1744">
        <v>12572</v>
      </c>
      <c r="E1744" s="1">
        <v>43738</v>
      </c>
      <c r="F1744" s="2">
        <f t="shared" si="162"/>
        <v>2019</v>
      </c>
      <c r="G1744">
        <v>164</v>
      </c>
      <c r="H1744" s="3">
        <v>945872</v>
      </c>
      <c r="I1744">
        <v>18357</v>
      </c>
      <c r="J1744">
        <v>945872</v>
      </c>
      <c r="K1744">
        <v>845947</v>
      </c>
      <c r="L1744">
        <v>788638</v>
      </c>
      <c r="M1744" t="str">
        <f t="shared" si="163"/>
        <v>Medium</v>
      </c>
      <c r="N1744">
        <f>VLOOKUP(C1744,Lookup!$A$2:$D$5,MATCH(M1744,Lookup!$A$1:$D$1,0),FALSE)</f>
        <v>8.5000000000000006E-2</v>
      </c>
      <c r="O1744">
        <f t="shared" si="164"/>
        <v>67034.23000000001</v>
      </c>
      <c r="P1744" s="7">
        <f t="shared" si="165"/>
        <v>0.89435674171558099</v>
      </c>
      <c r="Q1744" s="7">
        <f t="shared" si="166"/>
        <v>5767.5121951219517</v>
      </c>
      <c r="R1744">
        <f t="shared" si="167"/>
        <v>0.27384516835652467</v>
      </c>
    </row>
    <row r="1745" spans="1:18" x14ac:dyDescent="0.25">
      <c r="A1745" t="s">
        <v>1000</v>
      </c>
      <c r="B1745" t="s">
        <v>1001</v>
      </c>
      <c r="C1745" t="s">
        <v>17</v>
      </c>
      <c r="D1745">
        <v>12572</v>
      </c>
      <c r="E1745" s="1">
        <v>44104</v>
      </c>
      <c r="F1745" s="2">
        <f t="shared" si="162"/>
        <v>2020</v>
      </c>
      <c r="G1745">
        <v>166</v>
      </c>
      <c r="H1745" s="3">
        <v>1112403</v>
      </c>
      <c r="I1745">
        <v>51580</v>
      </c>
      <c r="J1745">
        <v>1112403</v>
      </c>
      <c r="K1745">
        <v>1005043</v>
      </c>
      <c r="L1745">
        <v>934259</v>
      </c>
      <c r="M1745" t="str">
        <f t="shared" si="163"/>
        <v>Large</v>
      </c>
      <c r="N1745">
        <f>VLOOKUP(C1745,Lookup!$A$2:$D$5,MATCH(M1745,Lookup!$A$1:$D$1,0),FALSE)</f>
        <v>0.08</v>
      </c>
      <c r="O1745">
        <f t="shared" si="164"/>
        <v>74740.72</v>
      </c>
      <c r="P1745" s="7">
        <f t="shared" si="165"/>
        <v>0.90348821425328774</v>
      </c>
      <c r="Q1745" s="7">
        <f t="shared" si="166"/>
        <v>6701.2228915662654</v>
      </c>
      <c r="R1745">
        <f t="shared" si="167"/>
        <v>0.69011912114306628</v>
      </c>
    </row>
    <row r="1746" spans="1:18" x14ac:dyDescent="0.25">
      <c r="A1746" t="s">
        <v>1000</v>
      </c>
      <c r="B1746" t="s">
        <v>1001</v>
      </c>
      <c r="C1746" t="s">
        <v>17</v>
      </c>
      <c r="D1746">
        <v>12572</v>
      </c>
      <c r="E1746" s="1">
        <v>44469</v>
      </c>
      <c r="F1746" s="2">
        <f t="shared" si="162"/>
        <v>2021</v>
      </c>
      <c r="G1746">
        <v>199</v>
      </c>
      <c r="H1746" s="3">
        <v>1262594</v>
      </c>
      <c r="I1746">
        <v>114586</v>
      </c>
      <c r="J1746">
        <v>1262594</v>
      </c>
      <c r="K1746">
        <v>1145631</v>
      </c>
      <c r="L1746">
        <v>1105016</v>
      </c>
      <c r="M1746" t="str">
        <f t="shared" si="163"/>
        <v>Large</v>
      </c>
      <c r="N1746">
        <f>VLOOKUP(C1746,Lookup!$A$2:$D$5,MATCH(M1746,Lookup!$A$1:$D$1,0),FALSE)</f>
        <v>0.08</v>
      </c>
      <c r="O1746">
        <f t="shared" si="164"/>
        <v>88401.279999999999</v>
      </c>
      <c r="P1746" s="7">
        <f t="shared" si="165"/>
        <v>0.9073629369377646</v>
      </c>
      <c r="Q1746" s="7">
        <f t="shared" si="166"/>
        <v>6344.6934673366832</v>
      </c>
      <c r="R1746">
        <f t="shared" si="167"/>
        <v>1.2962029509074982</v>
      </c>
    </row>
    <row r="1747" spans="1:18" x14ac:dyDescent="0.25">
      <c r="A1747" t="s">
        <v>1002</v>
      </c>
      <c r="B1747" t="s">
        <v>1003</v>
      </c>
      <c r="C1747" t="s">
        <v>17</v>
      </c>
      <c r="D1747">
        <v>11385</v>
      </c>
      <c r="E1747" s="1">
        <v>43738</v>
      </c>
      <c r="F1747" s="2">
        <f t="shared" si="162"/>
        <v>2019</v>
      </c>
      <c r="G1747">
        <v>574</v>
      </c>
      <c r="H1747" s="3">
        <v>5737288</v>
      </c>
      <c r="I1747">
        <v>238728</v>
      </c>
      <c r="J1747">
        <v>5737288</v>
      </c>
      <c r="K1747">
        <v>4962810</v>
      </c>
      <c r="L1747">
        <v>4450614</v>
      </c>
      <c r="M1747" t="str">
        <f t="shared" si="163"/>
        <v>Large</v>
      </c>
      <c r="N1747">
        <f>VLOOKUP(C1747,Lookup!$A$2:$D$5,MATCH(M1747,Lookup!$A$1:$D$1,0),FALSE)</f>
        <v>0.08</v>
      </c>
      <c r="O1747">
        <f t="shared" si="164"/>
        <v>356049.12</v>
      </c>
      <c r="P1747" s="7">
        <f t="shared" si="165"/>
        <v>0.86500973979343554</v>
      </c>
      <c r="Q1747" s="7">
        <f t="shared" si="166"/>
        <v>9995.2752613240409</v>
      </c>
      <c r="R1747">
        <f t="shared" si="167"/>
        <v>0.67049175686770413</v>
      </c>
    </row>
    <row r="1748" spans="1:18" x14ac:dyDescent="0.25">
      <c r="A1748" t="s">
        <v>1002</v>
      </c>
      <c r="B1748" t="s">
        <v>1003</v>
      </c>
      <c r="C1748" t="s">
        <v>17</v>
      </c>
      <c r="D1748">
        <v>11385</v>
      </c>
      <c r="E1748" s="1">
        <v>44104</v>
      </c>
      <c r="F1748" s="2">
        <f t="shared" si="162"/>
        <v>2020</v>
      </c>
      <c r="G1748">
        <v>543</v>
      </c>
      <c r="H1748" s="3">
        <v>6256834</v>
      </c>
      <c r="I1748">
        <v>179064</v>
      </c>
      <c r="J1748">
        <v>6256834</v>
      </c>
      <c r="K1748">
        <v>5445802</v>
      </c>
      <c r="L1748">
        <v>4920693</v>
      </c>
      <c r="M1748" t="str">
        <f t="shared" si="163"/>
        <v>Large</v>
      </c>
      <c r="N1748">
        <f>VLOOKUP(C1748,Lookup!$A$2:$D$5,MATCH(M1748,Lookup!$A$1:$D$1,0),FALSE)</f>
        <v>0.08</v>
      </c>
      <c r="O1748">
        <f t="shared" si="164"/>
        <v>393655.44</v>
      </c>
      <c r="P1748" s="7">
        <f t="shared" si="165"/>
        <v>0.87037661539366395</v>
      </c>
      <c r="Q1748" s="7">
        <f t="shared" si="166"/>
        <v>11522.714548802947</v>
      </c>
      <c r="R1748">
        <f t="shared" si="167"/>
        <v>0.45487495358885427</v>
      </c>
    </row>
    <row r="1749" spans="1:18" x14ac:dyDescent="0.25">
      <c r="A1749" t="s">
        <v>1002</v>
      </c>
      <c r="B1749" t="s">
        <v>1003</v>
      </c>
      <c r="C1749" t="s">
        <v>17</v>
      </c>
      <c r="D1749">
        <v>11385</v>
      </c>
      <c r="E1749" s="1">
        <v>44469</v>
      </c>
      <c r="F1749" s="2">
        <f t="shared" si="162"/>
        <v>2021</v>
      </c>
      <c r="G1749">
        <v>512</v>
      </c>
      <c r="H1749" s="3">
        <v>6704553</v>
      </c>
      <c r="I1749">
        <v>375651</v>
      </c>
      <c r="J1749">
        <v>6704553</v>
      </c>
      <c r="K1749">
        <v>5865377</v>
      </c>
      <c r="L1749">
        <v>5356971</v>
      </c>
      <c r="M1749" t="str">
        <f t="shared" si="163"/>
        <v>Large</v>
      </c>
      <c r="N1749">
        <f>VLOOKUP(C1749,Lookup!$A$2:$D$5,MATCH(M1749,Lookup!$A$1:$D$1,0),FALSE)</f>
        <v>0.08</v>
      </c>
      <c r="O1749">
        <f t="shared" si="164"/>
        <v>428557.68</v>
      </c>
      <c r="P1749" s="7">
        <f t="shared" si="165"/>
        <v>0.87483490696546062</v>
      </c>
      <c r="Q1749" s="7">
        <f t="shared" si="166"/>
        <v>13094.830078125</v>
      </c>
      <c r="R1749">
        <f t="shared" si="167"/>
        <v>0.87654711963159782</v>
      </c>
    </row>
    <row r="1750" spans="1:18" x14ac:dyDescent="0.25">
      <c r="A1750" t="s">
        <v>1004</v>
      </c>
      <c r="B1750" t="s">
        <v>61</v>
      </c>
      <c r="C1750" t="s">
        <v>5</v>
      </c>
      <c r="D1750">
        <v>95833</v>
      </c>
      <c r="E1750" s="1">
        <v>43738</v>
      </c>
      <c r="F1750" s="2">
        <f t="shared" si="162"/>
        <v>2019</v>
      </c>
      <c r="G1750">
        <v>141</v>
      </c>
      <c r="H1750" s="3">
        <v>2460749</v>
      </c>
      <c r="I1750">
        <v>67601</v>
      </c>
      <c r="J1750">
        <v>2460749</v>
      </c>
      <c r="K1750">
        <v>2229717</v>
      </c>
      <c r="L1750">
        <v>2037744</v>
      </c>
      <c r="M1750" t="str">
        <f t="shared" si="163"/>
        <v>Large</v>
      </c>
      <c r="N1750">
        <f>VLOOKUP(C1750,Lookup!$A$2:$D$5,MATCH(M1750,Lookup!$A$1:$D$1,0),FALSE)</f>
        <v>0.08</v>
      </c>
      <c r="O1750">
        <f t="shared" si="164"/>
        <v>163019.51999999999</v>
      </c>
      <c r="P1750" s="7">
        <f t="shared" si="165"/>
        <v>0.90611313872320987</v>
      </c>
      <c r="Q1750" s="7">
        <f t="shared" si="166"/>
        <v>17452.120567375885</v>
      </c>
      <c r="R1750">
        <f t="shared" si="167"/>
        <v>0.41468040146357937</v>
      </c>
    </row>
    <row r="1751" spans="1:18" x14ac:dyDescent="0.25">
      <c r="A1751" t="s">
        <v>1004</v>
      </c>
      <c r="B1751" t="s">
        <v>61</v>
      </c>
      <c r="C1751" t="s">
        <v>5</v>
      </c>
      <c r="D1751">
        <v>95833</v>
      </c>
      <c r="E1751" s="1">
        <v>44104</v>
      </c>
      <c r="F1751" s="2">
        <f t="shared" si="162"/>
        <v>2020</v>
      </c>
      <c r="G1751">
        <v>135</v>
      </c>
      <c r="H1751" s="3">
        <v>3147300</v>
      </c>
      <c r="I1751">
        <v>167005</v>
      </c>
      <c r="J1751">
        <v>3147300</v>
      </c>
      <c r="K1751">
        <v>2887069</v>
      </c>
      <c r="L1751">
        <v>2836260</v>
      </c>
      <c r="M1751" t="str">
        <f t="shared" si="163"/>
        <v>Large</v>
      </c>
      <c r="N1751">
        <f>VLOOKUP(C1751,Lookup!$A$2:$D$5,MATCH(M1751,Lookup!$A$1:$D$1,0),FALSE)</f>
        <v>0.08</v>
      </c>
      <c r="O1751">
        <f t="shared" si="164"/>
        <v>226900.80000000002</v>
      </c>
      <c r="P1751" s="7">
        <f t="shared" si="165"/>
        <v>0.91731611222317544</v>
      </c>
      <c r="Q1751" s="7">
        <f t="shared" si="166"/>
        <v>23313.333333333332</v>
      </c>
      <c r="R1751">
        <f t="shared" si="167"/>
        <v>0.73602649263466668</v>
      </c>
    </row>
    <row r="1752" spans="1:18" x14ac:dyDescent="0.25">
      <c r="A1752" t="s">
        <v>1004</v>
      </c>
      <c r="B1752" t="s">
        <v>61</v>
      </c>
      <c r="C1752" t="s">
        <v>5</v>
      </c>
      <c r="D1752">
        <v>95833</v>
      </c>
      <c r="E1752" s="1">
        <v>44469</v>
      </c>
      <c r="F1752" s="2">
        <f t="shared" si="162"/>
        <v>2021</v>
      </c>
      <c r="G1752">
        <v>126</v>
      </c>
      <c r="H1752" s="3">
        <v>3563336</v>
      </c>
      <c r="I1752">
        <v>265575</v>
      </c>
      <c r="J1752">
        <v>3563336</v>
      </c>
      <c r="K1752">
        <v>3262792</v>
      </c>
      <c r="L1752">
        <v>3236533</v>
      </c>
      <c r="M1752" t="str">
        <f t="shared" si="163"/>
        <v>Large</v>
      </c>
      <c r="N1752">
        <f>VLOOKUP(C1752,Lookup!$A$2:$D$5,MATCH(M1752,Lookup!$A$1:$D$1,0),FALSE)</f>
        <v>0.08</v>
      </c>
      <c r="O1752">
        <f t="shared" si="164"/>
        <v>258922.64</v>
      </c>
      <c r="P1752" s="7">
        <f t="shared" si="165"/>
        <v>0.91565656452268329</v>
      </c>
      <c r="Q1752" s="7">
        <f t="shared" si="166"/>
        <v>28280.444444444445</v>
      </c>
      <c r="R1752">
        <f t="shared" si="167"/>
        <v>1.0256924616557284</v>
      </c>
    </row>
    <row r="1753" spans="1:18" x14ac:dyDescent="0.25">
      <c r="A1753" t="s">
        <v>1005</v>
      </c>
      <c r="B1753" t="s">
        <v>119</v>
      </c>
      <c r="C1753" t="s">
        <v>5</v>
      </c>
      <c r="D1753">
        <v>95993</v>
      </c>
      <c r="E1753" s="1">
        <v>43738</v>
      </c>
      <c r="F1753" s="2">
        <f t="shared" si="162"/>
        <v>2019</v>
      </c>
      <c r="G1753">
        <v>52</v>
      </c>
      <c r="H1753" s="3">
        <v>419262</v>
      </c>
      <c r="I1753">
        <v>43957</v>
      </c>
      <c r="J1753">
        <v>419262</v>
      </c>
      <c r="K1753">
        <v>381557</v>
      </c>
      <c r="L1753">
        <v>314381</v>
      </c>
      <c r="M1753" t="str">
        <f t="shared" si="163"/>
        <v>Medium</v>
      </c>
      <c r="N1753">
        <f>VLOOKUP(C1753,Lookup!$A$2:$D$5,MATCH(M1753,Lookup!$A$1:$D$1,0),FALSE)</f>
        <v>0.09</v>
      </c>
      <c r="O1753">
        <f t="shared" si="164"/>
        <v>28294.289999999997</v>
      </c>
      <c r="P1753" s="7">
        <f t="shared" si="165"/>
        <v>0.91006816739890573</v>
      </c>
      <c r="Q1753" s="7">
        <f t="shared" si="166"/>
        <v>8062.7307692307695</v>
      </c>
      <c r="R1753">
        <f t="shared" si="167"/>
        <v>1.5535643410737645</v>
      </c>
    </row>
    <row r="1754" spans="1:18" x14ac:dyDescent="0.25">
      <c r="A1754" t="s">
        <v>1005</v>
      </c>
      <c r="B1754" t="s">
        <v>119</v>
      </c>
      <c r="C1754" t="s">
        <v>5</v>
      </c>
      <c r="D1754">
        <v>95993</v>
      </c>
      <c r="E1754" s="1">
        <v>44104</v>
      </c>
      <c r="F1754" s="2">
        <f t="shared" si="162"/>
        <v>2020</v>
      </c>
      <c r="G1754">
        <v>51</v>
      </c>
      <c r="H1754" s="3">
        <v>531019</v>
      </c>
      <c r="I1754">
        <v>69770</v>
      </c>
      <c r="J1754">
        <v>531019</v>
      </c>
      <c r="K1754">
        <v>485702</v>
      </c>
      <c r="L1754">
        <v>401143</v>
      </c>
      <c r="M1754" t="str">
        <f t="shared" si="163"/>
        <v>Medium</v>
      </c>
      <c r="N1754">
        <f>VLOOKUP(C1754,Lookup!$A$2:$D$5,MATCH(M1754,Lookup!$A$1:$D$1,0),FALSE)</f>
        <v>0.09</v>
      </c>
      <c r="O1754">
        <f t="shared" si="164"/>
        <v>36102.869999999995</v>
      </c>
      <c r="P1754" s="7">
        <f t="shared" si="165"/>
        <v>0.91466030405691701</v>
      </c>
      <c r="Q1754" s="7">
        <f t="shared" si="166"/>
        <v>10412.137254901962</v>
      </c>
      <c r="R1754">
        <f t="shared" si="167"/>
        <v>1.9325333415321277</v>
      </c>
    </row>
    <row r="1755" spans="1:18" x14ac:dyDescent="0.25">
      <c r="A1755" t="s">
        <v>1005</v>
      </c>
      <c r="B1755" t="s">
        <v>119</v>
      </c>
      <c r="C1755" t="s">
        <v>5</v>
      </c>
      <c r="D1755">
        <v>95993</v>
      </c>
      <c r="E1755" s="1">
        <v>44469</v>
      </c>
      <c r="F1755" s="2">
        <f t="shared" si="162"/>
        <v>2021</v>
      </c>
      <c r="G1755">
        <v>54</v>
      </c>
      <c r="H1755" s="3">
        <v>527556</v>
      </c>
      <c r="I1755">
        <v>69156</v>
      </c>
      <c r="J1755">
        <v>527556</v>
      </c>
      <c r="K1755">
        <v>479391</v>
      </c>
      <c r="L1755">
        <v>475761</v>
      </c>
      <c r="M1755" t="str">
        <f t="shared" si="163"/>
        <v>Medium</v>
      </c>
      <c r="N1755">
        <f>VLOOKUP(C1755,Lookup!$A$2:$D$5,MATCH(M1755,Lookup!$A$1:$D$1,0),FALSE)</f>
        <v>0.09</v>
      </c>
      <c r="O1755">
        <f t="shared" si="164"/>
        <v>42818.49</v>
      </c>
      <c r="P1755" s="7">
        <f t="shared" si="165"/>
        <v>0.90870163546618743</v>
      </c>
      <c r="Q1755" s="7">
        <f t="shared" si="166"/>
        <v>9769.5555555555547</v>
      </c>
      <c r="R1755">
        <f t="shared" si="167"/>
        <v>1.6150966556737523</v>
      </c>
    </row>
    <row r="1756" spans="1:18" x14ac:dyDescent="0.25">
      <c r="A1756" t="s">
        <v>1006</v>
      </c>
      <c r="B1756" t="s">
        <v>628</v>
      </c>
      <c r="C1756" t="s">
        <v>8</v>
      </c>
      <c r="D1756">
        <v>62563</v>
      </c>
      <c r="E1756" s="1">
        <v>43738</v>
      </c>
      <c r="F1756" s="2">
        <f t="shared" si="162"/>
        <v>2019</v>
      </c>
      <c r="G1756">
        <v>13</v>
      </c>
      <c r="H1756" s="3">
        <v>95110</v>
      </c>
      <c r="I1756">
        <v>6457</v>
      </c>
      <c r="J1756">
        <v>95110</v>
      </c>
      <c r="K1756">
        <v>84021</v>
      </c>
      <c r="L1756">
        <v>83890</v>
      </c>
      <c r="M1756" t="str">
        <f t="shared" si="163"/>
        <v>Small</v>
      </c>
      <c r="N1756">
        <f>VLOOKUP(C1756,Lookup!$A$2:$D$5,MATCH(M1756,Lookup!$A$1:$D$1,0),FALSE)</f>
        <v>0.09</v>
      </c>
      <c r="O1756">
        <f t="shared" si="164"/>
        <v>7550.0999999999995</v>
      </c>
      <c r="P1756" s="7">
        <f t="shared" si="165"/>
        <v>0.88340868468089584</v>
      </c>
      <c r="Q1756" s="7">
        <f t="shared" si="166"/>
        <v>7316.1538461538457</v>
      </c>
      <c r="R1756">
        <f t="shared" si="167"/>
        <v>0.85522046065615032</v>
      </c>
    </row>
    <row r="1757" spans="1:18" x14ac:dyDescent="0.25">
      <c r="A1757" t="s">
        <v>1006</v>
      </c>
      <c r="B1757" t="s">
        <v>628</v>
      </c>
      <c r="C1757" t="s">
        <v>8</v>
      </c>
      <c r="D1757">
        <v>62563</v>
      </c>
      <c r="E1757" s="1">
        <v>44104</v>
      </c>
      <c r="F1757" s="2">
        <f t="shared" si="162"/>
        <v>2020</v>
      </c>
      <c r="G1757">
        <v>12</v>
      </c>
      <c r="H1757" s="3">
        <v>108795</v>
      </c>
      <c r="I1757">
        <v>10991</v>
      </c>
      <c r="J1757">
        <v>108795</v>
      </c>
      <c r="K1757">
        <v>94632</v>
      </c>
      <c r="L1757">
        <v>94484</v>
      </c>
      <c r="M1757" t="str">
        <f t="shared" si="163"/>
        <v>Medium</v>
      </c>
      <c r="N1757">
        <f>VLOOKUP(C1757,Lookup!$A$2:$D$5,MATCH(M1757,Lookup!$A$1:$D$1,0),FALSE)</f>
        <v>0.08</v>
      </c>
      <c r="O1757">
        <f t="shared" si="164"/>
        <v>7558.72</v>
      </c>
      <c r="P1757" s="7">
        <f t="shared" si="165"/>
        <v>0.86981938508203505</v>
      </c>
      <c r="Q1757" s="7">
        <f t="shared" si="166"/>
        <v>9066.25</v>
      </c>
      <c r="R1757">
        <f t="shared" si="167"/>
        <v>1.4540821726429871</v>
      </c>
    </row>
    <row r="1758" spans="1:18" x14ac:dyDescent="0.25">
      <c r="A1758" t="s">
        <v>1007</v>
      </c>
      <c r="B1758" t="s">
        <v>707</v>
      </c>
      <c r="C1758" t="s">
        <v>8</v>
      </c>
      <c r="D1758">
        <v>61107</v>
      </c>
      <c r="E1758" s="1">
        <v>43738</v>
      </c>
      <c r="F1758" s="2">
        <f t="shared" si="162"/>
        <v>2019</v>
      </c>
      <c r="G1758">
        <v>70</v>
      </c>
      <c r="H1758" s="3">
        <v>519461</v>
      </c>
      <c r="I1758">
        <v>13722</v>
      </c>
      <c r="J1758">
        <v>519461</v>
      </c>
      <c r="K1758">
        <v>473278</v>
      </c>
      <c r="L1758">
        <v>451514</v>
      </c>
      <c r="M1758" t="str">
        <f t="shared" si="163"/>
        <v>Medium</v>
      </c>
      <c r="N1758">
        <f>VLOOKUP(C1758,Lookup!$A$2:$D$5,MATCH(M1758,Lookup!$A$1:$D$1,0),FALSE)</f>
        <v>0.08</v>
      </c>
      <c r="O1758">
        <f t="shared" si="164"/>
        <v>36121.120000000003</v>
      </c>
      <c r="P1758" s="7">
        <f t="shared" si="165"/>
        <v>0.9110943843714927</v>
      </c>
      <c r="Q1758" s="7">
        <f t="shared" si="166"/>
        <v>7420.8714285714286</v>
      </c>
      <c r="R1758">
        <f t="shared" si="167"/>
        <v>0.37988855273590627</v>
      </c>
    </row>
    <row r="1759" spans="1:18" x14ac:dyDescent="0.25">
      <c r="A1759" t="s">
        <v>1008</v>
      </c>
      <c r="B1759" t="s">
        <v>1009</v>
      </c>
      <c r="C1759" t="s">
        <v>20</v>
      </c>
      <c r="D1759">
        <v>2370</v>
      </c>
      <c r="E1759" s="1">
        <v>43738</v>
      </c>
      <c r="F1759" s="2">
        <f t="shared" si="162"/>
        <v>2019</v>
      </c>
      <c r="G1759">
        <v>1340</v>
      </c>
      <c r="H1759" s="3">
        <v>11540305</v>
      </c>
      <c r="I1759">
        <v>219438</v>
      </c>
      <c r="J1759">
        <v>11540305</v>
      </c>
      <c r="K1759">
        <v>9749966</v>
      </c>
      <c r="L1759">
        <v>9422739</v>
      </c>
      <c r="M1759" t="str">
        <f t="shared" si="163"/>
        <v>Large</v>
      </c>
      <c r="N1759">
        <f>VLOOKUP(C1759,Lookup!$A$2:$D$5,MATCH(M1759,Lookup!$A$1:$D$1,0),FALSE)</f>
        <v>0.08</v>
      </c>
      <c r="O1759">
        <f t="shared" si="164"/>
        <v>753819.12</v>
      </c>
      <c r="P1759" s="7">
        <f t="shared" si="165"/>
        <v>0.84486207253621115</v>
      </c>
      <c r="Q1759" s="7">
        <f t="shared" si="166"/>
        <v>8612.1679104477607</v>
      </c>
      <c r="R1759">
        <f t="shared" si="167"/>
        <v>0.2911016637519091</v>
      </c>
    </row>
    <row r="1760" spans="1:18" x14ac:dyDescent="0.25">
      <c r="A1760" t="s">
        <v>1008</v>
      </c>
      <c r="B1760" t="s">
        <v>1009</v>
      </c>
      <c r="C1760" t="s">
        <v>20</v>
      </c>
      <c r="D1760">
        <v>2370</v>
      </c>
      <c r="E1760" s="1">
        <v>44104</v>
      </c>
      <c r="F1760" s="2">
        <f t="shared" si="162"/>
        <v>2020</v>
      </c>
      <c r="G1760">
        <v>1375</v>
      </c>
      <c r="H1760" s="3">
        <v>13161845</v>
      </c>
      <c r="I1760">
        <v>1268519</v>
      </c>
      <c r="J1760">
        <v>13161845</v>
      </c>
      <c r="K1760">
        <v>11434419</v>
      </c>
      <c r="L1760">
        <v>10953447</v>
      </c>
      <c r="M1760" t="str">
        <f t="shared" si="163"/>
        <v>Large</v>
      </c>
      <c r="N1760">
        <f>VLOOKUP(C1760,Lookup!$A$2:$D$5,MATCH(M1760,Lookup!$A$1:$D$1,0),FALSE)</f>
        <v>0.08</v>
      </c>
      <c r="O1760">
        <f t="shared" si="164"/>
        <v>876275.76</v>
      </c>
      <c r="P1760" s="7">
        <f t="shared" si="165"/>
        <v>0.86875502636598445</v>
      </c>
      <c r="Q1760" s="7">
        <f t="shared" si="166"/>
        <v>9572.2509090909098</v>
      </c>
      <c r="R1760">
        <f t="shared" si="167"/>
        <v>1.4476253457016772</v>
      </c>
    </row>
    <row r="1761" spans="1:18" x14ac:dyDescent="0.25">
      <c r="A1761" t="s">
        <v>1008</v>
      </c>
      <c r="B1761" t="s">
        <v>1009</v>
      </c>
      <c r="C1761" t="s">
        <v>20</v>
      </c>
      <c r="D1761">
        <v>2370</v>
      </c>
      <c r="E1761" s="1">
        <v>44469</v>
      </c>
      <c r="F1761" s="2">
        <f t="shared" si="162"/>
        <v>2021</v>
      </c>
      <c r="G1761">
        <v>1335</v>
      </c>
      <c r="H1761" s="3">
        <v>14535939</v>
      </c>
      <c r="I1761">
        <v>2007960</v>
      </c>
      <c r="J1761">
        <v>14535939</v>
      </c>
      <c r="K1761">
        <v>12712363</v>
      </c>
      <c r="L1761">
        <v>12336518</v>
      </c>
      <c r="M1761" t="str">
        <f t="shared" si="163"/>
        <v>Large</v>
      </c>
      <c r="N1761">
        <f>VLOOKUP(C1761,Lookup!$A$2:$D$5,MATCH(M1761,Lookup!$A$1:$D$1,0),FALSE)</f>
        <v>0.08</v>
      </c>
      <c r="O1761">
        <f t="shared" si="164"/>
        <v>986921.44000000006</v>
      </c>
      <c r="P1761" s="7">
        <f t="shared" si="165"/>
        <v>0.87454707948347887</v>
      </c>
      <c r="Q1761" s="7">
        <f t="shared" si="166"/>
        <v>10888.34382022472</v>
      </c>
      <c r="R1761">
        <f t="shared" si="167"/>
        <v>2.0345692358248897</v>
      </c>
    </row>
    <row r="1762" spans="1:18" x14ac:dyDescent="0.25">
      <c r="A1762" t="s">
        <v>1010</v>
      </c>
      <c r="B1762" t="s">
        <v>451</v>
      </c>
      <c r="C1762" t="s">
        <v>20</v>
      </c>
      <c r="D1762">
        <v>1420</v>
      </c>
      <c r="E1762" s="1">
        <v>43738</v>
      </c>
      <c r="F1762" s="2">
        <f t="shared" si="162"/>
        <v>2019</v>
      </c>
      <c r="G1762">
        <v>96</v>
      </c>
      <c r="H1762" s="3">
        <v>690761</v>
      </c>
      <c r="I1762">
        <v>10120</v>
      </c>
      <c r="J1762">
        <v>690761</v>
      </c>
      <c r="K1762">
        <v>615543</v>
      </c>
      <c r="L1762">
        <v>469680</v>
      </c>
      <c r="M1762" t="str">
        <f t="shared" si="163"/>
        <v>Medium</v>
      </c>
      <c r="N1762">
        <f>VLOOKUP(C1762,Lookup!$A$2:$D$5,MATCH(M1762,Lookup!$A$1:$D$1,0),FALSE)</f>
        <v>8.5000000000000006E-2</v>
      </c>
      <c r="O1762">
        <f t="shared" si="164"/>
        <v>39922.800000000003</v>
      </c>
      <c r="P1762" s="7">
        <f t="shared" si="165"/>
        <v>0.89110850207235204</v>
      </c>
      <c r="Q1762" s="7">
        <f t="shared" si="166"/>
        <v>7195.427083333333</v>
      </c>
      <c r="R1762">
        <f t="shared" si="167"/>
        <v>0.25348923422204855</v>
      </c>
    </row>
    <row r="1763" spans="1:18" x14ac:dyDescent="0.25">
      <c r="A1763" t="s">
        <v>1010</v>
      </c>
      <c r="B1763" t="s">
        <v>451</v>
      </c>
      <c r="C1763" t="s">
        <v>20</v>
      </c>
      <c r="D1763">
        <v>1420</v>
      </c>
      <c r="E1763" s="1">
        <v>44104</v>
      </c>
      <c r="F1763" s="2">
        <f t="shared" si="162"/>
        <v>2020</v>
      </c>
      <c r="G1763">
        <v>95</v>
      </c>
      <c r="H1763" s="3">
        <v>764491</v>
      </c>
      <c r="I1763">
        <v>8555</v>
      </c>
      <c r="J1763">
        <v>764491</v>
      </c>
      <c r="K1763">
        <v>686515</v>
      </c>
      <c r="L1763">
        <v>551266</v>
      </c>
      <c r="M1763" t="str">
        <f t="shared" si="163"/>
        <v>Medium</v>
      </c>
      <c r="N1763">
        <f>VLOOKUP(C1763,Lookup!$A$2:$D$5,MATCH(M1763,Lookup!$A$1:$D$1,0),FALSE)</f>
        <v>8.5000000000000006E-2</v>
      </c>
      <c r="O1763">
        <f t="shared" si="164"/>
        <v>46857.61</v>
      </c>
      <c r="P1763" s="7">
        <f t="shared" si="165"/>
        <v>0.89800272338065457</v>
      </c>
      <c r="Q1763" s="7">
        <f t="shared" si="166"/>
        <v>8047.273684210526</v>
      </c>
      <c r="R1763">
        <f t="shared" si="167"/>
        <v>0.18257439933449443</v>
      </c>
    </row>
    <row r="1764" spans="1:18" x14ac:dyDescent="0.25">
      <c r="A1764" t="s">
        <v>1010</v>
      </c>
      <c r="B1764" t="s">
        <v>451</v>
      </c>
      <c r="C1764" t="s">
        <v>20</v>
      </c>
      <c r="D1764">
        <v>1420</v>
      </c>
      <c r="E1764" s="1">
        <v>44469</v>
      </c>
      <c r="F1764" s="2">
        <f t="shared" si="162"/>
        <v>2021</v>
      </c>
      <c r="G1764">
        <v>103</v>
      </c>
      <c r="H1764" s="3">
        <v>861811</v>
      </c>
      <c r="I1764">
        <v>50699</v>
      </c>
      <c r="J1764">
        <v>861811</v>
      </c>
      <c r="K1764">
        <v>776938</v>
      </c>
      <c r="L1764">
        <v>738342</v>
      </c>
      <c r="M1764" t="str">
        <f t="shared" si="163"/>
        <v>Medium</v>
      </c>
      <c r="N1764">
        <f>VLOOKUP(C1764,Lookup!$A$2:$D$5,MATCH(M1764,Lookup!$A$1:$D$1,0),FALSE)</f>
        <v>8.5000000000000006E-2</v>
      </c>
      <c r="O1764">
        <f t="shared" si="164"/>
        <v>62759.070000000007</v>
      </c>
      <c r="P1764" s="7">
        <f t="shared" si="165"/>
        <v>0.90151785020149433</v>
      </c>
      <c r="Q1764" s="7">
        <f t="shared" si="166"/>
        <v>8367.0970873786409</v>
      </c>
      <c r="R1764">
        <f t="shared" si="167"/>
        <v>0.80783542522220286</v>
      </c>
    </row>
    <row r="1765" spans="1:18" x14ac:dyDescent="0.25">
      <c r="A1765" t="s">
        <v>1011</v>
      </c>
      <c r="B1765" t="s">
        <v>1012</v>
      </c>
      <c r="C1765" t="s">
        <v>17</v>
      </c>
      <c r="D1765">
        <v>12401</v>
      </c>
      <c r="E1765" s="1">
        <v>43738</v>
      </c>
      <c r="F1765" s="2">
        <f t="shared" si="162"/>
        <v>2019</v>
      </c>
      <c r="G1765">
        <v>78</v>
      </c>
      <c r="H1765" s="3">
        <v>389701</v>
      </c>
      <c r="I1765">
        <v>26345</v>
      </c>
      <c r="J1765">
        <v>389701</v>
      </c>
      <c r="K1765">
        <v>350071</v>
      </c>
      <c r="L1765">
        <v>332324</v>
      </c>
      <c r="M1765" t="str">
        <f t="shared" si="163"/>
        <v>Medium</v>
      </c>
      <c r="N1765">
        <f>VLOOKUP(C1765,Lookup!$A$2:$D$5,MATCH(M1765,Lookup!$A$1:$D$1,0),FALSE)</f>
        <v>8.5000000000000006E-2</v>
      </c>
      <c r="O1765">
        <f t="shared" si="164"/>
        <v>28247.54</v>
      </c>
      <c r="P1765" s="7">
        <f t="shared" si="165"/>
        <v>0.89830665048331926</v>
      </c>
      <c r="Q1765" s="7">
        <f t="shared" si="166"/>
        <v>4996.166666666667</v>
      </c>
      <c r="R1765">
        <f t="shared" si="167"/>
        <v>0.93264758630309041</v>
      </c>
    </row>
    <row r="1766" spans="1:18" x14ac:dyDescent="0.25">
      <c r="A1766" t="s">
        <v>1011</v>
      </c>
      <c r="B1766" t="s">
        <v>1012</v>
      </c>
      <c r="C1766" t="s">
        <v>17</v>
      </c>
      <c r="D1766">
        <v>12401</v>
      </c>
      <c r="E1766" s="1">
        <v>44104</v>
      </c>
      <c r="F1766" s="2">
        <f t="shared" si="162"/>
        <v>2020</v>
      </c>
      <c r="G1766">
        <v>79</v>
      </c>
      <c r="H1766" s="3">
        <v>428291</v>
      </c>
      <c r="I1766">
        <v>41119</v>
      </c>
      <c r="J1766">
        <v>428292</v>
      </c>
      <c r="K1766">
        <v>386603</v>
      </c>
      <c r="L1766">
        <v>373854</v>
      </c>
      <c r="M1766" t="str">
        <f t="shared" si="163"/>
        <v>Medium</v>
      </c>
      <c r="N1766">
        <f>VLOOKUP(C1766,Lookup!$A$2:$D$5,MATCH(M1766,Lookup!$A$1:$D$1,0),FALSE)</f>
        <v>8.5000000000000006E-2</v>
      </c>
      <c r="O1766">
        <f t="shared" si="164"/>
        <v>31777.590000000004</v>
      </c>
      <c r="P1766" s="7">
        <f t="shared" si="165"/>
        <v>0.90266431001351888</v>
      </c>
      <c r="Q1766" s="7">
        <f t="shared" si="166"/>
        <v>5421.4050632911394</v>
      </c>
      <c r="R1766">
        <f t="shared" si="167"/>
        <v>1.2939621915947683</v>
      </c>
    </row>
    <row r="1767" spans="1:18" x14ac:dyDescent="0.25">
      <c r="A1767" t="s">
        <v>1011</v>
      </c>
      <c r="B1767" t="s">
        <v>1012</v>
      </c>
      <c r="C1767" t="s">
        <v>17</v>
      </c>
      <c r="D1767">
        <v>12401</v>
      </c>
      <c r="E1767" s="1">
        <v>44469</v>
      </c>
      <c r="F1767" s="2">
        <f t="shared" si="162"/>
        <v>2021</v>
      </c>
      <c r="G1767">
        <v>82</v>
      </c>
      <c r="H1767" s="3">
        <v>469289</v>
      </c>
      <c r="I1767">
        <v>69201</v>
      </c>
      <c r="J1767">
        <v>469289</v>
      </c>
      <c r="K1767">
        <v>425066</v>
      </c>
      <c r="L1767">
        <v>412658</v>
      </c>
      <c r="M1767" t="str">
        <f t="shared" si="163"/>
        <v>Medium</v>
      </c>
      <c r="N1767">
        <f>VLOOKUP(C1767,Lookup!$A$2:$D$5,MATCH(M1767,Lookup!$A$1:$D$1,0),FALSE)</f>
        <v>8.5000000000000006E-2</v>
      </c>
      <c r="O1767">
        <f t="shared" si="164"/>
        <v>35075.93</v>
      </c>
      <c r="P1767" s="7">
        <f t="shared" si="165"/>
        <v>0.90576595658538772</v>
      </c>
      <c r="Q1767" s="7">
        <f t="shared" si="166"/>
        <v>5723.0365853658541</v>
      </c>
      <c r="R1767">
        <f t="shared" si="167"/>
        <v>1.972891381639774</v>
      </c>
    </row>
    <row r="1768" spans="1:18" x14ac:dyDescent="0.25">
      <c r="A1768" t="s">
        <v>1013</v>
      </c>
      <c r="B1768" t="s">
        <v>47</v>
      </c>
      <c r="C1768" t="s">
        <v>5</v>
      </c>
      <c r="D1768">
        <v>90017</v>
      </c>
      <c r="E1768" s="1">
        <v>43738</v>
      </c>
      <c r="F1768" s="2">
        <f t="shared" si="162"/>
        <v>2019</v>
      </c>
      <c r="G1768">
        <v>360</v>
      </c>
      <c r="H1768" s="3">
        <v>2815705</v>
      </c>
      <c r="I1768">
        <v>137025</v>
      </c>
      <c r="J1768">
        <v>2815705</v>
      </c>
      <c r="K1768">
        <v>2347182</v>
      </c>
      <c r="L1768">
        <v>2293238</v>
      </c>
      <c r="M1768" t="str">
        <f t="shared" si="163"/>
        <v>Large</v>
      </c>
      <c r="N1768">
        <f>VLOOKUP(C1768,Lookup!$A$2:$D$5,MATCH(M1768,Lookup!$A$1:$D$1,0),FALSE)</f>
        <v>0.08</v>
      </c>
      <c r="O1768">
        <f t="shared" si="164"/>
        <v>183459.04</v>
      </c>
      <c r="P1768" s="7">
        <f t="shared" si="165"/>
        <v>0.83360366231547689</v>
      </c>
      <c r="Q1768" s="7">
        <f t="shared" si="166"/>
        <v>7821.4027777777774</v>
      </c>
      <c r="R1768">
        <f t="shared" si="167"/>
        <v>0.74689696403077221</v>
      </c>
    </row>
    <row r="1769" spans="1:18" x14ac:dyDescent="0.25">
      <c r="A1769" t="s">
        <v>1013</v>
      </c>
      <c r="B1769" t="s">
        <v>47</v>
      </c>
      <c r="C1769" t="s">
        <v>5</v>
      </c>
      <c r="D1769">
        <v>90017</v>
      </c>
      <c r="E1769" s="1">
        <v>44104</v>
      </c>
      <c r="F1769" s="2">
        <f t="shared" si="162"/>
        <v>2020</v>
      </c>
      <c r="G1769">
        <v>341</v>
      </c>
      <c r="H1769" s="3">
        <v>3357964</v>
      </c>
      <c r="I1769">
        <v>122229</v>
      </c>
      <c r="J1769">
        <v>3357964</v>
      </c>
      <c r="K1769">
        <v>2837909</v>
      </c>
      <c r="L1769">
        <v>2628116</v>
      </c>
      <c r="M1769" t="str">
        <f t="shared" si="163"/>
        <v>Large</v>
      </c>
      <c r="N1769">
        <f>VLOOKUP(C1769,Lookup!$A$2:$D$5,MATCH(M1769,Lookup!$A$1:$D$1,0),FALSE)</f>
        <v>0.08</v>
      </c>
      <c r="O1769">
        <f t="shared" si="164"/>
        <v>210249.28</v>
      </c>
      <c r="P1769" s="7">
        <f t="shared" si="165"/>
        <v>0.84512788106126213</v>
      </c>
      <c r="Q1769" s="7">
        <f t="shared" si="166"/>
        <v>9847.4017595307923</v>
      </c>
      <c r="R1769">
        <f t="shared" si="167"/>
        <v>0.58135276372884603</v>
      </c>
    </row>
    <row r="1770" spans="1:18" x14ac:dyDescent="0.25">
      <c r="A1770" t="s">
        <v>1013</v>
      </c>
      <c r="B1770" t="s">
        <v>47</v>
      </c>
      <c r="C1770" t="s">
        <v>5</v>
      </c>
      <c r="D1770">
        <v>90017</v>
      </c>
      <c r="E1770" s="1">
        <v>44469</v>
      </c>
      <c r="F1770" s="2">
        <f t="shared" si="162"/>
        <v>2021</v>
      </c>
      <c r="G1770">
        <v>371</v>
      </c>
      <c r="H1770" s="3">
        <v>3796557</v>
      </c>
      <c r="I1770">
        <v>207527</v>
      </c>
      <c r="J1770">
        <v>3796557</v>
      </c>
      <c r="K1770">
        <v>3242761</v>
      </c>
      <c r="L1770">
        <v>3053361</v>
      </c>
      <c r="M1770" t="str">
        <f t="shared" si="163"/>
        <v>Large</v>
      </c>
      <c r="N1770">
        <f>VLOOKUP(C1770,Lookup!$A$2:$D$5,MATCH(M1770,Lookup!$A$1:$D$1,0),FALSE)</f>
        <v>0.08</v>
      </c>
      <c r="O1770">
        <f t="shared" si="164"/>
        <v>244268.88</v>
      </c>
      <c r="P1770" s="7">
        <f t="shared" si="165"/>
        <v>0.85413204648316887</v>
      </c>
      <c r="Q1770" s="7">
        <f t="shared" si="166"/>
        <v>10233.307277628031</v>
      </c>
      <c r="R1770">
        <f t="shared" si="167"/>
        <v>0.8495842777843825</v>
      </c>
    </row>
    <row r="1771" spans="1:18" x14ac:dyDescent="0.25">
      <c r="A1771" t="s">
        <v>1014</v>
      </c>
      <c r="B1771" t="s">
        <v>28</v>
      </c>
      <c r="C1771" t="s">
        <v>8</v>
      </c>
      <c r="D1771">
        <v>60617</v>
      </c>
      <c r="E1771" s="1">
        <v>43738</v>
      </c>
      <c r="F1771" s="2">
        <f t="shared" si="162"/>
        <v>2019</v>
      </c>
      <c r="G1771">
        <v>57</v>
      </c>
      <c r="H1771" s="3">
        <v>394528</v>
      </c>
      <c r="I1771">
        <v>25436</v>
      </c>
      <c r="J1771">
        <v>394528</v>
      </c>
      <c r="K1771">
        <v>347298</v>
      </c>
      <c r="L1771">
        <v>345519</v>
      </c>
      <c r="M1771" t="str">
        <f t="shared" si="163"/>
        <v>Medium</v>
      </c>
      <c r="N1771">
        <f>VLOOKUP(C1771,Lookup!$A$2:$D$5,MATCH(M1771,Lookup!$A$1:$D$1,0),FALSE)</f>
        <v>0.08</v>
      </c>
      <c r="O1771">
        <f t="shared" si="164"/>
        <v>27641.52</v>
      </c>
      <c r="P1771" s="7">
        <f t="shared" si="165"/>
        <v>0.88028733068375375</v>
      </c>
      <c r="Q1771" s="7">
        <f t="shared" si="166"/>
        <v>6921.5438596491231</v>
      </c>
      <c r="R1771">
        <f t="shared" si="167"/>
        <v>0.92020988715526497</v>
      </c>
    </row>
    <row r="1772" spans="1:18" x14ac:dyDescent="0.25">
      <c r="A1772" t="s">
        <v>1014</v>
      </c>
      <c r="B1772" t="s">
        <v>28</v>
      </c>
      <c r="C1772" t="s">
        <v>8</v>
      </c>
      <c r="D1772">
        <v>60617</v>
      </c>
      <c r="E1772" s="1">
        <v>44104</v>
      </c>
      <c r="F1772" s="2">
        <f t="shared" si="162"/>
        <v>2020</v>
      </c>
      <c r="G1772">
        <v>56</v>
      </c>
      <c r="H1772" s="3">
        <v>511957</v>
      </c>
      <c r="I1772">
        <v>21020</v>
      </c>
      <c r="J1772">
        <v>511957</v>
      </c>
      <c r="K1772">
        <v>462993</v>
      </c>
      <c r="L1772">
        <v>457548</v>
      </c>
      <c r="M1772" t="str">
        <f t="shared" si="163"/>
        <v>Medium</v>
      </c>
      <c r="N1772">
        <f>VLOOKUP(C1772,Lookup!$A$2:$D$5,MATCH(M1772,Lookup!$A$1:$D$1,0),FALSE)</f>
        <v>0.08</v>
      </c>
      <c r="O1772">
        <f t="shared" si="164"/>
        <v>36603.840000000004</v>
      </c>
      <c r="P1772" s="7">
        <f t="shared" si="165"/>
        <v>0.90435915516342191</v>
      </c>
      <c r="Q1772" s="7">
        <f t="shared" si="166"/>
        <v>9142.0892857142862</v>
      </c>
      <c r="R1772">
        <f t="shared" si="167"/>
        <v>0.5742566900084799</v>
      </c>
    </row>
    <row r="1773" spans="1:18" x14ac:dyDescent="0.25">
      <c r="A1773" t="s">
        <v>1014</v>
      </c>
      <c r="B1773" t="s">
        <v>28</v>
      </c>
      <c r="C1773" t="s">
        <v>8</v>
      </c>
      <c r="D1773">
        <v>60617</v>
      </c>
      <c r="E1773" s="1">
        <v>44469</v>
      </c>
      <c r="F1773" s="2">
        <f t="shared" si="162"/>
        <v>2021</v>
      </c>
      <c r="G1773">
        <v>56</v>
      </c>
      <c r="H1773" s="3">
        <v>554859</v>
      </c>
      <c r="I1773">
        <v>29847</v>
      </c>
      <c r="J1773">
        <v>554859</v>
      </c>
      <c r="K1773">
        <v>499984</v>
      </c>
      <c r="L1773">
        <v>493616</v>
      </c>
      <c r="M1773" t="str">
        <f t="shared" si="163"/>
        <v>Medium</v>
      </c>
      <c r="N1773">
        <f>VLOOKUP(C1773,Lookup!$A$2:$D$5,MATCH(M1773,Lookup!$A$1:$D$1,0),FALSE)</f>
        <v>0.08</v>
      </c>
      <c r="O1773">
        <f t="shared" si="164"/>
        <v>39489.279999999999</v>
      </c>
      <c r="P1773" s="7">
        <f t="shared" si="165"/>
        <v>0.9011010004343446</v>
      </c>
      <c r="Q1773" s="7">
        <f t="shared" si="166"/>
        <v>9908.1964285714294</v>
      </c>
      <c r="R1773">
        <f t="shared" si="167"/>
        <v>0.75582537843181752</v>
      </c>
    </row>
    <row r="1774" spans="1:18" x14ac:dyDescent="0.25">
      <c r="A1774" t="s">
        <v>1015</v>
      </c>
      <c r="B1774" t="s">
        <v>1016</v>
      </c>
      <c r="C1774" t="s">
        <v>8</v>
      </c>
      <c r="D1774">
        <v>62681</v>
      </c>
      <c r="E1774" s="1">
        <v>43738</v>
      </c>
      <c r="F1774" s="2">
        <f t="shared" si="162"/>
        <v>2019</v>
      </c>
      <c r="G1774">
        <v>16</v>
      </c>
      <c r="H1774" s="3">
        <v>105233</v>
      </c>
      <c r="I1774">
        <v>8236</v>
      </c>
      <c r="J1774">
        <v>105233</v>
      </c>
      <c r="K1774">
        <v>89865</v>
      </c>
      <c r="L1774">
        <v>88229</v>
      </c>
      <c r="M1774" t="str">
        <f t="shared" si="163"/>
        <v>Medium</v>
      </c>
      <c r="N1774">
        <f>VLOOKUP(C1774,Lookup!$A$2:$D$5,MATCH(M1774,Lookup!$A$1:$D$1,0),FALSE)</f>
        <v>0.08</v>
      </c>
      <c r="O1774">
        <f t="shared" si="164"/>
        <v>7058.32</v>
      </c>
      <c r="P1774" s="7">
        <f t="shared" si="165"/>
        <v>0.85396216015888549</v>
      </c>
      <c r="Q1774" s="7">
        <f t="shared" si="166"/>
        <v>6577.0625</v>
      </c>
      <c r="R1774">
        <f t="shared" si="167"/>
        <v>1.1668499019596732</v>
      </c>
    </row>
    <row r="1775" spans="1:18" x14ac:dyDescent="0.25">
      <c r="A1775" t="s">
        <v>1015</v>
      </c>
      <c r="B1775" t="s">
        <v>1016</v>
      </c>
      <c r="C1775" t="s">
        <v>8</v>
      </c>
      <c r="D1775">
        <v>62681</v>
      </c>
      <c r="E1775" s="1">
        <v>44104</v>
      </c>
      <c r="F1775" s="2">
        <f t="shared" si="162"/>
        <v>2020</v>
      </c>
      <c r="G1775">
        <v>14</v>
      </c>
      <c r="H1775" s="3">
        <v>116387</v>
      </c>
      <c r="I1775">
        <v>9186</v>
      </c>
      <c r="J1775">
        <v>116387</v>
      </c>
      <c r="K1775">
        <v>99587</v>
      </c>
      <c r="L1775">
        <v>93933</v>
      </c>
      <c r="M1775" t="str">
        <f t="shared" si="163"/>
        <v>Medium</v>
      </c>
      <c r="N1775">
        <f>VLOOKUP(C1775,Lookup!$A$2:$D$5,MATCH(M1775,Lookup!$A$1:$D$1,0),FALSE)</f>
        <v>0.08</v>
      </c>
      <c r="O1775">
        <f t="shared" si="164"/>
        <v>7514.64</v>
      </c>
      <c r="P1775" s="7">
        <f t="shared" si="165"/>
        <v>0.85565398197393183</v>
      </c>
      <c r="Q1775" s="7">
        <f t="shared" si="166"/>
        <v>8313.3571428571431</v>
      </c>
      <c r="R1775">
        <f t="shared" si="167"/>
        <v>1.2224138481683753</v>
      </c>
    </row>
    <row r="1776" spans="1:18" x14ac:dyDescent="0.25">
      <c r="A1776" t="s">
        <v>1015</v>
      </c>
      <c r="B1776" t="s">
        <v>1016</v>
      </c>
      <c r="C1776" t="s">
        <v>8</v>
      </c>
      <c r="D1776">
        <v>62681</v>
      </c>
      <c r="E1776" s="1">
        <v>44469</v>
      </c>
      <c r="F1776" s="2">
        <f t="shared" si="162"/>
        <v>2021</v>
      </c>
      <c r="G1776">
        <v>13</v>
      </c>
      <c r="H1776" s="3">
        <v>123496</v>
      </c>
      <c r="I1776">
        <v>15265</v>
      </c>
      <c r="J1776">
        <v>123496</v>
      </c>
      <c r="K1776">
        <v>106839</v>
      </c>
      <c r="L1776">
        <v>105184</v>
      </c>
      <c r="M1776" t="str">
        <f t="shared" si="163"/>
        <v>Medium</v>
      </c>
      <c r="N1776">
        <f>VLOOKUP(C1776,Lookup!$A$2:$D$5,MATCH(M1776,Lookup!$A$1:$D$1,0),FALSE)</f>
        <v>0.08</v>
      </c>
      <c r="O1776">
        <f t="shared" si="164"/>
        <v>8414.7199999999993</v>
      </c>
      <c r="P1776" s="7">
        <f t="shared" si="165"/>
        <v>0.86512113752672148</v>
      </c>
      <c r="Q1776" s="7">
        <f t="shared" si="166"/>
        <v>9499.6923076923085</v>
      </c>
      <c r="R1776">
        <f t="shared" si="167"/>
        <v>1.8140829403711594</v>
      </c>
    </row>
    <row r="1777" spans="1:18" x14ac:dyDescent="0.25">
      <c r="A1777" t="s">
        <v>1017</v>
      </c>
      <c r="B1777" t="s">
        <v>16</v>
      </c>
      <c r="C1777" t="s">
        <v>17</v>
      </c>
      <c r="D1777">
        <v>10036</v>
      </c>
      <c r="E1777" s="1">
        <v>43738</v>
      </c>
      <c r="F1777" s="2">
        <f t="shared" si="162"/>
        <v>2019</v>
      </c>
      <c r="G1777">
        <v>256</v>
      </c>
      <c r="H1777" s="3">
        <v>7706952</v>
      </c>
      <c r="I1777">
        <v>960274</v>
      </c>
      <c r="J1777">
        <v>7706952</v>
      </c>
      <c r="K1777">
        <v>6780129</v>
      </c>
      <c r="L1777">
        <v>6449408</v>
      </c>
      <c r="M1777" t="str">
        <f t="shared" si="163"/>
        <v>Large</v>
      </c>
      <c r="N1777">
        <f>VLOOKUP(C1777,Lookup!$A$2:$D$5,MATCH(M1777,Lookup!$A$1:$D$1,0),FALSE)</f>
        <v>0.08</v>
      </c>
      <c r="O1777">
        <f t="shared" si="164"/>
        <v>515952.64000000001</v>
      </c>
      <c r="P1777" s="7">
        <f t="shared" si="165"/>
        <v>0.87974195246058362</v>
      </c>
      <c r="Q1777" s="7">
        <f t="shared" si="166"/>
        <v>30105.28125</v>
      </c>
      <c r="R1777">
        <f t="shared" si="167"/>
        <v>1.8611669474159489</v>
      </c>
    </row>
    <row r="1778" spans="1:18" x14ac:dyDescent="0.25">
      <c r="A1778" t="s">
        <v>1017</v>
      </c>
      <c r="B1778" t="s">
        <v>16</v>
      </c>
      <c r="C1778" t="s">
        <v>17</v>
      </c>
      <c r="D1778">
        <v>10036</v>
      </c>
      <c r="E1778" s="1">
        <v>44104</v>
      </c>
      <c r="F1778" s="2">
        <f t="shared" si="162"/>
        <v>2020</v>
      </c>
      <c r="G1778">
        <v>253</v>
      </c>
      <c r="H1778" s="3">
        <v>9512486</v>
      </c>
      <c r="I1778">
        <v>1300821</v>
      </c>
      <c r="J1778">
        <v>9512486</v>
      </c>
      <c r="K1778">
        <v>8476442</v>
      </c>
      <c r="L1778">
        <v>7682440</v>
      </c>
      <c r="M1778" t="str">
        <f t="shared" si="163"/>
        <v>Large</v>
      </c>
      <c r="N1778">
        <f>VLOOKUP(C1778,Lookup!$A$2:$D$5,MATCH(M1778,Lookup!$A$1:$D$1,0),FALSE)</f>
        <v>0.08</v>
      </c>
      <c r="O1778">
        <f t="shared" si="164"/>
        <v>614595.20000000007</v>
      </c>
      <c r="P1778" s="7">
        <f t="shared" si="165"/>
        <v>0.89108588438395597</v>
      </c>
      <c r="Q1778" s="7">
        <f t="shared" si="166"/>
        <v>37598.758893280632</v>
      </c>
      <c r="R1778">
        <f t="shared" si="167"/>
        <v>2.116549234357834</v>
      </c>
    </row>
    <row r="1779" spans="1:18" x14ac:dyDescent="0.25">
      <c r="A1779" t="s">
        <v>1017</v>
      </c>
      <c r="B1779" t="s">
        <v>16</v>
      </c>
      <c r="C1779" t="s">
        <v>17</v>
      </c>
      <c r="D1779">
        <v>10036</v>
      </c>
      <c r="E1779" s="1">
        <v>44469</v>
      </c>
      <c r="F1779" s="2">
        <f t="shared" si="162"/>
        <v>2021</v>
      </c>
      <c r="G1779">
        <v>256</v>
      </c>
      <c r="H1779" s="3">
        <v>9504524</v>
      </c>
      <c r="I1779">
        <v>1885196</v>
      </c>
      <c r="J1779">
        <v>9504524</v>
      </c>
      <c r="K1779">
        <v>8397248</v>
      </c>
      <c r="L1779">
        <v>7820363</v>
      </c>
      <c r="M1779" t="str">
        <f t="shared" si="163"/>
        <v>Large</v>
      </c>
      <c r="N1779">
        <f>VLOOKUP(C1779,Lookup!$A$2:$D$5,MATCH(M1779,Lookup!$A$1:$D$1,0),FALSE)</f>
        <v>0.08</v>
      </c>
      <c r="O1779">
        <f t="shared" si="164"/>
        <v>625629.04</v>
      </c>
      <c r="P1779" s="7">
        <f t="shared" si="165"/>
        <v>0.88350011005285478</v>
      </c>
      <c r="Q1779" s="7">
        <f t="shared" si="166"/>
        <v>37127.046875</v>
      </c>
      <c r="R1779">
        <f t="shared" si="167"/>
        <v>3.0132808413113303</v>
      </c>
    </row>
    <row r="1780" spans="1:18" x14ac:dyDescent="0.25">
      <c r="A1780" t="s">
        <v>1018</v>
      </c>
      <c r="B1780" t="s">
        <v>1019</v>
      </c>
      <c r="C1780" t="s">
        <v>8</v>
      </c>
      <c r="D1780">
        <v>62459</v>
      </c>
      <c r="E1780" s="1">
        <v>43738</v>
      </c>
      <c r="F1780" s="2">
        <f t="shared" si="162"/>
        <v>2019</v>
      </c>
      <c r="G1780">
        <v>4</v>
      </c>
      <c r="H1780" s="3">
        <v>17123</v>
      </c>
      <c r="I1780">
        <v>950</v>
      </c>
      <c r="J1780">
        <v>17123</v>
      </c>
      <c r="K1780">
        <v>13145</v>
      </c>
      <c r="L1780">
        <v>13111</v>
      </c>
      <c r="M1780" t="str">
        <f t="shared" si="163"/>
        <v>Small</v>
      </c>
      <c r="N1780">
        <f>VLOOKUP(C1780,Lookup!$A$2:$D$5,MATCH(M1780,Lookup!$A$1:$D$1,0),FALSE)</f>
        <v>0.09</v>
      </c>
      <c r="O1780">
        <f t="shared" si="164"/>
        <v>1179.99</v>
      </c>
      <c r="P1780" s="7">
        <f t="shared" si="165"/>
        <v>0.76768089703907028</v>
      </c>
      <c r="Q1780" s="7">
        <f t="shared" si="166"/>
        <v>4280.75</v>
      </c>
      <c r="R1780">
        <f t="shared" si="167"/>
        <v>0.80509156857261499</v>
      </c>
    </row>
    <row r="1781" spans="1:18" x14ac:dyDescent="0.25">
      <c r="A1781" t="s">
        <v>1018</v>
      </c>
      <c r="B1781" t="s">
        <v>1019</v>
      </c>
      <c r="C1781" t="s">
        <v>8</v>
      </c>
      <c r="D1781">
        <v>62459</v>
      </c>
      <c r="E1781" s="1">
        <v>44104</v>
      </c>
      <c r="F1781" s="2">
        <f t="shared" si="162"/>
        <v>2020</v>
      </c>
      <c r="G1781">
        <v>4</v>
      </c>
      <c r="H1781" s="3">
        <v>16422</v>
      </c>
      <c r="I1781">
        <v>1937</v>
      </c>
      <c r="J1781">
        <v>16422</v>
      </c>
      <c r="K1781">
        <v>12656</v>
      </c>
      <c r="L1781">
        <v>12622</v>
      </c>
      <c r="M1781" t="str">
        <f t="shared" si="163"/>
        <v>Small</v>
      </c>
      <c r="N1781">
        <f>VLOOKUP(C1781,Lookup!$A$2:$D$5,MATCH(M1781,Lookup!$A$1:$D$1,0),FALSE)</f>
        <v>0.09</v>
      </c>
      <c r="O1781">
        <f t="shared" si="164"/>
        <v>1135.98</v>
      </c>
      <c r="P1781" s="7">
        <f t="shared" si="165"/>
        <v>0.77067348678601877</v>
      </c>
      <c r="Q1781" s="7">
        <f t="shared" si="166"/>
        <v>4105.5</v>
      </c>
      <c r="R1781">
        <f t="shared" si="167"/>
        <v>1.7051356537967217</v>
      </c>
    </row>
    <row r="1782" spans="1:18" x14ac:dyDescent="0.25">
      <c r="A1782" t="s">
        <v>1018</v>
      </c>
      <c r="B1782" t="s">
        <v>1019</v>
      </c>
      <c r="C1782" t="s">
        <v>8</v>
      </c>
      <c r="D1782">
        <v>62459</v>
      </c>
      <c r="E1782" s="1">
        <v>44469</v>
      </c>
      <c r="F1782" s="2">
        <f t="shared" si="162"/>
        <v>2021</v>
      </c>
      <c r="G1782">
        <v>4</v>
      </c>
      <c r="H1782" s="3">
        <v>16170</v>
      </c>
      <c r="I1782">
        <v>4219</v>
      </c>
      <c r="J1782">
        <v>16170</v>
      </c>
      <c r="K1782">
        <v>12956</v>
      </c>
      <c r="L1782">
        <v>12888</v>
      </c>
      <c r="M1782" t="str">
        <f t="shared" si="163"/>
        <v>Small</v>
      </c>
      <c r="N1782">
        <f>VLOOKUP(C1782,Lookup!$A$2:$D$5,MATCH(M1782,Lookup!$A$1:$D$1,0),FALSE)</f>
        <v>0.09</v>
      </c>
      <c r="O1782">
        <f t="shared" si="164"/>
        <v>1159.9199999999998</v>
      </c>
      <c r="P1782" s="7">
        <f t="shared" si="165"/>
        <v>0.80123685837971548</v>
      </c>
      <c r="Q1782" s="7">
        <f t="shared" si="166"/>
        <v>4042.5</v>
      </c>
      <c r="R1782">
        <f t="shared" si="167"/>
        <v>3.6373198151596666</v>
      </c>
    </row>
    <row r="1783" spans="1:18" x14ac:dyDescent="0.25">
      <c r="A1783" t="s">
        <v>1020</v>
      </c>
      <c r="B1783" t="s">
        <v>356</v>
      </c>
      <c r="C1783" t="s">
        <v>20</v>
      </c>
      <c r="D1783">
        <v>1970</v>
      </c>
      <c r="E1783" s="1">
        <v>43738</v>
      </c>
      <c r="F1783" s="2">
        <f t="shared" si="162"/>
        <v>2019</v>
      </c>
      <c r="G1783">
        <v>581</v>
      </c>
      <c r="H1783" s="3">
        <v>5242974</v>
      </c>
      <c r="I1783">
        <v>55358</v>
      </c>
      <c r="J1783">
        <v>5242974</v>
      </c>
      <c r="K1783">
        <v>4689430</v>
      </c>
      <c r="L1783">
        <v>4004438</v>
      </c>
      <c r="M1783" t="str">
        <f t="shared" si="163"/>
        <v>Large</v>
      </c>
      <c r="N1783">
        <f>VLOOKUP(C1783,Lookup!$A$2:$D$5,MATCH(M1783,Lookup!$A$1:$D$1,0),FALSE)</f>
        <v>0.08</v>
      </c>
      <c r="O1783">
        <f t="shared" si="164"/>
        <v>320355.03999999998</v>
      </c>
      <c r="P1783" s="7">
        <f t="shared" si="165"/>
        <v>0.89442175376036581</v>
      </c>
      <c r="Q1783" s="7">
        <f t="shared" si="166"/>
        <v>9024.0516351118767</v>
      </c>
      <c r="R1783">
        <f t="shared" si="167"/>
        <v>0.17280202615198439</v>
      </c>
    </row>
    <row r="1784" spans="1:18" x14ac:dyDescent="0.25">
      <c r="A1784" t="s">
        <v>1020</v>
      </c>
      <c r="B1784" t="s">
        <v>356</v>
      </c>
      <c r="C1784" t="s">
        <v>20</v>
      </c>
      <c r="D1784">
        <v>1970</v>
      </c>
      <c r="E1784" s="1">
        <v>44104</v>
      </c>
      <c r="F1784" s="2">
        <f t="shared" si="162"/>
        <v>2020</v>
      </c>
      <c r="G1784">
        <v>607</v>
      </c>
      <c r="H1784" s="3">
        <v>5524552</v>
      </c>
      <c r="I1784">
        <v>177673</v>
      </c>
      <c r="J1784">
        <v>5524552</v>
      </c>
      <c r="K1784">
        <v>4924883</v>
      </c>
      <c r="L1784">
        <v>4027211</v>
      </c>
      <c r="M1784" t="str">
        <f t="shared" si="163"/>
        <v>Large</v>
      </c>
      <c r="N1784">
        <f>VLOOKUP(C1784,Lookup!$A$2:$D$5,MATCH(M1784,Lookup!$A$1:$D$1,0),FALSE)</f>
        <v>0.08</v>
      </c>
      <c r="O1784">
        <f t="shared" si="164"/>
        <v>322176.88</v>
      </c>
      <c r="P1784" s="7">
        <f t="shared" si="165"/>
        <v>0.89145382286201669</v>
      </c>
      <c r="Q1784" s="7">
        <f t="shared" si="166"/>
        <v>9101.4036243822084</v>
      </c>
      <c r="R1784">
        <f t="shared" si="167"/>
        <v>0.55147656777854448</v>
      </c>
    </row>
    <row r="1785" spans="1:18" x14ac:dyDescent="0.25">
      <c r="A1785" t="s">
        <v>1020</v>
      </c>
      <c r="B1785" t="s">
        <v>356</v>
      </c>
      <c r="C1785" t="s">
        <v>20</v>
      </c>
      <c r="D1785">
        <v>1970</v>
      </c>
      <c r="E1785" s="1">
        <v>44469</v>
      </c>
      <c r="F1785" s="2">
        <f t="shared" si="162"/>
        <v>2021</v>
      </c>
      <c r="G1785">
        <v>612</v>
      </c>
      <c r="H1785" s="3">
        <v>5807733</v>
      </c>
      <c r="I1785">
        <v>251418</v>
      </c>
      <c r="J1785">
        <v>5807733</v>
      </c>
      <c r="K1785">
        <v>5129729</v>
      </c>
      <c r="L1785">
        <v>4394101</v>
      </c>
      <c r="M1785" t="str">
        <f t="shared" si="163"/>
        <v>Large</v>
      </c>
      <c r="N1785">
        <f>VLOOKUP(C1785,Lookup!$A$2:$D$5,MATCH(M1785,Lookup!$A$1:$D$1,0),FALSE)</f>
        <v>0.08</v>
      </c>
      <c r="O1785">
        <f t="shared" si="164"/>
        <v>351528.08</v>
      </c>
      <c r="P1785" s="7">
        <f t="shared" si="165"/>
        <v>0.88325840736824501</v>
      </c>
      <c r="Q1785" s="7">
        <f t="shared" si="166"/>
        <v>9489.7598039215682</v>
      </c>
      <c r="R1785">
        <f t="shared" si="167"/>
        <v>0.71521455697081149</v>
      </c>
    </row>
    <row r="1786" spans="1:18" x14ac:dyDescent="0.25">
      <c r="A1786" t="s">
        <v>1021</v>
      </c>
      <c r="B1786" t="s">
        <v>752</v>
      </c>
      <c r="C1786" t="s">
        <v>5</v>
      </c>
      <c r="D1786">
        <v>95060</v>
      </c>
      <c r="E1786" s="1">
        <v>43738</v>
      </c>
      <c r="F1786" s="2">
        <f t="shared" si="162"/>
        <v>2019</v>
      </c>
      <c r="G1786">
        <v>87</v>
      </c>
      <c r="H1786" s="3">
        <v>722872</v>
      </c>
      <c r="I1786">
        <v>120476</v>
      </c>
      <c r="J1786">
        <v>722872</v>
      </c>
      <c r="K1786">
        <v>645064</v>
      </c>
      <c r="L1786">
        <v>631411</v>
      </c>
      <c r="M1786" t="str">
        <f t="shared" si="163"/>
        <v>Medium</v>
      </c>
      <c r="N1786">
        <f>VLOOKUP(C1786,Lookup!$A$2:$D$5,MATCH(M1786,Lookup!$A$1:$D$1,0),FALSE)</f>
        <v>0.09</v>
      </c>
      <c r="O1786">
        <f t="shared" si="164"/>
        <v>56826.99</v>
      </c>
      <c r="P1786" s="7">
        <f t="shared" si="165"/>
        <v>0.8923626866167178</v>
      </c>
      <c r="Q1786" s="7">
        <f t="shared" si="166"/>
        <v>8308.8735632183907</v>
      </c>
      <c r="R1786">
        <f t="shared" si="167"/>
        <v>2.1200489415328878</v>
      </c>
    </row>
    <row r="1787" spans="1:18" x14ac:dyDescent="0.25">
      <c r="A1787" t="s">
        <v>1021</v>
      </c>
      <c r="B1787" t="s">
        <v>752</v>
      </c>
      <c r="C1787" t="s">
        <v>5</v>
      </c>
      <c r="D1787">
        <v>95060</v>
      </c>
      <c r="E1787" s="1">
        <v>44104</v>
      </c>
      <c r="F1787" s="2">
        <f t="shared" si="162"/>
        <v>2020</v>
      </c>
      <c r="G1787">
        <v>134</v>
      </c>
      <c r="H1787" s="3">
        <v>1448697</v>
      </c>
      <c r="I1787">
        <v>85852</v>
      </c>
      <c r="J1787">
        <v>1448697</v>
      </c>
      <c r="K1787">
        <v>1283750</v>
      </c>
      <c r="L1787">
        <v>1179709</v>
      </c>
      <c r="M1787" t="str">
        <f t="shared" si="163"/>
        <v>Large</v>
      </c>
      <c r="N1787">
        <f>VLOOKUP(C1787,Lookup!$A$2:$D$5,MATCH(M1787,Lookup!$A$1:$D$1,0),FALSE)</f>
        <v>0.08</v>
      </c>
      <c r="O1787">
        <f t="shared" si="164"/>
        <v>94376.72</v>
      </c>
      <c r="P1787" s="7">
        <f t="shared" si="165"/>
        <v>0.88614113234168357</v>
      </c>
      <c r="Q1787" s="7">
        <f t="shared" si="166"/>
        <v>10811.171641791045</v>
      </c>
      <c r="R1787">
        <f t="shared" si="167"/>
        <v>0.90967348727525177</v>
      </c>
    </row>
    <row r="1788" spans="1:18" x14ac:dyDescent="0.25">
      <c r="A1788" t="s">
        <v>1021</v>
      </c>
      <c r="B1788" t="s">
        <v>752</v>
      </c>
      <c r="C1788" t="s">
        <v>5</v>
      </c>
      <c r="D1788">
        <v>95060</v>
      </c>
      <c r="E1788" s="1">
        <v>44469</v>
      </c>
      <c r="F1788" s="2">
        <f t="shared" si="162"/>
        <v>2021</v>
      </c>
      <c r="G1788">
        <v>149</v>
      </c>
      <c r="H1788" s="3">
        <v>1699550</v>
      </c>
      <c r="I1788">
        <v>193525</v>
      </c>
      <c r="J1788">
        <v>1699550</v>
      </c>
      <c r="K1788">
        <v>1516505</v>
      </c>
      <c r="L1788">
        <v>1498744</v>
      </c>
      <c r="M1788" t="str">
        <f t="shared" si="163"/>
        <v>Large</v>
      </c>
      <c r="N1788">
        <f>VLOOKUP(C1788,Lookup!$A$2:$D$5,MATCH(M1788,Lookup!$A$1:$D$1,0),FALSE)</f>
        <v>0.08</v>
      </c>
      <c r="O1788">
        <f t="shared" si="164"/>
        <v>119899.52</v>
      </c>
      <c r="P1788" s="7">
        <f t="shared" si="165"/>
        <v>0.89229796122503013</v>
      </c>
      <c r="Q1788" s="7">
        <f t="shared" si="166"/>
        <v>11406.375838926175</v>
      </c>
      <c r="R1788">
        <f t="shared" si="167"/>
        <v>1.6140598394388901</v>
      </c>
    </row>
    <row r="1789" spans="1:18" x14ac:dyDescent="0.25">
      <c r="A1789" t="s">
        <v>1022</v>
      </c>
      <c r="B1789" t="s">
        <v>1023</v>
      </c>
      <c r="C1789" t="s">
        <v>17</v>
      </c>
      <c r="D1789">
        <v>12866</v>
      </c>
      <c r="E1789" s="1">
        <v>43738</v>
      </c>
      <c r="F1789" s="2">
        <f t="shared" si="162"/>
        <v>2019</v>
      </c>
      <c r="G1789">
        <v>55</v>
      </c>
      <c r="H1789" s="3">
        <v>603505</v>
      </c>
      <c r="I1789">
        <v>18380</v>
      </c>
      <c r="J1789">
        <v>603505</v>
      </c>
      <c r="K1789">
        <v>544118</v>
      </c>
      <c r="L1789">
        <v>512565</v>
      </c>
      <c r="M1789" t="str">
        <f t="shared" si="163"/>
        <v>Medium</v>
      </c>
      <c r="N1789">
        <f>VLOOKUP(C1789,Lookup!$A$2:$D$5,MATCH(M1789,Lookup!$A$1:$D$1,0),FALSE)</f>
        <v>8.5000000000000006E-2</v>
      </c>
      <c r="O1789">
        <f t="shared" si="164"/>
        <v>43568.025000000001</v>
      </c>
      <c r="P1789" s="7">
        <f t="shared" si="165"/>
        <v>0.90159650707119243</v>
      </c>
      <c r="Q1789" s="7">
        <f t="shared" si="166"/>
        <v>10972.818181818182</v>
      </c>
      <c r="R1789">
        <f t="shared" si="167"/>
        <v>0.42186901976851143</v>
      </c>
    </row>
    <row r="1790" spans="1:18" x14ac:dyDescent="0.25">
      <c r="A1790" t="s">
        <v>1022</v>
      </c>
      <c r="B1790" t="s">
        <v>1023</v>
      </c>
      <c r="C1790" t="s">
        <v>17</v>
      </c>
      <c r="D1790">
        <v>12866</v>
      </c>
      <c r="E1790" s="1">
        <v>44104</v>
      </c>
      <c r="F1790" s="2">
        <f t="shared" si="162"/>
        <v>2020</v>
      </c>
      <c r="G1790">
        <v>56</v>
      </c>
      <c r="H1790" s="3">
        <v>799359</v>
      </c>
      <c r="I1790">
        <v>65434</v>
      </c>
      <c r="J1790">
        <v>799359</v>
      </c>
      <c r="K1790">
        <v>730143</v>
      </c>
      <c r="L1790">
        <v>699114</v>
      </c>
      <c r="M1790" t="str">
        <f t="shared" si="163"/>
        <v>Medium</v>
      </c>
      <c r="N1790">
        <f>VLOOKUP(C1790,Lookup!$A$2:$D$5,MATCH(M1790,Lookup!$A$1:$D$1,0),FALSE)</f>
        <v>8.5000000000000006E-2</v>
      </c>
      <c r="O1790">
        <f t="shared" si="164"/>
        <v>59424.69</v>
      </c>
      <c r="P1790" s="7">
        <f t="shared" si="165"/>
        <v>0.91341062025948294</v>
      </c>
      <c r="Q1790" s="7">
        <f t="shared" si="166"/>
        <v>14274.267857142857</v>
      </c>
      <c r="R1790">
        <f t="shared" si="167"/>
        <v>1.1011248018290041</v>
      </c>
    </row>
    <row r="1791" spans="1:18" x14ac:dyDescent="0.25">
      <c r="A1791" t="s">
        <v>1022</v>
      </c>
      <c r="B1791" t="s">
        <v>1023</v>
      </c>
      <c r="C1791" t="s">
        <v>17</v>
      </c>
      <c r="D1791">
        <v>12866</v>
      </c>
      <c r="E1791" s="1">
        <v>44469</v>
      </c>
      <c r="F1791" s="2">
        <f t="shared" si="162"/>
        <v>2021</v>
      </c>
      <c r="G1791">
        <v>55</v>
      </c>
      <c r="H1791" s="3">
        <v>847957</v>
      </c>
      <c r="I1791">
        <v>55191</v>
      </c>
      <c r="J1791">
        <v>847957</v>
      </c>
      <c r="K1791">
        <v>767014</v>
      </c>
      <c r="L1791">
        <v>740672</v>
      </c>
      <c r="M1791" t="str">
        <f t="shared" si="163"/>
        <v>Medium</v>
      </c>
      <c r="N1791">
        <f>VLOOKUP(C1791,Lookup!$A$2:$D$5,MATCH(M1791,Lookup!$A$1:$D$1,0),FALSE)</f>
        <v>8.5000000000000006E-2</v>
      </c>
      <c r="O1791">
        <f t="shared" si="164"/>
        <v>62957.120000000003</v>
      </c>
      <c r="P1791" s="7">
        <f t="shared" si="165"/>
        <v>0.90454350869206812</v>
      </c>
      <c r="Q1791" s="7">
        <f t="shared" si="166"/>
        <v>15417.4</v>
      </c>
      <c r="R1791">
        <f t="shared" si="167"/>
        <v>0.87664429376693209</v>
      </c>
    </row>
    <row r="1792" spans="1:18" x14ac:dyDescent="0.25">
      <c r="A1792" t="s">
        <v>1024</v>
      </c>
      <c r="B1792" t="s">
        <v>1025</v>
      </c>
      <c r="C1792" t="s">
        <v>8</v>
      </c>
      <c r="D1792">
        <v>61081</v>
      </c>
      <c r="E1792" s="1">
        <v>43738</v>
      </c>
      <c r="F1792" s="2">
        <f t="shared" si="162"/>
        <v>2019</v>
      </c>
      <c r="G1792">
        <v>105</v>
      </c>
      <c r="H1792" s="3">
        <v>450181</v>
      </c>
      <c r="I1792">
        <v>22314</v>
      </c>
      <c r="J1792">
        <v>450181</v>
      </c>
      <c r="K1792">
        <v>406936</v>
      </c>
      <c r="L1792">
        <v>392926</v>
      </c>
      <c r="M1792" t="str">
        <f t="shared" si="163"/>
        <v>Medium</v>
      </c>
      <c r="N1792">
        <f>VLOOKUP(C1792,Lookup!$A$2:$D$5,MATCH(M1792,Lookup!$A$1:$D$1,0),FALSE)</f>
        <v>0.08</v>
      </c>
      <c r="O1792">
        <f t="shared" si="164"/>
        <v>31434.080000000002</v>
      </c>
      <c r="P1792" s="7">
        <f t="shared" si="165"/>
        <v>0.90393863801448748</v>
      </c>
      <c r="Q1792" s="7">
        <f t="shared" si="166"/>
        <v>4287.4380952380952</v>
      </c>
      <c r="R1792">
        <f t="shared" si="167"/>
        <v>0.70986648885540782</v>
      </c>
    </row>
    <row r="1793" spans="1:18" x14ac:dyDescent="0.25">
      <c r="A1793" t="s">
        <v>1024</v>
      </c>
      <c r="B1793" t="s">
        <v>1025</v>
      </c>
      <c r="C1793" t="s">
        <v>8</v>
      </c>
      <c r="D1793">
        <v>61081</v>
      </c>
      <c r="E1793" s="1">
        <v>44104</v>
      </c>
      <c r="F1793" s="2">
        <f t="shared" si="162"/>
        <v>2020</v>
      </c>
      <c r="G1793">
        <v>105</v>
      </c>
      <c r="H1793" s="3">
        <v>569635</v>
      </c>
      <c r="I1793">
        <v>34799</v>
      </c>
      <c r="J1793">
        <v>569635</v>
      </c>
      <c r="K1793">
        <v>521114</v>
      </c>
      <c r="L1793">
        <v>467455</v>
      </c>
      <c r="M1793" t="str">
        <f t="shared" si="163"/>
        <v>Medium</v>
      </c>
      <c r="N1793">
        <f>VLOOKUP(C1793,Lookup!$A$2:$D$5,MATCH(M1793,Lookup!$A$1:$D$1,0),FALSE)</f>
        <v>0.08</v>
      </c>
      <c r="O1793">
        <f t="shared" si="164"/>
        <v>37396.400000000001</v>
      </c>
      <c r="P1793" s="7">
        <f t="shared" si="165"/>
        <v>0.91482089408129763</v>
      </c>
      <c r="Q1793" s="7">
        <f t="shared" si="166"/>
        <v>5425.0952380952385</v>
      </c>
      <c r="R1793">
        <f t="shared" si="167"/>
        <v>0.93054411654597768</v>
      </c>
    </row>
    <row r="1794" spans="1:18" x14ac:dyDescent="0.25">
      <c r="A1794" t="s">
        <v>1024</v>
      </c>
      <c r="B1794" t="s">
        <v>1025</v>
      </c>
      <c r="C1794" t="s">
        <v>8</v>
      </c>
      <c r="D1794">
        <v>61081</v>
      </c>
      <c r="E1794" s="1">
        <v>44469</v>
      </c>
      <c r="F1794" s="2">
        <f t="shared" ref="F1794:F1857" si="168">YEAR(E1794)</f>
        <v>2021</v>
      </c>
      <c r="G1794">
        <v>110</v>
      </c>
      <c r="H1794" s="3">
        <v>602485</v>
      </c>
      <c r="I1794">
        <v>23638</v>
      </c>
      <c r="J1794">
        <v>602485</v>
      </c>
      <c r="K1794">
        <v>550522</v>
      </c>
      <c r="L1794">
        <v>524796</v>
      </c>
      <c r="M1794" t="str">
        <f t="shared" ref="M1794:M1857" si="169">IF(H1794&gt;1000000,"Large",IF(H1794&lt;100000,"Small","Medium"))</f>
        <v>Medium</v>
      </c>
      <c r="N1794">
        <f>VLOOKUP(C1794,Lookup!$A$2:$D$5,MATCH(M1794,Lookup!$A$1:$D$1,0),FALSE)</f>
        <v>0.08</v>
      </c>
      <c r="O1794">
        <f t="shared" ref="O1794:O1857" si="170">L1794*N1794</f>
        <v>41983.68</v>
      </c>
      <c r="P1794" s="7">
        <f t="shared" ref="P1794:P1857" si="171">K1794/H1794</f>
        <v>0.91375220959857917</v>
      </c>
      <c r="Q1794" s="7">
        <f t="shared" ref="Q1794:Q1857" si="172">H1794/G1794</f>
        <v>5477.136363636364</v>
      </c>
      <c r="R1794">
        <f t="shared" ref="R1794:R1857" si="173">I1794/O1794</f>
        <v>0.56302830052058328</v>
      </c>
    </row>
    <row r="1795" spans="1:18" x14ac:dyDescent="0.25">
      <c r="A1795" t="s">
        <v>1028</v>
      </c>
      <c r="B1795" t="s">
        <v>1029</v>
      </c>
      <c r="C1795" t="s">
        <v>17</v>
      </c>
      <c r="D1795">
        <v>13146</v>
      </c>
      <c r="E1795" s="1">
        <v>43738</v>
      </c>
      <c r="F1795" s="2">
        <f t="shared" si="168"/>
        <v>2019</v>
      </c>
      <c r="G1795">
        <v>40</v>
      </c>
      <c r="H1795" s="3">
        <v>146391</v>
      </c>
      <c r="I1795">
        <v>17475</v>
      </c>
      <c r="J1795">
        <v>146391</v>
      </c>
      <c r="K1795">
        <v>133320</v>
      </c>
      <c r="L1795">
        <v>131613</v>
      </c>
      <c r="M1795" t="str">
        <f t="shared" si="169"/>
        <v>Medium</v>
      </c>
      <c r="N1795">
        <f>VLOOKUP(C1795,Lookup!$A$2:$D$5,MATCH(M1795,Lookup!$A$1:$D$1,0),FALSE)</f>
        <v>8.5000000000000006E-2</v>
      </c>
      <c r="O1795">
        <f t="shared" si="170"/>
        <v>11187.105000000001</v>
      </c>
      <c r="P1795" s="7">
        <f t="shared" si="171"/>
        <v>0.91071172408139844</v>
      </c>
      <c r="Q1795" s="7">
        <f t="shared" si="172"/>
        <v>3659.7750000000001</v>
      </c>
      <c r="R1795">
        <f t="shared" si="173"/>
        <v>1.5620663254702623</v>
      </c>
    </row>
    <row r="1796" spans="1:18" x14ac:dyDescent="0.25">
      <c r="A1796" t="s">
        <v>1028</v>
      </c>
      <c r="B1796" t="s">
        <v>1029</v>
      </c>
      <c r="C1796" t="s">
        <v>17</v>
      </c>
      <c r="D1796">
        <v>13146</v>
      </c>
      <c r="E1796" s="1">
        <v>44104</v>
      </c>
      <c r="F1796" s="2">
        <f t="shared" si="168"/>
        <v>2020</v>
      </c>
      <c r="G1796">
        <v>38</v>
      </c>
      <c r="H1796" s="3">
        <v>156987</v>
      </c>
      <c r="I1796">
        <v>18599</v>
      </c>
      <c r="J1796">
        <v>156987</v>
      </c>
      <c r="K1796">
        <v>143055</v>
      </c>
      <c r="L1796">
        <v>140952</v>
      </c>
      <c r="M1796" t="str">
        <f t="shared" si="169"/>
        <v>Medium</v>
      </c>
      <c r="N1796">
        <f>VLOOKUP(C1796,Lookup!$A$2:$D$5,MATCH(M1796,Lookup!$A$1:$D$1,0),FALSE)</f>
        <v>8.5000000000000006E-2</v>
      </c>
      <c r="O1796">
        <f t="shared" si="170"/>
        <v>11980.92</v>
      </c>
      <c r="P1796" s="7">
        <f t="shared" si="171"/>
        <v>0.9112537980851918</v>
      </c>
      <c r="Q1796" s="7">
        <f t="shared" si="172"/>
        <v>4131.2368421052633</v>
      </c>
      <c r="R1796">
        <f t="shared" si="173"/>
        <v>1.552384958751081</v>
      </c>
    </row>
    <row r="1797" spans="1:18" x14ac:dyDescent="0.25">
      <c r="A1797" t="s">
        <v>1028</v>
      </c>
      <c r="B1797" t="s">
        <v>1029</v>
      </c>
      <c r="C1797" t="s">
        <v>17</v>
      </c>
      <c r="D1797">
        <v>13146</v>
      </c>
      <c r="E1797" s="1">
        <v>44469</v>
      </c>
      <c r="F1797" s="2">
        <f t="shared" si="168"/>
        <v>2021</v>
      </c>
      <c r="G1797">
        <v>37</v>
      </c>
      <c r="H1797" s="3">
        <v>166143</v>
      </c>
      <c r="I1797">
        <v>24634</v>
      </c>
      <c r="J1797">
        <v>166143</v>
      </c>
      <c r="K1797">
        <v>152619</v>
      </c>
      <c r="L1797">
        <v>150050</v>
      </c>
      <c r="M1797" t="str">
        <f t="shared" si="169"/>
        <v>Medium</v>
      </c>
      <c r="N1797">
        <f>VLOOKUP(C1797,Lookup!$A$2:$D$5,MATCH(M1797,Lookup!$A$1:$D$1,0),FALSE)</f>
        <v>8.5000000000000006E-2</v>
      </c>
      <c r="O1797">
        <f t="shared" si="170"/>
        <v>12754.250000000002</v>
      </c>
      <c r="P1797" s="7">
        <f t="shared" si="171"/>
        <v>0.91860024196023904</v>
      </c>
      <c r="Q1797" s="7">
        <f t="shared" si="172"/>
        <v>4490.3513513513517</v>
      </c>
      <c r="R1797">
        <f t="shared" si="173"/>
        <v>1.9314346198326044</v>
      </c>
    </row>
    <row r="1798" spans="1:18" x14ac:dyDescent="0.25">
      <c r="A1798" t="s">
        <v>1026</v>
      </c>
      <c r="B1798" t="s">
        <v>1027</v>
      </c>
      <c r="C1798" t="s">
        <v>8</v>
      </c>
      <c r="D1798">
        <v>61285</v>
      </c>
      <c r="E1798" s="1">
        <v>43738</v>
      </c>
      <c r="F1798" s="2">
        <f t="shared" si="168"/>
        <v>2019</v>
      </c>
      <c r="G1798">
        <v>21</v>
      </c>
      <c r="H1798" s="3">
        <v>93929</v>
      </c>
      <c r="I1798">
        <v>8020</v>
      </c>
      <c r="J1798">
        <v>93929</v>
      </c>
      <c r="K1798">
        <v>80066</v>
      </c>
      <c r="L1798">
        <v>79900</v>
      </c>
      <c r="M1798" t="str">
        <f t="shared" si="169"/>
        <v>Small</v>
      </c>
      <c r="N1798">
        <f>VLOOKUP(C1798,Lookup!$A$2:$D$5,MATCH(M1798,Lookup!$A$1:$D$1,0),FALSE)</f>
        <v>0.09</v>
      </c>
      <c r="O1798">
        <f t="shared" si="170"/>
        <v>7191</v>
      </c>
      <c r="P1798" s="7">
        <f t="shared" si="171"/>
        <v>0.85240979889065149</v>
      </c>
      <c r="Q1798" s="7">
        <f t="shared" si="172"/>
        <v>4472.8095238095239</v>
      </c>
      <c r="R1798">
        <f t="shared" si="173"/>
        <v>1.1152829926296759</v>
      </c>
    </row>
    <row r="1799" spans="1:18" x14ac:dyDescent="0.25">
      <c r="A1799" t="s">
        <v>1026</v>
      </c>
      <c r="B1799" t="s">
        <v>1027</v>
      </c>
      <c r="C1799" t="s">
        <v>8</v>
      </c>
      <c r="D1799">
        <v>61285</v>
      </c>
      <c r="E1799" s="1">
        <v>44104</v>
      </c>
      <c r="F1799" s="2">
        <f t="shared" si="168"/>
        <v>2020</v>
      </c>
      <c r="G1799">
        <v>21</v>
      </c>
      <c r="H1799" s="3">
        <v>105004</v>
      </c>
      <c r="I1799">
        <v>14071</v>
      </c>
      <c r="J1799">
        <v>105004</v>
      </c>
      <c r="K1799">
        <v>90663</v>
      </c>
      <c r="L1799">
        <v>86549</v>
      </c>
      <c r="M1799" t="str">
        <f t="shared" si="169"/>
        <v>Medium</v>
      </c>
      <c r="N1799">
        <f>VLOOKUP(C1799,Lookup!$A$2:$D$5,MATCH(M1799,Lookup!$A$1:$D$1,0),FALSE)</f>
        <v>0.08</v>
      </c>
      <c r="O1799">
        <f t="shared" si="170"/>
        <v>6923.92</v>
      </c>
      <c r="P1799" s="7">
        <f t="shared" si="171"/>
        <v>0.8634242505047427</v>
      </c>
      <c r="Q1799" s="7">
        <f t="shared" si="172"/>
        <v>5000.1904761904761</v>
      </c>
      <c r="R1799">
        <f t="shared" si="173"/>
        <v>2.0322302972882413</v>
      </c>
    </row>
    <row r="1800" spans="1:18" x14ac:dyDescent="0.25">
      <c r="A1800" t="s">
        <v>1026</v>
      </c>
      <c r="B1800" t="s">
        <v>1027</v>
      </c>
      <c r="C1800" t="s">
        <v>8</v>
      </c>
      <c r="D1800">
        <v>61285</v>
      </c>
      <c r="E1800" s="1">
        <v>44469</v>
      </c>
      <c r="F1800" s="2">
        <f t="shared" si="168"/>
        <v>2021</v>
      </c>
      <c r="G1800">
        <v>20</v>
      </c>
      <c r="H1800" s="3">
        <v>122602</v>
      </c>
      <c r="I1800">
        <v>12006</v>
      </c>
      <c r="J1800">
        <v>122602</v>
      </c>
      <c r="K1800">
        <v>108510</v>
      </c>
      <c r="L1800">
        <v>103365</v>
      </c>
      <c r="M1800" t="str">
        <f t="shared" si="169"/>
        <v>Medium</v>
      </c>
      <c r="N1800">
        <f>VLOOKUP(C1800,Lookup!$A$2:$D$5,MATCH(M1800,Lookup!$A$1:$D$1,0),FALSE)</f>
        <v>0.08</v>
      </c>
      <c r="O1800">
        <f t="shared" si="170"/>
        <v>8269.2000000000007</v>
      </c>
      <c r="P1800" s="7">
        <f t="shared" si="171"/>
        <v>0.88505897130552524</v>
      </c>
      <c r="Q1800" s="7">
        <f t="shared" si="172"/>
        <v>6130.1</v>
      </c>
      <c r="R1800">
        <f t="shared" si="173"/>
        <v>1.451893774488463</v>
      </c>
    </row>
    <row r="1801" spans="1:18" x14ac:dyDescent="0.25">
      <c r="A1801" t="s">
        <v>1030</v>
      </c>
      <c r="B1801" t="s">
        <v>1031</v>
      </c>
      <c r="C1801" t="s">
        <v>20</v>
      </c>
      <c r="D1801">
        <v>1550</v>
      </c>
      <c r="E1801" s="1">
        <v>43738</v>
      </c>
      <c r="F1801" s="2">
        <f t="shared" si="168"/>
        <v>2019</v>
      </c>
      <c r="G1801">
        <v>93</v>
      </c>
      <c r="H1801" s="3">
        <v>581369</v>
      </c>
      <c r="I1801">
        <v>30880</v>
      </c>
      <c r="J1801">
        <v>581369</v>
      </c>
      <c r="K1801">
        <v>517261</v>
      </c>
      <c r="L1801">
        <v>422091</v>
      </c>
      <c r="M1801" t="str">
        <f t="shared" si="169"/>
        <v>Medium</v>
      </c>
      <c r="N1801">
        <f>VLOOKUP(C1801,Lookup!$A$2:$D$5,MATCH(M1801,Lookup!$A$1:$D$1,0),FALSE)</f>
        <v>8.5000000000000006E-2</v>
      </c>
      <c r="O1801">
        <f t="shared" si="170"/>
        <v>35877.735000000001</v>
      </c>
      <c r="P1801" s="7">
        <f t="shared" si="171"/>
        <v>0.88972924252927144</v>
      </c>
      <c r="Q1801" s="7">
        <f t="shared" si="172"/>
        <v>6251.2795698924729</v>
      </c>
      <c r="R1801">
        <f t="shared" si="173"/>
        <v>0.86070093332257458</v>
      </c>
    </row>
    <row r="1802" spans="1:18" x14ac:dyDescent="0.25">
      <c r="A1802" t="s">
        <v>1030</v>
      </c>
      <c r="B1802" t="s">
        <v>1031</v>
      </c>
      <c r="C1802" t="s">
        <v>20</v>
      </c>
      <c r="D1802">
        <v>1550</v>
      </c>
      <c r="E1802" s="1">
        <v>44104</v>
      </c>
      <c r="F1802" s="2">
        <f t="shared" si="168"/>
        <v>2020</v>
      </c>
      <c r="G1802">
        <v>86</v>
      </c>
      <c r="H1802" s="3">
        <v>653390</v>
      </c>
      <c r="I1802">
        <v>68299</v>
      </c>
      <c r="J1802">
        <v>653390</v>
      </c>
      <c r="K1802">
        <v>584585</v>
      </c>
      <c r="L1802">
        <v>500238</v>
      </c>
      <c r="M1802" t="str">
        <f t="shared" si="169"/>
        <v>Medium</v>
      </c>
      <c r="N1802">
        <f>VLOOKUP(C1802,Lookup!$A$2:$D$5,MATCH(M1802,Lookup!$A$1:$D$1,0),FALSE)</f>
        <v>8.5000000000000006E-2</v>
      </c>
      <c r="O1802">
        <f t="shared" si="170"/>
        <v>42520.23</v>
      </c>
      <c r="P1802" s="7">
        <f t="shared" si="171"/>
        <v>0.89469535805567879</v>
      </c>
      <c r="Q1802" s="7">
        <f t="shared" si="172"/>
        <v>7597.5581395348836</v>
      </c>
      <c r="R1802">
        <f t="shared" si="173"/>
        <v>1.6062707092600392</v>
      </c>
    </row>
    <row r="1803" spans="1:18" x14ac:dyDescent="0.25">
      <c r="A1803" t="s">
        <v>1030</v>
      </c>
      <c r="B1803" t="s">
        <v>1031</v>
      </c>
      <c r="C1803" t="s">
        <v>20</v>
      </c>
      <c r="D1803">
        <v>1550</v>
      </c>
      <c r="E1803" s="1">
        <v>44469</v>
      </c>
      <c r="F1803" s="2">
        <f t="shared" si="168"/>
        <v>2021</v>
      </c>
      <c r="G1803">
        <v>89</v>
      </c>
      <c r="H1803" s="3">
        <v>673307</v>
      </c>
      <c r="I1803">
        <v>113534</v>
      </c>
      <c r="J1803">
        <v>673307</v>
      </c>
      <c r="K1803">
        <v>601218</v>
      </c>
      <c r="L1803">
        <v>525171</v>
      </c>
      <c r="M1803" t="str">
        <f t="shared" si="169"/>
        <v>Medium</v>
      </c>
      <c r="N1803">
        <f>VLOOKUP(C1803,Lookup!$A$2:$D$5,MATCH(M1803,Lookup!$A$1:$D$1,0),FALSE)</f>
        <v>8.5000000000000006E-2</v>
      </c>
      <c r="O1803">
        <f t="shared" si="170"/>
        <v>44639.535000000003</v>
      </c>
      <c r="P1803" s="7">
        <f t="shared" si="171"/>
        <v>0.89293294143681856</v>
      </c>
      <c r="Q1803" s="7">
        <f t="shared" si="172"/>
        <v>7565.2471910112363</v>
      </c>
      <c r="R1803">
        <f t="shared" si="173"/>
        <v>2.5433508659980437</v>
      </c>
    </row>
    <row r="1804" spans="1:18" x14ac:dyDescent="0.25">
      <c r="A1804" t="s">
        <v>1032</v>
      </c>
      <c r="B1804" t="s">
        <v>1033</v>
      </c>
      <c r="C1804" t="s">
        <v>5</v>
      </c>
      <c r="D1804">
        <v>95482</v>
      </c>
      <c r="E1804" s="1">
        <v>43738</v>
      </c>
      <c r="F1804" s="2">
        <f t="shared" si="168"/>
        <v>2019</v>
      </c>
      <c r="G1804">
        <v>196</v>
      </c>
      <c r="H1804" s="3">
        <v>1109400</v>
      </c>
      <c r="I1804">
        <v>26791</v>
      </c>
      <c r="J1804">
        <v>1109400</v>
      </c>
      <c r="K1804">
        <v>922562</v>
      </c>
      <c r="L1804">
        <v>917453</v>
      </c>
      <c r="M1804" t="str">
        <f t="shared" si="169"/>
        <v>Large</v>
      </c>
      <c r="N1804">
        <f>VLOOKUP(C1804,Lookup!$A$2:$D$5,MATCH(M1804,Lookup!$A$1:$D$1,0),FALSE)</f>
        <v>0.08</v>
      </c>
      <c r="O1804">
        <f t="shared" si="170"/>
        <v>73396.240000000005</v>
      </c>
      <c r="P1804" s="7">
        <f t="shared" si="171"/>
        <v>0.83158644312240848</v>
      </c>
      <c r="Q1804" s="7">
        <f t="shared" si="172"/>
        <v>5660.2040816326535</v>
      </c>
      <c r="R1804">
        <f t="shared" si="173"/>
        <v>0.36501869850553648</v>
      </c>
    </row>
    <row r="1805" spans="1:18" x14ac:dyDescent="0.25">
      <c r="A1805" t="s">
        <v>1032</v>
      </c>
      <c r="B1805" t="s">
        <v>1033</v>
      </c>
      <c r="C1805" t="s">
        <v>5</v>
      </c>
      <c r="D1805">
        <v>95482</v>
      </c>
      <c r="E1805" s="1">
        <v>44104</v>
      </c>
      <c r="F1805" s="2">
        <f t="shared" si="168"/>
        <v>2020</v>
      </c>
      <c r="G1805">
        <v>182</v>
      </c>
      <c r="H1805" s="3">
        <v>1286022</v>
      </c>
      <c r="I1805">
        <v>125232</v>
      </c>
      <c r="J1805">
        <v>1286022</v>
      </c>
      <c r="K1805">
        <v>1084096</v>
      </c>
      <c r="L1805">
        <v>1080076</v>
      </c>
      <c r="M1805" t="str">
        <f t="shared" si="169"/>
        <v>Large</v>
      </c>
      <c r="N1805">
        <f>VLOOKUP(C1805,Lookup!$A$2:$D$5,MATCH(M1805,Lookup!$A$1:$D$1,0),FALSE)</f>
        <v>0.08</v>
      </c>
      <c r="O1805">
        <f t="shared" si="170"/>
        <v>86406.080000000002</v>
      </c>
      <c r="P1805" s="7">
        <f t="shared" si="171"/>
        <v>0.84298402360146252</v>
      </c>
      <c r="Q1805" s="7">
        <f t="shared" si="172"/>
        <v>7066.0549450549452</v>
      </c>
      <c r="R1805">
        <f t="shared" si="173"/>
        <v>1.4493424536791855</v>
      </c>
    </row>
    <row r="1806" spans="1:18" x14ac:dyDescent="0.25">
      <c r="A1806" t="s">
        <v>1032</v>
      </c>
      <c r="B1806" t="s">
        <v>1033</v>
      </c>
      <c r="C1806" t="s">
        <v>5</v>
      </c>
      <c r="D1806">
        <v>95482</v>
      </c>
      <c r="E1806" s="1">
        <v>44469</v>
      </c>
      <c r="F1806" s="2">
        <f t="shared" si="168"/>
        <v>2021</v>
      </c>
      <c r="G1806">
        <v>184</v>
      </c>
      <c r="H1806" s="3">
        <v>1430740</v>
      </c>
      <c r="I1806">
        <v>80385</v>
      </c>
      <c r="J1806">
        <v>1430740</v>
      </c>
      <c r="K1806">
        <v>1224445</v>
      </c>
      <c r="L1806">
        <v>1219955</v>
      </c>
      <c r="M1806" t="str">
        <f t="shared" si="169"/>
        <v>Large</v>
      </c>
      <c r="N1806">
        <f>VLOOKUP(C1806,Lookup!$A$2:$D$5,MATCH(M1806,Lookup!$A$1:$D$1,0),FALSE)</f>
        <v>0.08</v>
      </c>
      <c r="O1806">
        <f t="shared" si="170"/>
        <v>97596.400000000009</v>
      </c>
      <c r="P1806" s="7">
        <f t="shared" si="171"/>
        <v>0.8558123768119994</v>
      </c>
      <c r="Q1806" s="7">
        <f t="shared" si="172"/>
        <v>7775.760869565217</v>
      </c>
      <c r="R1806">
        <f t="shared" si="173"/>
        <v>0.82364718370759571</v>
      </c>
    </row>
    <row r="1807" spans="1:18" x14ac:dyDescent="0.25">
      <c r="A1807" t="s">
        <v>1034</v>
      </c>
      <c r="B1807" t="s">
        <v>16</v>
      </c>
      <c r="C1807" t="s">
        <v>17</v>
      </c>
      <c r="D1807">
        <v>10020</v>
      </c>
      <c r="E1807" s="1">
        <v>43738</v>
      </c>
      <c r="F1807" s="2">
        <f t="shared" si="168"/>
        <v>2019</v>
      </c>
      <c r="G1807">
        <v>40</v>
      </c>
      <c r="H1807" s="3">
        <v>381689</v>
      </c>
      <c r="I1807">
        <v>48899</v>
      </c>
      <c r="J1807">
        <v>381689</v>
      </c>
      <c r="K1807">
        <v>342389</v>
      </c>
      <c r="L1807">
        <v>324333</v>
      </c>
      <c r="M1807" t="str">
        <f t="shared" si="169"/>
        <v>Medium</v>
      </c>
      <c r="N1807">
        <f>VLOOKUP(C1807,Lookup!$A$2:$D$5,MATCH(M1807,Lookup!$A$1:$D$1,0),FALSE)</f>
        <v>8.5000000000000006E-2</v>
      </c>
      <c r="O1807">
        <f t="shared" si="170"/>
        <v>27568.305</v>
      </c>
      <c r="P1807" s="7">
        <f t="shared" si="171"/>
        <v>0.89703659261859792</v>
      </c>
      <c r="Q1807" s="7">
        <f t="shared" si="172"/>
        <v>9542.2250000000004</v>
      </c>
      <c r="R1807">
        <f t="shared" si="173"/>
        <v>1.7737398073621138</v>
      </c>
    </row>
    <row r="1808" spans="1:18" x14ac:dyDescent="0.25">
      <c r="A1808" t="s">
        <v>1034</v>
      </c>
      <c r="B1808" t="s">
        <v>16</v>
      </c>
      <c r="C1808" t="s">
        <v>17</v>
      </c>
      <c r="D1808">
        <v>10020</v>
      </c>
      <c r="E1808" s="1">
        <v>44104</v>
      </c>
      <c r="F1808" s="2">
        <f t="shared" si="168"/>
        <v>2020</v>
      </c>
      <c r="G1808">
        <v>45</v>
      </c>
      <c r="H1808" s="3">
        <v>587889</v>
      </c>
      <c r="I1808">
        <v>36676</v>
      </c>
      <c r="J1808">
        <v>587889</v>
      </c>
      <c r="K1808">
        <v>544135</v>
      </c>
      <c r="L1808">
        <v>333853</v>
      </c>
      <c r="M1808" t="str">
        <f t="shared" si="169"/>
        <v>Medium</v>
      </c>
      <c r="N1808">
        <f>VLOOKUP(C1808,Lookup!$A$2:$D$5,MATCH(M1808,Lookup!$A$1:$D$1,0),FALSE)</f>
        <v>8.5000000000000006E-2</v>
      </c>
      <c r="O1808">
        <f t="shared" si="170"/>
        <v>28377.505000000001</v>
      </c>
      <c r="P1808" s="7">
        <f t="shared" si="171"/>
        <v>0.92557438564082672</v>
      </c>
      <c r="Q1808" s="7">
        <f t="shared" si="172"/>
        <v>13064.2</v>
      </c>
      <c r="R1808">
        <f t="shared" si="173"/>
        <v>1.292432157090625</v>
      </c>
    </row>
    <row r="1809" spans="1:18" x14ac:dyDescent="0.25">
      <c r="A1809" t="s">
        <v>1035</v>
      </c>
      <c r="B1809" t="s">
        <v>1036</v>
      </c>
      <c r="C1809" t="s">
        <v>17</v>
      </c>
      <c r="D1809">
        <v>12477</v>
      </c>
      <c r="E1809" s="1">
        <v>43738</v>
      </c>
      <c r="F1809" s="2">
        <f t="shared" si="168"/>
        <v>2019</v>
      </c>
      <c r="G1809">
        <v>43</v>
      </c>
      <c r="H1809" s="3">
        <v>251030</v>
      </c>
      <c r="I1809">
        <v>5548</v>
      </c>
      <c r="J1809">
        <v>251030</v>
      </c>
      <c r="K1809">
        <v>224533</v>
      </c>
      <c r="L1809">
        <v>201929</v>
      </c>
      <c r="M1809" t="str">
        <f t="shared" si="169"/>
        <v>Medium</v>
      </c>
      <c r="N1809">
        <f>VLOOKUP(C1809,Lookup!$A$2:$D$5,MATCH(M1809,Lookup!$A$1:$D$1,0),FALSE)</f>
        <v>8.5000000000000006E-2</v>
      </c>
      <c r="O1809">
        <f t="shared" si="170"/>
        <v>17163.965</v>
      </c>
      <c r="P1809" s="7">
        <f t="shared" si="171"/>
        <v>0.89444687885910046</v>
      </c>
      <c r="Q1809" s="7">
        <f t="shared" si="172"/>
        <v>5837.9069767441861</v>
      </c>
      <c r="R1809">
        <f t="shared" si="173"/>
        <v>0.32323533635730439</v>
      </c>
    </row>
    <row r="1810" spans="1:18" x14ac:dyDescent="0.25">
      <c r="A1810" t="s">
        <v>1035</v>
      </c>
      <c r="B1810" t="s">
        <v>1036</v>
      </c>
      <c r="C1810" t="s">
        <v>17</v>
      </c>
      <c r="D1810">
        <v>12477</v>
      </c>
      <c r="E1810" s="1">
        <v>44104</v>
      </c>
      <c r="F1810" s="2">
        <f t="shared" si="168"/>
        <v>2020</v>
      </c>
      <c r="G1810">
        <v>44</v>
      </c>
      <c r="H1810" s="3">
        <v>255983</v>
      </c>
      <c r="I1810">
        <v>8450</v>
      </c>
      <c r="J1810">
        <v>255983</v>
      </c>
      <c r="K1810">
        <v>228643</v>
      </c>
      <c r="L1810">
        <v>204683</v>
      </c>
      <c r="M1810" t="str">
        <f t="shared" si="169"/>
        <v>Medium</v>
      </c>
      <c r="N1810">
        <f>VLOOKUP(C1810,Lookup!$A$2:$D$5,MATCH(M1810,Lookup!$A$1:$D$1,0),FALSE)</f>
        <v>8.5000000000000006E-2</v>
      </c>
      <c r="O1810">
        <f t="shared" si="170"/>
        <v>17398.055</v>
      </c>
      <c r="P1810" s="7">
        <f t="shared" si="171"/>
        <v>0.89319603254903646</v>
      </c>
      <c r="Q1810" s="7">
        <f t="shared" si="172"/>
        <v>5817.795454545455</v>
      </c>
      <c r="R1810">
        <f t="shared" si="173"/>
        <v>0.48568647472375504</v>
      </c>
    </row>
    <row r="1811" spans="1:18" x14ac:dyDescent="0.25">
      <c r="A1811" t="s">
        <v>1035</v>
      </c>
      <c r="B1811" t="s">
        <v>1036</v>
      </c>
      <c r="C1811" t="s">
        <v>17</v>
      </c>
      <c r="D1811">
        <v>12477</v>
      </c>
      <c r="E1811" s="1">
        <v>44469</v>
      </c>
      <c r="F1811" s="2">
        <f t="shared" si="168"/>
        <v>2021</v>
      </c>
      <c r="G1811">
        <v>44</v>
      </c>
      <c r="H1811" s="3">
        <v>273166</v>
      </c>
      <c r="I1811">
        <v>12727</v>
      </c>
      <c r="J1811">
        <v>273166</v>
      </c>
      <c r="K1811">
        <v>244614</v>
      </c>
      <c r="L1811">
        <v>227746</v>
      </c>
      <c r="M1811" t="str">
        <f t="shared" si="169"/>
        <v>Medium</v>
      </c>
      <c r="N1811">
        <f>VLOOKUP(C1811,Lookup!$A$2:$D$5,MATCH(M1811,Lookup!$A$1:$D$1,0),FALSE)</f>
        <v>8.5000000000000006E-2</v>
      </c>
      <c r="O1811">
        <f t="shared" si="170"/>
        <v>19358.41</v>
      </c>
      <c r="P1811" s="7">
        <f t="shared" si="171"/>
        <v>0.89547747523483889</v>
      </c>
      <c r="Q1811" s="7">
        <f t="shared" si="172"/>
        <v>6208.318181818182</v>
      </c>
      <c r="R1811">
        <f t="shared" si="173"/>
        <v>0.65744035796328315</v>
      </c>
    </row>
    <row r="1812" spans="1:18" x14ac:dyDescent="0.25">
      <c r="A1812" t="s">
        <v>1037</v>
      </c>
      <c r="B1812" t="s">
        <v>685</v>
      </c>
      <c r="C1812" t="s">
        <v>8</v>
      </c>
      <c r="D1812">
        <v>60173</v>
      </c>
      <c r="E1812" s="1">
        <v>43738</v>
      </c>
      <c r="F1812" s="2">
        <f t="shared" si="168"/>
        <v>2019</v>
      </c>
      <c r="G1812">
        <v>67</v>
      </c>
      <c r="H1812" s="3">
        <v>1219958</v>
      </c>
      <c r="I1812">
        <v>54471</v>
      </c>
      <c r="J1812">
        <v>1219958</v>
      </c>
      <c r="K1812">
        <v>1086492</v>
      </c>
      <c r="L1812">
        <v>1040637</v>
      </c>
      <c r="M1812" t="str">
        <f t="shared" si="169"/>
        <v>Large</v>
      </c>
      <c r="N1812">
        <f>VLOOKUP(C1812,Lookup!$A$2:$D$5,MATCH(M1812,Lookup!$A$1:$D$1,0),FALSE)</f>
        <v>7.4999999999999997E-2</v>
      </c>
      <c r="O1812">
        <f t="shared" si="170"/>
        <v>78047.774999999994</v>
      </c>
      <c r="P1812" s="7">
        <f t="shared" si="171"/>
        <v>0.89059787304153093</v>
      </c>
      <c r="Q1812" s="7">
        <f t="shared" si="172"/>
        <v>18208.328358208953</v>
      </c>
      <c r="R1812">
        <f t="shared" si="173"/>
        <v>0.69791867865547741</v>
      </c>
    </row>
    <row r="1813" spans="1:18" x14ac:dyDescent="0.25">
      <c r="A1813" t="s">
        <v>1037</v>
      </c>
      <c r="B1813" t="s">
        <v>685</v>
      </c>
      <c r="C1813" t="s">
        <v>8</v>
      </c>
      <c r="D1813">
        <v>60173</v>
      </c>
      <c r="E1813" s="1">
        <v>44104</v>
      </c>
      <c r="F1813" s="2">
        <f t="shared" si="168"/>
        <v>2020</v>
      </c>
      <c r="G1813">
        <v>66</v>
      </c>
      <c r="H1813" s="3">
        <v>1430023</v>
      </c>
      <c r="I1813">
        <v>221864</v>
      </c>
      <c r="J1813">
        <v>1430023</v>
      </c>
      <c r="K1813">
        <v>1303121</v>
      </c>
      <c r="L1813">
        <v>1245313</v>
      </c>
      <c r="M1813" t="str">
        <f t="shared" si="169"/>
        <v>Large</v>
      </c>
      <c r="N1813">
        <f>VLOOKUP(C1813,Lookup!$A$2:$D$5,MATCH(M1813,Lookup!$A$1:$D$1,0),FALSE)</f>
        <v>7.4999999999999997E-2</v>
      </c>
      <c r="O1813">
        <f t="shared" si="170"/>
        <v>93398.474999999991</v>
      </c>
      <c r="P1813" s="7">
        <f t="shared" si="171"/>
        <v>0.9112587699638397</v>
      </c>
      <c r="Q1813" s="7">
        <f t="shared" si="172"/>
        <v>21667.015151515152</v>
      </c>
      <c r="R1813">
        <f t="shared" si="173"/>
        <v>2.3754563444424548</v>
      </c>
    </row>
    <row r="1814" spans="1:18" x14ac:dyDescent="0.25">
      <c r="A1814" t="s">
        <v>1037</v>
      </c>
      <c r="B1814" t="s">
        <v>685</v>
      </c>
      <c r="C1814" t="s">
        <v>8</v>
      </c>
      <c r="D1814">
        <v>60173</v>
      </c>
      <c r="E1814" s="1">
        <v>44469</v>
      </c>
      <c r="F1814" s="2">
        <f t="shared" si="168"/>
        <v>2021</v>
      </c>
      <c r="G1814">
        <v>60</v>
      </c>
      <c r="H1814" s="3">
        <v>1559896</v>
      </c>
      <c r="I1814">
        <v>125528</v>
      </c>
      <c r="J1814">
        <v>1559896</v>
      </c>
      <c r="K1814">
        <v>1407714</v>
      </c>
      <c r="L1814">
        <v>1355657</v>
      </c>
      <c r="M1814" t="str">
        <f t="shared" si="169"/>
        <v>Large</v>
      </c>
      <c r="N1814">
        <f>VLOOKUP(C1814,Lookup!$A$2:$D$5,MATCH(M1814,Lookup!$A$1:$D$1,0),FALSE)</f>
        <v>7.4999999999999997E-2</v>
      </c>
      <c r="O1814">
        <f t="shared" si="170"/>
        <v>101674.27499999999</v>
      </c>
      <c r="P1814" s="7">
        <f t="shared" si="171"/>
        <v>0.90244093195956654</v>
      </c>
      <c r="Q1814" s="7">
        <f t="shared" si="172"/>
        <v>25998.266666666666</v>
      </c>
      <c r="R1814">
        <f t="shared" si="173"/>
        <v>1.2346092460457674</v>
      </c>
    </row>
    <row r="1815" spans="1:18" x14ac:dyDescent="0.25">
      <c r="A1815" t="s">
        <v>1038</v>
      </c>
      <c r="B1815" t="s">
        <v>1039</v>
      </c>
      <c r="C1815" t="s">
        <v>8</v>
      </c>
      <c r="D1815">
        <v>61914</v>
      </c>
      <c r="E1815" s="1">
        <v>43738</v>
      </c>
      <c r="F1815" s="2">
        <f t="shared" si="168"/>
        <v>2019</v>
      </c>
      <c r="G1815">
        <v>48</v>
      </c>
      <c r="H1815" s="3">
        <v>162935</v>
      </c>
      <c r="I1815">
        <v>20177</v>
      </c>
      <c r="J1815">
        <v>162935</v>
      </c>
      <c r="K1815">
        <v>137954</v>
      </c>
      <c r="L1815">
        <v>137598</v>
      </c>
      <c r="M1815" t="str">
        <f t="shared" si="169"/>
        <v>Medium</v>
      </c>
      <c r="N1815">
        <f>VLOOKUP(C1815,Lookup!$A$2:$D$5,MATCH(M1815,Lookup!$A$1:$D$1,0),FALSE)</f>
        <v>0.08</v>
      </c>
      <c r="O1815">
        <f t="shared" si="170"/>
        <v>11007.84</v>
      </c>
      <c r="P1815" s="7">
        <f t="shared" si="171"/>
        <v>0.84668119188633506</v>
      </c>
      <c r="Q1815" s="7">
        <f t="shared" si="172"/>
        <v>3394.4791666666665</v>
      </c>
      <c r="R1815">
        <f t="shared" si="173"/>
        <v>1.8329663221849155</v>
      </c>
    </row>
    <row r="1816" spans="1:18" x14ac:dyDescent="0.25">
      <c r="A1816" t="s">
        <v>1038</v>
      </c>
      <c r="B1816" t="s">
        <v>1039</v>
      </c>
      <c r="C1816" t="s">
        <v>8</v>
      </c>
      <c r="D1816">
        <v>61914</v>
      </c>
      <c r="E1816" s="1">
        <v>44104</v>
      </c>
      <c r="F1816" s="2">
        <f t="shared" si="168"/>
        <v>2020</v>
      </c>
      <c r="G1816">
        <v>46</v>
      </c>
      <c r="H1816" s="3">
        <v>182005</v>
      </c>
      <c r="I1816">
        <v>26928</v>
      </c>
      <c r="J1816">
        <v>182005</v>
      </c>
      <c r="K1816">
        <v>154964</v>
      </c>
      <c r="L1816">
        <v>151464</v>
      </c>
      <c r="M1816" t="str">
        <f t="shared" si="169"/>
        <v>Medium</v>
      </c>
      <c r="N1816">
        <f>VLOOKUP(C1816,Lookup!$A$2:$D$5,MATCH(M1816,Lookup!$A$1:$D$1,0),FALSE)</f>
        <v>0.08</v>
      </c>
      <c r="O1816">
        <f t="shared" si="170"/>
        <v>12117.12</v>
      </c>
      <c r="P1816" s="7">
        <f t="shared" si="171"/>
        <v>0.8514271585945441</v>
      </c>
      <c r="Q1816" s="7">
        <f t="shared" si="172"/>
        <v>3956.6304347826085</v>
      </c>
      <c r="R1816">
        <f t="shared" si="173"/>
        <v>2.2223102519410554</v>
      </c>
    </row>
    <row r="1817" spans="1:18" x14ac:dyDescent="0.25">
      <c r="A1817" t="s">
        <v>1038</v>
      </c>
      <c r="B1817" t="s">
        <v>1039</v>
      </c>
      <c r="C1817" t="s">
        <v>8</v>
      </c>
      <c r="D1817">
        <v>61914</v>
      </c>
      <c r="E1817" s="1">
        <v>44469</v>
      </c>
      <c r="F1817" s="2">
        <f t="shared" si="168"/>
        <v>2021</v>
      </c>
      <c r="G1817">
        <v>43</v>
      </c>
      <c r="H1817" s="3">
        <v>197631</v>
      </c>
      <c r="I1817">
        <v>23443</v>
      </c>
      <c r="J1817">
        <v>197631</v>
      </c>
      <c r="K1817">
        <v>170911</v>
      </c>
      <c r="L1817">
        <v>170565</v>
      </c>
      <c r="M1817" t="str">
        <f t="shared" si="169"/>
        <v>Medium</v>
      </c>
      <c r="N1817">
        <f>VLOOKUP(C1817,Lookup!$A$2:$D$5,MATCH(M1817,Lookup!$A$1:$D$1,0),FALSE)</f>
        <v>0.08</v>
      </c>
      <c r="O1817">
        <f t="shared" si="170"/>
        <v>13645.2</v>
      </c>
      <c r="P1817" s="7">
        <f t="shared" si="171"/>
        <v>0.86479853869079248</v>
      </c>
      <c r="Q1817" s="7">
        <f t="shared" si="172"/>
        <v>4596.0697674418607</v>
      </c>
      <c r="R1817">
        <f t="shared" si="173"/>
        <v>1.7180400433852197</v>
      </c>
    </row>
    <row r="1818" spans="1:18" x14ac:dyDescent="0.25">
      <c r="A1818" t="s">
        <v>1040</v>
      </c>
      <c r="B1818" t="s">
        <v>85</v>
      </c>
      <c r="C1818" t="s">
        <v>5</v>
      </c>
      <c r="D1818">
        <v>92128</v>
      </c>
      <c r="E1818" s="1">
        <v>43738</v>
      </c>
      <c r="F1818" s="2">
        <f t="shared" si="168"/>
        <v>2019</v>
      </c>
      <c r="G1818">
        <v>154</v>
      </c>
      <c r="H1818" s="3">
        <v>1082517</v>
      </c>
      <c r="I1818">
        <v>35894</v>
      </c>
      <c r="J1818">
        <v>1082517</v>
      </c>
      <c r="K1818">
        <v>953118</v>
      </c>
      <c r="L1818">
        <v>852331</v>
      </c>
      <c r="M1818" t="str">
        <f t="shared" si="169"/>
        <v>Large</v>
      </c>
      <c r="N1818">
        <f>VLOOKUP(C1818,Lookup!$A$2:$D$5,MATCH(M1818,Lookup!$A$1:$D$1,0),FALSE)</f>
        <v>0.08</v>
      </c>
      <c r="O1818">
        <f t="shared" si="170"/>
        <v>68186.48</v>
      </c>
      <c r="P1818" s="7">
        <f t="shared" si="171"/>
        <v>0.88046469478077483</v>
      </c>
      <c r="Q1818" s="7">
        <f t="shared" si="172"/>
        <v>7029.3311688311687</v>
      </c>
      <c r="R1818">
        <f t="shared" si="173"/>
        <v>0.52640934097199332</v>
      </c>
    </row>
    <row r="1819" spans="1:18" x14ac:dyDescent="0.25">
      <c r="A1819" t="s">
        <v>1040</v>
      </c>
      <c r="B1819" t="s">
        <v>85</v>
      </c>
      <c r="C1819" t="s">
        <v>5</v>
      </c>
      <c r="D1819">
        <v>92128</v>
      </c>
      <c r="E1819" s="1">
        <v>44104</v>
      </c>
      <c r="F1819" s="2">
        <f t="shared" si="168"/>
        <v>2020</v>
      </c>
      <c r="G1819">
        <v>152</v>
      </c>
      <c r="H1819" s="3">
        <v>1327398</v>
      </c>
      <c r="I1819">
        <v>67311</v>
      </c>
      <c r="J1819">
        <v>1327398</v>
      </c>
      <c r="K1819">
        <v>1187778</v>
      </c>
      <c r="L1819">
        <v>1005544</v>
      </c>
      <c r="M1819" t="str">
        <f t="shared" si="169"/>
        <v>Large</v>
      </c>
      <c r="N1819">
        <f>VLOOKUP(C1819,Lookup!$A$2:$D$5,MATCH(M1819,Lookup!$A$1:$D$1,0),FALSE)</f>
        <v>0.08</v>
      </c>
      <c r="O1819">
        <f t="shared" si="170"/>
        <v>80443.520000000004</v>
      </c>
      <c r="P1819" s="7">
        <f t="shared" si="171"/>
        <v>0.89481677688229155</v>
      </c>
      <c r="Q1819" s="7">
        <f t="shared" si="172"/>
        <v>8732.8815789473683</v>
      </c>
      <c r="R1819">
        <f t="shared" si="173"/>
        <v>0.83674856595037106</v>
      </c>
    </row>
    <row r="1820" spans="1:18" x14ac:dyDescent="0.25">
      <c r="A1820" t="s">
        <v>1041</v>
      </c>
      <c r="B1820" t="s">
        <v>1042</v>
      </c>
      <c r="C1820" t="s">
        <v>20</v>
      </c>
      <c r="D1820">
        <v>2657</v>
      </c>
      <c r="E1820" s="1">
        <v>43738</v>
      </c>
      <c r="F1820" s="2">
        <f t="shared" si="168"/>
        <v>2019</v>
      </c>
      <c r="G1820">
        <v>68</v>
      </c>
      <c r="H1820" s="3">
        <v>401673</v>
      </c>
      <c r="I1820">
        <v>41084</v>
      </c>
      <c r="J1820">
        <v>401673</v>
      </c>
      <c r="K1820">
        <v>358500</v>
      </c>
      <c r="L1820">
        <v>355170</v>
      </c>
      <c r="M1820" t="str">
        <f t="shared" si="169"/>
        <v>Medium</v>
      </c>
      <c r="N1820">
        <f>VLOOKUP(C1820,Lookup!$A$2:$D$5,MATCH(M1820,Lookup!$A$1:$D$1,0),FALSE)</f>
        <v>8.5000000000000006E-2</v>
      </c>
      <c r="O1820">
        <f t="shared" si="170"/>
        <v>30189.45</v>
      </c>
      <c r="P1820" s="7">
        <f t="shared" si="171"/>
        <v>0.89251704744904437</v>
      </c>
      <c r="Q1820" s="7">
        <f t="shared" si="172"/>
        <v>5906.9558823529414</v>
      </c>
      <c r="R1820">
        <f t="shared" si="173"/>
        <v>1.3608727552174684</v>
      </c>
    </row>
    <row r="1821" spans="1:18" x14ac:dyDescent="0.25">
      <c r="A1821" t="s">
        <v>1041</v>
      </c>
      <c r="B1821" t="s">
        <v>1042</v>
      </c>
      <c r="C1821" t="s">
        <v>20</v>
      </c>
      <c r="D1821">
        <v>2657</v>
      </c>
      <c r="E1821" s="1">
        <v>44104</v>
      </c>
      <c r="F1821" s="2">
        <f t="shared" si="168"/>
        <v>2020</v>
      </c>
      <c r="G1821">
        <v>71</v>
      </c>
      <c r="H1821" s="3">
        <v>472022</v>
      </c>
      <c r="I1821">
        <v>110995</v>
      </c>
      <c r="J1821">
        <v>472022</v>
      </c>
      <c r="K1821">
        <v>426518</v>
      </c>
      <c r="L1821">
        <v>423178</v>
      </c>
      <c r="M1821" t="str">
        <f t="shared" si="169"/>
        <v>Medium</v>
      </c>
      <c r="N1821">
        <f>VLOOKUP(C1821,Lookup!$A$2:$D$5,MATCH(M1821,Lookup!$A$1:$D$1,0),FALSE)</f>
        <v>8.5000000000000006E-2</v>
      </c>
      <c r="O1821">
        <f t="shared" si="170"/>
        <v>35970.130000000005</v>
      </c>
      <c r="P1821" s="7">
        <f t="shared" si="171"/>
        <v>0.90359771366588848</v>
      </c>
      <c r="Q1821" s="7">
        <f t="shared" si="172"/>
        <v>6648.1971830985913</v>
      </c>
      <c r="R1821">
        <f t="shared" si="173"/>
        <v>3.0857547637442506</v>
      </c>
    </row>
    <row r="1822" spans="1:18" x14ac:dyDescent="0.25">
      <c r="A1822" t="s">
        <v>1041</v>
      </c>
      <c r="B1822" t="s">
        <v>1042</v>
      </c>
      <c r="C1822" t="s">
        <v>20</v>
      </c>
      <c r="D1822">
        <v>2657</v>
      </c>
      <c r="E1822" s="1">
        <v>44469</v>
      </c>
      <c r="F1822" s="2">
        <f t="shared" si="168"/>
        <v>2021</v>
      </c>
      <c r="G1822">
        <v>71</v>
      </c>
      <c r="H1822" s="3">
        <v>568051</v>
      </c>
      <c r="I1822">
        <v>226247</v>
      </c>
      <c r="J1822">
        <v>568051</v>
      </c>
      <c r="K1822">
        <v>521838</v>
      </c>
      <c r="L1822">
        <v>521456</v>
      </c>
      <c r="M1822" t="str">
        <f t="shared" si="169"/>
        <v>Medium</v>
      </c>
      <c r="N1822">
        <f>VLOOKUP(C1822,Lookup!$A$2:$D$5,MATCH(M1822,Lookup!$A$1:$D$1,0),FALSE)</f>
        <v>8.5000000000000006E-2</v>
      </c>
      <c r="O1822">
        <f t="shared" si="170"/>
        <v>44323.76</v>
      </c>
      <c r="P1822" s="7">
        <f t="shared" si="171"/>
        <v>0.9186463891446367</v>
      </c>
      <c r="Q1822" s="7">
        <f t="shared" si="172"/>
        <v>8000.7183098591549</v>
      </c>
      <c r="R1822">
        <f t="shared" si="173"/>
        <v>5.1044180367369556</v>
      </c>
    </row>
    <row r="1823" spans="1:18" x14ac:dyDescent="0.25">
      <c r="A1823" t="s">
        <v>1043</v>
      </c>
      <c r="B1823" t="s">
        <v>149</v>
      </c>
      <c r="C1823" t="s">
        <v>8</v>
      </c>
      <c r="D1823">
        <v>62701</v>
      </c>
      <c r="E1823" s="1">
        <v>43738</v>
      </c>
      <c r="F1823" s="2">
        <f t="shared" si="168"/>
        <v>2019</v>
      </c>
      <c r="G1823">
        <v>37</v>
      </c>
      <c r="H1823" s="3">
        <v>196347</v>
      </c>
      <c r="I1823">
        <v>18779</v>
      </c>
      <c r="J1823">
        <v>196347</v>
      </c>
      <c r="K1823">
        <v>180211</v>
      </c>
      <c r="L1823">
        <v>179832</v>
      </c>
      <c r="M1823" t="str">
        <f t="shared" si="169"/>
        <v>Medium</v>
      </c>
      <c r="N1823">
        <f>VLOOKUP(C1823,Lookup!$A$2:$D$5,MATCH(M1823,Lookup!$A$1:$D$1,0),FALSE)</f>
        <v>0.08</v>
      </c>
      <c r="O1823">
        <f t="shared" si="170"/>
        <v>14386.56</v>
      </c>
      <c r="P1823" s="7">
        <f t="shared" si="171"/>
        <v>0.91781896336587776</v>
      </c>
      <c r="Q1823" s="7">
        <f t="shared" si="172"/>
        <v>5306.6756756756758</v>
      </c>
      <c r="R1823">
        <f t="shared" si="173"/>
        <v>1.3053155167044799</v>
      </c>
    </row>
    <row r="1824" spans="1:18" x14ac:dyDescent="0.25">
      <c r="A1824" t="s">
        <v>1043</v>
      </c>
      <c r="B1824" t="s">
        <v>149</v>
      </c>
      <c r="C1824" t="s">
        <v>8</v>
      </c>
      <c r="D1824">
        <v>62701</v>
      </c>
      <c r="E1824" s="1">
        <v>44104</v>
      </c>
      <c r="F1824" s="2">
        <f t="shared" si="168"/>
        <v>2020</v>
      </c>
      <c r="G1824">
        <v>41</v>
      </c>
      <c r="H1824" s="3">
        <v>183227</v>
      </c>
      <c r="I1824">
        <v>35629</v>
      </c>
      <c r="J1824">
        <v>183227</v>
      </c>
      <c r="K1824">
        <v>166579</v>
      </c>
      <c r="L1824">
        <v>161776</v>
      </c>
      <c r="M1824" t="str">
        <f t="shared" si="169"/>
        <v>Medium</v>
      </c>
      <c r="N1824">
        <f>VLOOKUP(C1824,Lookup!$A$2:$D$5,MATCH(M1824,Lookup!$A$1:$D$1,0),FALSE)</f>
        <v>0.08</v>
      </c>
      <c r="O1824">
        <f t="shared" si="170"/>
        <v>12942.08</v>
      </c>
      <c r="P1824" s="7">
        <f t="shared" si="171"/>
        <v>0.90914002848925102</v>
      </c>
      <c r="Q1824" s="7">
        <f t="shared" si="172"/>
        <v>4468.9512195121952</v>
      </c>
      <c r="R1824">
        <f t="shared" si="173"/>
        <v>2.7529577934922362</v>
      </c>
    </row>
    <row r="1825" spans="1:18" x14ac:dyDescent="0.25">
      <c r="A1825" t="s">
        <v>1043</v>
      </c>
      <c r="B1825" t="s">
        <v>149</v>
      </c>
      <c r="C1825" t="s">
        <v>8</v>
      </c>
      <c r="D1825">
        <v>62701</v>
      </c>
      <c r="E1825" s="1">
        <v>44469</v>
      </c>
      <c r="F1825" s="2">
        <f t="shared" si="168"/>
        <v>2021</v>
      </c>
      <c r="G1825">
        <v>49</v>
      </c>
      <c r="H1825" s="3">
        <v>257525</v>
      </c>
      <c r="I1825">
        <v>42765</v>
      </c>
      <c r="J1825">
        <v>257525</v>
      </c>
      <c r="K1825">
        <v>240538</v>
      </c>
      <c r="L1825">
        <v>239840</v>
      </c>
      <c r="M1825" t="str">
        <f t="shared" si="169"/>
        <v>Medium</v>
      </c>
      <c r="N1825">
        <f>VLOOKUP(C1825,Lookup!$A$2:$D$5,MATCH(M1825,Lookup!$A$1:$D$1,0),FALSE)</f>
        <v>0.08</v>
      </c>
      <c r="O1825">
        <f t="shared" si="170"/>
        <v>19187.2</v>
      </c>
      <c r="P1825" s="7">
        <f t="shared" si="171"/>
        <v>0.93403747209008836</v>
      </c>
      <c r="Q1825" s="7">
        <f t="shared" si="172"/>
        <v>5255.6122448979595</v>
      </c>
      <c r="R1825">
        <f t="shared" si="173"/>
        <v>2.2288296364242828</v>
      </c>
    </row>
    <row r="1826" spans="1:18" x14ac:dyDescent="0.25">
      <c r="A1826" t="s">
        <v>1044</v>
      </c>
      <c r="B1826" t="s">
        <v>1045</v>
      </c>
      <c r="C1826" t="s">
        <v>8</v>
      </c>
      <c r="D1826">
        <v>62094</v>
      </c>
      <c r="E1826" s="1">
        <v>43738</v>
      </c>
      <c r="F1826" s="2">
        <f t="shared" si="168"/>
        <v>2019</v>
      </c>
      <c r="G1826">
        <v>23</v>
      </c>
      <c r="H1826" s="3">
        <v>81604</v>
      </c>
      <c r="I1826">
        <v>12681</v>
      </c>
      <c r="J1826">
        <v>81604</v>
      </c>
      <c r="K1826">
        <v>73017</v>
      </c>
      <c r="L1826">
        <v>67972</v>
      </c>
      <c r="M1826" t="str">
        <f t="shared" si="169"/>
        <v>Small</v>
      </c>
      <c r="N1826">
        <f>VLOOKUP(C1826,Lookup!$A$2:$D$5,MATCH(M1826,Lookup!$A$1:$D$1,0),FALSE)</f>
        <v>0.09</v>
      </c>
      <c r="O1826">
        <f t="shared" si="170"/>
        <v>6117.48</v>
      </c>
      <c r="P1826" s="7">
        <f t="shared" si="171"/>
        <v>0.89477231508259403</v>
      </c>
      <c r="Q1826" s="7">
        <f t="shared" si="172"/>
        <v>3548</v>
      </c>
      <c r="R1826">
        <f t="shared" si="173"/>
        <v>2.0729123756841052</v>
      </c>
    </row>
    <row r="1827" spans="1:18" x14ac:dyDescent="0.25">
      <c r="A1827" t="s">
        <v>1044</v>
      </c>
      <c r="B1827" t="s">
        <v>1045</v>
      </c>
      <c r="C1827" t="s">
        <v>8</v>
      </c>
      <c r="D1827">
        <v>62094</v>
      </c>
      <c r="E1827" s="1">
        <v>44104</v>
      </c>
      <c r="F1827" s="2">
        <f t="shared" si="168"/>
        <v>2020</v>
      </c>
      <c r="G1827">
        <v>23</v>
      </c>
      <c r="H1827" s="3">
        <v>90458</v>
      </c>
      <c r="I1827">
        <v>23015</v>
      </c>
      <c r="J1827">
        <v>90458</v>
      </c>
      <c r="K1827">
        <v>81770</v>
      </c>
      <c r="L1827">
        <v>73702</v>
      </c>
      <c r="M1827" t="str">
        <f t="shared" si="169"/>
        <v>Small</v>
      </c>
      <c r="N1827">
        <f>VLOOKUP(C1827,Lookup!$A$2:$D$5,MATCH(M1827,Lookup!$A$1:$D$1,0),FALSE)</f>
        <v>0.09</v>
      </c>
      <c r="O1827">
        <f t="shared" si="170"/>
        <v>6633.1799999999994</v>
      </c>
      <c r="P1827" s="7">
        <f t="shared" si="171"/>
        <v>0.90395542682792018</v>
      </c>
      <c r="Q1827" s="7">
        <f t="shared" si="172"/>
        <v>3932.9565217391305</v>
      </c>
      <c r="R1827">
        <f t="shared" si="173"/>
        <v>3.4696781935662839</v>
      </c>
    </row>
    <row r="1828" spans="1:18" x14ac:dyDescent="0.25">
      <c r="A1828" t="s">
        <v>1044</v>
      </c>
      <c r="B1828" t="s">
        <v>1045</v>
      </c>
      <c r="C1828" t="s">
        <v>8</v>
      </c>
      <c r="D1828">
        <v>62094</v>
      </c>
      <c r="E1828" s="1">
        <v>44469</v>
      </c>
      <c r="F1828" s="2">
        <f t="shared" si="168"/>
        <v>2021</v>
      </c>
      <c r="G1828">
        <v>23</v>
      </c>
      <c r="H1828" s="3">
        <v>98489</v>
      </c>
      <c r="I1828">
        <v>16108</v>
      </c>
      <c r="J1828">
        <v>98489</v>
      </c>
      <c r="K1828">
        <v>89381</v>
      </c>
      <c r="L1828">
        <v>81185</v>
      </c>
      <c r="M1828" t="str">
        <f t="shared" si="169"/>
        <v>Small</v>
      </c>
      <c r="N1828">
        <f>VLOOKUP(C1828,Lookup!$A$2:$D$5,MATCH(M1828,Lookup!$A$1:$D$1,0),FALSE)</f>
        <v>0.09</v>
      </c>
      <c r="O1828">
        <f t="shared" si="170"/>
        <v>7306.65</v>
      </c>
      <c r="P1828" s="7">
        <f t="shared" si="171"/>
        <v>0.90752266750601585</v>
      </c>
      <c r="Q1828" s="7">
        <f t="shared" si="172"/>
        <v>4282.130434782609</v>
      </c>
      <c r="R1828">
        <f t="shared" si="173"/>
        <v>2.2045670724613879</v>
      </c>
    </row>
    <row r="1829" spans="1:18" x14ac:dyDescent="0.25">
      <c r="A1829" t="s">
        <v>1046</v>
      </c>
      <c r="B1829" t="s">
        <v>354</v>
      </c>
      <c r="C1829" t="s">
        <v>8</v>
      </c>
      <c r="D1829">
        <v>61462</v>
      </c>
      <c r="E1829" s="1">
        <v>43738</v>
      </c>
      <c r="F1829" s="2">
        <f t="shared" si="168"/>
        <v>2019</v>
      </c>
      <c r="G1829">
        <v>39</v>
      </c>
      <c r="H1829" s="3">
        <v>198426</v>
      </c>
      <c r="I1829">
        <v>18674</v>
      </c>
      <c r="J1829">
        <v>198426</v>
      </c>
      <c r="K1829">
        <v>176305</v>
      </c>
      <c r="L1829">
        <v>175243</v>
      </c>
      <c r="M1829" t="str">
        <f t="shared" si="169"/>
        <v>Medium</v>
      </c>
      <c r="N1829">
        <f>VLOOKUP(C1829,Lookup!$A$2:$D$5,MATCH(M1829,Lookup!$A$1:$D$1,0),FALSE)</f>
        <v>0.08</v>
      </c>
      <c r="O1829">
        <f t="shared" si="170"/>
        <v>14019.44</v>
      </c>
      <c r="P1829" s="7">
        <f t="shared" si="171"/>
        <v>0.88851763377783155</v>
      </c>
      <c r="Q1829" s="7">
        <f t="shared" si="172"/>
        <v>5087.8461538461543</v>
      </c>
      <c r="R1829">
        <f t="shared" si="173"/>
        <v>1.3320075552233184</v>
      </c>
    </row>
    <row r="1830" spans="1:18" x14ac:dyDescent="0.25">
      <c r="A1830" t="s">
        <v>1046</v>
      </c>
      <c r="B1830" t="s">
        <v>354</v>
      </c>
      <c r="C1830" t="s">
        <v>8</v>
      </c>
      <c r="D1830">
        <v>61462</v>
      </c>
      <c r="E1830" s="1">
        <v>44104</v>
      </c>
      <c r="F1830" s="2">
        <f t="shared" si="168"/>
        <v>2020</v>
      </c>
      <c r="G1830">
        <v>40</v>
      </c>
      <c r="H1830" s="3">
        <v>212108</v>
      </c>
      <c r="I1830">
        <v>32907</v>
      </c>
      <c r="J1830">
        <v>212108</v>
      </c>
      <c r="K1830">
        <v>188492</v>
      </c>
      <c r="L1830">
        <v>187315</v>
      </c>
      <c r="M1830" t="str">
        <f t="shared" si="169"/>
        <v>Medium</v>
      </c>
      <c r="N1830">
        <f>VLOOKUP(C1830,Lookup!$A$2:$D$5,MATCH(M1830,Lookup!$A$1:$D$1,0),FALSE)</f>
        <v>0.08</v>
      </c>
      <c r="O1830">
        <f t="shared" si="170"/>
        <v>14985.2</v>
      </c>
      <c r="P1830" s="7">
        <f t="shared" si="171"/>
        <v>0.88866049371075118</v>
      </c>
      <c r="Q1830" s="7">
        <f t="shared" si="172"/>
        <v>5302.7</v>
      </c>
      <c r="R1830">
        <f t="shared" si="173"/>
        <v>2.1959666871313028</v>
      </c>
    </row>
    <row r="1831" spans="1:18" x14ac:dyDescent="0.25">
      <c r="A1831" t="s">
        <v>1046</v>
      </c>
      <c r="B1831" t="s">
        <v>354</v>
      </c>
      <c r="C1831" t="s">
        <v>8</v>
      </c>
      <c r="D1831">
        <v>61462</v>
      </c>
      <c r="E1831" s="1">
        <v>44469</v>
      </c>
      <c r="F1831" s="2">
        <f t="shared" si="168"/>
        <v>2021</v>
      </c>
      <c r="G1831">
        <v>39</v>
      </c>
      <c r="H1831" s="3">
        <v>243081</v>
      </c>
      <c r="I1831">
        <v>5733</v>
      </c>
      <c r="J1831">
        <v>243081</v>
      </c>
      <c r="K1831">
        <v>218639</v>
      </c>
      <c r="L1831">
        <v>212550</v>
      </c>
      <c r="M1831" t="str">
        <f t="shared" si="169"/>
        <v>Medium</v>
      </c>
      <c r="N1831">
        <f>VLOOKUP(C1831,Lookup!$A$2:$D$5,MATCH(M1831,Lookup!$A$1:$D$1,0),FALSE)</f>
        <v>0.08</v>
      </c>
      <c r="O1831">
        <f t="shared" si="170"/>
        <v>17004</v>
      </c>
      <c r="P1831" s="7">
        <f t="shared" si="171"/>
        <v>0.89944915480847942</v>
      </c>
      <c r="Q1831" s="7">
        <f t="shared" si="172"/>
        <v>6232.8461538461543</v>
      </c>
      <c r="R1831">
        <f t="shared" si="173"/>
        <v>0.33715596330275227</v>
      </c>
    </row>
    <row r="1832" spans="1:18" x14ac:dyDescent="0.25">
      <c r="A1832" t="s">
        <v>1047</v>
      </c>
      <c r="B1832" t="s">
        <v>1048</v>
      </c>
      <c r="C1832" t="s">
        <v>8</v>
      </c>
      <c r="D1832">
        <v>61265</v>
      </c>
      <c r="E1832" s="1">
        <v>43738</v>
      </c>
      <c r="F1832" s="2">
        <f t="shared" si="168"/>
        <v>2019</v>
      </c>
      <c r="G1832">
        <v>74</v>
      </c>
      <c r="H1832" s="3">
        <v>297376</v>
      </c>
      <c r="I1832">
        <v>8547</v>
      </c>
      <c r="J1832">
        <v>297376</v>
      </c>
      <c r="K1832">
        <v>267190</v>
      </c>
      <c r="L1832">
        <v>227622</v>
      </c>
      <c r="M1832" t="str">
        <f t="shared" si="169"/>
        <v>Medium</v>
      </c>
      <c r="N1832">
        <f>VLOOKUP(C1832,Lookup!$A$2:$D$5,MATCH(M1832,Lookup!$A$1:$D$1,0),FALSE)</f>
        <v>0.08</v>
      </c>
      <c r="O1832">
        <f t="shared" si="170"/>
        <v>18209.760000000002</v>
      </c>
      <c r="P1832" s="7">
        <f t="shared" si="171"/>
        <v>0.8984921446249865</v>
      </c>
      <c r="Q1832" s="7">
        <f t="shared" si="172"/>
        <v>4018.5945945945946</v>
      </c>
      <c r="R1832">
        <f t="shared" si="173"/>
        <v>0.46936368189366579</v>
      </c>
    </row>
    <row r="1833" spans="1:18" x14ac:dyDescent="0.25">
      <c r="A1833" t="s">
        <v>1047</v>
      </c>
      <c r="B1833" t="s">
        <v>1048</v>
      </c>
      <c r="C1833" t="s">
        <v>8</v>
      </c>
      <c r="D1833">
        <v>61265</v>
      </c>
      <c r="E1833" s="1">
        <v>44104</v>
      </c>
      <c r="F1833" s="2">
        <f t="shared" si="168"/>
        <v>2020</v>
      </c>
      <c r="G1833">
        <v>76</v>
      </c>
      <c r="H1833" s="3">
        <v>339791</v>
      </c>
      <c r="I1833">
        <v>20328</v>
      </c>
      <c r="J1833">
        <v>339790</v>
      </c>
      <c r="K1833">
        <v>306793</v>
      </c>
      <c r="L1833">
        <v>256175</v>
      </c>
      <c r="M1833" t="str">
        <f t="shared" si="169"/>
        <v>Medium</v>
      </c>
      <c r="N1833">
        <f>VLOOKUP(C1833,Lookup!$A$2:$D$5,MATCH(M1833,Lookup!$A$1:$D$1,0),FALSE)</f>
        <v>0.08</v>
      </c>
      <c r="O1833">
        <f t="shared" si="170"/>
        <v>20494</v>
      </c>
      <c r="P1833" s="7">
        <f t="shared" si="171"/>
        <v>0.902887363114385</v>
      </c>
      <c r="Q1833" s="7">
        <f t="shared" si="172"/>
        <v>4470.9342105263158</v>
      </c>
      <c r="R1833">
        <f t="shared" si="173"/>
        <v>0.99190006831267685</v>
      </c>
    </row>
    <row r="1834" spans="1:18" x14ac:dyDescent="0.25">
      <c r="A1834" t="s">
        <v>1047</v>
      </c>
      <c r="B1834" t="s">
        <v>1048</v>
      </c>
      <c r="C1834" t="s">
        <v>8</v>
      </c>
      <c r="D1834">
        <v>61265</v>
      </c>
      <c r="E1834" s="1">
        <v>44469</v>
      </c>
      <c r="F1834" s="2">
        <f t="shared" si="168"/>
        <v>2021</v>
      </c>
      <c r="G1834">
        <v>73</v>
      </c>
      <c r="H1834" s="3">
        <v>360589</v>
      </c>
      <c r="I1834">
        <v>43911</v>
      </c>
      <c r="J1834">
        <v>360589</v>
      </c>
      <c r="K1834">
        <v>325660</v>
      </c>
      <c r="L1834">
        <v>281472</v>
      </c>
      <c r="M1834" t="str">
        <f t="shared" si="169"/>
        <v>Medium</v>
      </c>
      <c r="N1834">
        <f>VLOOKUP(C1834,Lookup!$A$2:$D$5,MATCH(M1834,Lookup!$A$1:$D$1,0),FALSE)</f>
        <v>0.08</v>
      </c>
      <c r="O1834">
        <f t="shared" si="170"/>
        <v>22517.760000000002</v>
      </c>
      <c r="P1834" s="7">
        <f t="shared" si="171"/>
        <v>0.90313348438249641</v>
      </c>
      <c r="Q1834" s="7">
        <f t="shared" si="172"/>
        <v>4939.5753424657532</v>
      </c>
      <c r="R1834">
        <f t="shared" si="173"/>
        <v>1.9500607520463846</v>
      </c>
    </row>
    <row r="1835" spans="1:18" x14ac:dyDescent="0.25">
      <c r="A1835" t="s">
        <v>1049</v>
      </c>
      <c r="B1835" t="s">
        <v>1050</v>
      </c>
      <c r="C1835" t="s">
        <v>17</v>
      </c>
      <c r="D1835">
        <v>13027</v>
      </c>
      <c r="E1835" s="1">
        <v>43738</v>
      </c>
      <c r="F1835" s="2">
        <f t="shared" si="168"/>
        <v>2019</v>
      </c>
      <c r="G1835">
        <v>41</v>
      </c>
      <c r="H1835" s="3">
        <v>210508</v>
      </c>
      <c r="I1835">
        <v>2943</v>
      </c>
      <c r="J1835">
        <v>210508</v>
      </c>
      <c r="K1835">
        <v>192181</v>
      </c>
      <c r="L1835">
        <v>149554</v>
      </c>
      <c r="M1835" t="str">
        <f t="shared" si="169"/>
        <v>Medium</v>
      </c>
      <c r="N1835">
        <f>VLOOKUP(C1835,Lookup!$A$2:$D$5,MATCH(M1835,Lookup!$A$1:$D$1,0),FALSE)</f>
        <v>8.5000000000000006E-2</v>
      </c>
      <c r="O1835">
        <f t="shared" si="170"/>
        <v>12712.09</v>
      </c>
      <c r="P1835" s="7">
        <f t="shared" si="171"/>
        <v>0.91293917570828664</v>
      </c>
      <c r="Q1835" s="7">
        <f t="shared" si="172"/>
        <v>5134.3414634146338</v>
      </c>
      <c r="R1835">
        <f t="shared" si="173"/>
        <v>0.23151189143563333</v>
      </c>
    </row>
    <row r="1836" spans="1:18" x14ac:dyDescent="0.25">
      <c r="A1836" t="s">
        <v>1049</v>
      </c>
      <c r="B1836" t="s">
        <v>1050</v>
      </c>
      <c r="C1836" t="s">
        <v>17</v>
      </c>
      <c r="D1836">
        <v>13027</v>
      </c>
      <c r="E1836" s="1">
        <v>44104</v>
      </c>
      <c r="F1836" s="2">
        <f t="shared" si="168"/>
        <v>2020</v>
      </c>
      <c r="G1836">
        <v>43</v>
      </c>
      <c r="H1836" s="3">
        <v>231184</v>
      </c>
      <c r="I1836">
        <v>2594</v>
      </c>
      <c r="J1836">
        <v>231184</v>
      </c>
      <c r="K1836">
        <v>210812</v>
      </c>
      <c r="L1836">
        <v>163481</v>
      </c>
      <c r="M1836" t="str">
        <f t="shared" si="169"/>
        <v>Medium</v>
      </c>
      <c r="N1836">
        <f>VLOOKUP(C1836,Lookup!$A$2:$D$5,MATCH(M1836,Lookup!$A$1:$D$1,0),FALSE)</f>
        <v>8.5000000000000006E-2</v>
      </c>
      <c r="O1836">
        <f t="shared" si="170"/>
        <v>13895.885</v>
      </c>
      <c r="P1836" s="7">
        <f t="shared" si="171"/>
        <v>0.91187971485915975</v>
      </c>
      <c r="Q1836" s="7">
        <f t="shared" si="172"/>
        <v>5376.3720930232557</v>
      </c>
      <c r="R1836">
        <f t="shared" si="173"/>
        <v>0.18667396858854257</v>
      </c>
    </row>
    <row r="1837" spans="1:18" x14ac:dyDescent="0.25">
      <c r="A1837" t="s">
        <v>1049</v>
      </c>
      <c r="B1837" t="s">
        <v>1050</v>
      </c>
      <c r="C1837" t="s">
        <v>17</v>
      </c>
      <c r="D1837">
        <v>13027</v>
      </c>
      <c r="E1837" s="1">
        <v>44469</v>
      </c>
      <c r="F1837" s="2">
        <f t="shared" si="168"/>
        <v>2021</v>
      </c>
      <c r="G1837">
        <v>47</v>
      </c>
      <c r="H1837" s="3">
        <v>217311</v>
      </c>
      <c r="I1837">
        <v>6568</v>
      </c>
      <c r="J1837">
        <v>217311</v>
      </c>
      <c r="K1837">
        <v>195080</v>
      </c>
      <c r="L1837">
        <v>167185</v>
      </c>
      <c r="M1837" t="str">
        <f t="shared" si="169"/>
        <v>Medium</v>
      </c>
      <c r="N1837">
        <f>VLOOKUP(C1837,Lookup!$A$2:$D$5,MATCH(M1837,Lookup!$A$1:$D$1,0),FALSE)</f>
        <v>8.5000000000000006E-2</v>
      </c>
      <c r="O1837">
        <f t="shared" si="170"/>
        <v>14210.725</v>
      </c>
      <c r="P1837" s="7">
        <f t="shared" si="171"/>
        <v>0.89769961023602118</v>
      </c>
      <c r="Q1837" s="7">
        <f t="shared" si="172"/>
        <v>4623.6382978723404</v>
      </c>
      <c r="R1837">
        <f t="shared" si="173"/>
        <v>0.46218613054576735</v>
      </c>
    </row>
    <row r="1838" spans="1:18" x14ac:dyDescent="0.25">
      <c r="A1838" t="s">
        <v>1051</v>
      </c>
      <c r="B1838" t="s">
        <v>513</v>
      </c>
      <c r="C1838" t="s">
        <v>8</v>
      </c>
      <c r="D1838">
        <v>62565</v>
      </c>
      <c r="E1838" s="1">
        <v>43738</v>
      </c>
      <c r="F1838" s="2">
        <f t="shared" si="168"/>
        <v>2019</v>
      </c>
      <c r="G1838">
        <v>52</v>
      </c>
      <c r="H1838" s="3">
        <v>257423</v>
      </c>
      <c r="I1838">
        <v>15744</v>
      </c>
      <c r="J1838">
        <v>257423</v>
      </c>
      <c r="K1838">
        <v>231810</v>
      </c>
      <c r="L1838">
        <v>216274</v>
      </c>
      <c r="M1838" t="str">
        <f t="shared" si="169"/>
        <v>Medium</v>
      </c>
      <c r="N1838">
        <f>VLOOKUP(C1838,Lookup!$A$2:$D$5,MATCH(M1838,Lookup!$A$1:$D$1,0),FALSE)</f>
        <v>0.08</v>
      </c>
      <c r="O1838">
        <f t="shared" si="170"/>
        <v>17301.920000000002</v>
      </c>
      <c r="P1838" s="7">
        <f t="shared" si="171"/>
        <v>0.90050228612050986</v>
      </c>
      <c r="Q1838" s="7">
        <f t="shared" si="172"/>
        <v>4950.4423076923076</v>
      </c>
      <c r="R1838">
        <f t="shared" si="173"/>
        <v>0.90995681404144735</v>
      </c>
    </row>
    <row r="1839" spans="1:18" x14ac:dyDescent="0.25">
      <c r="A1839" t="s">
        <v>1051</v>
      </c>
      <c r="B1839" t="s">
        <v>513</v>
      </c>
      <c r="C1839" t="s">
        <v>8</v>
      </c>
      <c r="D1839">
        <v>62565</v>
      </c>
      <c r="E1839" s="1">
        <v>44104</v>
      </c>
      <c r="F1839" s="2">
        <f t="shared" si="168"/>
        <v>2020</v>
      </c>
      <c r="G1839">
        <v>52</v>
      </c>
      <c r="H1839" s="3">
        <v>270231</v>
      </c>
      <c r="I1839">
        <v>4632</v>
      </c>
      <c r="J1839">
        <v>270231</v>
      </c>
      <c r="K1839">
        <v>242646</v>
      </c>
      <c r="L1839">
        <v>228103</v>
      </c>
      <c r="M1839" t="str">
        <f t="shared" si="169"/>
        <v>Medium</v>
      </c>
      <c r="N1839">
        <f>VLOOKUP(C1839,Lookup!$A$2:$D$5,MATCH(M1839,Lookup!$A$1:$D$1,0),FALSE)</f>
        <v>0.08</v>
      </c>
      <c r="O1839">
        <f t="shared" si="170"/>
        <v>18248.240000000002</v>
      </c>
      <c r="P1839" s="7">
        <f t="shared" si="171"/>
        <v>0.89792066787304192</v>
      </c>
      <c r="Q1839" s="7">
        <f t="shared" si="172"/>
        <v>5196.75</v>
      </c>
      <c r="R1839">
        <f t="shared" si="173"/>
        <v>0.25383269838625533</v>
      </c>
    </row>
    <row r="1840" spans="1:18" x14ac:dyDescent="0.25">
      <c r="A1840" t="s">
        <v>1051</v>
      </c>
      <c r="B1840" t="s">
        <v>513</v>
      </c>
      <c r="C1840" t="s">
        <v>8</v>
      </c>
      <c r="D1840">
        <v>62565</v>
      </c>
      <c r="E1840" s="1">
        <v>44469</v>
      </c>
      <c r="F1840" s="2">
        <f t="shared" si="168"/>
        <v>2021</v>
      </c>
      <c r="G1840">
        <v>54</v>
      </c>
      <c r="H1840" s="3">
        <v>287903</v>
      </c>
      <c r="I1840">
        <v>10484</v>
      </c>
      <c r="J1840">
        <v>287903</v>
      </c>
      <c r="K1840">
        <v>260156</v>
      </c>
      <c r="L1840">
        <v>257624</v>
      </c>
      <c r="M1840" t="str">
        <f t="shared" si="169"/>
        <v>Medium</v>
      </c>
      <c r="N1840">
        <f>VLOOKUP(C1840,Lookup!$A$2:$D$5,MATCH(M1840,Lookup!$A$1:$D$1,0),FALSE)</f>
        <v>0.08</v>
      </c>
      <c r="O1840">
        <f t="shared" si="170"/>
        <v>20609.920000000002</v>
      </c>
      <c r="P1840" s="7">
        <f t="shared" si="171"/>
        <v>0.90362378995703418</v>
      </c>
      <c r="Q1840" s="7">
        <f t="shared" si="172"/>
        <v>5331.5370370370374</v>
      </c>
      <c r="R1840">
        <f t="shared" si="173"/>
        <v>0.50868707884358599</v>
      </c>
    </row>
    <row r="1841" spans="1:18" x14ac:dyDescent="0.25">
      <c r="A1841" t="s">
        <v>1052</v>
      </c>
      <c r="B1841" t="s">
        <v>16</v>
      </c>
      <c r="C1841" t="s">
        <v>17</v>
      </c>
      <c r="D1841">
        <v>10001</v>
      </c>
      <c r="E1841" s="1">
        <v>43738</v>
      </c>
      <c r="F1841" s="2">
        <f t="shared" si="168"/>
        <v>2019</v>
      </c>
      <c r="G1841">
        <v>285</v>
      </c>
      <c r="H1841" s="3">
        <v>1581500</v>
      </c>
      <c r="I1841">
        <v>126322</v>
      </c>
      <c r="J1841">
        <v>1581500</v>
      </c>
      <c r="K1841">
        <v>1366927</v>
      </c>
      <c r="L1841">
        <v>1353617</v>
      </c>
      <c r="M1841" t="str">
        <f t="shared" si="169"/>
        <v>Large</v>
      </c>
      <c r="N1841">
        <f>VLOOKUP(C1841,Lookup!$A$2:$D$5,MATCH(M1841,Lookup!$A$1:$D$1,0),FALSE)</f>
        <v>0.08</v>
      </c>
      <c r="O1841">
        <f t="shared" si="170"/>
        <v>108289.36</v>
      </c>
      <c r="P1841" s="7">
        <f t="shared" si="171"/>
        <v>0.86432311097059755</v>
      </c>
      <c r="Q1841" s="7">
        <f t="shared" si="172"/>
        <v>5549.1228070175439</v>
      </c>
      <c r="R1841">
        <f t="shared" si="173"/>
        <v>1.1665227313191249</v>
      </c>
    </row>
    <row r="1842" spans="1:18" x14ac:dyDescent="0.25">
      <c r="A1842" t="s">
        <v>1052</v>
      </c>
      <c r="B1842" t="s">
        <v>16</v>
      </c>
      <c r="C1842" t="s">
        <v>17</v>
      </c>
      <c r="D1842">
        <v>10016</v>
      </c>
      <c r="E1842" s="1">
        <v>44104</v>
      </c>
      <c r="F1842" s="2">
        <f t="shared" si="168"/>
        <v>2020</v>
      </c>
      <c r="G1842">
        <v>244</v>
      </c>
      <c r="H1842" s="3">
        <v>1820875</v>
      </c>
      <c r="I1842">
        <v>196031</v>
      </c>
      <c r="J1842">
        <v>1820875</v>
      </c>
      <c r="K1842">
        <v>1605371</v>
      </c>
      <c r="L1842">
        <v>1533649</v>
      </c>
      <c r="M1842" t="str">
        <f t="shared" si="169"/>
        <v>Large</v>
      </c>
      <c r="N1842">
        <f>VLOOKUP(C1842,Lookup!$A$2:$D$5,MATCH(M1842,Lookup!$A$1:$D$1,0),FALSE)</f>
        <v>0.08</v>
      </c>
      <c r="O1842">
        <f t="shared" si="170"/>
        <v>122691.92</v>
      </c>
      <c r="P1842" s="7">
        <f t="shared" si="171"/>
        <v>0.88164810873893051</v>
      </c>
      <c r="Q1842" s="7">
        <f t="shared" si="172"/>
        <v>7462.6024590163934</v>
      </c>
      <c r="R1842">
        <f t="shared" si="173"/>
        <v>1.5977498762754712</v>
      </c>
    </row>
    <row r="1843" spans="1:18" x14ac:dyDescent="0.25">
      <c r="A1843" t="s">
        <v>1052</v>
      </c>
      <c r="B1843" t="s">
        <v>16</v>
      </c>
      <c r="C1843" t="s">
        <v>17</v>
      </c>
      <c r="D1843">
        <v>10016</v>
      </c>
      <c r="E1843" s="1">
        <v>44469</v>
      </c>
      <c r="F1843" s="2">
        <f t="shared" si="168"/>
        <v>2021</v>
      </c>
      <c r="G1843">
        <v>237</v>
      </c>
      <c r="H1843" s="3">
        <v>1885300</v>
      </c>
      <c r="I1843">
        <v>217175</v>
      </c>
      <c r="J1843">
        <v>1885300</v>
      </c>
      <c r="K1843">
        <v>1666330</v>
      </c>
      <c r="L1843">
        <v>1651149</v>
      </c>
      <c r="M1843" t="str">
        <f t="shared" si="169"/>
        <v>Large</v>
      </c>
      <c r="N1843">
        <f>VLOOKUP(C1843,Lookup!$A$2:$D$5,MATCH(M1843,Lookup!$A$1:$D$1,0),FALSE)</f>
        <v>0.08</v>
      </c>
      <c r="O1843">
        <f t="shared" si="170"/>
        <v>132091.92000000001</v>
      </c>
      <c r="P1843" s="7">
        <f t="shared" si="171"/>
        <v>0.88385402853657247</v>
      </c>
      <c r="Q1843" s="7">
        <f t="shared" si="172"/>
        <v>7954.8523206751051</v>
      </c>
      <c r="R1843">
        <f t="shared" si="173"/>
        <v>1.6441202459620541</v>
      </c>
    </row>
    <row r="1844" spans="1:18" x14ac:dyDescent="0.25">
      <c r="A1844" t="s">
        <v>1053</v>
      </c>
      <c r="B1844" t="s">
        <v>16</v>
      </c>
      <c r="C1844" t="s">
        <v>17</v>
      </c>
      <c r="D1844">
        <v>10017</v>
      </c>
      <c r="E1844" s="1">
        <v>43738</v>
      </c>
      <c r="F1844" s="2">
        <f t="shared" si="168"/>
        <v>2019</v>
      </c>
      <c r="G1844">
        <v>1495</v>
      </c>
      <c r="H1844" s="3">
        <v>49424934</v>
      </c>
      <c r="I1844">
        <v>991936</v>
      </c>
      <c r="J1844">
        <v>49424935</v>
      </c>
      <c r="K1844">
        <v>44683077</v>
      </c>
      <c r="L1844">
        <v>39060980</v>
      </c>
      <c r="M1844" t="str">
        <f t="shared" si="169"/>
        <v>Large</v>
      </c>
      <c r="N1844">
        <f>VLOOKUP(C1844,Lookup!$A$2:$D$5,MATCH(M1844,Lookup!$A$1:$D$1,0),FALSE)</f>
        <v>0.08</v>
      </c>
      <c r="O1844">
        <f t="shared" si="170"/>
        <v>3124878.4</v>
      </c>
      <c r="P1844" s="7">
        <f t="shared" si="171"/>
        <v>0.90405941664990386</v>
      </c>
      <c r="Q1844" s="7">
        <f t="shared" si="172"/>
        <v>33060.156521739133</v>
      </c>
      <c r="R1844">
        <f t="shared" si="173"/>
        <v>0.31743187190899974</v>
      </c>
    </row>
    <row r="1845" spans="1:18" x14ac:dyDescent="0.25">
      <c r="A1845" t="s">
        <v>1053</v>
      </c>
      <c r="B1845" t="s">
        <v>1054</v>
      </c>
      <c r="C1845" t="s">
        <v>8</v>
      </c>
      <c r="D1845">
        <v>60018</v>
      </c>
      <c r="E1845" s="1">
        <v>43738</v>
      </c>
      <c r="F1845" s="2">
        <f t="shared" si="168"/>
        <v>2019</v>
      </c>
      <c r="G1845">
        <v>81</v>
      </c>
      <c r="H1845" s="3">
        <v>891205</v>
      </c>
      <c r="I1845">
        <v>129037</v>
      </c>
      <c r="J1845">
        <v>891205</v>
      </c>
      <c r="K1845">
        <v>798084</v>
      </c>
      <c r="L1845">
        <v>786945</v>
      </c>
      <c r="M1845" t="str">
        <f t="shared" si="169"/>
        <v>Medium</v>
      </c>
      <c r="N1845">
        <f>VLOOKUP(C1845,Lookup!$A$2:$D$5,MATCH(M1845,Lookup!$A$1:$D$1,0),FALSE)</f>
        <v>0.08</v>
      </c>
      <c r="O1845">
        <f t="shared" si="170"/>
        <v>62955.6</v>
      </c>
      <c r="P1845" s="7">
        <f t="shared" si="171"/>
        <v>0.89551113380198721</v>
      </c>
      <c r="Q1845" s="7">
        <f t="shared" si="172"/>
        <v>11002.530864197532</v>
      </c>
      <c r="R1845">
        <f t="shared" si="173"/>
        <v>2.0496508650541019</v>
      </c>
    </row>
    <row r="1846" spans="1:18" x14ac:dyDescent="0.25">
      <c r="A1846" t="s">
        <v>1053</v>
      </c>
      <c r="B1846" t="s">
        <v>16</v>
      </c>
      <c r="C1846" t="s">
        <v>17</v>
      </c>
      <c r="D1846">
        <v>10017</v>
      </c>
      <c r="E1846" s="1">
        <v>44104</v>
      </c>
      <c r="F1846" s="2">
        <f t="shared" si="168"/>
        <v>2020</v>
      </c>
      <c r="G1846">
        <v>1619</v>
      </c>
      <c r="H1846" s="3">
        <v>63760313</v>
      </c>
      <c r="I1846">
        <v>6509063</v>
      </c>
      <c r="J1846">
        <v>63760313</v>
      </c>
      <c r="K1846">
        <v>58777115</v>
      </c>
      <c r="L1846">
        <v>54346906</v>
      </c>
      <c r="M1846" t="str">
        <f t="shared" si="169"/>
        <v>Large</v>
      </c>
      <c r="N1846">
        <f>VLOOKUP(C1846,Lookup!$A$2:$D$5,MATCH(M1846,Lookup!$A$1:$D$1,0),FALSE)</f>
        <v>0.08</v>
      </c>
      <c r="O1846">
        <f t="shared" si="170"/>
        <v>4347752.4800000004</v>
      </c>
      <c r="P1846" s="7">
        <f t="shared" si="171"/>
        <v>0.92184483159610586</v>
      </c>
      <c r="Q1846" s="7">
        <f t="shared" si="172"/>
        <v>39382.528103767756</v>
      </c>
      <c r="R1846">
        <f t="shared" si="173"/>
        <v>1.4971098354706704</v>
      </c>
    </row>
    <row r="1847" spans="1:18" x14ac:dyDescent="0.25">
      <c r="A1847" t="s">
        <v>1053</v>
      </c>
      <c r="B1847" t="s">
        <v>1054</v>
      </c>
      <c r="C1847" t="s">
        <v>8</v>
      </c>
      <c r="D1847">
        <v>60018</v>
      </c>
      <c r="E1847" s="1">
        <v>44104</v>
      </c>
      <c r="F1847" s="2">
        <f t="shared" si="168"/>
        <v>2020</v>
      </c>
      <c r="G1847">
        <v>82</v>
      </c>
      <c r="H1847" s="3">
        <v>1204763</v>
      </c>
      <c r="I1847">
        <v>156185</v>
      </c>
      <c r="J1847">
        <v>1204764</v>
      </c>
      <c r="K1847">
        <v>1094446</v>
      </c>
      <c r="L1847">
        <v>1077842</v>
      </c>
      <c r="M1847" t="str">
        <f t="shared" si="169"/>
        <v>Large</v>
      </c>
      <c r="N1847">
        <f>VLOOKUP(C1847,Lookup!$A$2:$D$5,MATCH(M1847,Lookup!$A$1:$D$1,0),FALSE)</f>
        <v>7.4999999999999997E-2</v>
      </c>
      <c r="O1847">
        <f t="shared" si="170"/>
        <v>80838.149999999994</v>
      </c>
      <c r="P1847" s="7">
        <f t="shared" si="171"/>
        <v>0.908432612887348</v>
      </c>
      <c r="Q1847" s="7">
        <f t="shared" si="172"/>
        <v>14692.231707317073</v>
      </c>
      <c r="R1847">
        <f t="shared" si="173"/>
        <v>1.9320704395140167</v>
      </c>
    </row>
    <row r="1848" spans="1:18" x14ac:dyDescent="0.25">
      <c r="A1848" t="s">
        <v>1053</v>
      </c>
      <c r="B1848" t="s">
        <v>16</v>
      </c>
      <c r="C1848" t="s">
        <v>17</v>
      </c>
      <c r="D1848">
        <v>10017</v>
      </c>
      <c r="E1848" s="1">
        <v>44469</v>
      </c>
      <c r="F1848" s="2">
        <f t="shared" si="168"/>
        <v>2021</v>
      </c>
      <c r="G1848">
        <v>1847</v>
      </c>
      <c r="H1848" s="3">
        <v>107850739</v>
      </c>
      <c r="I1848">
        <v>28960213</v>
      </c>
      <c r="J1848">
        <v>107850739</v>
      </c>
      <c r="K1848">
        <v>100171600</v>
      </c>
      <c r="L1848">
        <v>95586660</v>
      </c>
      <c r="M1848" t="str">
        <f t="shared" si="169"/>
        <v>Large</v>
      </c>
      <c r="N1848">
        <f>VLOOKUP(C1848,Lookup!$A$2:$D$5,MATCH(M1848,Lookup!$A$1:$D$1,0),FALSE)</f>
        <v>0.08</v>
      </c>
      <c r="O1848">
        <f t="shared" si="170"/>
        <v>7646932.7999999998</v>
      </c>
      <c r="P1848" s="7">
        <f t="shared" si="171"/>
        <v>0.92879845728270805</v>
      </c>
      <c r="Q1848" s="7">
        <f t="shared" si="172"/>
        <v>58392.387114239304</v>
      </c>
      <c r="R1848">
        <f t="shared" si="173"/>
        <v>3.7871671894383589</v>
      </c>
    </row>
    <row r="1849" spans="1:18" x14ac:dyDescent="0.25">
      <c r="A1849" t="s">
        <v>1053</v>
      </c>
      <c r="B1849" t="s">
        <v>1054</v>
      </c>
      <c r="C1849" t="s">
        <v>8</v>
      </c>
      <c r="D1849">
        <v>60018</v>
      </c>
      <c r="E1849" s="1">
        <v>44469</v>
      </c>
      <c r="F1849" s="2">
        <f t="shared" si="168"/>
        <v>2021</v>
      </c>
      <c r="G1849">
        <v>81</v>
      </c>
      <c r="H1849" s="3">
        <v>1501249</v>
      </c>
      <c r="I1849">
        <v>368956</v>
      </c>
      <c r="J1849">
        <v>1501249</v>
      </c>
      <c r="K1849">
        <v>1373171</v>
      </c>
      <c r="L1849">
        <v>1357444</v>
      </c>
      <c r="M1849" t="str">
        <f t="shared" si="169"/>
        <v>Large</v>
      </c>
      <c r="N1849">
        <f>VLOOKUP(C1849,Lookup!$A$2:$D$5,MATCH(M1849,Lookup!$A$1:$D$1,0),FALSE)</f>
        <v>7.4999999999999997E-2</v>
      </c>
      <c r="O1849">
        <f t="shared" si="170"/>
        <v>101808.3</v>
      </c>
      <c r="P1849" s="7">
        <f t="shared" si="171"/>
        <v>0.91468570503627311</v>
      </c>
      <c r="Q1849" s="7">
        <f t="shared" si="172"/>
        <v>18533.938271604937</v>
      </c>
      <c r="R1849">
        <f t="shared" si="173"/>
        <v>3.6240267247365883</v>
      </c>
    </row>
    <row r="1850" spans="1:18" x14ac:dyDescent="0.25">
      <c r="A1850" t="s">
        <v>1055</v>
      </c>
      <c r="B1850" t="s">
        <v>1056</v>
      </c>
      <c r="C1850" t="s">
        <v>5</v>
      </c>
      <c r="D1850">
        <v>95054</v>
      </c>
      <c r="E1850" s="1">
        <v>43738</v>
      </c>
      <c r="F1850" s="2">
        <f t="shared" si="168"/>
        <v>2019</v>
      </c>
      <c r="G1850">
        <v>3068</v>
      </c>
      <c r="H1850" s="3">
        <v>67059614</v>
      </c>
      <c r="I1850">
        <v>6319589</v>
      </c>
      <c r="J1850">
        <v>67059614</v>
      </c>
      <c r="K1850">
        <v>62140847</v>
      </c>
      <c r="L1850">
        <v>60432256</v>
      </c>
      <c r="M1850" t="str">
        <f t="shared" si="169"/>
        <v>Large</v>
      </c>
      <c r="N1850">
        <f>VLOOKUP(C1850,Lookup!$A$2:$D$5,MATCH(M1850,Lookup!$A$1:$D$1,0),FALSE)</f>
        <v>0.08</v>
      </c>
      <c r="O1850">
        <f t="shared" si="170"/>
        <v>4834580.4800000004</v>
      </c>
      <c r="P1850" s="7">
        <f t="shared" si="171"/>
        <v>0.92665083040889562</v>
      </c>
      <c r="Q1850" s="7">
        <f t="shared" si="172"/>
        <v>21857.762059973924</v>
      </c>
      <c r="R1850">
        <f t="shared" si="173"/>
        <v>1.3071638844659381</v>
      </c>
    </row>
    <row r="1851" spans="1:18" x14ac:dyDescent="0.25">
      <c r="A1851" t="s">
        <v>1055</v>
      </c>
      <c r="B1851" t="s">
        <v>1056</v>
      </c>
      <c r="C1851" t="s">
        <v>5</v>
      </c>
      <c r="D1851">
        <v>95054</v>
      </c>
      <c r="E1851" s="1">
        <v>44104</v>
      </c>
      <c r="F1851" s="2">
        <f t="shared" si="168"/>
        <v>2020</v>
      </c>
      <c r="G1851">
        <v>3693</v>
      </c>
      <c r="H1851" s="3">
        <v>95182370</v>
      </c>
      <c r="I1851">
        <v>14920167</v>
      </c>
      <c r="J1851">
        <v>95182370</v>
      </c>
      <c r="K1851">
        <v>89078008</v>
      </c>
      <c r="L1851">
        <v>86264581</v>
      </c>
      <c r="M1851" t="str">
        <f t="shared" si="169"/>
        <v>Large</v>
      </c>
      <c r="N1851">
        <f>VLOOKUP(C1851,Lookup!$A$2:$D$5,MATCH(M1851,Lookup!$A$1:$D$1,0),FALSE)</f>
        <v>0.08</v>
      </c>
      <c r="O1851">
        <f t="shared" si="170"/>
        <v>6901166.4800000004</v>
      </c>
      <c r="P1851" s="7">
        <f t="shared" si="171"/>
        <v>0.93586667362874032</v>
      </c>
      <c r="Q1851" s="7">
        <f t="shared" si="172"/>
        <v>25773.725968047656</v>
      </c>
      <c r="R1851">
        <f t="shared" si="173"/>
        <v>2.1619775502068457</v>
      </c>
    </row>
    <row r="1852" spans="1:18" x14ac:dyDescent="0.25">
      <c r="A1852" t="s">
        <v>1055</v>
      </c>
      <c r="B1852" t="s">
        <v>1056</v>
      </c>
      <c r="C1852" t="s">
        <v>5</v>
      </c>
      <c r="D1852">
        <v>95054</v>
      </c>
      <c r="E1852" s="1">
        <v>44469</v>
      </c>
      <c r="F1852" s="2">
        <f t="shared" si="168"/>
        <v>2021</v>
      </c>
      <c r="G1852">
        <v>5554</v>
      </c>
      <c r="H1852" s="3">
        <v>188327020</v>
      </c>
      <c r="I1852">
        <v>17975157</v>
      </c>
      <c r="J1852">
        <v>188327020</v>
      </c>
      <c r="K1852">
        <v>174926861</v>
      </c>
      <c r="L1852">
        <v>172286882</v>
      </c>
      <c r="M1852" t="str">
        <f t="shared" si="169"/>
        <v>Large</v>
      </c>
      <c r="N1852">
        <f>VLOOKUP(C1852,Lookup!$A$2:$D$5,MATCH(M1852,Lookup!$A$1:$D$1,0),FALSE)</f>
        <v>0.08</v>
      </c>
      <c r="O1852">
        <f t="shared" si="170"/>
        <v>13782950.560000001</v>
      </c>
      <c r="P1852" s="7">
        <f t="shared" si="171"/>
        <v>0.92884632805212974</v>
      </c>
      <c r="Q1852" s="7">
        <f t="shared" si="172"/>
        <v>33908.357940223264</v>
      </c>
      <c r="R1852">
        <f t="shared" si="173"/>
        <v>1.3041588534871738</v>
      </c>
    </row>
    <row r="1853" spans="1:18" x14ac:dyDescent="0.25">
      <c r="A1853" t="s">
        <v>1057</v>
      </c>
      <c r="B1853" t="s">
        <v>234</v>
      </c>
      <c r="C1853" t="s">
        <v>5</v>
      </c>
      <c r="D1853">
        <v>92037</v>
      </c>
      <c r="E1853" s="1">
        <v>43738</v>
      </c>
      <c r="F1853" s="2">
        <f t="shared" si="168"/>
        <v>2019</v>
      </c>
      <c r="G1853">
        <v>207</v>
      </c>
      <c r="H1853" s="3">
        <v>2133337</v>
      </c>
      <c r="I1853">
        <v>159818</v>
      </c>
      <c r="J1853">
        <v>2133337</v>
      </c>
      <c r="K1853">
        <v>1896386</v>
      </c>
      <c r="L1853">
        <v>1859087</v>
      </c>
      <c r="M1853" t="str">
        <f t="shared" si="169"/>
        <v>Large</v>
      </c>
      <c r="N1853">
        <f>VLOOKUP(C1853,Lookup!$A$2:$D$5,MATCH(M1853,Lookup!$A$1:$D$1,0),FALSE)</f>
        <v>0.08</v>
      </c>
      <c r="O1853">
        <f t="shared" si="170"/>
        <v>148726.96</v>
      </c>
      <c r="P1853" s="7">
        <f t="shared" si="171"/>
        <v>0.88892940965257716</v>
      </c>
      <c r="Q1853" s="7">
        <f t="shared" si="172"/>
        <v>10305.975845410629</v>
      </c>
      <c r="R1853">
        <f t="shared" si="173"/>
        <v>1.0745731641391716</v>
      </c>
    </row>
    <row r="1854" spans="1:18" x14ac:dyDescent="0.25">
      <c r="A1854" t="s">
        <v>1057</v>
      </c>
      <c r="B1854" t="s">
        <v>234</v>
      </c>
      <c r="C1854" t="s">
        <v>5</v>
      </c>
      <c r="D1854">
        <v>92037</v>
      </c>
      <c r="E1854" s="1">
        <v>44104</v>
      </c>
      <c r="F1854" s="2">
        <f t="shared" si="168"/>
        <v>2020</v>
      </c>
      <c r="G1854">
        <v>215</v>
      </c>
      <c r="H1854" s="3">
        <v>2620425</v>
      </c>
      <c r="I1854">
        <v>197473</v>
      </c>
      <c r="J1854">
        <v>2620425</v>
      </c>
      <c r="K1854">
        <v>2333693</v>
      </c>
      <c r="L1854">
        <v>2293714</v>
      </c>
      <c r="M1854" t="str">
        <f t="shared" si="169"/>
        <v>Large</v>
      </c>
      <c r="N1854">
        <f>VLOOKUP(C1854,Lookup!$A$2:$D$5,MATCH(M1854,Lookup!$A$1:$D$1,0),FALSE)</f>
        <v>0.08</v>
      </c>
      <c r="O1854">
        <f t="shared" si="170"/>
        <v>183497.12</v>
      </c>
      <c r="P1854" s="7">
        <f t="shared" si="171"/>
        <v>0.89057805508648402</v>
      </c>
      <c r="Q1854" s="7">
        <f t="shared" si="172"/>
        <v>12188.023255813954</v>
      </c>
      <c r="R1854">
        <f t="shared" si="173"/>
        <v>1.0761640291684142</v>
      </c>
    </row>
    <row r="1855" spans="1:18" x14ac:dyDescent="0.25">
      <c r="A1855" t="s">
        <v>1057</v>
      </c>
      <c r="B1855" t="s">
        <v>234</v>
      </c>
      <c r="C1855" t="s">
        <v>5</v>
      </c>
      <c r="D1855">
        <v>92037</v>
      </c>
      <c r="E1855" s="1">
        <v>44469</v>
      </c>
      <c r="F1855" s="2">
        <f t="shared" si="168"/>
        <v>2021</v>
      </c>
      <c r="G1855">
        <v>245</v>
      </c>
      <c r="H1855" s="3">
        <v>12775983</v>
      </c>
      <c r="I1855">
        <v>3784488</v>
      </c>
      <c r="J1855">
        <v>12775983</v>
      </c>
      <c r="K1855">
        <v>11747362</v>
      </c>
      <c r="L1855">
        <v>11721885</v>
      </c>
      <c r="M1855" t="str">
        <f t="shared" si="169"/>
        <v>Large</v>
      </c>
      <c r="N1855">
        <f>VLOOKUP(C1855,Lookup!$A$2:$D$5,MATCH(M1855,Lookup!$A$1:$D$1,0),FALSE)</f>
        <v>0.08</v>
      </c>
      <c r="O1855">
        <f t="shared" si="170"/>
        <v>937750.8</v>
      </c>
      <c r="P1855" s="7">
        <f t="shared" si="171"/>
        <v>0.9194879172898085</v>
      </c>
      <c r="Q1855" s="7">
        <f t="shared" si="172"/>
        <v>52146.869387755105</v>
      </c>
      <c r="R1855">
        <f t="shared" si="173"/>
        <v>4.0357075675115395</v>
      </c>
    </row>
    <row r="1856" spans="1:18" x14ac:dyDescent="0.25">
      <c r="A1856" t="s">
        <v>1377</v>
      </c>
      <c r="B1856" t="s">
        <v>608</v>
      </c>
      <c r="C1856" t="s">
        <v>8</v>
      </c>
      <c r="D1856">
        <v>61030</v>
      </c>
      <c r="E1856" s="1">
        <v>44104</v>
      </c>
      <c r="F1856" s="2">
        <f t="shared" si="168"/>
        <v>2020</v>
      </c>
      <c r="G1856">
        <v>43</v>
      </c>
      <c r="H1856" s="3">
        <v>335645</v>
      </c>
      <c r="I1856">
        <v>5371</v>
      </c>
      <c r="J1856">
        <v>335645</v>
      </c>
      <c r="K1856">
        <v>300216</v>
      </c>
      <c r="L1856">
        <v>260030</v>
      </c>
      <c r="M1856" t="str">
        <f t="shared" si="169"/>
        <v>Medium</v>
      </c>
      <c r="N1856">
        <f>VLOOKUP(C1856,Lookup!$A$2:$D$5,MATCH(M1856,Lookup!$A$1:$D$1,0),FALSE)</f>
        <v>0.08</v>
      </c>
      <c r="O1856">
        <f t="shared" si="170"/>
        <v>20802.400000000001</v>
      </c>
      <c r="P1856" s="7">
        <f t="shared" si="171"/>
        <v>0.89444502376022283</v>
      </c>
      <c r="Q1856" s="7">
        <f t="shared" si="172"/>
        <v>7805.6976744186049</v>
      </c>
      <c r="R1856">
        <f t="shared" si="173"/>
        <v>0.25819136253509206</v>
      </c>
    </row>
    <row r="1857" spans="1:18" x14ac:dyDescent="0.25">
      <c r="A1857" t="s">
        <v>1377</v>
      </c>
      <c r="B1857" t="s">
        <v>608</v>
      </c>
      <c r="C1857" t="s">
        <v>8</v>
      </c>
      <c r="D1857">
        <v>61030</v>
      </c>
      <c r="E1857" s="1">
        <v>44469</v>
      </c>
      <c r="F1857" s="2">
        <f t="shared" si="168"/>
        <v>2021</v>
      </c>
      <c r="G1857">
        <v>43</v>
      </c>
      <c r="H1857" s="3">
        <v>319280</v>
      </c>
      <c r="I1857">
        <v>3910</v>
      </c>
      <c r="J1857">
        <v>319280</v>
      </c>
      <c r="K1857">
        <v>285095</v>
      </c>
      <c r="L1857">
        <v>284987</v>
      </c>
      <c r="M1857" t="str">
        <f t="shared" si="169"/>
        <v>Medium</v>
      </c>
      <c r="N1857">
        <f>VLOOKUP(C1857,Lookup!$A$2:$D$5,MATCH(M1857,Lookup!$A$1:$D$1,0),FALSE)</f>
        <v>0.08</v>
      </c>
      <c r="O1857">
        <f t="shared" si="170"/>
        <v>22798.959999999999</v>
      </c>
      <c r="P1857" s="7">
        <f t="shared" si="171"/>
        <v>0.89293096968178398</v>
      </c>
      <c r="Q1857" s="7">
        <f t="shared" si="172"/>
        <v>7425.1162790697672</v>
      </c>
      <c r="R1857">
        <f t="shared" si="173"/>
        <v>0.17149905083389769</v>
      </c>
    </row>
    <row r="1858" spans="1:18" x14ac:dyDescent="0.25">
      <c r="A1858" t="s">
        <v>1058</v>
      </c>
      <c r="B1858" t="s">
        <v>1059</v>
      </c>
      <c r="C1858" t="s">
        <v>17</v>
      </c>
      <c r="D1858">
        <v>13209</v>
      </c>
      <c r="E1858" s="1">
        <v>43738</v>
      </c>
      <c r="F1858" s="2">
        <f t="shared" ref="F1858:F1921" si="174">YEAR(E1858)</f>
        <v>2019</v>
      </c>
      <c r="G1858">
        <v>158</v>
      </c>
      <c r="H1858" s="3">
        <v>969583</v>
      </c>
      <c r="I1858">
        <v>46638</v>
      </c>
      <c r="J1858">
        <v>969583</v>
      </c>
      <c r="K1858">
        <v>879026</v>
      </c>
      <c r="L1858">
        <v>841525</v>
      </c>
      <c r="M1858" t="str">
        <f t="shared" ref="M1858:M1921" si="175">IF(H1858&gt;1000000,"Large",IF(H1858&lt;100000,"Small","Medium"))</f>
        <v>Medium</v>
      </c>
      <c r="N1858">
        <f>VLOOKUP(C1858,Lookup!$A$2:$D$5,MATCH(M1858,Lookup!$A$1:$D$1,0),FALSE)</f>
        <v>8.5000000000000006E-2</v>
      </c>
      <c r="O1858">
        <f t="shared" ref="O1858:O1921" si="176">L1858*N1858</f>
        <v>71529.625</v>
      </c>
      <c r="P1858" s="7">
        <f t="shared" ref="P1858:P1921" si="177">K1858/H1858</f>
        <v>0.90660211658001433</v>
      </c>
      <c r="Q1858" s="7">
        <f t="shared" ref="Q1858:Q1921" si="178">H1858/G1858</f>
        <v>6136.6012658227846</v>
      </c>
      <c r="R1858">
        <f t="shared" ref="R1858:R1921" si="179">I1858/O1858</f>
        <v>0.65200956946160415</v>
      </c>
    </row>
    <row r="1859" spans="1:18" x14ac:dyDescent="0.25">
      <c r="A1859" t="s">
        <v>1058</v>
      </c>
      <c r="B1859" t="s">
        <v>1059</v>
      </c>
      <c r="C1859" t="s">
        <v>17</v>
      </c>
      <c r="D1859">
        <v>13209</v>
      </c>
      <c r="E1859" s="1">
        <v>44104</v>
      </c>
      <c r="F1859" s="2">
        <f t="shared" si="174"/>
        <v>2020</v>
      </c>
      <c r="G1859">
        <v>153</v>
      </c>
      <c r="H1859" s="3">
        <v>1065997</v>
      </c>
      <c r="I1859">
        <v>97449</v>
      </c>
      <c r="J1859">
        <v>1065997</v>
      </c>
      <c r="K1859">
        <v>967862</v>
      </c>
      <c r="L1859">
        <v>923865</v>
      </c>
      <c r="M1859" t="str">
        <f t="shared" si="175"/>
        <v>Large</v>
      </c>
      <c r="N1859">
        <f>VLOOKUP(C1859,Lookup!$A$2:$D$5,MATCH(M1859,Lookup!$A$1:$D$1,0),FALSE)</f>
        <v>0.08</v>
      </c>
      <c r="O1859">
        <f t="shared" si="176"/>
        <v>73909.2</v>
      </c>
      <c r="P1859" s="7">
        <f t="shared" si="177"/>
        <v>0.90794064148398168</v>
      </c>
      <c r="Q1859" s="7">
        <f t="shared" si="178"/>
        <v>6967.3006535947716</v>
      </c>
      <c r="R1859">
        <f t="shared" si="179"/>
        <v>1.3184962088616843</v>
      </c>
    </row>
    <row r="1860" spans="1:18" x14ac:dyDescent="0.25">
      <c r="A1860" t="s">
        <v>1058</v>
      </c>
      <c r="B1860" t="s">
        <v>1059</v>
      </c>
      <c r="C1860" t="s">
        <v>17</v>
      </c>
      <c r="D1860">
        <v>13209</v>
      </c>
      <c r="E1860" s="1">
        <v>44469</v>
      </c>
      <c r="F1860" s="2">
        <f t="shared" si="174"/>
        <v>2021</v>
      </c>
      <c r="G1860">
        <v>155</v>
      </c>
      <c r="H1860" s="3">
        <v>1123635</v>
      </c>
      <c r="I1860">
        <v>45298</v>
      </c>
      <c r="J1860">
        <v>1123635</v>
      </c>
      <c r="K1860">
        <v>1023934</v>
      </c>
      <c r="L1860">
        <v>998732</v>
      </c>
      <c r="M1860" t="str">
        <f t="shared" si="175"/>
        <v>Large</v>
      </c>
      <c r="N1860">
        <f>VLOOKUP(C1860,Lookup!$A$2:$D$5,MATCH(M1860,Lookup!$A$1:$D$1,0),FALSE)</f>
        <v>0.08</v>
      </c>
      <c r="O1860">
        <f t="shared" si="176"/>
        <v>79898.559999999998</v>
      </c>
      <c r="P1860" s="7">
        <f t="shared" si="177"/>
        <v>0.91126922888660467</v>
      </c>
      <c r="Q1860" s="7">
        <f t="shared" si="178"/>
        <v>7249.2580645161288</v>
      </c>
      <c r="R1860">
        <f t="shared" si="179"/>
        <v>0.56694388484598468</v>
      </c>
    </row>
    <row r="1861" spans="1:18" x14ac:dyDescent="0.25">
      <c r="A1861" t="s">
        <v>1060</v>
      </c>
      <c r="B1861" t="s">
        <v>28</v>
      </c>
      <c r="C1861" t="s">
        <v>8</v>
      </c>
      <c r="D1861">
        <v>60607</v>
      </c>
      <c r="E1861" s="1">
        <v>43738</v>
      </c>
      <c r="F1861" s="2">
        <f t="shared" si="174"/>
        <v>2019</v>
      </c>
      <c r="G1861">
        <v>41</v>
      </c>
      <c r="H1861" s="3">
        <v>292161</v>
      </c>
      <c r="I1861">
        <v>3419</v>
      </c>
      <c r="J1861">
        <v>292161</v>
      </c>
      <c r="K1861">
        <v>266966</v>
      </c>
      <c r="L1861">
        <v>236757</v>
      </c>
      <c r="M1861" t="str">
        <f t="shared" si="175"/>
        <v>Medium</v>
      </c>
      <c r="N1861">
        <f>VLOOKUP(C1861,Lookup!$A$2:$D$5,MATCH(M1861,Lookup!$A$1:$D$1,0),FALSE)</f>
        <v>0.08</v>
      </c>
      <c r="O1861">
        <f t="shared" si="176"/>
        <v>18940.560000000001</v>
      </c>
      <c r="P1861" s="7">
        <f t="shared" si="177"/>
        <v>0.91376330174116327</v>
      </c>
      <c r="Q1861" s="7">
        <f t="shared" si="178"/>
        <v>7125.8780487804879</v>
      </c>
      <c r="R1861">
        <f t="shared" si="179"/>
        <v>0.18051208623187487</v>
      </c>
    </row>
    <row r="1862" spans="1:18" x14ac:dyDescent="0.25">
      <c r="A1862" t="s">
        <v>1061</v>
      </c>
      <c r="B1862" t="s">
        <v>171</v>
      </c>
      <c r="C1862" t="s">
        <v>8</v>
      </c>
      <c r="D1862">
        <v>62959</v>
      </c>
      <c r="E1862" s="1">
        <v>43738</v>
      </c>
      <c r="F1862" s="2">
        <f t="shared" si="174"/>
        <v>2019</v>
      </c>
      <c r="G1862">
        <v>17</v>
      </c>
      <c r="H1862" s="3">
        <v>105414</v>
      </c>
      <c r="I1862">
        <v>8255</v>
      </c>
      <c r="J1862">
        <v>105414</v>
      </c>
      <c r="K1862">
        <v>95227</v>
      </c>
      <c r="L1862">
        <v>86623</v>
      </c>
      <c r="M1862" t="str">
        <f t="shared" si="175"/>
        <v>Medium</v>
      </c>
      <c r="N1862">
        <f>VLOOKUP(C1862,Lookup!$A$2:$D$5,MATCH(M1862,Lookup!$A$1:$D$1,0),FALSE)</f>
        <v>0.08</v>
      </c>
      <c r="O1862">
        <f t="shared" si="176"/>
        <v>6929.84</v>
      </c>
      <c r="P1862" s="7">
        <f t="shared" si="177"/>
        <v>0.90336198227939368</v>
      </c>
      <c r="Q1862" s="7">
        <f t="shared" si="178"/>
        <v>6200.8235294117649</v>
      </c>
      <c r="R1862">
        <f t="shared" si="179"/>
        <v>1.1912251942324787</v>
      </c>
    </row>
    <row r="1863" spans="1:18" x14ac:dyDescent="0.25">
      <c r="A1863" t="s">
        <v>1062</v>
      </c>
      <c r="B1863" t="s">
        <v>1063</v>
      </c>
      <c r="C1863" t="s">
        <v>20</v>
      </c>
      <c r="D1863">
        <v>2190</v>
      </c>
      <c r="E1863" s="1">
        <v>43738</v>
      </c>
      <c r="F1863" s="2">
        <f t="shared" si="174"/>
        <v>2019</v>
      </c>
      <c r="G1863">
        <v>206</v>
      </c>
      <c r="H1863" s="3">
        <v>1540426</v>
      </c>
      <c r="I1863">
        <v>114284</v>
      </c>
      <c r="J1863">
        <v>1540426</v>
      </c>
      <c r="K1863">
        <v>1377679</v>
      </c>
      <c r="L1863">
        <v>1286099</v>
      </c>
      <c r="M1863" t="str">
        <f t="shared" si="175"/>
        <v>Large</v>
      </c>
      <c r="N1863">
        <f>VLOOKUP(C1863,Lookup!$A$2:$D$5,MATCH(M1863,Lookup!$A$1:$D$1,0),FALSE)</f>
        <v>0.08</v>
      </c>
      <c r="O1863">
        <f t="shared" si="176"/>
        <v>102887.92</v>
      </c>
      <c r="P1863" s="7">
        <f t="shared" si="177"/>
        <v>0.89434935530820692</v>
      </c>
      <c r="Q1863" s="7">
        <f t="shared" si="178"/>
        <v>7477.7961165048546</v>
      </c>
      <c r="R1863">
        <f t="shared" si="179"/>
        <v>1.1107620797465825</v>
      </c>
    </row>
    <row r="1864" spans="1:18" x14ac:dyDescent="0.25">
      <c r="A1864" t="s">
        <v>1062</v>
      </c>
      <c r="B1864" t="s">
        <v>1063</v>
      </c>
      <c r="C1864" t="s">
        <v>20</v>
      </c>
      <c r="D1864">
        <v>2190</v>
      </c>
      <c r="E1864" s="1">
        <v>44104</v>
      </c>
      <c r="F1864" s="2">
        <f t="shared" si="174"/>
        <v>2020</v>
      </c>
      <c r="G1864">
        <v>201</v>
      </c>
      <c r="H1864" s="3">
        <v>1847048</v>
      </c>
      <c r="I1864">
        <v>121304</v>
      </c>
      <c r="J1864">
        <v>1847048</v>
      </c>
      <c r="K1864">
        <v>1672770</v>
      </c>
      <c r="L1864">
        <v>1521176</v>
      </c>
      <c r="M1864" t="str">
        <f t="shared" si="175"/>
        <v>Large</v>
      </c>
      <c r="N1864">
        <f>VLOOKUP(C1864,Lookup!$A$2:$D$5,MATCH(M1864,Lookup!$A$1:$D$1,0),FALSE)</f>
        <v>0.08</v>
      </c>
      <c r="O1864">
        <f t="shared" si="176"/>
        <v>121694.08</v>
      </c>
      <c r="P1864" s="7">
        <f t="shared" si="177"/>
        <v>0.90564511588220775</v>
      </c>
      <c r="Q1864" s="7">
        <f t="shared" si="178"/>
        <v>9189.2935323383081</v>
      </c>
      <c r="R1864">
        <f t="shared" si="179"/>
        <v>0.99679458524194442</v>
      </c>
    </row>
    <row r="1865" spans="1:18" x14ac:dyDescent="0.25">
      <c r="A1865" t="s">
        <v>1062</v>
      </c>
      <c r="B1865" t="s">
        <v>1063</v>
      </c>
      <c r="C1865" t="s">
        <v>20</v>
      </c>
      <c r="D1865">
        <v>2190</v>
      </c>
      <c r="E1865" s="1">
        <v>44469</v>
      </c>
      <c r="F1865" s="2">
        <f t="shared" si="174"/>
        <v>2021</v>
      </c>
      <c r="G1865">
        <v>209</v>
      </c>
      <c r="H1865" s="3">
        <v>2050074</v>
      </c>
      <c r="I1865">
        <v>290588</v>
      </c>
      <c r="J1865">
        <v>2050074</v>
      </c>
      <c r="K1865">
        <v>1862708</v>
      </c>
      <c r="L1865">
        <v>1765801</v>
      </c>
      <c r="M1865" t="str">
        <f t="shared" si="175"/>
        <v>Large</v>
      </c>
      <c r="N1865">
        <f>VLOOKUP(C1865,Lookup!$A$2:$D$5,MATCH(M1865,Lookup!$A$1:$D$1,0),FALSE)</f>
        <v>0.08</v>
      </c>
      <c r="O1865">
        <f t="shared" si="176"/>
        <v>141264.08000000002</v>
      </c>
      <c r="P1865" s="7">
        <f t="shared" si="177"/>
        <v>0.90860525034706063</v>
      </c>
      <c r="Q1865" s="7">
        <f t="shared" si="178"/>
        <v>9808.9665071770341</v>
      </c>
      <c r="R1865">
        <f t="shared" si="179"/>
        <v>2.0570551268234638</v>
      </c>
    </row>
    <row r="1866" spans="1:18" x14ac:dyDescent="0.25">
      <c r="A1866" t="s">
        <v>1064</v>
      </c>
      <c r="B1866" t="s">
        <v>1065</v>
      </c>
      <c r="C1866" t="s">
        <v>8</v>
      </c>
      <c r="D1866">
        <v>62951</v>
      </c>
      <c r="E1866" s="1">
        <v>43738</v>
      </c>
      <c r="F1866" s="2">
        <f t="shared" si="174"/>
        <v>2019</v>
      </c>
      <c r="G1866">
        <v>28</v>
      </c>
      <c r="H1866" s="3">
        <v>117144</v>
      </c>
      <c r="I1866">
        <v>12149</v>
      </c>
      <c r="J1866">
        <v>117144</v>
      </c>
      <c r="K1866">
        <v>102674</v>
      </c>
      <c r="L1866">
        <v>101975</v>
      </c>
      <c r="M1866" t="str">
        <f t="shared" si="175"/>
        <v>Medium</v>
      </c>
      <c r="N1866">
        <f>VLOOKUP(C1866,Lookup!$A$2:$D$5,MATCH(M1866,Lookup!$A$1:$D$1,0),FALSE)</f>
        <v>0.08</v>
      </c>
      <c r="O1866">
        <f t="shared" si="176"/>
        <v>8158</v>
      </c>
      <c r="P1866" s="7">
        <f t="shared" si="177"/>
        <v>0.87647681486034279</v>
      </c>
      <c r="Q1866" s="7">
        <f t="shared" si="178"/>
        <v>4183.7142857142853</v>
      </c>
      <c r="R1866">
        <f t="shared" si="179"/>
        <v>1.489213042412356</v>
      </c>
    </row>
    <row r="1867" spans="1:18" x14ac:dyDescent="0.25">
      <c r="A1867" t="s">
        <v>1064</v>
      </c>
      <c r="B1867" t="s">
        <v>1065</v>
      </c>
      <c r="C1867" t="s">
        <v>8</v>
      </c>
      <c r="D1867">
        <v>62951</v>
      </c>
      <c r="E1867" s="1">
        <v>44104</v>
      </c>
      <c r="F1867" s="2">
        <f t="shared" si="174"/>
        <v>2020</v>
      </c>
      <c r="G1867">
        <v>25</v>
      </c>
      <c r="H1867" s="3">
        <v>135662</v>
      </c>
      <c r="I1867">
        <v>17097</v>
      </c>
      <c r="J1867">
        <v>135662</v>
      </c>
      <c r="K1867">
        <v>119641</v>
      </c>
      <c r="L1867">
        <v>114678</v>
      </c>
      <c r="M1867" t="str">
        <f t="shared" si="175"/>
        <v>Medium</v>
      </c>
      <c r="N1867">
        <f>VLOOKUP(C1867,Lookup!$A$2:$D$5,MATCH(M1867,Lookup!$A$1:$D$1,0),FALSE)</f>
        <v>0.08</v>
      </c>
      <c r="O1867">
        <f t="shared" si="176"/>
        <v>9174.24</v>
      </c>
      <c r="P1867" s="7">
        <f t="shared" si="177"/>
        <v>0.88190502867420506</v>
      </c>
      <c r="Q1867" s="7">
        <f t="shared" si="178"/>
        <v>5426.48</v>
      </c>
      <c r="R1867">
        <f t="shared" si="179"/>
        <v>1.8635876105268665</v>
      </c>
    </row>
    <row r="1868" spans="1:18" x14ac:dyDescent="0.25">
      <c r="A1868" t="s">
        <v>1064</v>
      </c>
      <c r="B1868" t="s">
        <v>1065</v>
      </c>
      <c r="C1868" t="s">
        <v>8</v>
      </c>
      <c r="D1868">
        <v>62951</v>
      </c>
      <c r="E1868" s="1">
        <v>44469</v>
      </c>
      <c r="F1868" s="2">
        <f t="shared" si="174"/>
        <v>2021</v>
      </c>
      <c r="G1868">
        <v>26</v>
      </c>
      <c r="H1868" s="3">
        <v>161550</v>
      </c>
      <c r="I1868">
        <v>28978</v>
      </c>
      <c r="J1868">
        <v>161550</v>
      </c>
      <c r="K1868">
        <v>144363</v>
      </c>
      <c r="L1868">
        <v>138585</v>
      </c>
      <c r="M1868" t="str">
        <f t="shared" si="175"/>
        <v>Medium</v>
      </c>
      <c r="N1868">
        <f>VLOOKUP(C1868,Lookup!$A$2:$D$5,MATCH(M1868,Lookup!$A$1:$D$1,0),FALSE)</f>
        <v>0.08</v>
      </c>
      <c r="O1868">
        <f t="shared" si="176"/>
        <v>11086.800000000001</v>
      </c>
      <c r="P1868" s="7">
        <f t="shared" si="177"/>
        <v>0.8936118848653668</v>
      </c>
      <c r="Q1868" s="7">
        <f t="shared" si="178"/>
        <v>6213.4615384615381</v>
      </c>
      <c r="R1868">
        <f t="shared" si="179"/>
        <v>2.6137388606270515</v>
      </c>
    </row>
    <row r="1869" spans="1:18" x14ac:dyDescent="0.25">
      <c r="A1869" t="s">
        <v>1066</v>
      </c>
      <c r="B1869" t="s">
        <v>1067</v>
      </c>
      <c r="C1869" t="s">
        <v>8</v>
      </c>
      <c r="D1869">
        <v>62939</v>
      </c>
      <c r="E1869" s="1">
        <v>43738</v>
      </c>
      <c r="F1869" s="2">
        <f t="shared" si="174"/>
        <v>2019</v>
      </c>
      <c r="G1869">
        <v>16</v>
      </c>
      <c r="H1869" s="3">
        <v>56041</v>
      </c>
      <c r="I1869">
        <v>8550</v>
      </c>
      <c r="J1869">
        <v>56040</v>
      </c>
      <c r="K1869">
        <v>50373</v>
      </c>
      <c r="L1869">
        <v>50212</v>
      </c>
      <c r="M1869" t="str">
        <f t="shared" si="175"/>
        <v>Small</v>
      </c>
      <c r="N1869">
        <f>VLOOKUP(C1869,Lookup!$A$2:$D$5,MATCH(M1869,Lookup!$A$1:$D$1,0),FALSE)</f>
        <v>0.09</v>
      </c>
      <c r="O1869">
        <f t="shared" si="176"/>
        <v>4519.08</v>
      </c>
      <c r="P1869" s="7">
        <f t="shared" si="177"/>
        <v>0.89885976338751983</v>
      </c>
      <c r="Q1869" s="7">
        <f t="shared" si="178"/>
        <v>3502.5625</v>
      </c>
      <c r="R1869">
        <f t="shared" si="179"/>
        <v>1.8919780132239306</v>
      </c>
    </row>
    <row r="1870" spans="1:18" x14ac:dyDescent="0.25">
      <c r="A1870" t="s">
        <v>1066</v>
      </c>
      <c r="B1870" t="s">
        <v>171</v>
      </c>
      <c r="C1870" t="s">
        <v>8</v>
      </c>
      <c r="D1870">
        <v>62959</v>
      </c>
      <c r="E1870" s="1">
        <v>44104</v>
      </c>
      <c r="F1870" s="2">
        <f t="shared" si="174"/>
        <v>2020</v>
      </c>
      <c r="G1870">
        <v>38</v>
      </c>
      <c r="H1870" s="3">
        <v>192955</v>
      </c>
      <c r="I1870">
        <v>19844</v>
      </c>
      <c r="J1870">
        <v>192955</v>
      </c>
      <c r="K1870">
        <v>173422</v>
      </c>
      <c r="L1870">
        <v>136190</v>
      </c>
      <c r="M1870" t="str">
        <f t="shared" si="175"/>
        <v>Medium</v>
      </c>
      <c r="N1870">
        <f>VLOOKUP(C1870,Lookup!$A$2:$D$5,MATCH(M1870,Lookup!$A$1:$D$1,0),FALSE)</f>
        <v>0.08</v>
      </c>
      <c r="O1870">
        <f t="shared" si="176"/>
        <v>10895.2</v>
      </c>
      <c r="P1870" s="7">
        <f t="shared" si="177"/>
        <v>0.89876914306444511</v>
      </c>
      <c r="Q1870" s="7">
        <f t="shared" si="178"/>
        <v>5077.7631578947367</v>
      </c>
      <c r="R1870">
        <f t="shared" si="179"/>
        <v>1.821352522211616</v>
      </c>
    </row>
    <row r="1871" spans="1:18" x14ac:dyDescent="0.25">
      <c r="A1871" t="s">
        <v>1066</v>
      </c>
      <c r="B1871" t="s">
        <v>171</v>
      </c>
      <c r="C1871" t="s">
        <v>8</v>
      </c>
      <c r="D1871">
        <v>62959</v>
      </c>
      <c r="E1871" s="1">
        <v>44469</v>
      </c>
      <c r="F1871" s="2">
        <f t="shared" si="174"/>
        <v>2021</v>
      </c>
      <c r="G1871">
        <v>40</v>
      </c>
      <c r="H1871" s="3">
        <v>214299</v>
      </c>
      <c r="I1871">
        <v>20337</v>
      </c>
      <c r="J1871">
        <v>214299</v>
      </c>
      <c r="K1871">
        <v>192056</v>
      </c>
      <c r="L1871">
        <v>142108</v>
      </c>
      <c r="M1871" t="str">
        <f t="shared" si="175"/>
        <v>Medium</v>
      </c>
      <c r="N1871">
        <f>VLOOKUP(C1871,Lookup!$A$2:$D$5,MATCH(M1871,Lookup!$A$1:$D$1,0),FALSE)</f>
        <v>0.08</v>
      </c>
      <c r="O1871">
        <f t="shared" si="176"/>
        <v>11368.64</v>
      </c>
      <c r="P1871" s="7">
        <f t="shared" si="177"/>
        <v>0.89620576857568168</v>
      </c>
      <c r="Q1871" s="7">
        <f t="shared" si="178"/>
        <v>5357.4750000000004</v>
      </c>
      <c r="R1871">
        <f t="shared" si="179"/>
        <v>1.7888683254989164</v>
      </c>
    </row>
    <row r="1872" spans="1:18" x14ac:dyDescent="0.25">
      <c r="A1872" t="s">
        <v>1068</v>
      </c>
      <c r="B1872" t="s">
        <v>969</v>
      </c>
      <c r="C1872" t="s">
        <v>17</v>
      </c>
      <c r="D1872">
        <v>10452</v>
      </c>
      <c r="E1872" s="1">
        <v>43738</v>
      </c>
      <c r="F1872" s="2">
        <f t="shared" si="174"/>
        <v>2019</v>
      </c>
      <c r="G1872">
        <v>37</v>
      </c>
      <c r="H1872" s="3">
        <v>193202</v>
      </c>
      <c r="I1872">
        <v>9797</v>
      </c>
      <c r="J1872">
        <v>193202</v>
      </c>
      <c r="K1872">
        <v>168803</v>
      </c>
      <c r="L1872">
        <v>168074</v>
      </c>
      <c r="M1872" t="str">
        <f t="shared" si="175"/>
        <v>Medium</v>
      </c>
      <c r="N1872">
        <f>VLOOKUP(C1872,Lookup!$A$2:$D$5,MATCH(M1872,Lookup!$A$1:$D$1,0),FALSE)</f>
        <v>8.5000000000000006E-2</v>
      </c>
      <c r="O1872">
        <f t="shared" si="176"/>
        <v>14286.29</v>
      </c>
      <c r="P1872" s="7">
        <f t="shared" si="177"/>
        <v>0.87371248744837005</v>
      </c>
      <c r="Q1872" s="7">
        <f t="shared" si="178"/>
        <v>5221.6756756756758</v>
      </c>
      <c r="R1872">
        <f t="shared" si="179"/>
        <v>0.68576236377673971</v>
      </c>
    </row>
    <row r="1873" spans="1:18" x14ac:dyDescent="0.25">
      <c r="A1873" t="s">
        <v>1068</v>
      </c>
      <c r="B1873" t="s">
        <v>969</v>
      </c>
      <c r="C1873" t="s">
        <v>17</v>
      </c>
      <c r="D1873">
        <v>10452</v>
      </c>
      <c r="E1873" s="1">
        <v>44104</v>
      </c>
      <c r="F1873" s="2">
        <f t="shared" si="174"/>
        <v>2020</v>
      </c>
      <c r="G1873">
        <v>33</v>
      </c>
      <c r="H1873" s="3">
        <v>324966</v>
      </c>
      <c r="I1873">
        <v>50648</v>
      </c>
      <c r="J1873">
        <v>324966</v>
      </c>
      <c r="K1873">
        <v>298074</v>
      </c>
      <c r="L1873">
        <v>205353</v>
      </c>
      <c r="M1873" t="str">
        <f t="shared" si="175"/>
        <v>Medium</v>
      </c>
      <c r="N1873">
        <f>VLOOKUP(C1873,Lookup!$A$2:$D$5,MATCH(M1873,Lookup!$A$1:$D$1,0),FALSE)</f>
        <v>8.5000000000000006E-2</v>
      </c>
      <c r="O1873">
        <f t="shared" si="176"/>
        <v>17455.005000000001</v>
      </c>
      <c r="P1873" s="7">
        <f t="shared" si="177"/>
        <v>0.91724672734993817</v>
      </c>
      <c r="Q1873" s="7">
        <f t="shared" si="178"/>
        <v>9847.454545454546</v>
      </c>
      <c r="R1873">
        <f t="shared" si="179"/>
        <v>2.9016319388049445</v>
      </c>
    </row>
    <row r="1874" spans="1:18" x14ac:dyDescent="0.25">
      <c r="A1874" t="s">
        <v>1068</v>
      </c>
      <c r="B1874" t="s">
        <v>969</v>
      </c>
      <c r="C1874" t="s">
        <v>17</v>
      </c>
      <c r="D1874">
        <v>10452</v>
      </c>
      <c r="E1874" s="1">
        <v>44469</v>
      </c>
      <c r="F1874" s="2">
        <f t="shared" si="174"/>
        <v>2021</v>
      </c>
      <c r="G1874">
        <v>34</v>
      </c>
      <c r="H1874" s="3">
        <v>336177</v>
      </c>
      <c r="I1874">
        <v>42117</v>
      </c>
      <c r="J1874">
        <v>336177</v>
      </c>
      <c r="K1874">
        <v>305559</v>
      </c>
      <c r="L1874">
        <v>233537</v>
      </c>
      <c r="M1874" t="str">
        <f t="shared" si="175"/>
        <v>Medium</v>
      </c>
      <c r="N1874">
        <f>VLOOKUP(C1874,Lookup!$A$2:$D$5,MATCH(M1874,Lookup!$A$1:$D$1,0),FALSE)</f>
        <v>8.5000000000000006E-2</v>
      </c>
      <c r="O1874">
        <f t="shared" si="176"/>
        <v>19850.645</v>
      </c>
      <c r="P1874" s="7">
        <f t="shared" si="177"/>
        <v>0.90892297807405031</v>
      </c>
      <c r="Q1874" s="7">
        <f t="shared" si="178"/>
        <v>9887.5588235294126</v>
      </c>
      <c r="R1874">
        <f t="shared" si="179"/>
        <v>2.121694282477975</v>
      </c>
    </row>
    <row r="1875" spans="1:18" x14ac:dyDescent="0.25">
      <c r="A1875" t="s">
        <v>1069</v>
      </c>
      <c r="B1875" t="s">
        <v>1070</v>
      </c>
      <c r="C1875" t="s">
        <v>8</v>
      </c>
      <c r="D1875">
        <v>61362</v>
      </c>
      <c r="E1875" s="1">
        <v>43738</v>
      </c>
      <c r="F1875" s="2">
        <f t="shared" si="174"/>
        <v>2019</v>
      </c>
      <c r="G1875">
        <v>32</v>
      </c>
      <c r="H1875" s="3">
        <v>189744</v>
      </c>
      <c r="I1875">
        <v>15700</v>
      </c>
      <c r="J1875">
        <v>189744</v>
      </c>
      <c r="K1875">
        <v>160538</v>
      </c>
      <c r="L1875">
        <v>158810</v>
      </c>
      <c r="M1875" t="str">
        <f t="shared" si="175"/>
        <v>Medium</v>
      </c>
      <c r="N1875">
        <f>VLOOKUP(C1875,Lookup!$A$2:$D$5,MATCH(M1875,Lookup!$A$1:$D$1,0),FALSE)</f>
        <v>0.08</v>
      </c>
      <c r="O1875">
        <f t="shared" si="176"/>
        <v>12704.800000000001</v>
      </c>
      <c r="P1875" s="7">
        <f t="shared" si="177"/>
        <v>0.84607681929336365</v>
      </c>
      <c r="Q1875" s="7">
        <f t="shared" si="178"/>
        <v>5929.5</v>
      </c>
      <c r="R1875">
        <f t="shared" si="179"/>
        <v>1.2357534160317358</v>
      </c>
    </row>
    <row r="1876" spans="1:18" x14ac:dyDescent="0.25">
      <c r="A1876" t="s">
        <v>1069</v>
      </c>
      <c r="B1876" t="s">
        <v>1070</v>
      </c>
      <c r="C1876" t="s">
        <v>8</v>
      </c>
      <c r="D1876">
        <v>61362</v>
      </c>
      <c r="E1876" s="1">
        <v>44104</v>
      </c>
      <c r="F1876" s="2">
        <f t="shared" si="174"/>
        <v>2020</v>
      </c>
      <c r="G1876">
        <v>29</v>
      </c>
      <c r="H1876" s="3">
        <v>208262</v>
      </c>
      <c r="I1876">
        <v>14587</v>
      </c>
      <c r="J1876">
        <v>208262</v>
      </c>
      <c r="K1876">
        <v>177136</v>
      </c>
      <c r="L1876">
        <v>171703</v>
      </c>
      <c r="M1876" t="str">
        <f t="shared" si="175"/>
        <v>Medium</v>
      </c>
      <c r="N1876">
        <f>VLOOKUP(C1876,Lookup!$A$2:$D$5,MATCH(M1876,Lookup!$A$1:$D$1,0),FALSE)</f>
        <v>0.08</v>
      </c>
      <c r="O1876">
        <f t="shared" si="176"/>
        <v>13736.24</v>
      </c>
      <c r="P1876" s="7">
        <f t="shared" si="177"/>
        <v>0.85054402627459647</v>
      </c>
      <c r="Q1876" s="7">
        <f t="shared" si="178"/>
        <v>7181.4482758620688</v>
      </c>
      <c r="R1876">
        <f t="shared" si="179"/>
        <v>1.0619354350244317</v>
      </c>
    </row>
    <row r="1877" spans="1:18" x14ac:dyDescent="0.25">
      <c r="A1877" t="s">
        <v>1069</v>
      </c>
      <c r="B1877" t="s">
        <v>1070</v>
      </c>
      <c r="C1877" t="s">
        <v>8</v>
      </c>
      <c r="D1877">
        <v>61362</v>
      </c>
      <c r="E1877" s="1">
        <v>44469</v>
      </c>
      <c r="F1877" s="2">
        <f t="shared" si="174"/>
        <v>2021</v>
      </c>
      <c r="G1877">
        <v>27</v>
      </c>
      <c r="H1877" s="3">
        <v>238650</v>
      </c>
      <c r="I1877">
        <v>21595</v>
      </c>
      <c r="J1877">
        <v>238650</v>
      </c>
      <c r="K1877">
        <v>207618</v>
      </c>
      <c r="L1877">
        <v>197175</v>
      </c>
      <c r="M1877" t="str">
        <f t="shared" si="175"/>
        <v>Medium</v>
      </c>
      <c r="N1877">
        <f>VLOOKUP(C1877,Lookup!$A$2:$D$5,MATCH(M1877,Lookup!$A$1:$D$1,0),FALSE)</f>
        <v>0.08</v>
      </c>
      <c r="O1877">
        <f t="shared" si="176"/>
        <v>15774</v>
      </c>
      <c r="P1877" s="7">
        <f t="shared" si="177"/>
        <v>0.86996857322438714</v>
      </c>
      <c r="Q1877" s="7">
        <f t="shared" si="178"/>
        <v>8838.8888888888887</v>
      </c>
      <c r="R1877">
        <f t="shared" si="179"/>
        <v>1.3690249778115886</v>
      </c>
    </row>
    <row r="1878" spans="1:18" x14ac:dyDescent="0.25">
      <c r="A1878" t="s">
        <v>1071</v>
      </c>
      <c r="B1878" t="s">
        <v>1072</v>
      </c>
      <c r="C1878" t="s">
        <v>8</v>
      </c>
      <c r="D1878">
        <v>60174</v>
      </c>
      <c r="E1878" s="1">
        <v>43738</v>
      </c>
      <c r="F1878" s="2">
        <f t="shared" si="174"/>
        <v>2019</v>
      </c>
      <c r="G1878">
        <v>75</v>
      </c>
      <c r="H1878" s="3">
        <v>1273072</v>
      </c>
      <c r="I1878">
        <v>98440</v>
      </c>
      <c r="J1878">
        <v>1273072</v>
      </c>
      <c r="K1878">
        <v>1128285</v>
      </c>
      <c r="L1878">
        <v>1071058</v>
      </c>
      <c r="M1878" t="str">
        <f t="shared" si="175"/>
        <v>Large</v>
      </c>
      <c r="N1878">
        <f>VLOOKUP(C1878,Lookup!$A$2:$D$5,MATCH(M1878,Lookup!$A$1:$D$1,0),FALSE)</f>
        <v>7.4999999999999997E-2</v>
      </c>
      <c r="O1878">
        <f t="shared" si="176"/>
        <v>80329.349999999991</v>
      </c>
      <c r="P1878" s="7">
        <f t="shared" si="177"/>
        <v>0.88626959040808373</v>
      </c>
      <c r="Q1878" s="7">
        <f t="shared" si="178"/>
        <v>16974.293333333335</v>
      </c>
      <c r="R1878">
        <f t="shared" si="179"/>
        <v>1.2254549551315927</v>
      </c>
    </row>
    <row r="1879" spans="1:18" x14ac:dyDescent="0.25">
      <c r="A1879" t="s">
        <v>1378</v>
      </c>
      <c r="B1879" t="s">
        <v>1072</v>
      </c>
      <c r="C1879" t="s">
        <v>8</v>
      </c>
      <c r="D1879">
        <v>60174</v>
      </c>
      <c r="E1879" s="1">
        <v>44104</v>
      </c>
      <c r="F1879" s="2">
        <f t="shared" si="174"/>
        <v>2020</v>
      </c>
      <c r="G1879">
        <v>88</v>
      </c>
      <c r="H1879" s="3">
        <v>1784996</v>
      </c>
      <c r="I1879">
        <v>165981</v>
      </c>
      <c r="J1879">
        <v>1784996</v>
      </c>
      <c r="K1879">
        <v>1595740</v>
      </c>
      <c r="L1879">
        <v>1526161</v>
      </c>
      <c r="M1879" t="str">
        <f t="shared" si="175"/>
        <v>Large</v>
      </c>
      <c r="N1879">
        <f>VLOOKUP(C1879,Lookup!$A$2:$D$5,MATCH(M1879,Lookup!$A$1:$D$1,0),FALSE)</f>
        <v>7.4999999999999997E-2</v>
      </c>
      <c r="O1879">
        <f t="shared" si="176"/>
        <v>114462.075</v>
      </c>
      <c r="P1879" s="7">
        <f t="shared" si="177"/>
        <v>0.89397399209858175</v>
      </c>
      <c r="Q1879" s="7">
        <f t="shared" si="178"/>
        <v>20284.045454545456</v>
      </c>
      <c r="R1879">
        <f t="shared" si="179"/>
        <v>1.4500960252555268</v>
      </c>
    </row>
    <row r="1880" spans="1:18" x14ac:dyDescent="0.25">
      <c r="A1880" t="s">
        <v>1378</v>
      </c>
      <c r="B1880" t="s">
        <v>1072</v>
      </c>
      <c r="C1880" t="s">
        <v>8</v>
      </c>
      <c r="D1880">
        <v>60174</v>
      </c>
      <c r="E1880" s="1">
        <v>44469</v>
      </c>
      <c r="F1880" s="2">
        <f t="shared" si="174"/>
        <v>2021</v>
      </c>
      <c r="G1880">
        <v>78</v>
      </c>
      <c r="H1880" s="3">
        <v>1909559</v>
      </c>
      <c r="I1880">
        <v>206164</v>
      </c>
      <c r="J1880">
        <v>1909559</v>
      </c>
      <c r="K1880">
        <v>1697094</v>
      </c>
      <c r="L1880">
        <v>1634333</v>
      </c>
      <c r="M1880" t="str">
        <f t="shared" si="175"/>
        <v>Large</v>
      </c>
      <c r="N1880">
        <f>VLOOKUP(C1880,Lookup!$A$2:$D$5,MATCH(M1880,Lookup!$A$1:$D$1,0),FALSE)</f>
        <v>7.4999999999999997E-2</v>
      </c>
      <c r="O1880">
        <f t="shared" si="176"/>
        <v>122574.97499999999</v>
      </c>
      <c r="P1880" s="7">
        <f t="shared" si="177"/>
        <v>0.8887360903747934</v>
      </c>
      <c r="Q1880" s="7">
        <f t="shared" si="178"/>
        <v>24481.525641025641</v>
      </c>
      <c r="R1880">
        <f t="shared" si="179"/>
        <v>1.6819420114097516</v>
      </c>
    </row>
    <row r="1881" spans="1:18" x14ac:dyDescent="0.25">
      <c r="A1881" t="s">
        <v>1073</v>
      </c>
      <c r="B1881" t="s">
        <v>1074</v>
      </c>
      <c r="C1881" t="s">
        <v>8</v>
      </c>
      <c r="D1881">
        <v>60097</v>
      </c>
      <c r="E1881" s="1">
        <v>43738</v>
      </c>
      <c r="F1881" s="2">
        <f t="shared" si="174"/>
        <v>2019</v>
      </c>
      <c r="G1881">
        <v>72</v>
      </c>
      <c r="H1881" s="3">
        <v>224044</v>
      </c>
      <c r="I1881">
        <v>20233</v>
      </c>
      <c r="J1881">
        <v>224044</v>
      </c>
      <c r="K1881">
        <v>197321</v>
      </c>
      <c r="L1881">
        <v>194795</v>
      </c>
      <c r="M1881" t="str">
        <f t="shared" si="175"/>
        <v>Medium</v>
      </c>
      <c r="N1881">
        <f>VLOOKUP(C1881,Lookup!$A$2:$D$5,MATCH(M1881,Lookup!$A$1:$D$1,0),FALSE)</f>
        <v>0.08</v>
      </c>
      <c r="O1881">
        <f t="shared" si="176"/>
        <v>15583.6</v>
      </c>
      <c r="P1881" s="7">
        <f t="shared" si="177"/>
        <v>0.88072432200817696</v>
      </c>
      <c r="Q1881" s="7">
        <f t="shared" si="178"/>
        <v>3111.7222222222222</v>
      </c>
      <c r="R1881">
        <f t="shared" si="179"/>
        <v>1.2983521137606202</v>
      </c>
    </row>
    <row r="1882" spans="1:18" x14ac:dyDescent="0.25">
      <c r="A1882" t="s">
        <v>1073</v>
      </c>
      <c r="B1882" t="s">
        <v>820</v>
      </c>
      <c r="C1882" t="s">
        <v>8</v>
      </c>
      <c r="D1882">
        <v>61032</v>
      </c>
      <c r="E1882" s="1">
        <v>43738</v>
      </c>
      <c r="F1882" s="2">
        <f t="shared" si="174"/>
        <v>2019</v>
      </c>
      <c r="G1882">
        <v>32</v>
      </c>
      <c r="H1882" s="3">
        <v>262659</v>
      </c>
      <c r="I1882">
        <v>10394</v>
      </c>
      <c r="J1882">
        <v>262659</v>
      </c>
      <c r="K1882">
        <v>233025</v>
      </c>
      <c r="L1882">
        <v>210550</v>
      </c>
      <c r="M1882" t="str">
        <f t="shared" si="175"/>
        <v>Medium</v>
      </c>
      <c r="N1882">
        <f>VLOOKUP(C1882,Lookup!$A$2:$D$5,MATCH(M1882,Lookup!$A$1:$D$1,0),FALSE)</f>
        <v>0.08</v>
      </c>
      <c r="O1882">
        <f t="shared" si="176"/>
        <v>16844</v>
      </c>
      <c r="P1882" s="7">
        <f t="shared" si="177"/>
        <v>0.88717690998595133</v>
      </c>
      <c r="Q1882" s="7">
        <f t="shared" si="178"/>
        <v>8208.09375</v>
      </c>
      <c r="R1882">
        <f t="shared" si="179"/>
        <v>0.617074329137972</v>
      </c>
    </row>
    <row r="1883" spans="1:18" x14ac:dyDescent="0.25">
      <c r="A1883" t="s">
        <v>1073</v>
      </c>
      <c r="B1883" t="s">
        <v>548</v>
      </c>
      <c r="C1883" t="s">
        <v>8</v>
      </c>
      <c r="D1883">
        <v>62298</v>
      </c>
      <c r="E1883" s="1">
        <v>44104</v>
      </c>
      <c r="F1883" s="2">
        <f t="shared" si="174"/>
        <v>2020</v>
      </c>
      <c r="G1883">
        <v>46</v>
      </c>
      <c r="H1883" s="3">
        <v>229085</v>
      </c>
      <c r="I1883">
        <v>26193</v>
      </c>
      <c r="J1883">
        <v>229085</v>
      </c>
      <c r="K1883">
        <v>209144</v>
      </c>
      <c r="L1883">
        <v>177125</v>
      </c>
      <c r="M1883" t="str">
        <f t="shared" si="175"/>
        <v>Medium</v>
      </c>
      <c r="N1883">
        <f>VLOOKUP(C1883,Lookup!$A$2:$D$5,MATCH(M1883,Lookup!$A$1:$D$1,0),FALSE)</f>
        <v>0.08</v>
      </c>
      <c r="O1883">
        <f t="shared" si="176"/>
        <v>14170</v>
      </c>
      <c r="P1883" s="7">
        <f t="shared" si="177"/>
        <v>0.91295370713927149</v>
      </c>
      <c r="Q1883" s="7">
        <f t="shared" si="178"/>
        <v>4980.108695652174</v>
      </c>
      <c r="R1883">
        <f t="shared" si="179"/>
        <v>1.8484827099505998</v>
      </c>
    </row>
    <row r="1884" spans="1:18" x14ac:dyDescent="0.25">
      <c r="A1884" t="s">
        <v>1073</v>
      </c>
      <c r="B1884" t="s">
        <v>1074</v>
      </c>
      <c r="C1884" t="s">
        <v>8</v>
      </c>
      <c r="D1884">
        <v>60097</v>
      </c>
      <c r="E1884" s="1">
        <v>44104</v>
      </c>
      <c r="F1884" s="2">
        <f t="shared" si="174"/>
        <v>2020</v>
      </c>
      <c r="G1884">
        <v>62</v>
      </c>
      <c r="H1884" s="3">
        <v>258381</v>
      </c>
      <c r="I1884">
        <v>17588</v>
      </c>
      <c r="J1884">
        <v>258381</v>
      </c>
      <c r="K1884">
        <v>231050</v>
      </c>
      <c r="L1884">
        <v>225743</v>
      </c>
      <c r="M1884" t="str">
        <f t="shared" si="175"/>
        <v>Medium</v>
      </c>
      <c r="N1884">
        <f>VLOOKUP(C1884,Lookup!$A$2:$D$5,MATCH(M1884,Lookup!$A$1:$D$1,0),FALSE)</f>
        <v>0.08</v>
      </c>
      <c r="O1884">
        <f t="shared" si="176"/>
        <v>18059.439999999999</v>
      </c>
      <c r="P1884" s="7">
        <f t="shared" si="177"/>
        <v>0.89422209837410649</v>
      </c>
      <c r="Q1884" s="7">
        <f t="shared" si="178"/>
        <v>4167.4354838709678</v>
      </c>
      <c r="R1884">
        <f t="shared" si="179"/>
        <v>0.9738950930925877</v>
      </c>
    </row>
    <row r="1885" spans="1:18" x14ac:dyDescent="0.25">
      <c r="A1885" t="s">
        <v>1073</v>
      </c>
      <c r="B1885" t="s">
        <v>820</v>
      </c>
      <c r="C1885" t="s">
        <v>8</v>
      </c>
      <c r="D1885">
        <v>61032</v>
      </c>
      <c r="E1885" s="1">
        <v>44104</v>
      </c>
      <c r="F1885" s="2">
        <f t="shared" si="174"/>
        <v>2020</v>
      </c>
      <c r="G1885">
        <v>33</v>
      </c>
      <c r="H1885" s="3">
        <v>301505</v>
      </c>
      <c r="I1885">
        <v>23636</v>
      </c>
      <c r="J1885">
        <v>301505</v>
      </c>
      <c r="K1885">
        <v>270057</v>
      </c>
      <c r="L1885">
        <v>231957</v>
      </c>
      <c r="M1885" t="str">
        <f t="shared" si="175"/>
        <v>Medium</v>
      </c>
      <c r="N1885">
        <f>VLOOKUP(C1885,Lookup!$A$2:$D$5,MATCH(M1885,Lookup!$A$1:$D$1,0),FALSE)</f>
        <v>0.08</v>
      </c>
      <c r="O1885">
        <f t="shared" si="176"/>
        <v>18556.560000000001</v>
      </c>
      <c r="P1885" s="7">
        <f t="shared" si="177"/>
        <v>0.89569658877962222</v>
      </c>
      <c r="Q1885" s="7">
        <f t="shared" si="178"/>
        <v>9136.515151515152</v>
      </c>
      <c r="R1885">
        <f t="shared" si="179"/>
        <v>1.2737274581064593</v>
      </c>
    </row>
    <row r="1886" spans="1:18" x14ac:dyDescent="0.25">
      <c r="A1886" t="s">
        <v>1073</v>
      </c>
      <c r="B1886" t="s">
        <v>548</v>
      </c>
      <c r="C1886" t="s">
        <v>8</v>
      </c>
      <c r="D1886">
        <v>62298</v>
      </c>
      <c r="E1886" s="1">
        <v>44469</v>
      </c>
      <c r="F1886" s="2">
        <f t="shared" si="174"/>
        <v>2021</v>
      </c>
      <c r="G1886">
        <v>52</v>
      </c>
      <c r="H1886" s="3">
        <v>296797</v>
      </c>
      <c r="I1886">
        <v>49120</v>
      </c>
      <c r="J1886">
        <v>296797</v>
      </c>
      <c r="K1886">
        <v>272518</v>
      </c>
      <c r="L1886">
        <v>229126</v>
      </c>
      <c r="M1886" t="str">
        <f t="shared" si="175"/>
        <v>Medium</v>
      </c>
      <c r="N1886">
        <f>VLOOKUP(C1886,Lookup!$A$2:$D$5,MATCH(M1886,Lookup!$A$1:$D$1,0),FALSE)</f>
        <v>0.08</v>
      </c>
      <c r="O1886">
        <f t="shared" si="176"/>
        <v>18330.080000000002</v>
      </c>
      <c r="P1886" s="7">
        <f t="shared" si="177"/>
        <v>0.9181966124994525</v>
      </c>
      <c r="Q1886" s="7">
        <f t="shared" si="178"/>
        <v>5707.6346153846152</v>
      </c>
      <c r="R1886">
        <f t="shared" si="179"/>
        <v>2.6797482607822767</v>
      </c>
    </row>
    <row r="1887" spans="1:18" x14ac:dyDescent="0.25">
      <c r="A1887" t="s">
        <v>1073</v>
      </c>
      <c r="B1887" t="s">
        <v>1074</v>
      </c>
      <c r="C1887" t="s">
        <v>8</v>
      </c>
      <c r="D1887">
        <v>60097</v>
      </c>
      <c r="E1887" s="1">
        <v>44469</v>
      </c>
      <c r="F1887" s="2">
        <f t="shared" si="174"/>
        <v>2021</v>
      </c>
      <c r="G1887">
        <v>44</v>
      </c>
      <c r="H1887" s="3">
        <v>284362</v>
      </c>
      <c r="I1887">
        <v>87414</v>
      </c>
      <c r="J1887">
        <v>284362</v>
      </c>
      <c r="K1887">
        <v>256579</v>
      </c>
      <c r="L1887">
        <v>250249</v>
      </c>
      <c r="M1887" t="str">
        <f t="shared" si="175"/>
        <v>Medium</v>
      </c>
      <c r="N1887">
        <f>VLOOKUP(C1887,Lookup!$A$2:$D$5,MATCH(M1887,Lookup!$A$1:$D$1,0),FALSE)</f>
        <v>0.08</v>
      </c>
      <c r="O1887">
        <f t="shared" si="176"/>
        <v>20019.920000000002</v>
      </c>
      <c r="P1887" s="7">
        <f t="shared" si="177"/>
        <v>0.90229707204197462</v>
      </c>
      <c r="Q1887" s="7">
        <f t="shared" si="178"/>
        <v>6462.772727272727</v>
      </c>
      <c r="R1887">
        <f t="shared" si="179"/>
        <v>4.3663511142901665</v>
      </c>
    </row>
    <row r="1888" spans="1:18" x14ac:dyDescent="0.25">
      <c r="A1888" t="s">
        <v>1073</v>
      </c>
      <c r="B1888" t="s">
        <v>820</v>
      </c>
      <c r="C1888" t="s">
        <v>8</v>
      </c>
      <c r="D1888">
        <v>61032</v>
      </c>
      <c r="E1888" s="1">
        <v>44469</v>
      </c>
      <c r="F1888" s="2">
        <f t="shared" si="174"/>
        <v>2021</v>
      </c>
      <c r="G1888">
        <v>32</v>
      </c>
      <c r="H1888" s="3">
        <v>334741</v>
      </c>
      <c r="I1888">
        <v>58257</v>
      </c>
      <c r="J1888">
        <v>334741</v>
      </c>
      <c r="K1888">
        <v>301427</v>
      </c>
      <c r="L1888">
        <v>263513</v>
      </c>
      <c r="M1888" t="str">
        <f t="shared" si="175"/>
        <v>Medium</v>
      </c>
      <c r="N1888">
        <f>VLOOKUP(C1888,Lookup!$A$2:$D$5,MATCH(M1888,Lookup!$A$1:$D$1,0),FALSE)</f>
        <v>0.08</v>
      </c>
      <c r="O1888">
        <f t="shared" si="176"/>
        <v>21081.040000000001</v>
      </c>
      <c r="P1888" s="7">
        <f t="shared" si="177"/>
        <v>0.90047828022261989</v>
      </c>
      <c r="Q1888" s="7">
        <f t="shared" si="178"/>
        <v>10460.65625</v>
      </c>
      <c r="R1888">
        <f t="shared" si="179"/>
        <v>2.7634784621631567</v>
      </c>
    </row>
    <row r="1889" spans="1:18" x14ac:dyDescent="0.25">
      <c r="A1889" t="s">
        <v>1075</v>
      </c>
      <c r="B1889" t="s">
        <v>1076</v>
      </c>
      <c r="C1889" t="s">
        <v>8</v>
      </c>
      <c r="D1889">
        <v>61813</v>
      </c>
      <c r="E1889" s="1">
        <v>43738</v>
      </c>
      <c r="F1889" s="2">
        <f t="shared" si="174"/>
        <v>2019</v>
      </c>
      <c r="G1889">
        <v>39</v>
      </c>
      <c r="H1889" s="3">
        <v>104323</v>
      </c>
      <c r="I1889">
        <v>5337</v>
      </c>
      <c r="J1889">
        <v>104323</v>
      </c>
      <c r="K1889">
        <v>91831</v>
      </c>
      <c r="L1889">
        <v>86445</v>
      </c>
      <c r="M1889" t="str">
        <f t="shared" si="175"/>
        <v>Medium</v>
      </c>
      <c r="N1889">
        <f>VLOOKUP(C1889,Lookup!$A$2:$D$5,MATCH(M1889,Lookup!$A$1:$D$1,0),FALSE)</f>
        <v>0.08</v>
      </c>
      <c r="O1889">
        <f t="shared" si="176"/>
        <v>6915.6</v>
      </c>
      <c r="P1889" s="7">
        <f t="shared" si="177"/>
        <v>0.88025651102824876</v>
      </c>
      <c r="Q1889" s="7">
        <f t="shared" si="178"/>
        <v>2674.9487179487178</v>
      </c>
      <c r="R1889">
        <f t="shared" si="179"/>
        <v>0.77173347214992183</v>
      </c>
    </row>
    <row r="1890" spans="1:18" x14ac:dyDescent="0.25">
      <c r="A1890" t="s">
        <v>1075</v>
      </c>
      <c r="B1890" t="s">
        <v>1076</v>
      </c>
      <c r="C1890" t="s">
        <v>8</v>
      </c>
      <c r="D1890">
        <v>61813</v>
      </c>
      <c r="E1890" s="1">
        <v>44104</v>
      </c>
      <c r="F1890" s="2">
        <f t="shared" si="174"/>
        <v>2020</v>
      </c>
      <c r="G1890">
        <v>29</v>
      </c>
      <c r="H1890" s="3">
        <v>119910</v>
      </c>
      <c r="I1890">
        <v>22568</v>
      </c>
      <c r="J1890">
        <v>119910</v>
      </c>
      <c r="K1890">
        <v>107077</v>
      </c>
      <c r="L1890">
        <v>102495</v>
      </c>
      <c r="M1890" t="str">
        <f t="shared" si="175"/>
        <v>Medium</v>
      </c>
      <c r="N1890">
        <f>VLOOKUP(C1890,Lookup!$A$2:$D$5,MATCH(M1890,Lookup!$A$1:$D$1,0),FALSE)</f>
        <v>0.08</v>
      </c>
      <c r="O1890">
        <f t="shared" si="176"/>
        <v>8199.6</v>
      </c>
      <c r="P1890" s="7">
        <f t="shared" si="177"/>
        <v>0.8929780668834959</v>
      </c>
      <c r="Q1890" s="7">
        <f t="shared" si="178"/>
        <v>4134.8275862068967</v>
      </c>
      <c r="R1890">
        <f t="shared" si="179"/>
        <v>2.752329381921069</v>
      </c>
    </row>
    <row r="1891" spans="1:18" x14ac:dyDescent="0.25">
      <c r="A1891" t="s">
        <v>1075</v>
      </c>
      <c r="B1891" t="s">
        <v>1076</v>
      </c>
      <c r="C1891" t="s">
        <v>8</v>
      </c>
      <c r="D1891">
        <v>61813</v>
      </c>
      <c r="E1891" s="1">
        <v>44469</v>
      </c>
      <c r="F1891" s="2">
        <f t="shared" si="174"/>
        <v>2021</v>
      </c>
      <c r="G1891">
        <v>28</v>
      </c>
      <c r="H1891" s="3">
        <v>126340</v>
      </c>
      <c r="I1891">
        <v>32870</v>
      </c>
      <c r="J1891">
        <v>126340</v>
      </c>
      <c r="K1891">
        <v>113329</v>
      </c>
      <c r="L1891">
        <v>107813</v>
      </c>
      <c r="M1891" t="str">
        <f t="shared" si="175"/>
        <v>Medium</v>
      </c>
      <c r="N1891">
        <f>VLOOKUP(C1891,Lookup!$A$2:$D$5,MATCH(M1891,Lookup!$A$1:$D$1,0),FALSE)</f>
        <v>0.08</v>
      </c>
      <c r="O1891">
        <f t="shared" si="176"/>
        <v>8625.0400000000009</v>
      </c>
      <c r="P1891" s="7">
        <f t="shared" si="177"/>
        <v>0.89701598860218457</v>
      </c>
      <c r="Q1891" s="7">
        <f t="shared" si="178"/>
        <v>4512.1428571428569</v>
      </c>
      <c r="R1891">
        <f t="shared" si="179"/>
        <v>3.8109968185654788</v>
      </c>
    </row>
    <row r="1892" spans="1:18" x14ac:dyDescent="0.25">
      <c r="A1892" t="s">
        <v>1077</v>
      </c>
      <c r="B1892" t="s">
        <v>1078</v>
      </c>
      <c r="C1892" t="s">
        <v>8</v>
      </c>
      <c r="D1892">
        <v>61818</v>
      </c>
      <c r="E1892" s="1">
        <v>43738</v>
      </c>
      <c r="F1892" s="2">
        <f t="shared" si="174"/>
        <v>2019</v>
      </c>
      <c r="G1892">
        <v>7</v>
      </c>
      <c r="H1892" s="3">
        <v>31074</v>
      </c>
      <c r="I1892">
        <v>8113</v>
      </c>
      <c r="J1892">
        <v>31074</v>
      </c>
      <c r="K1892">
        <v>26820</v>
      </c>
      <c r="L1892">
        <v>26689</v>
      </c>
      <c r="M1892" t="str">
        <f t="shared" si="175"/>
        <v>Small</v>
      </c>
      <c r="N1892">
        <f>VLOOKUP(C1892,Lookup!$A$2:$D$5,MATCH(M1892,Lookup!$A$1:$D$1,0),FALSE)</f>
        <v>0.09</v>
      </c>
      <c r="O1892">
        <f t="shared" si="176"/>
        <v>2402.0099999999998</v>
      </c>
      <c r="P1892" s="7">
        <f t="shared" si="177"/>
        <v>0.86310098474608998</v>
      </c>
      <c r="Q1892" s="7">
        <f t="shared" si="178"/>
        <v>4439.1428571428569</v>
      </c>
      <c r="R1892">
        <f t="shared" si="179"/>
        <v>3.3775879367696224</v>
      </c>
    </row>
    <row r="1893" spans="1:18" x14ac:dyDescent="0.25">
      <c r="A1893" t="s">
        <v>1077</v>
      </c>
      <c r="B1893" t="s">
        <v>1078</v>
      </c>
      <c r="C1893" t="s">
        <v>8</v>
      </c>
      <c r="D1893">
        <v>61818</v>
      </c>
      <c r="E1893" s="1">
        <v>44104</v>
      </c>
      <c r="F1893" s="2">
        <f t="shared" si="174"/>
        <v>2020</v>
      </c>
      <c r="G1893">
        <v>6</v>
      </c>
      <c r="H1893" s="3">
        <v>39383</v>
      </c>
      <c r="I1893">
        <v>11811</v>
      </c>
      <c r="J1893">
        <v>39383</v>
      </c>
      <c r="K1893">
        <v>34999</v>
      </c>
      <c r="L1893">
        <v>30777</v>
      </c>
      <c r="M1893" t="str">
        <f t="shared" si="175"/>
        <v>Small</v>
      </c>
      <c r="N1893">
        <f>VLOOKUP(C1893,Lookup!$A$2:$D$5,MATCH(M1893,Lookup!$A$1:$D$1,0),FALSE)</f>
        <v>0.09</v>
      </c>
      <c r="O1893">
        <f t="shared" si="176"/>
        <v>2769.93</v>
      </c>
      <c r="P1893" s="7">
        <f t="shared" si="177"/>
        <v>0.88868293426097555</v>
      </c>
      <c r="Q1893" s="7">
        <f t="shared" si="178"/>
        <v>6563.833333333333</v>
      </c>
      <c r="R1893">
        <f t="shared" si="179"/>
        <v>4.2640066716487421</v>
      </c>
    </row>
    <row r="1894" spans="1:18" x14ac:dyDescent="0.25">
      <c r="A1894" t="s">
        <v>1077</v>
      </c>
      <c r="B1894" t="s">
        <v>1078</v>
      </c>
      <c r="C1894" t="s">
        <v>8</v>
      </c>
      <c r="D1894">
        <v>61818</v>
      </c>
      <c r="E1894" s="1">
        <v>44469</v>
      </c>
      <c r="F1894" s="2">
        <f t="shared" si="174"/>
        <v>2021</v>
      </c>
      <c r="G1894">
        <v>5</v>
      </c>
      <c r="H1894" s="3">
        <v>37922</v>
      </c>
      <c r="I1894">
        <v>6974</v>
      </c>
      <c r="J1894">
        <v>37922</v>
      </c>
      <c r="K1894">
        <v>33549</v>
      </c>
      <c r="L1894">
        <v>33363</v>
      </c>
      <c r="M1894" t="str">
        <f t="shared" si="175"/>
        <v>Small</v>
      </c>
      <c r="N1894">
        <f>VLOOKUP(C1894,Lookup!$A$2:$D$5,MATCH(M1894,Lookup!$A$1:$D$1,0),FALSE)</f>
        <v>0.09</v>
      </c>
      <c r="O1894">
        <f t="shared" si="176"/>
        <v>3002.67</v>
      </c>
      <c r="P1894" s="7">
        <f t="shared" si="177"/>
        <v>0.88468435209113438</v>
      </c>
      <c r="Q1894" s="7">
        <f t="shared" si="178"/>
        <v>7584.4</v>
      </c>
      <c r="R1894">
        <f t="shared" si="179"/>
        <v>2.3225995530644394</v>
      </c>
    </row>
    <row r="1895" spans="1:18" x14ac:dyDescent="0.25">
      <c r="A1895" t="s">
        <v>1079</v>
      </c>
      <c r="B1895" t="s">
        <v>1080</v>
      </c>
      <c r="C1895" t="s">
        <v>8</v>
      </c>
      <c r="D1895">
        <v>61317</v>
      </c>
      <c r="E1895" s="1">
        <v>43738</v>
      </c>
      <c r="F1895" s="2">
        <f t="shared" si="174"/>
        <v>2019</v>
      </c>
      <c r="G1895">
        <v>12</v>
      </c>
      <c r="H1895" s="3">
        <v>90673</v>
      </c>
      <c r="I1895">
        <v>12784</v>
      </c>
      <c r="J1895">
        <v>90673</v>
      </c>
      <c r="K1895">
        <v>77823</v>
      </c>
      <c r="L1895">
        <v>77638</v>
      </c>
      <c r="M1895" t="str">
        <f t="shared" si="175"/>
        <v>Small</v>
      </c>
      <c r="N1895">
        <f>VLOOKUP(C1895,Lookup!$A$2:$D$5,MATCH(M1895,Lookup!$A$1:$D$1,0),FALSE)</f>
        <v>0.09</v>
      </c>
      <c r="O1895">
        <f t="shared" si="176"/>
        <v>6987.42</v>
      </c>
      <c r="P1895" s="7">
        <f t="shared" si="177"/>
        <v>0.85828195824556375</v>
      </c>
      <c r="Q1895" s="7">
        <f t="shared" si="178"/>
        <v>7556.083333333333</v>
      </c>
      <c r="R1895">
        <f t="shared" si="179"/>
        <v>1.8295737196275592</v>
      </c>
    </row>
    <row r="1896" spans="1:18" x14ac:dyDescent="0.25">
      <c r="A1896" t="s">
        <v>1079</v>
      </c>
      <c r="B1896" t="s">
        <v>1080</v>
      </c>
      <c r="C1896" t="s">
        <v>8</v>
      </c>
      <c r="D1896">
        <v>61317</v>
      </c>
      <c r="E1896" s="1">
        <v>44104</v>
      </c>
      <c r="F1896" s="2">
        <f t="shared" si="174"/>
        <v>2020</v>
      </c>
      <c r="G1896">
        <v>12</v>
      </c>
      <c r="H1896" s="3">
        <v>104319</v>
      </c>
      <c r="I1896">
        <v>15176</v>
      </c>
      <c r="J1896">
        <v>104319</v>
      </c>
      <c r="K1896">
        <v>90783</v>
      </c>
      <c r="L1896">
        <v>89717</v>
      </c>
      <c r="M1896" t="str">
        <f t="shared" si="175"/>
        <v>Medium</v>
      </c>
      <c r="N1896">
        <f>VLOOKUP(C1896,Lookup!$A$2:$D$5,MATCH(M1896,Lookup!$A$1:$D$1,0),FALSE)</f>
        <v>0.08</v>
      </c>
      <c r="O1896">
        <f t="shared" si="176"/>
        <v>7177.3600000000006</v>
      </c>
      <c r="P1896" s="7">
        <f t="shared" si="177"/>
        <v>0.87024415494780438</v>
      </c>
      <c r="Q1896" s="7">
        <f t="shared" si="178"/>
        <v>8693.25</v>
      </c>
      <c r="R1896">
        <f t="shared" si="179"/>
        <v>2.1144264743582597</v>
      </c>
    </row>
    <row r="1897" spans="1:18" x14ac:dyDescent="0.25">
      <c r="A1897" t="s">
        <v>1079</v>
      </c>
      <c r="B1897" t="s">
        <v>1080</v>
      </c>
      <c r="C1897" t="s">
        <v>8</v>
      </c>
      <c r="D1897">
        <v>61317</v>
      </c>
      <c r="E1897" s="1">
        <v>44469</v>
      </c>
      <c r="F1897" s="2">
        <f t="shared" si="174"/>
        <v>2021</v>
      </c>
      <c r="G1897">
        <v>12</v>
      </c>
      <c r="H1897" s="3">
        <v>117070</v>
      </c>
      <c r="I1897">
        <v>10465</v>
      </c>
      <c r="J1897">
        <v>117070</v>
      </c>
      <c r="K1897">
        <v>103237</v>
      </c>
      <c r="L1897">
        <v>102106</v>
      </c>
      <c r="M1897" t="str">
        <f t="shared" si="175"/>
        <v>Medium</v>
      </c>
      <c r="N1897">
        <f>VLOOKUP(C1897,Lookup!$A$2:$D$5,MATCH(M1897,Lookup!$A$1:$D$1,0),FALSE)</f>
        <v>0.08</v>
      </c>
      <c r="O1897">
        <f t="shared" si="176"/>
        <v>8168.4800000000005</v>
      </c>
      <c r="P1897" s="7">
        <f t="shared" si="177"/>
        <v>0.88183992483129747</v>
      </c>
      <c r="Q1897" s="7">
        <f t="shared" si="178"/>
        <v>9755.8333333333339</v>
      </c>
      <c r="R1897">
        <f t="shared" si="179"/>
        <v>1.2811441051456329</v>
      </c>
    </row>
    <row r="1898" spans="1:18" x14ac:dyDescent="0.25">
      <c r="A1898" t="s">
        <v>1081</v>
      </c>
      <c r="B1898" t="s">
        <v>1082</v>
      </c>
      <c r="C1898" t="s">
        <v>8</v>
      </c>
      <c r="D1898">
        <v>61019</v>
      </c>
      <c r="E1898" s="1">
        <v>43738</v>
      </c>
      <c r="F1898" s="2">
        <f t="shared" si="174"/>
        <v>2019</v>
      </c>
      <c r="G1898">
        <v>15</v>
      </c>
      <c r="H1898" s="3">
        <v>161243</v>
      </c>
      <c r="I1898">
        <v>13756</v>
      </c>
      <c r="J1898">
        <v>161243</v>
      </c>
      <c r="K1898">
        <v>142389</v>
      </c>
      <c r="L1898">
        <v>125405</v>
      </c>
      <c r="M1898" t="str">
        <f t="shared" si="175"/>
        <v>Medium</v>
      </c>
      <c r="N1898">
        <f>VLOOKUP(C1898,Lookup!$A$2:$D$5,MATCH(M1898,Lookup!$A$1:$D$1,0),FALSE)</f>
        <v>0.08</v>
      </c>
      <c r="O1898">
        <f t="shared" si="176"/>
        <v>10032.4</v>
      </c>
      <c r="P1898" s="7">
        <f t="shared" si="177"/>
        <v>0.88307089300000619</v>
      </c>
      <c r="Q1898" s="7">
        <f t="shared" si="178"/>
        <v>10749.533333333333</v>
      </c>
      <c r="R1898">
        <f t="shared" si="179"/>
        <v>1.3711574498624457</v>
      </c>
    </row>
    <row r="1899" spans="1:18" x14ac:dyDescent="0.25">
      <c r="A1899" t="s">
        <v>1081</v>
      </c>
      <c r="B1899" t="s">
        <v>1082</v>
      </c>
      <c r="C1899" t="s">
        <v>8</v>
      </c>
      <c r="D1899">
        <v>61019</v>
      </c>
      <c r="E1899" s="1">
        <v>44104</v>
      </c>
      <c r="F1899" s="2">
        <f t="shared" si="174"/>
        <v>2020</v>
      </c>
      <c r="G1899">
        <v>18</v>
      </c>
      <c r="H1899" s="3">
        <v>176462</v>
      </c>
      <c r="I1899">
        <v>11849</v>
      </c>
      <c r="J1899">
        <v>176462</v>
      </c>
      <c r="K1899">
        <v>156580</v>
      </c>
      <c r="L1899">
        <v>134253</v>
      </c>
      <c r="M1899" t="str">
        <f t="shared" si="175"/>
        <v>Medium</v>
      </c>
      <c r="N1899">
        <f>VLOOKUP(C1899,Lookup!$A$2:$D$5,MATCH(M1899,Lookup!$A$1:$D$1,0),FALSE)</f>
        <v>0.08</v>
      </c>
      <c r="O1899">
        <f t="shared" si="176"/>
        <v>10740.24</v>
      </c>
      <c r="P1899" s="7">
        <f t="shared" si="177"/>
        <v>0.8873298500527026</v>
      </c>
      <c r="Q1899" s="7">
        <f t="shared" si="178"/>
        <v>9803.4444444444453</v>
      </c>
      <c r="R1899">
        <f t="shared" si="179"/>
        <v>1.1032341921595794</v>
      </c>
    </row>
    <row r="1900" spans="1:18" x14ac:dyDescent="0.25">
      <c r="A1900" t="s">
        <v>1081</v>
      </c>
      <c r="B1900" t="s">
        <v>1082</v>
      </c>
      <c r="C1900" t="s">
        <v>8</v>
      </c>
      <c r="D1900">
        <v>61019</v>
      </c>
      <c r="E1900" s="1">
        <v>44469</v>
      </c>
      <c r="F1900" s="2">
        <f t="shared" si="174"/>
        <v>2021</v>
      </c>
      <c r="G1900">
        <v>18</v>
      </c>
      <c r="H1900" s="3">
        <v>170488</v>
      </c>
      <c r="I1900">
        <v>19084</v>
      </c>
      <c r="J1900">
        <v>170488</v>
      </c>
      <c r="K1900">
        <v>149963</v>
      </c>
      <c r="L1900">
        <v>148412</v>
      </c>
      <c r="M1900" t="str">
        <f t="shared" si="175"/>
        <v>Medium</v>
      </c>
      <c r="N1900">
        <f>VLOOKUP(C1900,Lookup!$A$2:$D$5,MATCH(M1900,Lookup!$A$1:$D$1,0),FALSE)</f>
        <v>0.08</v>
      </c>
      <c r="O1900">
        <f t="shared" si="176"/>
        <v>11872.960000000001</v>
      </c>
      <c r="P1900" s="7">
        <f t="shared" si="177"/>
        <v>0.87961029515273803</v>
      </c>
      <c r="Q1900" s="7">
        <f t="shared" si="178"/>
        <v>9471.5555555555547</v>
      </c>
      <c r="R1900">
        <f t="shared" si="179"/>
        <v>1.6073498099884105</v>
      </c>
    </row>
    <row r="1901" spans="1:18" x14ac:dyDescent="0.25">
      <c r="A1901" t="s">
        <v>1083</v>
      </c>
      <c r="B1901" t="s">
        <v>1084</v>
      </c>
      <c r="C1901" t="s">
        <v>8</v>
      </c>
      <c r="D1901">
        <v>61743</v>
      </c>
      <c r="E1901" s="1">
        <v>43738</v>
      </c>
      <c r="F1901" s="2">
        <f t="shared" si="174"/>
        <v>2019</v>
      </c>
      <c r="G1901">
        <v>40</v>
      </c>
      <c r="H1901" s="3">
        <v>211812</v>
      </c>
      <c r="I1901">
        <v>12221</v>
      </c>
      <c r="J1901">
        <v>211812</v>
      </c>
      <c r="K1901">
        <v>185677</v>
      </c>
      <c r="L1901">
        <v>184258</v>
      </c>
      <c r="M1901" t="str">
        <f t="shared" si="175"/>
        <v>Medium</v>
      </c>
      <c r="N1901">
        <f>VLOOKUP(C1901,Lookup!$A$2:$D$5,MATCH(M1901,Lookup!$A$1:$D$1,0),FALSE)</f>
        <v>0.08</v>
      </c>
      <c r="O1901">
        <f t="shared" si="176"/>
        <v>14740.64</v>
      </c>
      <c r="P1901" s="7">
        <f t="shared" si="177"/>
        <v>0.87661227881328729</v>
      </c>
      <c r="Q1901" s="7">
        <f t="shared" si="178"/>
        <v>5295.3</v>
      </c>
      <c r="R1901">
        <f t="shared" si="179"/>
        <v>0.82906848006599443</v>
      </c>
    </row>
    <row r="1902" spans="1:18" x14ac:dyDescent="0.25">
      <c r="A1902" t="s">
        <v>1083</v>
      </c>
      <c r="B1902" t="s">
        <v>1084</v>
      </c>
      <c r="C1902" t="s">
        <v>8</v>
      </c>
      <c r="D1902">
        <v>61743</v>
      </c>
      <c r="E1902" s="1">
        <v>44104</v>
      </c>
      <c r="F1902" s="2">
        <f t="shared" si="174"/>
        <v>2020</v>
      </c>
      <c r="G1902">
        <v>42</v>
      </c>
      <c r="H1902" s="3">
        <v>234828</v>
      </c>
      <c r="I1902">
        <v>13627</v>
      </c>
      <c r="J1902">
        <v>234828</v>
      </c>
      <c r="K1902">
        <v>207244</v>
      </c>
      <c r="L1902">
        <v>200963</v>
      </c>
      <c r="M1902" t="str">
        <f t="shared" si="175"/>
        <v>Medium</v>
      </c>
      <c r="N1902">
        <f>VLOOKUP(C1902,Lookup!$A$2:$D$5,MATCH(M1902,Lookup!$A$1:$D$1,0),FALSE)</f>
        <v>0.08</v>
      </c>
      <c r="O1902">
        <f t="shared" si="176"/>
        <v>16077.04</v>
      </c>
      <c r="P1902" s="7">
        <f t="shared" si="177"/>
        <v>0.88253530243412204</v>
      </c>
      <c r="Q1902" s="7">
        <f t="shared" si="178"/>
        <v>5591.1428571428569</v>
      </c>
      <c r="R1902">
        <f t="shared" si="179"/>
        <v>0.84760627578210912</v>
      </c>
    </row>
    <row r="1903" spans="1:18" x14ac:dyDescent="0.25">
      <c r="A1903" t="s">
        <v>1083</v>
      </c>
      <c r="B1903" t="s">
        <v>1084</v>
      </c>
      <c r="C1903" t="s">
        <v>8</v>
      </c>
      <c r="D1903">
        <v>61743</v>
      </c>
      <c r="E1903" s="1">
        <v>44469</v>
      </c>
      <c r="F1903" s="2">
        <f t="shared" si="174"/>
        <v>2021</v>
      </c>
      <c r="G1903">
        <v>38</v>
      </c>
      <c r="H1903" s="3">
        <v>260439</v>
      </c>
      <c r="I1903">
        <v>14622</v>
      </c>
      <c r="J1903">
        <v>260439</v>
      </c>
      <c r="K1903">
        <v>230195</v>
      </c>
      <c r="L1903">
        <v>222616</v>
      </c>
      <c r="M1903" t="str">
        <f t="shared" si="175"/>
        <v>Medium</v>
      </c>
      <c r="N1903">
        <f>VLOOKUP(C1903,Lookup!$A$2:$D$5,MATCH(M1903,Lookup!$A$1:$D$1,0),FALSE)</f>
        <v>0.08</v>
      </c>
      <c r="O1903">
        <f t="shared" si="176"/>
        <v>17809.28</v>
      </c>
      <c r="P1903" s="7">
        <f t="shared" si="177"/>
        <v>0.88387299905160133</v>
      </c>
      <c r="Q1903" s="7">
        <f t="shared" si="178"/>
        <v>6853.6578947368425</v>
      </c>
      <c r="R1903">
        <f t="shared" si="179"/>
        <v>0.82103263017932226</v>
      </c>
    </row>
    <row r="1904" spans="1:18" x14ac:dyDescent="0.25">
      <c r="A1904" t="s">
        <v>1085</v>
      </c>
      <c r="B1904" t="s">
        <v>1086</v>
      </c>
      <c r="C1904" t="s">
        <v>8</v>
      </c>
      <c r="D1904">
        <v>60941</v>
      </c>
      <c r="E1904" s="1">
        <v>43738</v>
      </c>
      <c r="F1904" s="2">
        <f t="shared" si="174"/>
        <v>2019</v>
      </c>
      <c r="G1904">
        <v>27</v>
      </c>
      <c r="H1904" s="3">
        <v>146236</v>
      </c>
      <c r="I1904">
        <v>11016</v>
      </c>
      <c r="J1904">
        <v>146236</v>
      </c>
      <c r="K1904">
        <v>126053</v>
      </c>
      <c r="L1904">
        <v>125196</v>
      </c>
      <c r="M1904" t="str">
        <f t="shared" si="175"/>
        <v>Medium</v>
      </c>
      <c r="N1904">
        <f>VLOOKUP(C1904,Lookup!$A$2:$D$5,MATCH(M1904,Lookup!$A$1:$D$1,0),FALSE)</f>
        <v>0.08</v>
      </c>
      <c r="O1904">
        <f t="shared" si="176"/>
        <v>10015.68</v>
      </c>
      <c r="P1904" s="7">
        <f t="shared" si="177"/>
        <v>0.86198336934817688</v>
      </c>
      <c r="Q1904" s="7">
        <f t="shared" si="178"/>
        <v>5416.1481481481478</v>
      </c>
      <c r="R1904">
        <f t="shared" si="179"/>
        <v>1.099875395380044</v>
      </c>
    </row>
    <row r="1905" spans="1:18" x14ac:dyDescent="0.25">
      <c r="A1905" t="s">
        <v>1085</v>
      </c>
      <c r="B1905" t="s">
        <v>1086</v>
      </c>
      <c r="C1905" t="s">
        <v>8</v>
      </c>
      <c r="D1905">
        <v>60941</v>
      </c>
      <c r="E1905" s="1">
        <v>44104</v>
      </c>
      <c r="F1905" s="2">
        <f t="shared" si="174"/>
        <v>2020</v>
      </c>
      <c r="G1905">
        <v>26</v>
      </c>
      <c r="H1905" s="3">
        <v>164325</v>
      </c>
      <c r="I1905">
        <v>20361</v>
      </c>
      <c r="J1905">
        <v>164324</v>
      </c>
      <c r="K1905">
        <v>144198</v>
      </c>
      <c r="L1905">
        <v>139234</v>
      </c>
      <c r="M1905" t="str">
        <f t="shared" si="175"/>
        <v>Medium</v>
      </c>
      <c r="N1905">
        <f>VLOOKUP(C1905,Lookup!$A$2:$D$5,MATCH(M1905,Lookup!$A$1:$D$1,0),FALSE)</f>
        <v>0.08</v>
      </c>
      <c r="O1905">
        <f t="shared" si="176"/>
        <v>11138.72</v>
      </c>
      <c r="P1905" s="7">
        <f t="shared" si="177"/>
        <v>0.87751711547238709</v>
      </c>
      <c r="Q1905" s="7">
        <f t="shared" si="178"/>
        <v>6320.1923076923076</v>
      </c>
      <c r="R1905">
        <f t="shared" si="179"/>
        <v>1.8279479150207565</v>
      </c>
    </row>
    <row r="1906" spans="1:18" x14ac:dyDescent="0.25">
      <c r="A1906" t="s">
        <v>1085</v>
      </c>
      <c r="B1906" t="s">
        <v>1086</v>
      </c>
      <c r="C1906" t="s">
        <v>8</v>
      </c>
      <c r="D1906">
        <v>60941</v>
      </c>
      <c r="E1906" s="1">
        <v>44469</v>
      </c>
      <c r="F1906" s="2">
        <f t="shared" si="174"/>
        <v>2021</v>
      </c>
      <c r="G1906">
        <v>24</v>
      </c>
      <c r="H1906" s="3">
        <v>168892</v>
      </c>
      <c r="I1906">
        <v>20087</v>
      </c>
      <c r="J1906">
        <v>168892</v>
      </c>
      <c r="K1906">
        <v>148571</v>
      </c>
      <c r="L1906">
        <v>147673</v>
      </c>
      <c r="M1906" t="str">
        <f t="shared" si="175"/>
        <v>Medium</v>
      </c>
      <c r="N1906">
        <f>VLOOKUP(C1906,Lookup!$A$2:$D$5,MATCH(M1906,Lookup!$A$1:$D$1,0),FALSE)</f>
        <v>0.08</v>
      </c>
      <c r="O1906">
        <f t="shared" si="176"/>
        <v>11813.84</v>
      </c>
      <c r="P1906" s="7">
        <f t="shared" si="177"/>
        <v>0.87968050588541791</v>
      </c>
      <c r="Q1906" s="7">
        <f t="shared" si="178"/>
        <v>7037.166666666667</v>
      </c>
      <c r="R1906">
        <f t="shared" si="179"/>
        <v>1.7002938925869997</v>
      </c>
    </row>
    <row r="1907" spans="1:18" x14ac:dyDescent="0.25">
      <c r="A1907" t="s">
        <v>1087</v>
      </c>
      <c r="B1907" t="s">
        <v>28</v>
      </c>
      <c r="C1907" t="s">
        <v>8</v>
      </c>
      <c r="D1907">
        <v>60603</v>
      </c>
      <c r="E1907" s="1">
        <v>43738</v>
      </c>
      <c r="F1907" s="2">
        <f t="shared" si="174"/>
        <v>2019</v>
      </c>
      <c r="G1907">
        <v>200</v>
      </c>
      <c r="H1907" s="3">
        <v>2084538</v>
      </c>
      <c r="I1907">
        <v>145821</v>
      </c>
      <c r="J1907">
        <v>2084538</v>
      </c>
      <c r="K1907">
        <v>2084538</v>
      </c>
      <c r="L1907">
        <v>1483155</v>
      </c>
      <c r="M1907" t="str">
        <f t="shared" si="175"/>
        <v>Large</v>
      </c>
      <c r="N1907">
        <f>VLOOKUP(C1907,Lookup!$A$2:$D$5,MATCH(M1907,Lookup!$A$1:$D$1,0),FALSE)</f>
        <v>7.4999999999999997E-2</v>
      </c>
      <c r="O1907">
        <f t="shared" si="176"/>
        <v>111236.625</v>
      </c>
      <c r="P1907" s="7">
        <f t="shared" si="177"/>
        <v>1</v>
      </c>
      <c r="Q1907" s="7">
        <f t="shared" si="178"/>
        <v>10422.69</v>
      </c>
      <c r="R1907">
        <f t="shared" si="179"/>
        <v>1.3109081653637011</v>
      </c>
    </row>
    <row r="1908" spans="1:18" x14ac:dyDescent="0.25">
      <c r="A1908" t="s">
        <v>1087</v>
      </c>
      <c r="B1908" t="s">
        <v>16</v>
      </c>
      <c r="C1908" t="s">
        <v>17</v>
      </c>
      <c r="D1908">
        <v>10022</v>
      </c>
      <c r="E1908" s="1">
        <v>43738</v>
      </c>
      <c r="F1908" s="2">
        <f t="shared" si="174"/>
        <v>2019</v>
      </c>
      <c r="G1908">
        <v>356</v>
      </c>
      <c r="H1908" s="3">
        <v>9619142</v>
      </c>
      <c r="I1908">
        <v>552625</v>
      </c>
      <c r="J1908">
        <v>9619142</v>
      </c>
      <c r="K1908">
        <v>9619142</v>
      </c>
      <c r="L1908">
        <v>6594021</v>
      </c>
      <c r="M1908" t="str">
        <f t="shared" si="175"/>
        <v>Large</v>
      </c>
      <c r="N1908">
        <f>VLOOKUP(C1908,Lookup!$A$2:$D$5,MATCH(M1908,Lookup!$A$1:$D$1,0),FALSE)</f>
        <v>0.08</v>
      </c>
      <c r="O1908">
        <f t="shared" si="176"/>
        <v>527521.68000000005</v>
      </c>
      <c r="P1908" s="7">
        <f t="shared" si="177"/>
        <v>1</v>
      </c>
      <c r="Q1908" s="7">
        <f t="shared" si="178"/>
        <v>27020.061797752809</v>
      </c>
      <c r="R1908">
        <f t="shared" si="179"/>
        <v>1.0475872764129808</v>
      </c>
    </row>
    <row r="1909" spans="1:18" x14ac:dyDescent="0.25">
      <c r="A1909" t="s">
        <v>1087</v>
      </c>
      <c r="B1909" t="s">
        <v>28</v>
      </c>
      <c r="C1909" t="s">
        <v>8</v>
      </c>
      <c r="D1909">
        <v>60603</v>
      </c>
      <c r="E1909" s="1">
        <v>44104</v>
      </c>
      <c r="F1909" s="2">
        <f t="shared" si="174"/>
        <v>2020</v>
      </c>
      <c r="G1909">
        <v>30</v>
      </c>
      <c r="H1909" s="3">
        <v>1794345</v>
      </c>
      <c r="I1909">
        <v>48867</v>
      </c>
      <c r="J1909">
        <v>1794345</v>
      </c>
      <c r="K1909">
        <v>1794345</v>
      </c>
      <c r="L1909">
        <v>1045947</v>
      </c>
      <c r="M1909" t="str">
        <f t="shared" si="175"/>
        <v>Large</v>
      </c>
      <c r="N1909">
        <f>VLOOKUP(C1909,Lookup!$A$2:$D$5,MATCH(M1909,Lookup!$A$1:$D$1,0),FALSE)</f>
        <v>7.4999999999999997E-2</v>
      </c>
      <c r="O1909">
        <f t="shared" si="176"/>
        <v>78446.024999999994</v>
      </c>
      <c r="P1909" s="7">
        <f t="shared" si="177"/>
        <v>1</v>
      </c>
      <c r="Q1909" s="7">
        <f t="shared" si="178"/>
        <v>59811.5</v>
      </c>
      <c r="R1909">
        <f t="shared" si="179"/>
        <v>0.62293787352514041</v>
      </c>
    </row>
    <row r="1910" spans="1:18" x14ac:dyDescent="0.25">
      <c r="A1910" t="s">
        <v>1087</v>
      </c>
      <c r="B1910" t="s">
        <v>16</v>
      </c>
      <c r="C1910" t="s">
        <v>17</v>
      </c>
      <c r="D1910">
        <v>10022</v>
      </c>
      <c r="E1910" s="1">
        <v>44104</v>
      </c>
      <c r="F1910" s="2">
        <f t="shared" si="174"/>
        <v>2020</v>
      </c>
      <c r="G1910">
        <v>760</v>
      </c>
      <c r="H1910" s="3">
        <v>10025197</v>
      </c>
      <c r="I1910">
        <v>917083</v>
      </c>
      <c r="J1910">
        <v>10025197</v>
      </c>
      <c r="K1910">
        <v>10025197</v>
      </c>
      <c r="L1910">
        <v>7521063</v>
      </c>
      <c r="M1910" t="str">
        <f t="shared" si="175"/>
        <v>Large</v>
      </c>
      <c r="N1910">
        <f>VLOOKUP(C1910,Lookup!$A$2:$D$5,MATCH(M1910,Lookup!$A$1:$D$1,0),FALSE)</f>
        <v>0.08</v>
      </c>
      <c r="O1910">
        <f t="shared" si="176"/>
        <v>601685.04</v>
      </c>
      <c r="P1910" s="7">
        <f t="shared" si="177"/>
        <v>1</v>
      </c>
      <c r="Q1910" s="7">
        <f t="shared" si="178"/>
        <v>13191.048684210526</v>
      </c>
      <c r="R1910">
        <f t="shared" si="179"/>
        <v>1.5241911283019434</v>
      </c>
    </row>
    <row r="1911" spans="1:18" x14ac:dyDescent="0.25">
      <c r="A1911" t="s">
        <v>1087</v>
      </c>
      <c r="B1911" t="s">
        <v>28</v>
      </c>
      <c r="C1911" t="s">
        <v>8</v>
      </c>
      <c r="D1911">
        <v>60603</v>
      </c>
      <c r="E1911" s="1">
        <v>44469</v>
      </c>
      <c r="F1911" s="2">
        <f t="shared" si="174"/>
        <v>2021</v>
      </c>
      <c r="G1911">
        <v>167</v>
      </c>
      <c r="H1911" s="3">
        <v>2175115</v>
      </c>
      <c r="I1911">
        <v>6132</v>
      </c>
      <c r="J1911">
        <v>2175115</v>
      </c>
      <c r="K1911">
        <v>2175115</v>
      </c>
      <c r="L1911">
        <v>1091081</v>
      </c>
      <c r="M1911" t="str">
        <f t="shared" si="175"/>
        <v>Large</v>
      </c>
      <c r="N1911">
        <f>VLOOKUP(C1911,Lookup!$A$2:$D$5,MATCH(M1911,Lookup!$A$1:$D$1,0),FALSE)</f>
        <v>7.4999999999999997E-2</v>
      </c>
      <c r="O1911">
        <f t="shared" si="176"/>
        <v>81831.074999999997</v>
      </c>
      <c r="P1911" s="7">
        <f t="shared" si="177"/>
        <v>1</v>
      </c>
      <c r="Q1911" s="7">
        <f t="shared" si="178"/>
        <v>13024.640718562874</v>
      </c>
      <c r="R1911">
        <f t="shared" si="179"/>
        <v>7.4934858181931505E-2</v>
      </c>
    </row>
    <row r="1912" spans="1:18" x14ac:dyDescent="0.25">
      <c r="A1912" t="s">
        <v>1087</v>
      </c>
      <c r="B1912" t="s">
        <v>16</v>
      </c>
      <c r="C1912" t="s">
        <v>17</v>
      </c>
      <c r="D1912">
        <v>10022</v>
      </c>
      <c r="E1912" s="1">
        <v>44469</v>
      </c>
      <c r="F1912" s="2">
        <f t="shared" si="174"/>
        <v>2021</v>
      </c>
      <c r="G1912">
        <v>418</v>
      </c>
      <c r="H1912" s="3">
        <v>12544226</v>
      </c>
      <c r="I1912">
        <v>1621938</v>
      </c>
      <c r="J1912">
        <v>12544226</v>
      </c>
      <c r="K1912">
        <v>12544226</v>
      </c>
      <c r="L1912">
        <v>8666982</v>
      </c>
      <c r="M1912" t="str">
        <f t="shared" si="175"/>
        <v>Large</v>
      </c>
      <c r="N1912">
        <f>VLOOKUP(C1912,Lookup!$A$2:$D$5,MATCH(M1912,Lookup!$A$1:$D$1,0),FALSE)</f>
        <v>0.08</v>
      </c>
      <c r="O1912">
        <f t="shared" si="176"/>
        <v>693358.56</v>
      </c>
      <c r="P1912" s="7">
        <f t="shared" si="177"/>
        <v>1</v>
      </c>
      <c r="Q1912" s="7">
        <f t="shared" si="178"/>
        <v>30010.110047846891</v>
      </c>
      <c r="R1912">
        <f t="shared" si="179"/>
        <v>2.3392485411876933</v>
      </c>
    </row>
    <row r="1913" spans="1:18" x14ac:dyDescent="0.25">
      <c r="A1913" t="s">
        <v>1088</v>
      </c>
      <c r="B1913" t="s">
        <v>47</v>
      </c>
      <c r="C1913" t="s">
        <v>5</v>
      </c>
      <c r="D1913">
        <v>90017</v>
      </c>
      <c r="E1913" s="1">
        <v>43738</v>
      </c>
      <c r="F1913" s="2">
        <f t="shared" si="174"/>
        <v>2019</v>
      </c>
      <c r="G1913">
        <v>89</v>
      </c>
      <c r="H1913" s="3">
        <v>839421</v>
      </c>
      <c r="I1913">
        <v>54988</v>
      </c>
      <c r="J1913">
        <v>839421</v>
      </c>
      <c r="K1913">
        <v>697515</v>
      </c>
      <c r="L1913">
        <v>687278</v>
      </c>
      <c r="M1913" t="str">
        <f t="shared" si="175"/>
        <v>Medium</v>
      </c>
      <c r="N1913">
        <f>VLOOKUP(C1913,Lookup!$A$2:$D$5,MATCH(M1913,Lookup!$A$1:$D$1,0),FALSE)</f>
        <v>0.09</v>
      </c>
      <c r="O1913">
        <f t="shared" si="176"/>
        <v>61855.02</v>
      </c>
      <c r="P1913" s="7">
        <f t="shared" si="177"/>
        <v>0.83094776042057561</v>
      </c>
      <c r="Q1913" s="7">
        <f t="shared" si="178"/>
        <v>9431.6966292134839</v>
      </c>
      <c r="R1913">
        <f t="shared" si="179"/>
        <v>0.88898200986759046</v>
      </c>
    </row>
    <row r="1914" spans="1:18" x14ac:dyDescent="0.25">
      <c r="A1914" t="s">
        <v>1088</v>
      </c>
      <c r="B1914" t="s">
        <v>47</v>
      </c>
      <c r="C1914" t="s">
        <v>5</v>
      </c>
      <c r="D1914">
        <v>90017</v>
      </c>
      <c r="E1914" s="1">
        <v>44104</v>
      </c>
      <c r="F1914" s="2">
        <f t="shared" si="174"/>
        <v>2020</v>
      </c>
      <c r="G1914">
        <v>90</v>
      </c>
      <c r="H1914" s="3">
        <v>886657</v>
      </c>
      <c r="I1914">
        <v>50874</v>
      </c>
      <c r="J1914">
        <v>886657</v>
      </c>
      <c r="K1914">
        <v>735529</v>
      </c>
      <c r="L1914">
        <v>689529</v>
      </c>
      <c r="M1914" t="str">
        <f t="shared" si="175"/>
        <v>Medium</v>
      </c>
      <c r="N1914">
        <f>VLOOKUP(C1914,Lookup!$A$2:$D$5,MATCH(M1914,Lookup!$A$1:$D$1,0),FALSE)</f>
        <v>0.09</v>
      </c>
      <c r="O1914">
        <f t="shared" si="176"/>
        <v>62057.61</v>
      </c>
      <c r="P1914" s="7">
        <f t="shared" si="177"/>
        <v>0.829553028961594</v>
      </c>
      <c r="Q1914" s="7">
        <f t="shared" si="178"/>
        <v>9851.7444444444445</v>
      </c>
      <c r="R1914">
        <f t="shared" si="179"/>
        <v>0.81978664663366829</v>
      </c>
    </row>
    <row r="1915" spans="1:18" x14ac:dyDescent="0.25">
      <c r="A1915" t="s">
        <v>1088</v>
      </c>
      <c r="B1915" t="s">
        <v>47</v>
      </c>
      <c r="C1915" t="s">
        <v>5</v>
      </c>
      <c r="D1915">
        <v>90017</v>
      </c>
      <c r="E1915" s="1">
        <v>44469</v>
      </c>
      <c r="F1915" s="2">
        <f t="shared" si="174"/>
        <v>2021</v>
      </c>
      <c r="G1915">
        <v>89</v>
      </c>
      <c r="H1915" s="3">
        <v>891941</v>
      </c>
      <c r="I1915">
        <v>52862</v>
      </c>
      <c r="J1915">
        <v>891941</v>
      </c>
      <c r="K1915">
        <v>737575</v>
      </c>
      <c r="L1915">
        <v>734949</v>
      </c>
      <c r="M1915" t="str">
        <f t="shared" si="175"/>
        <v>Medium</v>
      </c>
      <c r="N1915">
        <f>VLOOKUP(C1915,Lookup!$A$2:$D$5,MATCH(M1915,Lookup!$A$1:$D$1,0),FALSE)</f>
        <v>0.09</v>
      </c>
      <c r="O1915">
        <f t="shared" si="176"/>
        <v>66145.41</v>
      </c>
      <c r="P1915" s="7">
        <f t="shared" si="177"/>
        <v>0.82693249889846976</v>
      </c>
      <c r="Q1915" s="7">
        <f t="shared" si="178"/>
        <v>10021.808988764045</v>
      </c>
      <c r="R1915">
        <f t="shared" si="179"/>
        <v>0.79917865805049815</v>
      </c>
    </row>
    <row r="1916" spans="1:18" x14ac:dyDescent="0.25">
      <c r="A1916" t="s">
        <v>1089</v>
      </c>
      <c r="B1916" t="s">
        <v>1090</v>
      </c>
      <c r="C1916" t="s">
        <v>8</v>
      </c>
      <c r="D1916">
        <v>61440</v>
      </c>
      <c r="E1916" s="1">
        <v>43738</v>
      </c>
      <c r="F1916" s="2">
        <f t="shared" si="174"/>
        <v>2019</v>
      </c>
      <c r="G1916">
        <v>8</v>
      </c>
      <c r="H1916" s="3">
        <v>51494</v>
      </c>
      <c r="I1916">
        <v>5490</v>
      </c>
      <c r="J1916">
        <v>51494</v>
      </c>
      <c r="K1916">
        <v>43490</v>
      </c>
      <c r="L1916">
        <v>43135</v>
      </c>
      <c r="M1916" t="str">
        <f t="shared" si="175"/>
        <v>Small</v>
      </c>
      <c r="N1916">
        <f>VLOOKUP(C1916,Lookup!$A$2:$D$5,MATCH(M1916,Lookup!$A$1:$D$1,0),FALSE)</f>
        <v>0.09</v>
      </c>
      <c r="O1916">
        <f t="shared" si="176"/>
        <v>3882.1499999999996</v>
      </c>
      <c r="P1916" s="7">
        <f t="shared" si="177"/>
        <v>0.84456441527168213</v>
      </c>
      <c r="Q1916" s="7">
        <f t="shared" si="178"/>
        <v>6436.75</v>
      </c>
      <c r="R1916">
        <f t="shared" si="179"/>
        <v>1.4141648313434567</v>
      </c>
    </row>
    <row r="1917" spans="1:18" x14ac:dyDescent="0.25">
      <c r="A1917" t="s">
        <v>1089</v>
      </c>
      <c r="B1917" t="s">
        <v>1090</v>
      </c>
      <c r="C1917" t="s">
        <v>8</v>
      </c>
      <c r="D1917">
        <v>61440</v>
      </c>
      <c r="E1917" s="1">
        <v>44104</v>
      </c>
      <c r="F1917" s="2">
        <f t="shared" si="174"/>
        <v>2020</v>
      </c>
      <c r="G1917">
        <v>8</v>
      </c>
      <c r="H1917" s="3">
        <v>54891</v>
      </c>
      <c r="I1917">
        <v>8294</v>
      </c>
      <c r="J1917">
        <v>54891</v>
      </c>
      <c r="K1917">
        <v>46516</v>
      </c>
      <c r="L1917">
        <v>46202</v>
      </c>
      <c r="M1917" t="str">
        <f t="shared" si="175"/>
        <v>Small</v>
      </c>
      <c r="N1917">
        <f>VLOOKUP(C1917,Lookup!$A$2:$D$5,MATCH(M1917,Lookup!$A$1:$D$1,0),FALSE)</f>
        <v>0.09</v>
      </c>
      <c r="O1917">
        <f t="shared" si="176"/>
        <v>4158.18</v>
      </c>
      <c r="P1917" s="7">
        <f t="shared" si="177"/>
        <v>0.84742489661328813</v>
      </c>
      <c r="Q1917" s="7">
        <f t="shared" si="178"/>
        <v>6861.375</v>
      </c>
      <c r="R1917">
        <f t="shared" si="179"/>
        <v>1.9946226474082409</v>
      </c>
    </row>
    <row r="1918" spans="1:18" x14ac:dyDescent="0.25">
      <c r="A1918" t="s">
        <v>1089</v>
      </c>
      <c r="B1918" t="s">
        <v>1090</v>
      </c>
      <c r="C1918" t="s">
        <v>8</v>
      </c>
      <c r="D1918">
        <v>61440</v>
      </c>
      <c r="E1918" s="1">
        <v>44469</v>
      </c>
      <c r="F1918" s="2">
        <f t="shared" si="174"/>
        <v>2021</v>
      </c>
      <c r="G1918">
        <v>8</v>
      </c>
      <c r="H1918" s="3">
        <v>53660</v>
      </c>
      <c r="I1918">
        <v>8376</v>
      </c>
      <c r="J1918">
        <v>53660</v>
      </c>
      <c r="K1918">
        <v>44965</v>
      </c>
      <c r="L1918">
        <v>44691</v>
      </c>
      <c r="M1918" t="str">
        <f t="shared" si="175"/>
        <v>Small</v>
      </c>
      <c r="N1918">
        <f>VLOOKUP(C1918,Lookup!$A$2:$D$5,MATCH(M1918,Lookup!$A$1:$D$1,0),FALSE)</f>
        <v>0.09</v>
      </c>
      <c r="O1918">
        <f t="shared" si="176"/>
        <v>4022.19</v>
      </c>
      <c r="P1918" s="7">
        <f t="shared" si="177"/>
        <v>0.83796123742079764</v>
      </c>
      <c r="Q1918" s="7">
        <f t="shared" si="178"/>
        <v>6707.5</v>
      </c>
      <c r="R1918">
        <f t="shared" si="179"/>
        <v>2.0824476218179648</v>
      </c>
    </row>
    <row r="1919" spans="1:18" x14ac:dyDescent="0.25">
      <c r="A1919" t="s">
        <v>1091</v>
      </c>
      <c r="B1919" t="s">
        <v>1092</v>
      </c>
      <c r="C1919" t="s">
        <v>8</v>
      </c>
      <c r="D1919">
        <v>62656</v>
      </c>
      <c r="E1919" s="1">
        <v>43738</v>
      </c>
      <c r="F1919" s="2">
        <f t="shared" si="174"/>
        <v>2019</v>
      </c>
      <c r="G1919">
        <v>81</v>
      </c>
      <c r="H1919" s="3">
        <v>344730</v>
      </c>
      <c r="I1919">
        <v>46576</v>
      </c>
      <c r="J1919">
        <v>344730</v>
      </c>
      <c r="K1919">
        <v>307557</v>
      </c>
      <c r="L1919">
        <v>306152</v>
      </c>
      <c r="M1919" t="str">
        <f t="shared" si="175"/>
        <v>Medium</v>
      </c>
      <c r="N1919">
        <f>VLOOKUP(C1919,Lookup!$A$2:$D$5,MATCH(M1919,Lookup!$A$1:$D$1,0),FALSE)</f>
        <v>0.08</v>
      </c>
      <c r="O1919">
        <f t="shared" si="176"/>
        <v>24492.16</v>
      </c>
      <c r="P1919" s="7">
        <f t="shared" si="177"/>
        <v>0.89216778348272563</v>
      </c>
      <c r="Q1919" s="7">
        <f t="shared" si="178"/>
        <v>4255.9259259259261</v>
      </c>
      <c r="R1919">
        <f t="shared" si="179"/>
        <v>1.9016697588126159</v>
      </c>
    </row>
    <row r="1920" spans="1:18" x14ac:dyDescent="0.25">
      <c r="A1920" t="s">
        <v>1091</v>
      </c>
      <c r="B1920" t="s">
        <v>1092</v>
      </c>
      <c r="C1920" t="s">
        <v>8</v>
      </c>
      <c r="D1920">
        <v>62656</v>
      </c>
      <c r="E1920" s="1">
        <v>44104</v>
      </c>
      <c r="F1920" s="2">
        <f t="shared" si="174"/>
        <v>2020</v>
      </c>
      <c r="G1920">
        <v>77</v>
      </c>
      <c r="H1920" s="3">
        <v>349362</v>
      </c>
      <c r="I1920">
        <v>45980</v>
      </c>
      <c r="J1920">
        <v>349362</v>
      </c>
      <c r="K1920">
        <v>312634</v>
      </c>
      <c r="L1920">
        <v>310034</v>
      </c>
      <c r="M1920" t="str">
        <f t="shared" si="175"/>
        <v>Medium</v>
      </c>
      <c r="N1920">
        <f>VLOOKUP(C1920,Lookup!$A$2:$D$5,MATCH(M1920,Lookup!$A$1:$D$1,0),FALSE)</f>
        <v>0.08</v>
      </c>
      <c r="O1920">
        <f t="shared" si="176"/>
        <v>24802.720000000001</v>
      </c>
      <c r="P1920" s="7">
        <f t="shared" si="177"/>
        <v>0.89487122239968853</v>
      </c>
      <c r="Q1920" s="7">
        <f t="shared" si="178"/>
        <v>4537.1688311688313</v>
      </c>
      <c r="R1920">
        <f t="shared" si="179"/>
        <v>1.853828934891012</v>
      </c>
    </row>
    <row r="1921" spans="1:18" x14ac:dyDescent="0.25">
      <c r="A1921" t="s">
        <v>1093</v>
      </c>
      <c r="B1921" t="s">
        <v>1094</v>
      </c>
      <c r="C1921" t="s">
        <v>8</v>
      </c>
      <c r="D1921">
        <v>62354</v>
      </c>
      <c r="E1921" s="1">
        <v>43738</v>
      </c>
      <c r="F1921" s="2">
        <f t="shared" si="174"/>
        <v>2019</v>
      </c>
      <c r="G1921">
        <v>8</v>
      </c>
      <c r="H1921" s="3">
        <v>33356</v>
      </c>
      <c r="I1921">
        <v>8112</v>
      </c>
      <c r="J1921">
        <v>33356</v>
      </c>
      <c r="K1921">
        <v>30498</v>
      </c>
      <c r="L1921">
        <v>30470</v>
      </c>
      <c r="M1921" t="str">
        <f t="shared" si="175"/>
        <v>Small</v>
      </c>
      <c r="N1921">
        <f>VLOOKUP(C1921,Lookup!$A$2:$D$5,MATCH(M1921,Lookup!$A$1:$D$1,0),FALSE)</f>
        <v>0.09</v>
      </c>
      <c r="O1921">
        <f t="shared" si="176"/>
        <v>2742.2999999999997</v>
      </c>
      <c r="P1921" s="7">
        <f t="shared" si="177"/>
        <v>0.91431826358076507</v>
      </c>
      <c r="Q1921" s="7">
        <f t="shared" si="178"/>
        <v>4169.5</v>
      </c>
      <c r="R1921">
        <f t="shared" si="179"/>
        <v>2.9581008642380486</v>
      </c>
    </row>
    <row r="1922" spans="1:18" x14ac:dyDescent="0.25">
      <c r="A1922" t="s">
        <v>1093</v>
      </c>
      <c r="B1922" t="s">
        <v>1094</v>
      </c>
      <c r="C1922" t="s">
        <v>8</v>
      </c>
      <c r="D1922">
        <v>62354</v>
      </c>
      <c r="E1922" s="1">
        <v>44104</v>
      </c>
      <c r="F1922" s="2">
        <f t="shared" ref="F1922:F1985" si="180">YEAR(E1922)</f>
        <v>2020</v>
      </c>
      <c r="G1922">
        <v>7</v>
      </c>
      <c r="H1922" s="3">
        <v>33195</v>
      </c>
      <c r="I1922">
        <v>8011</v>
      </c>
      <c r="J1922">
        <v>33195</v>
      </c>
      <c r="K1922">
        <v>30150</v>
      </c>
      <c r="L1922">
        <v>30121</v>
      </c>
      <c r="M1922" t="str">
        <f t="shared" ref="M1922:M1985" si="181">IF(H1922&gt;1000000,"Large",IF(H1922&lt;100000,"Small","Medium"))</f>
        <v>Small</v>
      </c>
      <c r="N1922">
        <f>VLOOKUP(C1922,Lookup!$A$2:$D$5,MATCH(M1922,Lookup!$A$1:$D$1,0),FALSE)</f>
        <v>0.09</v>
      </c>
      <c r="O1922">
        <f t="shared" ref="O1922:O1985" si="182">L1922*N1922</f>
        <v>2710.89</v>
      </c>
      <c r="P1922" s="7">
        <f t="shared" ref="P1922:P1985" si="183">K1922/H1922</f>
        <v>0.90826931766832353</v>
      </c>
      <c r="Q1922" s="7">
        <f t="shared" ref="Q1922:Q1985" si="184">H1922/G1922</f>
        <v>4742.1428571428569</v>
      </c>
      <c r="R1922">
        <f t="shared" ref="R1922:R1985" si="185">I1922/O1922</f>
        <v>2.9551180608582421</v>
      </c>
    </row>
    <row r="1923" spans="1:18" x14ac:dyDescent="0.25">
      <c r="A1923" t="s">
        <v>1093</v>
      </c>
      <c r="B1923" t="s">
        <v>1094</v>
      </c>
      <c r="C1923" t="s">
        <v>8</v>
      </c>
      <c r="D1923">
        <v>62354</v>
      </c>
      <c r="E1923" s="1">
        <v>44469</v>
      </c>
      <c r="F1923" s="2">
        <f t="shared" si="180"/>
        <v>2021</v>
      </c>
      <c r="G1923">
        <v>8</v>
      </c>
      <c r="H1923" s="3">
        <v>36944</v>
      </c>
      <c r="I1923">
        <v>13381</v>
      </c>
      <c r="J1923">
        <v>36944</v>
      </c>
      <c r="K1923">
        <v>33877</v>
      </c>
      <c r="L1923">
        <v>33847</v>
      </c>
      <c r="M1923" t="str">
        <f t="shared" si="181"/>
        <v>Small</v>
      </c>
      <c r="N1923">
        <f>VLOOKUP(C1923,Lookup!$A$2:$D$5,MATCH(M1923,Lookup!$A$1:$D$1,0),FALSE)</f>
        <v>0.09</v>
      </c>
      <c r="O1923">
        <f t="shared" si="182"/>
        <v>3046.23</v>
      </c>
      <c r="P1923" s="7">
        <f t="shared" si="183"/>
        <v>0.91698245993936767</v>
      </c>
      <c r="Q1923" s="7">
        <f t="shared" si="184"/>
        <v>4618</v>
      </c>
      <c r="R1923">
        <f t="shared" si="185"/>
        <v>4.3926427091847957</v>
      </c>
    </row>
    <row r="1924" spans="1:18" x14ac:dyDescent="0.25">
      <c r="A1924" t="s">
        <v>1095</v>
      </c>
      <c r="B1924" t="s">
        <v>1096</v>
      </c>
      <c r="C1924" t="s">
        <v>8</v>
      </c>
      <c r="D1924">
        <v>61769</v>
      </c>
      <c r="E1924" s="1">
        <v>43738</v>
      </c>
      <c r="F1924" s="2">
        <f t="shared" si="180"/>
        <v>2019</v>
      </c>
      <c r="G1924">
        <v>7</v>
      </c>
      <c r="H1924" s="3">
        <v>35240</v>
      </c>
      <c r="I1924">
        <v>4766</v>
      </c>
      <c r="J1924">
        <v>35240</v>
      </c>
      <c r="K1924">
        <v>31069</v>
      </c>
      <c r="L1924">
        <v>31001</v>
      </c>
      <c r="M1924" t="str">
        <f t="shared" si="181"/>
        <v>Small</v>
      </c>
      <c r="N1924">
        <f>VLOOKUP(C1924,Lookup!$A$2:$D$5,MATCH(M1924,Lookup!$A$1:$D$1,0),FALSE)</f>
        <v>0.09</v>
      </c>
      <c r="O1924">
        <f t="shared" si="182"/>
        <v>2790.0899999999997</v>
      </c>
      <c r="P1924" s="7">
        <f t="shared" si="183"/>
        <v>0.8816401816118048</v>
      </c>
      <c r="Q1924" s="7">
        <f t="shared" si="184"/>
        <v>5034.2857142857147</v>
      </c>
      <c r="R1924">
        <f t="shared" si="185"/>
        <v>1.708188624739704</v>
      </c>
    </row>
    <row r="1925" spans="1:18" x14ac:dyDescent="0.25">
      <c r="A1925" t="s">
        <v>1095</v>
      </c>
      <c r="B1925" t="s">
        <v>1096</v>
      </c>
      <c r="C1925" t="s">
        <v>8</v>
      </c>
      <c r="D1925">
        <v>61769</v>
      </c>
      <c r="E1925" s="1">
        <v>44104</v>
      </c>
      <c r="F1925" s="2">
        <f t="shared" si="180"/>
        <v>2020</v>
      </c>
      <c r="G1925">
        <v>7</v>
      </c>
      <c r="H1925" s="3">
        <v>38152</v>
      </c>
      <c r="I1925">
        <v>6369</v>
      </c>
      <c r="J1925">
        <v>38152</v>
      </c>
      <c r="K1925">
        <v>33458</v>
      </c>
      <c r="L1925">
        <v>33380</v>
      </c>
      <c r="M1925" t="str">
        <f t="shared" si="181"/>
        <v>Small</v>
      </c>
      <c r="N1925">
        <f>VLOOKUP(C1925,Lookup!$A$2:$D$5,MATCH(M1925,Lookup!$A$1:$D$1,0),FALSE)</f>
        <v>0.09</v>
      </c>
      <c r="O1925">
        <f t="shared" si="182"/>
        <v>3004.2</v>
      </c>
      <c r="P1925" s="7">
        <f t="shared" si="183"/>
        <v>0.87696582092681907</v>
      </c>
      <c r="Q1925" s="7">
        <f t="shared" si="184"/>
        <v>5450.2857142857147</v>
      </c>
      <c r="R1925">
        <f t="shared" si="185"/>
        <v>2.1200319552626326</v>
      </c>
    </row>
    <row r="1926" spans="1:18" x14ac:dyDescent="0.25">
      <c r="A1926" t="s">
        <v>1095</v>
      </c>
      <c r="B1926" t="s">
        <v>1096</v>
      </c>
      <c r="C1926" t="s">
        <v>8</v>
      </c>
      <c r="D1926">
        <v>61769</v>
      </c>
      <c r="E1926" s="1">
        <v>44469</v>
      </c>
      <c r="F1926" s="2">
        <f t="shared" si="180"/>
        <v>2021</v>
      </c>
      <c r="G1926">
        <v>7</v>
      </c>
      <c r="H1926" s="3">
        <v>40174</v>
      </c>
      <c r="I1926">
        <v>6001</v>
      </c>
      <c r="J1926">
        <v>40174</v>
      </c>
      <c r="K1926">
        <v>35213</v>
      </c>
      <c r="L1926">
        <v>35182</v>
      </c>
      <c r="M1926" t="str">
        <f t="shared" si="181"/>
        <v>Small</v>
      </c>
      <c r="N1926">
        <f>VLOOKUP(C1926,Lookup!$A$2:$D$5,MATCH(M1926,Lookup!$A$1:$D$1,0),FALSE)</f>
        <v>0.09</v>
      </c>
      <c r="O1926">
        <f t="shared" si="182"/>
        <v>3166.38</v>
      </c>
      <c r="P1926" s="7">
        <f t="shared" si="183"/>
        <v>0.87651217205157561</v>
      </c>
      <c r="Q1926" s="7">
        <f t="shared" si="184"/>
        <v>5739.1428571428569</v>
      </c>
      <c r="R1926">
        <f t="shared" si="185"/>
        <v>1.8952241992432999</v>
      </c>
    </row>
    <row r="1927" spans="1:18" x14ac:dyDescent="0.25">
      <c r="A1927" t="s">
        <v>1097</v>
      </c>
      <c r="B1927" t="s">
        <v>1098</v>
      </c>
      <c r="C1927" t="s">
        <v>8</v>
      </c>
      <c r="D1927">
        <v>62281</v>
      </c>
      <c r="E1927" s="1">
        <v>43738</v>
      </c>
      <c r="F1927" s="2">
        <f t="shared" si="180"/>
        <v>2019</v>
      </c>
      <c r="G1927">
        <v>10</v>
      </c>
      <c r="H1927" s="3">
        <v>65080</v>
      </c>
      <c r="I1927">
        <v>11855</v>
      </c>
      <c r="J1927">
        <v>65080</v>
      </c>
      <c r="K1927">
        <v>54261</v>
      </c>
      <c r="L1927">
        <v>54017</v>
      </c>
      <c r="M1927" t="str">
        <f t="shared" si="181"/>
        <v>Small</v>
      </c>
      <c r="N1927">
        <f>VLOOKUP(C1927,Lookup!$A$2:$D$5,MATCH(M1927,Lookup!$A$1:$D$1,0),FALSE)</f>
        <v>0.09</v>
      </c>
      <c r="O1927">
        <f t="shared" si="182"/>
        <v>4861.53</v>
      </c>
      <c r="P1927" s="7">
        <f t="shared" si="183"/>
        <v>0.83375845113706204</v>
      </c>
      <c r="Q1927" s="7">
        <f t="shared" si="184"/>
        <v>6508</v>
      </c>
      <c r="R1927">
        <f t="shared" si="185"/>
        <v>2.4385327252943005</v>
      </c>
    </row>
    <row r="1928" spans="1:18" x14ac:dyDescent="0.25">
      <c r="A1928" t="s">
        <v>1097</v>
      </c>
      <c r="B1928" t="s">
        <v>1098</v>
      </c>
      <c r="C1928" t="s">
        <v>8</v>
      </c>
      <c r="D1928">
        <v>62281</v>
      </c>
      <c r="E1928" s="1">
        <v>44104</v>
      </c>
      <c r="F1928" s="2">
        <f t="shared" si="180"/>
        <v>2020</v>
      </c>
      <c r="G1928">
        <v>11</v>
      </c>
      <c r="H1928" s="3">
        <v>71303</v>
      </c>
      <c r="I1928">
        <v>14253</v>
      </c>
      <c r="J1928">
        <v>71303</v>
      </c>
      <c r="K1928">
        <v>59758</v>
      </c>
      <c r="L1928">
        <v>59568</v>
      </c>
      <c r="M1928" t="str">
        <f t="shared" si="181"/>
        <v>Small</v>
      </c>
      <c r="N1928">
        <f>VLOOKUP(C1928,Lookup!$A$2:$D$5,MATCH(M1928,Lookup!$A$1:$D$1,0),FALSE)</f>
        <v>0.09</v>
      </c>
      <c r="O1928">
        <f t="shared" si="182"/>
        <v>5361.12</v>
      </c>
      <c r="P1928" s="7">
        <f t="shared" si="183"/>
        <v>0.83808535405242413</v>
      </c>
      <c r="Q1928" s="7">
        <f t="shared" si="184"/>
        <v>6482.090909090909</v>
      </c>
      <c r="R1928">
        <f t="shared" si="185"/>
        <v>2.6585862655564512</v>
      </c>
    </row>
    <row r="1929" spans="1:18" x14ac:dyDescent="0.25">
      <c r="A1929" t="s">
        <v>1097</v>
      </c>
      <c r="B1929" t="s">
        <v>1098</v>
      </c>
      <c r="C1929" t="s">
        <v>8</v>
      </c>
      <c r="D1929">
        <v>62281</v>
      </c>
      <c r="E1929" s="1">
        <v>44469</v>
      </c>
      <c r="F1929" s="2">
        <f t="shared" si="180"/>
        <v>2021</v>
      </c>
      <c r="G1929">
        <v>10</v>
      </c>
      <c r="H1929" s="3">
        <v>81571</v>
      </c>
      <c r="I1929">
        <v>12052</v>
      </c>
      <c r="J1929">
        <v>81571</v>
      </c>
      <c r="K1929">
        <v>70072</v>
      </c>
      <c r="L1929">
        <v>69919</v>
      </c>
      <c r="M1929" t="str">
        <f t="shared" si="181"/>
        <v>Small</v>
      </c>
      <c r="N1929">
        <f>VLOOKUP(C1929,Lookup!$A$2:$D$5,MATCH(M1929,Lookup!$A$1:$D$1,0),FALSE)</f>
        <v>0.09</v>
      </c>
      <c r="O1929">
        <f t="shared" si="182"/>
        <v>6292.71</v>
      </c>
      <c r="P1929" s="7">
        <f t="shared" si="183"/>
        <v>0.85903078299885993</v>
      </c>
      <c r="Q1929" s="7">
        <f t="shared" si="184"/>
        <v>8157.1</v>
      </c>
      <c r="R1929">
        <f t="shared" si="185"/>
        <v>1.9152320701255898</v>
      </c>
    </row>
    <row r="1930" spans="1:18" x14ac:dyDescent="0.25">
      <c r="A1930" t="s">
        <v>1099</v>
      </c>
      <c r="B1930" t="s">
        <v>1100</v>
      </c>
      <c r="C1930" t="s">
        <v>8</v>
      </c>
      <c r="D1930">
        <v>60002</v>
      </c>
      <c r="E1930" s="1">
        <v>43738</v>
      </c>
      <c r="F1930" s="2">
        <f t="shared" si="180"/>
        <v>2019</v>
      </c>
      <c r="G1930">
        <v>90</v>
      </c>
      <c r="H1930" s="3">
        <v>1321022</v>
      </c>
      <c r="I1930">
        <v>92691</v>
      </c>
      <c r="J1930">
        <v>1321022</v>
      </c>
      <c r="K1930">
        <v>1148132</v>
      </c>
      <c r="L1930">
        <v>1115388</v>
      </c>
      <c r="M1930" t="str">
        <f t="shared" si="181"/>
        <v>Large</v>
      </c>
      <c r="N1930">
        <f>VLOOKUP(C1930,Lookup!$A$2:$D$5,MATCH(M1930,Lookup!$A$1:$D$1,0),FALSE)</f>
        <v>7.4999999999999997E-2</v>
      </c>
      <c r="O1930">
        <f t="shared" si="182"/>
        <v>83654.099999999991</v>
      </c>
      <c r="P1930" s="7">
        <f t="shared" si="183"/>
        <v>0.86912405698012596</v>
      </c>
      <c r="Q1930" s="7">
        <f t="shared" si="184"/>
        <v>14678.022222222222</v>
      </c>
      <c r="R1930">
        <f t="shared" si="185"/>
        <v>1.1080269825388118</v>
      </c>
    </row>
    <row r="1931" spans="1:18" x14ac:dyDescent="0.25">
      <c r="A1931" t="s">
        <v>1379</v>
      </c>
      <c r="B1931" t="s">
        <v>1100</v>
      </c>
      <c r="C1931" t="s">
        <v>8</v>
      </c>
      <c r="D1931">
        <v>60002</v>
      </c>
      <c r="E1931" s="1">
        <v>44104</v>
      </c>
      <c r="F1931" s="2">
        <f t="shared" si="180"/>
        <v>2020</v>
      </c>
      <c r="G1931">
        <v>89</v>
      </c>
      <c r="H1931" s="3">
        <v>1538380</v>
      </c>
      <c r="I1931">
        <v>212671</v>
      </c>
      <c r="J1931">
        <v>1538380</v>
      </c>
      <c r="K1931">
        <v>1361574</v>
      </c>
      <c r="L1931">
        <v>1323596</v>
      </c>
      <c r="M1931" t="str">
        <f t="shared" si="181"/>
        <v>Large</v>
      </c>
      <c r="N1931">
        <f>VLOOKUP(C1931,Lookup!$A$2:$D$5,MATCH(M1931,Lookup!$A$1:$D$1,0),FALSE)</f>
        <v>7.4999999999999997E-2</v>
      </c>
      <c r="O1931">
        <f t="shared" si="182"/>
        <v>99269.7</v>
      </c>
      <c r="P1931" s="7">
        <f t="shared" si="183"/>
        <v>0.88507000871046171</v>
      </c>
      <c r="Q1931" s="7">
        <f t="shared" si="184"/>
        <v>17285.168539325841</v>
      </c>
      <c r="R1931">
        <f t="shared" si="185"/>
        <v>2.1423556231156136</v>
      </c>
    </row>
    <row r="1932" spans="1:18" x14ac:dyDescent="0.25">
      <c r="A1932" t="s">
        <v>1379</v>
      </c>
      <c r="B1932" t="s">
        <v>1100</v>
      </c>
      <c r="C1932" t="s">
        <v>8</v>
      </c>
      <c r="D1932">
        <v>60002</v>
      </c>
      <c r="E1932" s="1">
        <v>44469</v>
      </c>
      <c r="F1932" s="2">
        <f t="shared" si="180"/>
        <v>2021</v>
      </c>
      <c r="G1932">
        <v>88</v>
      </c>
      <c r="H1932" s="3">
        <v>1669504</v>
      </c>
      <c r="I1932">
        <v>267212</v>
      </c>
      <c r="J1932">
        <v>1669504</v>
      </c>
      <c r="K1932">
        <v>1479229</v>
      </c>
      <c r="L1932">
        <v>1442333</v>
      </c>
      <c r="M1932" t="str">
        <f t="shared" si="181"/>
        <v>Large</v>
      </c>
      <c r="N1932">
        <f>VLOOKUP(C1932,Lookup!$A$2:$D$5,MATCH(M1932,Lookup!$A$1:$D$1,0),FALSE)</f>
        <v>7.4999999999999997E-2</v>
      </c>
      <c r="O1932">
        <f t="shared" si="182"/>
        <v>108174.97499999999</v>
      </c>
      <c r="P1932" s="7">
        <f t="shared" si="183"/>
        <v>0.88602902418922025</v>
      </c>
      <c r="Q1932" s="7">
        <f t="shared" si="184"/>
        <v>18971.636363636364</v>
      </c>
      <c r="R1932">
        <f t="shared" si="185"/>
        <v>2.4701831454086309</v>
      </c>
    </row>
    <row r="1933" spans="1:18" x14ac:dyDescent="0.25">
      <c r="A1933" t="s">
        <v>1101</v>
      </c>
      <c r="B1933" t="s">
        <v>1102</v>
      </c>
      <c r="C1933" t="s">
        <v>8</v>
      </c>
      <c r="D1933">
        <v>61483</v>
      </c>
      <c r="E1933" s="1">
        <v>43738</v>
      </c>
      <c r="F1933" s="2">
        <f t="shared" si="180"/>
        <v>2019</v>
      </c>
      <c r="G1933">
        <v>42</v>
      </c>
      <c r="H1933" s="3">
        <v>229145</v>
      </c>
      <c r="I1933">
        <v>12325</v>
      </c>
      <c r="J1933">
        <v>229145</v>
      </c>
      <c r="K1933">
        <v>202186</v>
      </c>
      <c r="L1933">
        <v>189484</v>
      </c>
      <c r="M1933" t="str">
        <f t="shared" si="181"/>
        <v>Medium</v>
      </c>
      <c r="N1933">
        <f>VLOOKUP(C1933,Lookup!$A$2:$D$5,MATCH(M1933,Lookup!$A$1:$D$1,0),FALSE)</f>
        <v>0.08</v>
      </c>
      <c r="O1933">
        <f t="shared" si="182"/>
        <v>15158.720000000001</v>
      </c>
      <c r="P1933" s="7">
        <f t="shared" si="183"/>
        <v>0.88234960396255646</v>
      </c>
      <c r="Q1933" s="7">
        <f t="shared" si="184"/>
        <v>5455.833333333333</v>
      </c>
      <c r="R1933">
        <f t="shared" si="185"/>
        <v>0.81306337210529644</v>
      </c>
    </row>
    <row r="1934" spans="1:18" x14ac:dyDescent="0.25">
      <c r="A1934" t="s">
        <v>1101</v>
      </c>
      <c r="B1934" t="s">
        <v>1102</v>
      </c>
      <c r="C1934" t="s">
        <v>8</v>
      </c>
      <c r="D1934">
        <v>61483</v>
      </c>
      <c r="E1934" s="1">
        <v>44104</v>
      </c>
      <c r="F1934" s="2">
        <f t="shared" si="180"/>
        <v>2020</v>
      </c>
      <c r="G1934">
        <v>42</v>
      </c>
      <c r="H1934" s="3">
        <v>262645</v>
      </c>
      <c r="I1934">
        <v>10298</v>
      </c>
      <c r="J1934">
        <v>262645</v>
      </c>
      <c r="K1934">
        <v>232544</v>
      </c>
      <c r="L1934">
        <v>216055</v>
      </c>
      <c r="M1934" t="str">
        <f t="shared" si="181"/>
        <v>Medium</v>
      </c>
      <c r="N1934">
        <f>VLOOKUP(C1934,Lookup!$A$2:$D$5,MATCH(M1934,Lookup!$A$1:$D$1,0),FALSE)</f>
        <v>0.08</v>
      </c>
      <c r="O1934">
        <f t="shared" si="182"/>
        <v>17284.400000000001</v>
      </c>
      <c r="P1934" s="7">
        <f t="shared" si="183"/>
        <v>0.88539283062689178</v>
      </c>
      <c r="Q1934" s="7">
        <f t="shared" si="184"/>
        <v>6253.4523809523807</v>
      </c>
      <c r="R1934">
        <f t="shared" si="185"/>
        <v>0.59579736641133041</v>
      </c>
    </row>
    <row r="1935" spans="1:18" x14ac:dyDescent="0.25">
      <c r="A1935" t="s">
        <v>1101</v>
      </c>
      <c r="B1935" t="s">
        <v>1102</v>
      </c>
      <c r="C1935" t="s">
        <v>8</v>
      </c>
      <c r="D1935">
        <v>61483</v>
      </c>
      <c r="E1935" s="1">
        <v>44469</v>
      </c>
      <c r="F1935" s="2">
        <f t="shared" si="180"/>
        <v>2021</v>
      </c>
      <c r="G1935">
        <v>43</v>
      </c>
      <c r="H1935" s="3">
        <v>299485</v>
      </c>
      <c r="I1935">
        <v>12605</v>
      </c>
      <c r="J1935">
        <v>299485</v>
      </c>
      <c r="K1935">
        <v>267502</v>
      </c>
      <c r="L1935">
        <v>254669</v>
      </c>
      <c r="M1935" t="str">
        <f t="shared" si="181"/>
        <v>Medium</v>
      </c>
      <c r="N1935">
        <f>VLOOKUP(C1935,Lookup!$A$2:$D$5,MATCH(M1935,Lookup!$A$1:$D$1,0),FALSE)</f>
        <v>0.08</v>
      </c>
      <c r="O1935">
        <f t="shared" si="182"/>
        <v>20373.52</v>
      </c>
      <c r="P1935" s="7">
        <f t="shared" si="183"/>
        <v>0.89320667145266042</v>
      </c>
      <c r="Q1935" s="7">
        <f t="shared" si="184"/>
        <v>6964.7674418604647</v>
      </c>
      <c r="R1935">
        <f t="shared" si="185"/>
        <v>0.6186952475566323</v>
      </c>
    </row>
    <row r="1936" spans="1:18" x14ac:dyDescent="0.25">
      <c r="A1936" t="s">
        <v>1103</v>
      </c>
      <c r="B1936" t="s">
        <v>548</v>
      </c>
      <c r="C1936" t="s">
        <v>8</v>
      </c>
      <c r="D1936">
        <v>62298</v>
      </c>
      <c r="E1936" s="1">
        <v>43738</v>
      </c>
      <c r="F1936" s="2">
        <f t="shared" si="180"/>
        <v>2019</v>
      </c>
      <c r="G1936">
        <v>41</v>
      </c>
      <c r="H1936" s="3">
        <v>190275</v>
      </c>
      <c r="I1936">
        <v>27982</v>
      </c>
      <c r="J1936">
        <v>190275</v>
      </c>
      <c r="K1936">
        <v>174088</v>
      </c>
      <c r="L1936">
        <v>145709</v>
      </c>
      <c r="M1936" t="str">
        <f t="shared" si="181"/>
        <v>Medium</v>
      </c>
      <c r="N1936">
        <f>VLOOKUP(C1936,Lookup!$A$2:$D$5,MATCH(M1936,Lookup!$A$1:$D$1,0),FALSE)</f>
        <v>0.08</v>
      </c>
      <c r="O1936">
        <f t="shared" si="182"/>
        <v>11656.72</v>
      </c>
      <c r="P1936" s="7">
        <f t="shared" si="183"/>
        <v>0.914928393115228</v>
      </c>
      <c r="Q1936" s="7">
        <f t="shared" si="184"/>
        <v>4640.8536585365855</v>
      </c>
      <c r="R1936">
        <f t="shared" si="185"/>
        <v>2.4005037437632541</v>
      </c>
    </row>
    <row r="1937" spans="1:18" x14ac:dyDescent="0.25">
      <c r="A1937" t="s">
        <v>1104</v>
      </c>
      <c r="B1937" t="s">
        <v>1105</v>
      </c>
      <c r="C1937" t="s">
        <v>8</v>
      </c>
      <c r="D1937">
        <v>62812</v>
      </c>
      <c r="E1937" s="1">
        <v>43738</v>
      </c>
      <c r="F1937" s="2">
        <f t="shared" si="180"/>
        <v>2019</v>
      </c>
      <c r="G1937">
        <v>41</v>
      </c>
      <c r="H1937" s="3">
        <v>132991</v>
      </c>
      <c r="I1937">
        <v>8304</v>
      </c>
      <c r="J1937">
        <v>132991</v>
      </c>
      <c r="K1937">
        <v>118320</v>
      </c>
      <c r="L1937">
        <v>117367</v>
      </c>
      <c r="M1937" t="str">
        <f t="shared" si="181"/>
        <v>Medium</v>
      </c>
      <c r="N1937">
        <f>VLOOKUP(C1937,Lookup!$A$2:$D$5,MATCH(M1937,Lookup!$A$1:$D$1,0),FALSE)</f>
        <v>0.08</v>
      </c>
      <c r="O1937">
        <f t="shared" si="182"/>
        <v>9389.36</v>
      </c>
      <c r="P1937" s="7">
        <f t="shared" si="183"/>
        <v>0.88968426434871528</v>
      </c>
      <c r="Q1937" s="7">
        <f t="shared" si="184"/>
        <v>3243.6829268292681</v>
      </c>
      <c r="R1937">
        <f t="shared" si="185"/>
        <v>0.88440532688063933</v>
      </c>
    </row>
    <row r="1938" spans="1:18" x14ac:dyDescent="0.25">
      <c r="A1938" t="s">
        <v>1104</v>
      </c>
      <c r="B1938" t="s">
        <v>1105</v>
      </c>
      <c r="C1938" t="s">
        <v>8</v>
      </c>
      <c r="D1938">
        <v>62812</v>
      </c>
      <c r="E1938" s="1">
        <v>44104</v>
      </c>
      <c r="F1938" s="2">
        <f t="shared" si="180"/>
        <v>2020</v>
      </c>
      <c r="G1938">
        <v>45</v>
      </c>
      <c r="H1938" s="3">
        <v>146091</v>
      </c>
      <c r="I1938">
        <v>13411</v>
      </c>
      <c r="J1938">
        <v>146091</v>
      </c>
      <c r="K1938">
        <v>129888</v>
      </c>
      <c r="L1938">
        <v>128821</v>
      </c>
      <c r="M1938" t="str">
        <f t="shared" si="181"/>
        <v>Medium</v>
      </c>
      <c r="N1938">
        <f>VLOOKUP(C1938,Lookup!$A$2:$D$5,MATCH(M1938,Lookup!$A$1:$D$1,0),FALSE)</f>
        <v>0.08</v>
      </c>
      <c r="O1938">
        <f t="shared" si="182"/>
        <v>10305.68</v>
      </c>
      <c r="P1938" s="7">
        <f t="shared" si="183"/>
        <v>0.88908967698215491</v>
      </c>
      <c r="Q1938" s="7">
        <f t="shared" si="184"/>
        <v>3246.4666666666667</v>
      </c>
      <c r="R1938">
        <f t="shared" si="185"/>
        <v>1.3013212131562399</v>
      </c>
    </row>
    <row r="1939" spans="1:18" x14ac:dyDescent="0.25">
      <c r="A1939" t="s">
        <v>1104</v>
      </c>
      <c r="B1939" t="s">
        <v>1105</v>
      </c>
      <c r="C1939" t="s">
        <v>8</v>
      </c>
      <c r="D1939">
        <v>62812</v>
      </c>
      <c r="E1939" s="1">
        <v>44469</v>
      </c>
      <c r="F1939" s="2">
        <f t="shared" si="180"/>
        <v>2021</v>
      </c>
      <c r="G1939">
        <v>45</v>
      </c>
      <c r="H1939" s="3">
        <v>163586</v>
      </c>
      <c r="I1939">
        <v>16396</v>
      </c>
      <c r="J1939">
        <v>163586</v>
      </c>
      <c r="K1939">
        <v>147119</v>
      </c>
      <c r="L1939">
        <v>146185</v>
      </c>
      <c r="M1939" t="str">
        <f t="shared" si="181"/>
        <v>Medium</v>
      </c>
      <c r="N1939">
        <f>VLOOKUP(C1939,Lookup!$A$2:$D$5,MATCH(M1939,Lookup!$A$1:$D$1,0),FALSE)</f>
        <v>0.08</v>
      </c>
      <c r="O1939">
        <f t="shared" si="182"/>
        <v>11694.800000000001</v>
      </c>
      <c r="P1939" s="7">
        <f t="shared" si="183"/>
        <v>0.89933735160710571</v>
      </c>
      <c r="Q1939" s="7">
        <f t="shared" si="184"/>
        <v>3635.2444444444445</v>
      </c>
      <c r="R1939">
        <f t="shared" si="185"/>
        <v>1.4019906283134382</v>
      </c>
    </row>
    <row r="1940" spans="1:18" x14ac:dyDescent="0.25">
      <c r="A1940" t="s">
        <v>1106</v>
      </c>
      <c r="B1940" t="s">
        <v>378</v>
      </c>
      <c r="C1940" t="s">
        <v>8</v>
      </c>
      <c r="D1940">
        <v>61710</v>
      </c>
      <c r="E1940" s="1">
        <v>43738</v>
      </c>
      <c r="F1940" s="2">
        <f t="shared" si="180"/>
        <v>2019</v>
      </c>
      <c r="G1940">
        <v>1589</v>
      </c>
      <c r="H1940" s="3">
        <v>15959138</v>
      </c>
      <c r="I1940">
        <v>354064</v>
      </c>
      <c r="J1940">
        <v>15959138</v>
      </c>
      <c r="K1940">
        <v>14023768</v>
      </c>
      <c r="L1940">
        <v>11014830</v>
      </c>
      <c r="M1940" t="str">
        <f t="shared" si="181"/>
        <v>Large</v>
      </c>
      <c r="N1940">
        <f>VLOOKUP(C1940,Lookup!$A$2:$D$5,MATCH(M1940,Lookup!$A$1:$D$1,0),FALSE)</f>
        <v>7.4999999999999997E-2</v>
      </c>
      <c r="O1940">
        <f t="shared" si="182"/>
        <v>826112.25</v>
      </c>
      <c r="P1940" s="7">
        <f t="shared" si="183"/>
        <v>0.87872966572505362</v>
      </c>
      <c r="Q1940" s="7">
        <f t="shared" si="184"/>
        <v>10043.510383889239</v>
      </c>
      <c r="R1940">
        <f t="shared" si="185"/>
        <v>0.42859066670419182</v>
      </c>
    </row>
    <row r="1941" spans="1:18" x14ac:dyDescent="0.25">
      <c r="A1941" t="s">
        <v>1106</v>
      </c>
      <c r="B1941" t="s">
        <v>378</v>
      </c>
      <c r="C1941" t="s">
        <v>8</v>
      </c>
      <c r="D1941">
        <v>61710</v>
      </c>
      <c r="E1941" s="1">
        <v>44104</v>
      </c>
      <c r="F1941" s="2">
        <f t="shared" si="180"/>
        <v>2020</v>
      </c>
      <c r="G1941">
        <v>892</v>
      </c>
      <c r="H1941" s="3">
        <v>12285312</v>
      </c>
      <c r="I1941">
        <v>10309195</v>
      </c>
      <c r="J1941">
        <v>12285312</v>
      </c>
      <c r="K1941">
        <v>10544522</v>
      </c>
      <c r="L1941">
        <v>10144754</v>
      </c>
      <c r="M1941" t="str">
        <f t="shared" si="181"/>
        <v>Large</v>
      </c>
      <c r="N1941">
        <f>VLOOKUP(C1941,Lookup!$A$2:$D$5,MATCH(M1941,Lookup!$A$1:$D$1,0),FALSE)</f>
        <v>7.4999999999999997E-2</v>
      </c>
      <c r="O1941">
        <f t="shared" si="182"/>
        <v>760856.54999999993</v>
      </c>
      <c r="P1941" s="7">
        <f t="shared" si="183"/>
        <v>0.8583031509496869</v>
      </c>
      <c r="Q1941" s="7">
        <f t="shared" si="184"/>
        <v>13772.77130044843</v>
      </c>
      <c r="R1941">
        <f t="shared" si="185"/>
        <v>13.549459487468434</v>
      </c>
    </row>
    <row r="1942" spans="1:18" x14ac:dyDescent="0.25">
      <c r="A1942" t="s">
        <v>1107</v>
      </c>
      <c r="B1942" t="s">
        <v>26</v>
      </c>
      <c r="C1942" t="s">
        <v>20</v>
      </c>
      <c r="D1942">
        <v>2111</v>
      </c>
      <c r="E1942" s="1">
        <v>43738</v>
      </c>
      <c r="F1942" s="2">
        <f t="shared" si="180"/>
        <v>2019</v>
      </c>
      <c r="G1942">
        <v>30915</v>
      </c>
      <c r="H1942" s="3">
        <v>241364000</v>
      </c>
      <c r="I1942">
        <v>65283000</v>
      </c>
      <c r="J1942">
        <v>241364000</v>
      </c>
      <c r="K1942">
        <v>215039000</v>
      </c>
      <c r="L1942">
        <v>176022000</v>
      </c>
      <c r="M1942" t="str">
        <f t="shared" si="181"/>
        <v>Large</v>
      </c>
      <c r="N1942">
        <f>VLOOKUP(C1942,Lookup!$A$2:$D$5,MATCH(M1942,Lookup!$A$1:$D$1,0),FALSE)</f>
        <v>0.08</v>
      </c>
      <c r="O1942">
        <f t="shared" si="182"/>
        <v>14081760</v>
      </c>
      <c r="P1942" s="7">
        <f t="shared" si="183"/>
        <v>0.89093236771018047</v>
      </c>
      <c r="Q1942" s="7">
        <f t="shared" si="184"/>
        <v>7807.3427138929319</v>
      </c>
      <c r="R1942">
        <f t="shared" si="185"/>
        <v>4.635997204894843</v>
      </c>
    </row>
    <row r="1943" spans="1:18" x14ac:dyDescent="0.25">
      <c r="A1943" t="s">
        <v>1107</v>
      </c>
      <c r="B1943" t="s">
        <v>325</v>
      </c>
      <c r="C1943" t="s">
        <v>8</v>
      </c>
      <c r="D1943">
        <v>62301</v>
      </c>
      <c r="E1943" s="1">
        <v>43738</v>
      </c>
      <c r="F1943" s="2">
        <f t="shared" si="180"/>
        <v>2019</v>
      </c>
      <c r="G1943">
        <v>62</v>
      </c>
      <c r="H1943" s="3">
        <v>224381</v>
      </c>
      <c r="I1943">
        <v>13793</v>
      </c>
      <c r="J1943">
        <v>224381</v>
      </c>
      <c r="K1943">
        <v>202734</v>
      </c>
      <c r="L1943">
        <v>202136</v>
      </c>
      <c r="M1943" t="str">
        <f t="shared" si="181"/>
        <v>Medium</v>
      </c>
      <c r="N1943">
        <f>VLOOKUP(C1943,Lookup!$A$2:$D$5,MATCH(M1943,Lookup!$A$1:$D$1,0),FALSE)</f>
        <v>0.08</v>
      </c>
      <c r="O1943">
        <f t="shared" si="182"/>
        <v>16170.880000000001</v>
      </c>
      <c r="P1943" s="7">
        <f t="shared" si="183"/>
        <v>0.90352569959132012</v>
      </c>
      <c r="Q1943" s="7">
        <f t="shared" si="184"/>
        <v>3619.0483870967741</v>
      </c>
      <c r="R1943">
        <f t="shared" si="185"/>
        <v>0.85295296236197404</v>
      </c>
    </row>
    <row r="1944" spans="1:18" x14ac:dyDescent="0.25">
      <c r="A1944" t="s">
        <v>1107</v>
      </c>
      <c r="B1944" t="s">
        <v>26</v>
      </c>
      <c r="C1944" t="s">
        <v>20</v>
      </c>
      <c r="D1944">
        <v>2111</v>
      </c>
      <c r="E1944" s="1">
        <v>44104</v>
      </c>
      <c r="F1944" s="2">
        <f t="shared" si="180"/>
        <v>2020</v>
      </c>
      <c r="G1944">
        <v>30040</v>
      </c>
      <c r="H1944" s="3">
        <v>268733000</v>
      </c>
      <c r="I1944">
        <v>83710000</v>
      </c>
      <c r="J1944">
        <v>268733000</v>
      </c>
      <c r="K1944">
        <v>242327000</v>
      </c>
      <c r="L1944">
        <v>203511000</v>
      </c>
      <c r="M1944" t="str">
        <f t="shared" si="181"/>
        <v>Large</v>
      </c>
      <c r="N1944">
        <f>VLOOKUP(C1944,Lookup!$A$2:$D$5,MATCH(M1944,Lookup!$A$1:$D$1,0),FALSE)</f>
        <v>0.08</v>
      </c>
      <c r="O1944">
        <f t="shared" si="182"/>
        <v>16280880</v>
      </c>
      <c r="P1944" s="7">
        <f t="shared" si="183"/>
        <v>0.90173890069325313</v>
      </c>
      <c r="Q1944" s="7">
        <f t="shared" si="184"/>
        <v>8945.8388814913451</v>
      </c>
      <c r="R1944">
        <f t="shared" si="185"/>
        <v>5.1416139668126046</v>
      </c>
    </row>
    <row r="1945" spans="1:18" x14ac:dyDescent="0.25">
      <c r="A1945" t="s">
        <v>1107</v>
      </c>
      <c r="B1945" t="s">
        <v>325</v>
      </c>
      <c r="C1945" t="s">
        <v>8</v>
      </c>
      <c r="D1945">
        <v>62301</v>
      </c>
      <c r="E1945" s="1">
        <v>44104</v>
      </c>
      <c r="F1945" s="2">
        <f t="shared" si="180"/>
        <v>2020</v>
      </c>
      <c r="G1945">
        <v>64</v>
      </c>
      <c r="H1945" s="3">
        <v>266360</v>
      </c>
      <c r="I1945">
        <v>33225</v>
      </c>
      <c r="J1945">
        <v>266360</v>
      </c>
      <c r="K1945">
        <v>241814</v>
      </c>
      <c r="L1945">
        <v>236455</v>
      </c>
      <c r="M1945" t="str">
        <f t="shared" si="181"/>
        <v>Medium</v>
      </c>
      <c r="N1945">
        <f>VLOOKUP(C1945,Lookup!$A$2:$D$5,MATCH(M1945,Lookup!$A$1:$D$1,0),FALSE)</f>
        <v>0.08</v>
      </c>
      <c r="O1945">
        <f t="shared" si="182"/>
        <v>18916.400000000001</v>
      </c>
      <c r="P1945" s="7">
        <f t="shared" si="183"/>
        <v>0.90784652350202732</v>
      </c>
      <c r="Q1945" s="7">
        <f t="shared" si="184"/>
        <v>4161.875</v>
      </c>
      <c r="R1945">
        <f t="shared" si="185"/>
        <v>1.7564124251971833</v>
      </c>
    </row>
    <row r="1946" spans="1:18" x14ac:dyDescent="0.25">
      <c r="A1946" t="s">
        <v>1107</v>
      </c>
      <c r="B1946" t="s">
        <v>26</v>
      </c>
      <c r="C1946" t="s">
        <v>20</v>
      </c>
      <c r="D1946">
        <v>2111</v>
      </c>
      <c r="E1946" s="1">
        <v>44469</v>
      </c>
      <c r="F1946" s="2">
        <f t="shared" si="180"/>
        <v>2021</v>
      </c>
      <c r="G1946">
        <v>29444</v>
      </c>
      <c r="H1946" s="3">
        <v>319439000</v>
      </c>
      <c r="I1946">
        <v>111439000</v>
      </c>
      <c r="J1946">
        <v>319439000</v>
      </c>
      <c r="K1946">
        <v>292099000</v>
      </c>
      <c r="L1946">
        <v>265086000</v>
      </c>
      <c r="M1946" t="str">
        <f t="shared" si="181"/>
        <v>Large</v>
      </c>
      <c r="N1946">
        <f>VLOOKUP(C1946,Lookup!$A$2:$D$5,MATCH(M1946,Lookup!$A$1:$D$1,0),FALSE)</f>
        <v>0.08</v>
      </c>
      <c r="O1946">
        <f t="shared" si="182"/>
        <v>21206880</v>
      </c>
      <c r="P1946" s="7">
        <f t="shared" si="183"/>
        <v>0.91441245433400431</v>
      </c>
      <c r="Q1946" s="7">
        <f t="shared" si="184"/>
        <v>10849.035457138976</v>
      </c>
      <c r="R1946">
        <f t="shared" si="185"/>
        <v>5.254851255818866</v>
      </c>
    </row>
    <row r="1947" spans="1:18" x14ac:dyDescent="0.25">
      <c r="A1947" t="s">
        <v>1107</v>
      </c>
      <c r="B1947" t="s">
        <v>325</v>
      </c>
      <c r="C1947" t="s">
        <v>8</v>
      </c>
      <c r="D1947">
        <v>62301</v>
      </c>
      <c r="E1947" s="1">
        <v>44469</v>
      </c>
      <c r="F1947" s="2">
        <f t="shared" si="180"/>
        <v>2021</v>
      </c>
      <c r="G1947">
        <v>65</v>
      </c>
      <c r="H1947" s="3">
        <v>289517</v>
      </c>
      <c r="I1947">
        <v>17217</v>
      </c>
      <c r="J1947">
        <v>289517</v>
      </c>
      <c r="K1947">
        <v>263632</v>
      </c>
      <c r="L1947">
        <v>262208</v>
      </c>
      <c r="M1947" t="str">
        <f t="shared" si="181"/>
        <v>Medium</v>
      </c>
      <c r="N1947">
        <f>VLOOKUP(C1947,Lookup!$A$2:$D$5,MATCH(M1947,Lookup!$A$1:$D$1,0),FALSE)</f>
        <v>0.08</v>
      </c>
      <c r="O1947">
        <f t="shared" si="182"/>
        <v>20976.639999999999</v>
      </c>
      <c r="P1947" s="7">
        <f t="shared" si="183"/>
        <v>0.91059246952683259</v>
      </c>
      <c r="Q1947" s="7">
        <f t="shared" si="184"/>
        <v>4454.1076923076926</v>
      </c>
      <c r="R1947">
        <f t="shared" si="185"/>
        <v>0.82077015194044423</v>
      </c>
    </row>
    <row r="1948" spans="1:18" x14ac:dyDescent="0.25">
      <c r="A1948" t="s">
        <v>1108</v>
      </c>
      <c r="B1948" t="s">
        <v>1072</v>
      </c>
      <c r="C1948" t="s">
        <v>8</v>
      </c>
      <c r="D1948">
        <v>60174</v>
      </c>
      <c r="E1948" s="1">
        <v>43738</v>
      </c>
      <c r="F1948" s="2">
        <f t="shared" si="180"/>
        <v>2019</v>
      </c>
      <c r="G1948">
        <v>46</v>
      </c>
      <c r="H1948" s="3">
        <v>239526</v>
      </c>
      <c r="I1948">
        <v>31333</v>
      </c>
      <c r="J1948">
        <v>239526</v>
      </c>
      <c r="K1948">
        <v>209319</v>
      </c>
      <c r="L1948">
        <v>208132</v>
      </c>
      <c r="M1948" t="str">
        <f t="shared" si="181"/>
        <v>Medium</v>
      </c>
      <c r="N1948">
        <f>VLOOKUP(C1948,Lookup!$A$2:$D$5,MATCH(M1948,Lookup!$A$1:$D$1,0),FALSE)</f>
        <v>0.08</v>
      </c>
      <c r="O1948">
        <f t="shared" si="182"/>
        <v>16650.560000000001</v>
      </c>
      <c r="P1948" s="7">
        <f t="shared" si="183"/>
        <v>0.87388842964855595</v>
      </c>
      <c r="Q1948" s="7">
        <f t="shared" si="184"/>
        <v>5207.086956521739</v>
      </c>
      <c r="R1948">
        <f t="shared" si="185"/>
        <v>1.8817985701381814</v>
      </c>
    </row>
    <row r="1949" spans="1:18" x14ac:dyDescent="0.25">
      <c r="A1949" t="s">
        <v>1109</v>
      </c>
      <c r="B1949" t="s">
        <v>1025</v>
      </c>
      <c r="C1949" t="s">
        <v>8</v>
      </c>
      <c r="D1949">
        <v>61081</v>
      </c>
      <c r="E1949" s="1">
        <v>43738</v>
      </c>
      <c r="F1949" s="2">
        <f t="shared" si="180"/>
        <v>2019</v>
      </c>
      <c r="G1949">
        <v>112</v>
      </c>
      <c r="H1949" s="3">
        <v>454001</v>
      </c>
      <c r="I1949">
        <v>14011</v>
      </c>
      <c r="J1949">
        <v>454000</v>
      </c>
      <c r="K1949">
        <v>412582</v>
      </c>
      <c r="L1949">
        <v>364099</v>
      </c>
      <c r="M1949" t="str">
        <f t="shared" si="181"/>
        <v>Medium</v>
      </c>
      <c r="N1949">
        <f>VLOOKUP(C1949,Lookup!$A$2:$D$5,MATCH(M1949,Lookup!$A$1:$D$1,0),FALSE)</f>
        <v>0.08</v>
      </c>
      <c r="O1949">
        <f t="shared" si="182"/>
        <v>29127.920000000002</v>
      </c>
      <c r="P1949" s="7">
        <f t="shared" si="183"/>
        <v>0.9087689234164682</v>
      </c>
      <c r="Q1949" s="7">
        <f t="shared" si="184"/>
        <v>4053.5803571428573</v>
      </c>
      <c r="R1949">
        <f t="shared" si="185"/>
        <v>0.48101615220036303</v>
      </c>
    </row>
    <row r="1950" spans="1:18" x14ac:dyDescent="0.25">
      <c r="A1950" t="s">
        <v>1109</v>
      </c>
      <c r="B1950" t="s">
        <v>1025</v>
      </c>
      <c r="C1950" t="s">
        <v>8</v>
      </c>
      <c r="D1950">
        <v>61081</v>
      </c>
      <c r="E1950" s="1">
        <v>44104</v>
      </c>
      <c r="F1950" s="2">
        <f t="shared" si="180"/>
        <v>2020</v>
      </c>
      <c r="G1950">
        <v>103</v>
      </c>
      <c r="H1950" s="3">
        <v>487500</v>
      </c>
      <c r="I1950">
        <v>23546</v>
      </c>
      <c r="J1950">
        <v>487500</v>
      </c>
      <c r="K1950">
        <v>444364</v>
      </c>
      <c r="L1950">
        <v>390654</v>
      </c>
      <c r="M1950" t="str">
        <f t="shared" si="181"/>
        <v>Medium</v>
      </c>
      <c r="N1950">
        <f>VLOOKUP(C1950,Lookup!$A$2:$D$5,MATCH(M1950,Lookup!$A$1:$D$1,0),FALSE)</f>
        <v>0.08</v>
      </c>
      <c r="O1950">
        <f t="shared" si="182"/>
        <v>31252.32</v>
      </c>
      <c r="P1950" s="7">
        <f t="shared" si="183"/>
        <v>0.91151589743589745</v>
      </c>
      <c r="Q1950" s="7">
        <f t="shared" si="184"/>
        <v>4733.0097087378645</v>
      </c>
      <c r="R1950">
        <f t="shared" si="185"/>
        <v>0.75341606639123115</v>
      </c>
    </row>
    <row r="1951" spans="1:18" x14ac:dyDescent="0.25">
      <c r="A1951" t="s">
        <v>1109</v>
      </c>
      <c r="B1951" t="s">
        <v>1025</v>
      </c>
      <c r="C1951" t="s">
        <v>8</v>
      </c>
      <c r="D1951">
        <v>61081</v>
      </c>
      <c r="E1951" s="1">
        <v>44469</v>
      </c>
      <c r="F1951" s="2">
        <f t="shared" si="180"/>
        <v>2021</v>
      </c>
      <c r="G1951">
        <v>101</v>
      </c>
      <c r="H1951" s="3">
        <v>482451</v>
      </c>
      <c r="I1951">
        <v>15795</v>
      </c>
      <c r="J1951">
        <v>482451</v>
      </c>
      <c r="K1951">
        <v>440189</v>
      </c>
      <c r="L1951">
        <v>427149</v>
      </c>
      <c r="M1951" t="str">
        <f t="shared" si="181"/>
        <v>Medium</v>
      </c>
      <c r="N1951">
        <f>VLOOKUP(C1951,Lookup!$A$2:$D$5,MATCH(M1951,Lookup!$A$1:$D$1,0),FALSE)</f>
        <v>0.08</v>
      </c>
      <c r="O1951">
        <f t="shared" si="182"/>
        <v>34171.919999999998</v>
      </c>
      <c r="P1951" s="7">
        <f t="shared" si="183"/>
        <v>0.91240146667744493</v>
      </c>
      <c r="Q1951" s="7">
        <f t="shared" si="184"/>
        <v>4776.742574257426</v>
      </c>
      <c r="R1951">
        <f t="shared" si="185"/>
        <v>0.46222161353532376</v>
      </c>
    </row>
    <row r="1952" spans="1:18" x14ac:dyDescent="0.25">
      <c r="A1952" t="s">
        <v>1110</v>
      </c>
      <c r="B1952" t="s">
        <v>1111</v>
      </c>
      <c r="C1952" t="s">
        <v>17</v>
      </c>
      <c r="D1952">
        <v>10901</v>
      </c>
      <c r="E1952" s="1">
        <v>43738</v>
      </c>
      <c r="F1952" s="2">
        <f t="shared" si="180"/>
        <v>2019</v>
      </c>
      <c r="G1952">
        <v>1689</v>
      </c>
      <c r="H1952" s="3">
        <v>30019454</v>
      </c>
      <c r="I1952">
        <v>545603</v>
      </c>
      <c r="J1952">
        <v>30019454</v>
      </c>
      <c r="K1952">
        <v>25458846</v>
      </c>
      <c r="L1952">
        <v>21734461</v>
      </c>
      <c r="M1952" t="str">
        <f t="shared" si="181"/>
        <v>Large</v>
      </c>
      <c r="N1952">
        <f>VLOOKUP(C1952,Lookup!$A$2:$D$5,MATCH(M1952,Lookup!$A$1:$D$1,0),FALSE)</f>
        <v>0.08</v>
      </c>
      <c r="O1952">
        <f t="shared" si="182"/>
        <v>1738756.8800000001</v>
      </c>
      <c r="P1952" s="7">
        <f t="shared" si="183"/>
        <v>0.84807824952445843</v>
      </c>
      <c r="Q1952" s="7">
        <f t="shared" si="184"/>
        <v>17773.507400828894</v>
      </c>
      <c r="R1952">
        <f t="shared" si="185"/>
        <v>0.31378912502131978</v>
      </c>
    </row>
    <row r="1953" spans="1:18" x14ac:dyDescent="0.25">
      <c r="A1953" t="s">
        <v>1110</v>
      </c>
      <c r="B1953" t="s">
        <v>1380</v>
      </c>
      <c r="C1953" t="s">
        <v>17</v>
      </c>
      <c r="D1953">
        <v>10965</v>
      </c>
      <c r="E1953" s="1">
        <v>44104</v>
      </c>
      <c r="F1953" s="2">
        <f t="shared" si="180"/>
        <v>2020</v>
      </c>
      <c r="G1953">
        <v>1466</v>
      </c>
      <c r="H1953" s="3">
        <v>30539176</v>
      </c>
      <c r="I1953">
        <v>437558</v>
      </c>
      <c r="J1953">
        <v>30539176</v>
      </c>
      <c r="K1953">
        <v>25873909</v>
      </c>
      <c r="L1953">
        <v>24432505</v>
      </c>
      <c r="M1953" t="str">
        <f t="shared" si="181"/>
        <v>Large</v>
      </c>
      <c r="N1953">
        <f>VLOOKUP(C1953,Lookup!$A$2:$D$5,MATCH(M1953,Lookup!$A$1:$D$1,0),FALSE)</f>
        <v>0.08</v>
      </c>
      <c r="O1953">
        <f t="shared" si="182"/>
        <v>1954600.4000000001</v>
      </c>
      <c r="P1953" s="7">
        <f t="shared" si="183"/>
        <v>0.84723664449885616</v>
      </c>
      <c r="Q1953" s="7">
        <f t="shared" si="184"/>
        <v>20831.634379263302</v>
      </c>
      <c r="R1953">
        <f t="shared" si="185"/>
        <v>0.22386059063530325</v>
      </c>
    </row>
    <row r="1954" spans="1:18" x14ac:dyDescent="0.25">
      <c r="A1954" t="s">
        <v>1110</v>
      </c>
      <c r="B1954" t="s">
        <v>1380</v>
      </c>
      <c r="C1954" t="s">
        <v>17</v>
      </c>
      <c r="D1954">
        <v>10965</v>
      </c>
      <c r="E1954" s="1">
        <v>44469</v>
      </c>
      <c r="F1954" s="2">
        <f t="shared" si="180"/>
        <v>2021</v>
      </c>
      <c r="G1954">
        <v>1460</v>
      </c>
      <c r="H1954" s="3">
        <v>29938002</v>
      </c>
      <c r="I1954">
        <v>929320</v>
      </c>
      <c r="J1954">
        <v>29938002</v>
      </c>
      <c r="K1954">
        <v>24840845</v>
      </c>
      <c r="L1954">
        <v>24130341</v>
      </c>
      <c r="M1954" t="str">
        <f t="shared" si="181"/>
        <v>Large</v>
      </c>
      <c r="N1954">
        <f>VLOOKUP(C1954,Lookup!$A$2:$D$5,MATCH(M1954,Lookup!$A$1:$D$1,0),FALSE)</f>
        <v>0.08</v>
      </c>
      <c r="O1954">
        <f t="shared" si="182"/>
        <v>1930427.28</v>
      </c>
      <c r="P1954" s="7">
        <f t="shared" si="183"/>
        <v>0.82974291337144013</v>
      </c>
      <c r="Q1954" s="7">
        <f t="shared" si="184"/>
        <v>20505.480821917808</v>
      </c>
      <c r="R1954">
        <f t="shared" si="185"/>
        <v>0.48140637548387732</v>
      </c>
    </row>
    <row r="1955" spans="1:18" x14ac:dyDescent="0.25">
      <c r="A1955" t="s">
        <v>1112</v>
      </c>
      <c r="B1955" t="s">
        <v>776</v>
      </c>
      <c r="C1955" t="s">
        <v>17</v>
      </c>
      <c r="D1955">
        <v>14843</v>
      </c>
      <c r="E1955" s="1">
        <v>43738</v>
      </c>
      <c r="F1955" s="2">
        <f t="shared" si="180"/>
        <v>2019</v>
      </c>
      <c r="G1955">
        <v>126</v>
      </c>
      <c r="H1955" s="3">
        <v>575985</v>
      </c>
      <c r="I1955">
        <v>22411</v>
      </c>
      <c r="J1955">
        <v>575985</v>
      </c>
      <c r="K1955">
        <v>508989</v>
      </c>
      <c r="L1955">
        <v>483762</v>
      </c>
      <c r="M1955" t="str">
        <f t="shared" si="181"/>
        <v>Medium</v>
      </c>
      <c r="N1955">
        <f>VLOOKUP(C1955,Lookup!$A$2:$D$5,MATCH(M1955,Lookup!$A$1:$D$1,0),FALSE)</f>
        <v>8.5000000000000006E-2</v>
      </c>
      <c r="O1955">
        <f t="shared" si="182"/>
        <v>41119.770000000004</v>
      </c>
      <c r="P1955" s="7">
        <f t="shared" si="183"/>
        <v>0.88368447094976432</v>
      </c>
      <c r="Q1955" s="7">
        <f t="shared" si="184"/>
        <v>4571.3095238095239</v>
      </c>
      <c r="R1955">
        <f t="shared" si="185"/>
        <v>0.54501763993329722</v>
      </c>
    </row>
    <row r="1956" spans="1:18" x14ac:dyDescent="0.25">
      <c r="A1956" t="s">
        <v>1113</v>
      </c>
      <c r="B1956" t="s">
        <v>1114</v>
      </c>
      <c r="C1956" t="s">
        <v>8</v>
      </c>
      <c r="D1956">
        <v>61084</v>
      </c>
      <c r="E1956" s="1">
        <v>43738</v>
      </c>
      <c r="F1956" s="2">
        <f t="shared" si="180"/>
        <v>2019</v>
      </c>
      <c r="G1956">
        <v>96</v>
      </c>
      <c r="H1956" s="3">
        <v>464215</v>
      </c>
      <c r="I1956">
        <v>35013</v>
      </c>
      <c r="J1956">
        <v>464215</v>
      </c>
      <c r="K1956">
        <v>419411</v>
      </c>
      <c r="L1956">
        <v>389121</v>
      </c>
      <c r="M1956" t="str">
        <f t="shared" si="181"/>
        <v>Medium</v>
      </c>
      <c r="N1956">
        <f>VLOOKUP(C1956,Lookup!$A$2:$D$5,MATCH(M1956,Lookup!$A$1:$D$1,0),FALSE)</f>
        <v>0.08</v>
      </c>
      <c r="O1956">
        <f t="shared" si="182"/>
        <v>31129.68</v>
      </c>
      <c r="P1956" s="7">
        <f t="shared" si="183"/>
        <v>0.9034843768512435</v>
      </c>
      <c r="Q1956" s="7">
        <f t="shared" si="184"/>
        <v>4835.572916666667</v>
      </c>
      <c r="R1956">
        <f t="shared" si="185"/>
        <v>1.1247465441340869</v>
      </c>
    </row>
    <row r="1957" spans="1:18" x14ac:dyDescent="0.25">
      <c r="A1957" t="s">
        <v>1113</v>
      </c>
      <c r="B1957" t="s">
        <v>1114</v>
      </c>
      <c r="C1957" t="s">
        <v>8</v>
      </c>
      <c r="D1957">
        <v>61084</v>
      </c>
      <c r="E1957" s="1">
        <v>44104</v>
      </c>
      <c r="F1957" s="2">
        <f t="shared" si="180"/>
        <v>2020</v>
      </c>
      <c r="G1957">
        <v>99</v>
      </c>
      <c r="H1957" s="3">
        <v>534987</v>
      </c>
      <c r="I1957">
        <v>41544</v>
      </c>
      <c r="J1957">
        <v>534987</v>
      </c>
      <c r="K1957">
        <v>478914</v>
      </c>
      <c r="L1957">
        <v>443285</v>
      </c>
      <c r="M1957" t="str">
        <f t="shared" si="181"/>
        <v>Medium</v>
      </c>
      <c r="N1957">
        <f>VLOOKUP(C1957,Lookup!$A$2:$D$5,MATCH(M1957,Lookup!$A$1:$D$1,0),FALSE)</f>
        <v>0.08</v>
      </c>
      <c r="O1957">
        <f t="shared" si="182"/>
        <v>35462.800000000003</v>
      </c>
      <c r="P1957" s="7">
        <f t="shared" si="183"/>
        <v>0.89518810737457177</v>
      </c>
      <c r="Q1957" s="7">
        <f t="shared" si="184"/>
        <v>5403.909090909091</v>
      </c>
      <c r="R1957">
        <f t="shared" si="185"/>
        <v>1.1714811013230766</v>
      </c>
    </row>
    <row r="1958" spans="1:18" x14ac:dyDescent="0.25">
      <c r="A1958" t="s">
        <v>1113</v>
      </c>
      <c r="B1958" t="s">
        <v>1114</v>
      </c>
      <c r="C1958" t="s">
        <v>8</v>
      </c>
      <c r="D1958">
        <v>61084</v>
      </c>
      <c r="E1958" s="1">
        <v>44469</v>
      </c>
      <c r="F1958" s="2">
        <f t="shared" si="180"/>
        <v>2021</v>
      </c>
      <c r="G1958">
        <v>103</v>
      </c>
      <c r="H1958" s="3">
        <v>628533</v>
      </c>
      <c r="I1958">
        <v>61027</v>
      </c>
      <c r="J1958">
        <v>628533</v>
      </c>
      <c r="K1958">
        <v>570443</v>
      </c>
      <c r="L1958">
        <v>525189</v>
      </c>
      <c r="M1958" t="str">
        <f t="shared" si="181"/>
        <v>Medium</v>
      </c>
      <c r="N1958">
        <f>VLOOKUP(C1958,Lookup!$A$2:$D$5,MATCH(M1958,Lookup!$A$1:$D$1,0),FALSE)</f>
        <v>0.08</v>
      </c>
      <c r="O1958">
        <f t="shared" si="182"/>
        <v>42015.12</v>
      </c>
      <c r="P1958" s="7">
        <f t="shared" si="183"/>
        <v>0.90757844059102699</v>
      </c>
      <c r="Q1958" s="7">
        <f t="shared" si="184"/>
        <v>6102.2621359223303</v>
      </c>
      <c r="R1958">
        <f t="shared" si="185"/>
        <v>1.4525009091964987</v>
      </c>
    </row>
    <row r="1959" spans="1:18" x14ac:dyDescent="0.25">
      <c r="A1959" t="s">
        <v>1115</v>
      </c>
      <c r="B1959" t="s">
        <v>1116</v>
      </c>
      <c r="C1959" t="s">
        <v>20</v>
      </c>
      <c r="D1959">
        <v>2180</v>
      </c>
      <c r="E1959" s="1">
        <v>43738</v>
      </c>
      <c r="F1959" s="2">
        <f t="shared" si="180"/>
        <v>2019</v>
      </c>
      <c r="G1959">
        <v>86</v>
      </c>
      <c r="H1959" s="3">
        <v>615560</v>
      </c>
      <c r="I1959">
        <v>28722</v>
      </c>
      <c r="J1959">
        <v>615560</v>
      </c>
      <c r="K1959">
        <v>553271</v>
      </c>
      <c r="L1959">
        <v>466866</v>
      </c>
      <c r="M1959" t="str">
        <f t="shared" si="181"/>
        <v>Medium</v>
      </c>
      <c r="N1959">
        <f>VLOOKUP(C1959,Lookup!$A$2:$D$5,MATCH(M1959,Lookup!$A$1:$D$1,0),FALSE)</f>
        <v>8.5000000000000006E-2</v>
      </c>
      <c r="O1959">
        <f t="shared" si="182"/>
        <v>39683.61</v>
      </c>
      <c r="P1959" s="7">
        <f t="shared" si="183"/>
        <v>0.89880921437390349</v>
      </c>
      <c r="Q1959" s="7">
        <f t="shared" si="184"/>
        <v>7157.6744186046508</v>
      </c>
      <c r="R1959">
        <f t="shared" si="185"/>
        <v>0.72377487834398124</v>
      </c>
    </row>
    <row r="1960" spans="1:18" x14ac:dyDescent="0.25">
      <c r="A1960" t="s">
        <v>1115</v>
      </c>
      <c r="B1960" t="s">
        <v>1116</v>
      </c>
      <c r="C1960" t="s">
        <v>20</v>
      </c>
      <c r="D1960">
        <v>2180</v>
      </c>
      <c r="E1960" s="1">
        <v>44104</v>
      </c>
      <c r="F1960" s="2">
        <f t="shared" si="180"/>
        <v>2020</v>
      </c>
      <c r="G1960">
        <v>84</v>
      </c>
      <c r="H1960" s="3">
        <v>678853</v>
      </c>
      <c r="I1960">
        <v>81489</v>
      </c>
      <c r="J1960">
        <v>678853</v>
      </c>
      <c r="K1960">
        <v>612905</v>
      </c>
      <c r="L1960">
        <v>513212</v>
      </c>
      <c r="M1960" t="str">
        <f t="shared" si="181"/>
        <v>Medium</v>
      </c>
      <c r="N1960">
        <f>VLOOKUP(C1960,Lookup!$A$2:$D$5,MATCH(M1960,Lookup!$A$1:$D$1,0),FALSE)</f>
        <v>8.5000000000000006E-2</v>
      </c>
      <c r="O1960">
        <f t="shared" si="182"/>
        <v>43623.020000000004</v>
      </c>
      <c r="P1960" s="7">
        <f t="shared" si="183"/>
        <v>0.90285378425078777</v>
      </c>
      <c r="Q1960" s="7">
        <f t="shared" si="184"/>
        <v>8081.583333333333</v>
      </c>
      <c r="R1960">
        <f t="shared" si="185"/>
        <v>1.8680274772356429</v>
      </c>
    </row>
    <row r="1961" spans="1:18" x14ac:dyDescent="0.25">
      <c r="A1961" t="s">
        <v>1115</v>
      </c>
      <c r="B1961" t="s">
        <v>1116</v>
      </c>
      <c r="C1961" t="s">
        <v>20</v>
      </c>
      <c r="D1961">
        <v>2180</v>
      </c>
      <c r="E1961" s="1">
        <v>44469</v>
      </c>
      <c r="F1961" s="2">
        <f t="shared" si="180"/>
        <v>2021</v>
      </c>
      <c r="G1961">
        <v>82</v>
      </c>
      <c r="H1961" s="3">
        <v>689579</v>
      </c>
      <c r="I1961">
        <v>56365</v>
      </c>
      <c r="J1961">
        <v>689579</v>
      </c>
      <c r="K1961">
        <v>621290</v>
      </c>
      <c r="L1961">
        <v>559371</v>
      </c>
      <c r="M1961" t="str">
        <f t="shared" si="181"/>
        <v>Medium</v>
      </c>
      <c r="N1961">
        <f>VLOOKUP(C1961,Lookup!$A$2:$D$5,MATCH(M1961,Lookup!$A$1:$D$1,0),FALSE)</f>
        <v>8.5000000000000006E-2</v>
      </c>
      <c r="O1961">
        <f t="shared" si="182"/>
        <v>47546.535000000003</v>
      </c>
      <c r="P1961" s="7">
        <f t="shared" si="183"/>
        <v>0.90097001213784067</v>
      </c>
      <c r="Q1961" s="7">
        <f t="shared" si="184"/>
        <v>8409.5</v>
      </c>
      <c r="R1961">
        <f t="shared" si="185"/>
        <v>1.1854701925177091</v>
      </c>
    </row>
    <row r="1962" spans="1:18" x14ac:dyDescent="0.25">
      <c r="A1962" t="s">
        <v>1117</v>
      </c>
      <c r="B1962" t="s">
        <v>1118</v>
      </c>
      <c r="C1962" t="s">
        <v>20</v>
      </c>
      <c r="D1962">
        <v>2072</v>
      </c>
      <c r="E1962" s="1">
        <v>43738</v>
      </c>
      <c r="F1962" s="2">
        <f t="shared" si="180"/>
        <v>2019</v>
      </c>
      <c r="G1962">
        <v>20</v>
      </c>
      <c r="H1962" s="3">
        <v>119071</v>
      </c>
      <c r="I1962">
        <v>4220</v>
      </c>
      <c r="J1962">
        <v>119071</v>
      </c>
      <c r="K1962">
        <v>108965</v>
      </c>
      <c r="L1962">
        <v>108429</v>
      </c>
      <c r="M1962" t="str">
        <f t="shared" si="181"/>
        <v>Medium</v>
      </c>
      <c r="N1962">
        <f>VLOOKUP(C1962,Lookup!$A$2:$D$5,MATCH(M1962,Lookup!$A$1:$D$1,0),FALSE)</f>
        <v>8.5000000000000006E-2</v>
      </c>
      <c r="O1962">
        <f t="shared" si="182"/>
        <v>9216.4650000000001</v>
      </c>
      <c r="P1962" s="7">
        <f t="shared" si="183"/>
        <v>0.91512626920072893</v>
      </c>
      <c r="Q1962" s="7">
        <f t="shared" si="184"/>
        <v>5953.55</v>
      </c>
      <c r="R1962">
        <f t="shared" si="185"/>
        <v>0.4578762030778612</v>
      </c>
    </row>
    <row r="1963" spans="1:18" x14ac:dyDescent="0.25">
      <c r="A1963" t="s">
        <v>1117</v>
      </c>
      <c r="B1963" t="s">
        <v>1118</v>
      </c>
      <c r="C1963" t="s">
        <v>20</v>
      </c>
      <c r="D1963">
        <v>2072</v>
      </c>
      <c r="E1963" s="1">
        <v>44104</v>
      </c>
      <c r="F1963" s="2">
        <f t="shared" si="180"/>
        <v>2020</v>
      </c>
      <c r="G1963">
        <v>21</v>
      </c>
      <c r="H1963" s="3">
        <v>122455</v>
      </c>
      <c r="I1963">
        <v>10779</v>
      </c>
      <c r="J1963">
        <v>122455</v>
      </c>
      <c r="K1963">
        <v>111435</v>
      </c>
      <c r="L1963">
        <v>111012</v>
      </c>
      <c r="M1963" t="str">
        <f t="shared" si="181"/>
        <v>Medium</v>
      </c>
      <c r="N1963">
        <f>VLOOKUP(C1963,Lookup!$A$2:$D$5,MATCH(M1963,Lookup!$A$1:$D$1,0),FALSE)</f>
        <v>8.5000000000000006E-2</v>
      </c>
      <c r="O1963">
        <f t="shared" si="182"/>
        <v>9436.02</v>
      </c>
      <c r="P1963" s="7">
        <f t="shared" si="183"/>
        <v>0.9100077579519007</v>
      </c>
      <c r="Q1963" s="7">
        <f t="shared" si="184"/>
        <v>5831.1904761904761</v>
      </c>
      <c r="R1963">
        <f t="shared" si="185"/>
        <v>1.1423248361067484</v>
      </c>
    </row>
    <row r="1964" spans="1:18" x14ac:dyDescent="0.25">
      <c r="A1964" t="s">
        <v>1117</v>
      </c>
      <c r="B1964" t="s">
        <v>1118</v>
      </c>
      <c r="C1964" t="s">
        <v>20</v>
      </c>
      <c r="D1964">
        <v>2072</v>
      </c>
      <c r="E1964" s="1">
        <v>44469</v>
      </c>
      <c r="F1964" s="2">
        <f t="shared" si="180"/>
        <v>2021</v>
      </c>
      <c r="G1964">
        <v>21</v>
      </c>
      <c r="H1964" s="3">
        <v>125786</v>
      </c>
      <c r="I1964">
        <v>10465</v>
      </c>
      <c r="J1964">
        <v>125786</v>
      </c>
      <c r="K1964">
        <v>114347</v>
      </c>
      <c r="L1964">
        <v>113977</v>
      </c>
      <c r="M1964" t="str">
        <f t="shared" si="181"/>
        <v>Medium</v>
      </c>
      <c r="N1964">
        <f>VLOOKUP(C1964,Lookup!$A$2:$D$5,MATCH(M1964,Lookup!$A$1:$D$1,0),FALSE)</f>
        <v>8.5000000000000006E-2</v>
      </c>
      <c r="O1964">
        <f t="shared" si="182"/>
        <v>9688.0450000000001</v>
      </c>
      <c r="P1964" s="7">
        <f t="shared" si="183"/>
        <v>0.90905983177778127</v>
      </c>
      <c r="Q1964" s="7">
        <f t="shared" si="184"/>
        <v>5989.8095238095239</v>
      </c>
      <c r="R1964">
        <f t="shared" si="185"/>
        <v>1.0801972947070333</v>
      </c>
    </row>
    <row r="1965" spans="1:18" x14ac:dyDescent="0.25">
      <c r="A1965" t="s">
        <v>1119</v>
      </c>
      <c r="B1965" t="s">
        <v>1120</v>
      </c>
      <c r="C1965" t="s">
        <v>8</v>
      </c>
      <c r="D1965">
        <v>61364</v>
      </c>
      <c r="E1965" s="1">
        <v>43738</v>
      </c>
      <c r="F1965" s="2">
        <f t="shared" si="180"/>
        <v>2019</v>
      </c>
      <c r="G1965">
        <v>18</v>
      </c>
      <c r="H1965" s="3">
        <v>162931</v>
      </c>
      <c r="I1965">
        <v>10245</v>
      </c>
      <c r="J1965">
        <v>162931</v>
      </c>
      <c r="K1965">
        <v>120977</v>
      </c>
      <c r="L1965">
        <v>119304</v>
      </c>
      <c r="M1965" t="str">
        <f t="shared" si="181"/>
        <v>Medium</v>
      </c>
      <c r="N1965">
        <f>VLOOKUP(C1965,Lookup!$A$2:$D$5,MATCH(M1965,Lookup!$A$1:$D$1,0),FALSE)</f>
        <v>0.08</v>
      </c>
      <c r="O1965">
        <f t="shared" si="182"/>
        <v>9544.32</v>
      </c>
      <c r="P1965" s="7">
        <f t="shared" si="183"/>
        <v>0.74250449576814725</v>
      </c>
      <c r="Q1965" s="7">
        <f t="shared" si="184"/>
        <v>9051.7222222222226</v>
      </c>
      <c r="R1965">
        <f t="shared" si="185"/>
        <v>1.0734132971233152</v>
      </c>
    </row>
    <row r="1966" spans="1:18" x14ac:dyDescent="0.25">
      <c r="A1966" t="s">
        <v>1119</v>
      </c>
      <c r="B1966" t="s">
        <v>1120</v>
      </c>
      <c r="C1966" t="s">
        <v>8</v>
      </c>
      <c r="D1966">
        <v>61364</v>
      </c>
      <c r="E1966" s="1">
        <v>44104</v>
      </c>
      <c r="F1966" s="2">
        <f t="shared" si="180"/>
        <v>2020</v>
      </c>
      <c r="G1966">
        <v>15</v>
      </c>
      <c r="H1966" s="3">
        <v>166688</v>
      </c>
      <c r="I1966">
        <v>9978</v>
      </c>
      <c r="J1966">
        <v>166688</v>
      </c>
      <c r="K1966">
        <v>124200</v>
      </c>
      <c r="L1966">
        <v>118409</v>
      </c>
      <c r="M1966" t="str">
        <f t="shared" si="181"/>
        <v>Medium</v>
      </c>
      <c r="N1966">
        <f>VLOOKUP(C1966,Lookup!$A$2:$D$5,MATCH(M1966,Lookup!$A$1:$D$1,0),FALSE)</f>
        <v>0.08</v>
      </c>
      <c r="O1966">
        <f t="shared" si="182"/>
        <v>9472.7199999999993</v>
      </c>
      <c r="P1966" s="7">
        <f t="shared" si="183"/>
        <v>0.7451046266077942</v>
      </c>
      <c r="Q1966" s="7">
        <f t="shared" si="184"/>
        <v>11112.533333333333</v>
      </c>
      <c r="R1966">
        <f t="shared" si="185"/>
        <v>1.0533405399927371</v>
      </c>
    </row>
    <row r="1967" spans="1:18" x14ac:dyDescent="0.25">
      <c r="A1967" t="s">
        <v>1119</v>
      </c>
      <c r="B1967" t="s">
        <v>1120</v>
      </c>
      <c r="C1967" t="s">
        <v>8</v>
      </c>
      <c r="D1967">
        <v>61364</v>
      </c>
      <c r="E1967" s="1">
        <v>44469</v>
      </c>
      <c r="F1967" s="2">
        <f t="shared" si="180"/>
        <v>2021</v>
      </c>
      <c r="G1967">
        <v>17</v>
      </c>
      <c r="H1967" s="3">
        <v>170632</v>
      </c>
      <c r="I1967">
        <v>10833</v>
      </c>
      <c r="J1967">
        <v>170632</v>
      </c>
      <c r="K1967">
        <v>127751</v>
      </c>
      <c r="L1967">
        <v>120704</v>
      </c>
      <c r="M1967" t="str">
        <f t="shared" si="181"/>
        <v>Medium</v>
      </c>
      <c r="N1967">
        <f>VLOOKUP(C1967,Lookup!$A$2:$D$5,MATCH(M1967,Lookup!$A$1:$D$1,0),FALSE)</f>
        <v>0.08</v>
      </c>
      <c r="O1967">
        <f t="shared" si="182"/>
        <v>9656.32</v>
      </c>
      <c r="P1967" s="7">
        <f t="shared" si="183"/>
        <v>0.7486930939097004</v>
      </c>
      <c r="Q1967" s="7">
        <f t="shared" si="184"/>
        <v>10037.176470588236</v>
      </c>
      <c r="R1967">
        <f t="shared" si="185"/>
        <v>1.1218559451219512</v>
      </c>
    </row>
    <row r="1968" spans="1:18" x14ac:dyDescent="0.25">
      <c r="A1968" t="s">
        <v>1121</v>
      </c>
      <c r="B1968" t="s">
        <v>185</v>
      </c>
      <c r="C1968" t="s">
        <v>5</v>
      </c>
      <c r="D1968">
        <v>94611</v>
      </c>
      <c r="E1968" s="1">
        <v>43738</v>
      </c>
      <c r="F1968" s="2">
        <f t="shared" si="180"/>
        <v>2019</v>
      </c>
      <c r="G1968">
        <v>39</v>
      </c>
      <c r="H1968" s="3">
        <v>250919</v>
      </c>
      <c r="I1968">
        <v>64267</v>
      </c>
      <c r="J1968">
        <v>250919</v>
      </c>
      <c r="K1968">
        <v>217459</v>
      </c>
      <c r="L1968">
        <v>210042</v>
      </c>
      <c r="M1968" t="str">
        <f t="shared" si="181"/>
        <v>Medium</v>
      </c>
      <c r="N1968">
        <f>VLOOKUP(C1968,Lookup!$A$2:$D$5,MATCH(M1968,Lookup!$A$1:$D$1,0),FALSE)</f>
        <v>0.09</v>
      </c>
      <c r="O1968">
        <f t="shared" si="182"/>
        <v>18903.78</v>
      </c>
      <c r="P1968" s="7">
        <f t="shared" si="183"/>
        <v>0.86665019388727038</v>
      </c>
      <c r="Q1968" s="7">
        <f t="shared" si="184"/>
        <v>6433.8205128205127</v>
      </c>
      <c r="R1968">
        <f t="shared" si="185"/>
        <v>3.3996904322839137</v>
      </c>
    </row>
    <row r="1969" spans="1:18" x14ac:dyDescent="0.25">
      <c r="A1969" t="s">
        <v>1121</v>
      </c>
      <c r="B1969" t="s">
        <v>185</v>
      </c>
      <c r="C1969" t="s">
        <v>5</v>
      </c>
      <c r="D1969">
        <v>94611</v>
      </c>
      <c r="E1969" s="1">
        <v>44104</v>
      </c>
      <c r="F1969" s="2">
        <f t="shared" si="180"/>
        <v>2020</v>
      </c>
      <c r="G1969">
        <v>33</v>
      </c>
      <c r="H1969" s="3">
        <v>317370</v>
      </c>
      <c r="I1969">
        <v>87701</v>
      </c>
      <c r="J1969">
        <v>317371</v>
      </c>
      <c r="K1969">
        <v>281384</v>
      </c>
      <c r="L1969">
        <v>273859</v>
      </c>
      <c r="M1969" t="str">
        <f t="shared" si="181"/>
        <v>Medium</v>
      </c>
      <c r="N1969">
        <f>VLOOKUP(C1969,Lookup!$A$2:$D$5,MATCH(M1969,Lookup!$A$1:$D$1,0),FALSE)</f>
        <v>0.09</v>
      </c>
      <c r="O1969">
        <f t="shared" si="182"/>
        <v>24647.309999999998</v>
      </c>
      <c r="P1969" s="7">
        <f t="shared" si="183"/>
        <v>0.8866118410687841</v>
      </c>
      <c r="Q1969" s="7">
        <f t="shared" si="184"/>
        <v>9617.2727272727279</v>
      </c>
      <c r="R1969">
        <f t="shared" si="185"/>
        <v>3.5582382012479257</v>
      </c>
    </row>
    <row r="1970" spans="1:18" x14ac:dyDescent="0.25">
      <c r="A1970" t="s">
        <v>1121</v>
      </c>
      <c r="B1970" t="s">
        <v>185</v>
      </c>
      <c r="C1970" t="s">
        <v>5</v>
      </c>
      <c r="D1970">
        <v>94611</v>
      </c>
      <c r="E1970" s="1">
        <v>44469</v>
      </c>
      <c r="F1970" s="2">
        <f t="shared" si="180"/>
        <v>2021</v>
      </c>
      <c r="G1970">
        <v>36</v>
      </c>
      <c r="H1970" s="3">
        <v>371428</v>
      </c>
      <c r="I1970">
        <v>164416</v>
      </c>
      <c r="J1970">
        <v>371428</v>
      </c>
      <c r="K1970">
        <v>333284</v>
      </c>
      <c r="L1970">
        <v>325663</v>
      </c>
      <c r="M1970" t="str">
        <f t="shared" si="181"/>
        <v>Medium</v>
      </c>
      <c r="N1970">
        <f>VLOOKUP(C1970,Lookup!$A$2:$D$5,MATCH(M1970,Lookup!$A$1:$D$1,0),FALSE)</f>
        <v>0.09</v>
      </c>
      <c r="O1970">
        <f t="shared" si="182"/>
        <v>29309.67</v>
      </c>
      <c r="P1970" s="7">
        <f t="shared" si="183"/>
        <v>0.89730445739147291</v>
      </c>
      <c r="Q1970" s="7">
        <f t="shared" si="184"/>
        <v>10317.444444444445</v>
      </c>
      <c r="R1970">
        <f t="shared" si="185"/>
        <v>5.6096162119873751</v>
      </c>
    </row>
    <row r="1971" spans="1:18" x14ac:dyDescent="0.25">
      <c r="A1971" t="s">
        <v>1122</v>
      </c>
      <c r="B1971" t="s">
        <v>41</v>
      </c>
      <c r="C1971" t="s">
        <v>5</v>
      </c>
      <c r="D1971">
        <v>95403</v>
      </c>
      <c r="E1971" s="1">
        <v>43738</v>
      </c>
      <c r="F1971" s="2">
        <f t="shared" si="180"/>
        <v>2019</v>
      </c>
      <c r="G1971">
        <v>89</v>
      </c>
      <c r="H1971" s="3">
        <v>680840</v>
      </c>
      <c r="I1971">
        <v>36979</v>
      </c>
      <c r="J1971">
        <v>680840</v>
      </c>
      <c r="K1971">
        <v>614336</v>
      </c>
      <c r="L1971">
        <v>605130</v>
      </c>
      <c r="M1971" t="str">
        <f t="shared" si="181"/>
        <v>Medium</v>
      </c>
      <c r="N1971">
        <f>VLOOKUP(C1971,Lookup!$A$2:$D$5,MATCH(M1971,Lookup!$A$1:$D$1,0),FALSE)</f>
        <v>0.09</v>
      </c>
      <c r="O1971">
        <f t="shared" si="182"/>
        <v>54461.7</v>
      </c>
      <c r="P1971" s="7">
        <f t="shared" si="183"/>
        <v>0.90232066271076905</v>
      </c>
      <c r="Q1971" s="7">
        <f t="shared" si="184"/>
        <v>7649.8876404494385</v>
      </c>
      <c r="R1971">
        <f t="shared" si="185"/>
        <v>0.67899092389697713</v>
      </c>
    </row>
    <row r="1972" spans="1:18" x14ac:dyDescent="0.25">
      <c r="A1972" t="s">
        <v>1122</v>
      </c>
      <c r="B1972" t="s">
        <v>41</v>
      </c>
      <c r="C1972" t="s">
        <v>5</v>
      </c>
      <c r="D1972">
        <v>95403</v>
      </c>
      <c r="E1972" s="1">
        <v>44104</v>
      </c>
      <c r="F1972" s="2">
        <f t="shared" si="180"/>
        <v>2020</v>
      </c>
      <c r="G1972">
        <v>96</v>
      </c>
      <c r="H1972" s="3">
        <v>833806</v>
      </c>
      <c r="I1972">
        <v>24256</v>
      </c>
      <c r="J1972">
        <v>833806</v>
      </c>
      <c r="K1972">
        <v>760382</v>
      </c>
      <c r="L1972">
        <v>688026</v>
      </c>
      <c r="M1972" t="str">
        <f t="shared" si="181"/>
        <v>Medium</v>
      </c>
      <c r="N1972">
        <f>VLOOKUP(C1972,Lookup!$A$2:$D$5,MATCH(M1972,Lookup!$A$1:$D$1,0),FALSE)</f>
        <v>0.09</v>
      </c>
      <c r="O1972">
        <f t="shared" si="182"/>
        <v>61922.34</v>
      </c>
      <c r="P1972" s="7">
        <f t="shared" si="183"/>
        <v>0.91194114698143214</v>
      </c>
      <c r="Q1972" s="7">
        <f t="shared" si="184"/>
        <v>8685.4791666666661</v>
      </c>
      <c r="R1972">
        <f t="shared" si="185"/>
        <v>0.39171646291144685</v>
      </c>
    </row>
    <row r="1973" spans="1:18" x14ac:dyDescent="0.25">
      <c r="A1973" t="s">
        <v>1122</v>
      </c>
      <c r="B1973" t="s">
        <v>41</v>
      </c>
      <c r="C1973" t="s">
        <v>5</v>
      </c>
      <c r="D1973">
        <v>95403</v>
      </c>
      <c r="E1973" s="1">
        <v>44469</v>
      </c>
      <c r="F1973" s="2">
        <f t="shared" si="180"/>
        <v>2021</v>
      </c>
      <c r="G1973">
        <v>100</v>
      </c>
      <c r="H1973" s="3">
        <v>922592</v>
      </c>
      <c r="I1973">
        <v>37773</v>
      </c>
      <c r="J1973">
        <v>922592</v>
      </c>
      <c r="K1973">
        <v>840609</v>
      </c>
      <c r="L1973">
        <v>749007</v>
      </c>
      <c r="M1973" t="str">
        <f t="shared" si="181"/>
        <v>Medium</v>
      </c>
      <c r="N1973">
        <f>VLOOKUP(C1973,Lookup!$A$2:$D$5,MATCH(M1973,Lookup!$A$1:$D$1,0),FALSE)</f>
        <v>0.09</v>
      </c>
      <c r="O1973">
        <f t="shared" si="182"/>
        <v>67410.63</v>
      </c>
      <c r="P1973" s="7">
        <f t="shared" si="183"/>
        <v>0.91113840137352153</v>
      </c>
      <c r="Q1973" s="7">
        <f t="shared" si="184"/>
        <v>9225.92</v>
      </c>
      <c r="R1973">
        <f t="shared" si="185"/>
        <v>0.56034189266588963</v>
      </c>
    </row>
    <row r="1974" spans="1:18" x14ac:dyDescent="0.25">
      <c r="A1974" t="s">
        <v>1123</v>
      </c>
      <c r="B1974" t="s">
        <v>1124</v>
      </c>
      <c r="C1974" t="s">
        <v>5</v>
      </c>
      <c r="D1974">
        <v>93291</v>
      </c>
      <c r="E1974" s="1">
        <v>43738</v>
      </c>
      <c r="F1974" s="2">
        <f t="shared" si="180"/>
        <v>2019</v>
      </c>
      <c r="G1974">
        <v>111</v>
      </c>
      <c r="H1974" s="3">
        <v>997413</v>
      </c>
      <c r="I1974">
        <v>35955</v>
      </c>
      <c r="J1974">
        <v>997413</v>
      </c>
      <c r="K1974">
        <v>851687</v>
      </c>
      <c r="L1974">
        <v>843326</v>
      </c>
      <c r="M1974" t="str">
        <f t="shared" si="181"/>
        <v>Medium</v>
      </c>
      <c r="N1974">
        <f>VLOOKUP(C1974,Lookup!$A$2:$D$5,MATCH(M1974,Lookup!$A$1:$D$1,0),FALSE)</f>
        <v>0.09</v>
      </c>
      <c r="O1974">
        <f t="shared" si="182"/>
        <v>75899.34</v>
      </c>
      <c r="P1974" s="7">
        <f t="shared" si="183"/>
        <v>0.85389602902709305</v>
      </c>
      <c r="Q1974" s="7">
        <f t="shared" si="184"/>
        <v>8985.7027027027034</v>
      </c>
      <c r="R1974">
        <f t="shared" si="185"/>
        <v>0.47371953432006131</v>
      </c>
    </row>
    <row r="1975" spans="1:18" x14ac:dyDescent="0.25">
      <c r="A1975" t="s">
        <v>1123</v>
      </c>
      <c r="B1975" t="s">
        <v>1124</v>
      </c>
      <c r="C1975" t="s">
        <v>5</v>
      </c>
      <c r="D1975">
        <v>93291</v>
      </c>
      <c r="E1975" s="1">
        <v>44104</v>
      </c>
      <c r="F1975" s="2">
        <f t="shared" si="180"/>
        <v>2020</v>
      </c>
      <c r="G1975">
        <v>120</v>
      </c>
      <c r="H1975" s="3">
        <v>1290368</v>
      </c>
      <c r="I1975">
        <v>44893</v>
      </c>
      <c r="J1975">
        <v>1290368</v>
      </c>
      <c r="K1975">
        <v>1126766</v>
      </c>
      <c r="L1975">
        <v>1050620</v>
      </c>
      <c r="M1975" t="str">
        <f t="shared" si="181"/>
        <v>Large</v>
      </c>
      <c r="N1975">
        <f>VLOOKUP(C1975,Lookup!$A$2:$D$5,MATCH(M1975,Lookup!$A$1:$D$1,0),FALSE)</f>
        <v>0.08</v>
      </c>
      <c r="O1975">
        <f t="shared" si="182"/>
        <v>84049.600000000006</v>
      </c>
      <c r="P1975" s="7">
        <f t="shared" si="183"/>
        <v>0.87321291290546577</v>
      </c>
      <c r="Q1975" s="7">
        <f t="shared" si="184"/>
        <v>10753.066666666668</v>
      </c>
      <c r="R1975">
        <f t="shared" si="185"/>
        <v>0.53412508804325065</v>
      </c>
    </row>
    <row r="1976" spans="1:18" x14ac:dyDescent="0.25">
      <c r="A1976" t="s">
        <v>1123</v>
      </c>
      <c r="B1976" t="s">
        <v>1124</v>
      </c>
      <c r="C1976" t="s">
        <v>5</v>
      </c>
      <c r="D1976">
        <v>93291</v>
      </c>
      <c r="E1976" s="1">
        <v>44469</v>
      </c>
      <c r="F1976" s="2">
        <f t="shared" si="180"/>
        <v>2021</v>
      </c>
      <c r="G1976">
        <v>111</v>
      </c>
      <c r="H1976" s="3">
        <v>1416159</v>
      </c>
      <c r="I1976">
        <v>22721</v>
      </c>
      <c r="J1976">
        <v>1416159</v>
      </c>
      <c r="K1976">
        <v>1241372</v>
      </c>
      <c r="L1976">
        <v>1233088</v>
      </c>
      <c r="M1976" t="str">
        <f t="shared" si="181"/>
        <v>Large</v>
      </c>
      <c r="N1976">
        <f>VLOOKUP(C1976,Lookup!$A$2:$D$5,MATCH(M1976,Lookup!$A$1:$D$1,0),FALSE)</f>
        <v>0.08</v>
      </c>
      <c r="O1976">
        <f t="shared" si="182"/>
        <v>98647.040000000008</v>
      </c>
      <c r="P1976" s="7">
        <f t="shared" si="183"/>
        <v>0.87657671207823418</v>
      </c>
      <c r="Q1976" s="7">
        <f t="shared" si="184"/>
        <v>12758.18918918919</v>
      </c>
      <c r="R1976">
        <f t="shared" si="185"/>
        <v>0.23032622164841438</v>
      </c>
    </row>
    <row r="1977" spans="1:18" x14ac:dyDescent="0.25">
      <c r="A1977" t="s">
        <v>1125</v>
      </c>
      <c r="B1977" t="s">
        <v>363</v>
      </c>
      <c r="C1977" t="s">
        <v>17</v>
      </c>
      <c r="D1977">
        <v>10533</v>
      </c>
      <c r="E1977" s="1">
        <v>43738</v>
      </c>
      <c r="F1977" s="2">
        <f t="shared" si="180"/>
        <v>2019</v>
      </c>
      <c r="G1977">
        <v>11</v>
      </c>
      <c r="H1977" s="3">
        <v>87938</v>
      </c>
      <c r="I1977">
        <v>1863</v>
      </c>
      <c r="J1977">
        <v>87938</v>
      </c>
      <c r="K1977">
        <v>77239</v>
      </c>
      <c r="L1977">
        <v>74163</v>
      </c>
      <c r="M1977" t="str">
        <f t="shared" si="181"/>
        <v>Small</v>
      </c>
      <c r="N1977">
        <f>VLOOKUP(C1977,Lookup!$A$2:$D$5,MATCH(M1977,Lookup!$A$1:$D$1,0),FALSE)</f>
        <v>0.09</v>
      </c>
      <c r="O1977">
        <f t="shared" si="182"/>
        <v>6674.67</v>
      </c>
      <c r="P1977" s="7">
        <f t="shared" si="183"/>
        <v>0.87833473583661215</v>
      </c>
      <c r="Q1977" s="7">
        <f t="shared" si="184"/>
        <v>7994.363636363636</v>
      </c>
      <c r="R1977">
        <f t="shared" si="185"/>
        <v>0.27911492253549613</v>
      </c>
    </row>
    <row r="1978" spans="1:18" x14ac:dyDescent="0.25">
      <c r="A1978" t="s">
        <v>1125</v>
      </c>
      <c r="B1978" t="s">
        <v>363</v>
      </c>
      <c r="C1978" t="s">
        <v>17</v>
      </c>
      <c r="D1978">
        <v>10533</v>
      </c>
      <c r="E1978" s="1">
        <v>44104</v>
      </c>
      <c r="F1978" s="2">
        <f t="shared" si="180"/>
        <v>2020</v>
      </c>
      <c r="G1978">
        <v>10</v>
      </c>
      <c r="H1978" s="3">
        <v>97024</v>
      </c>
      <c r="I1978">
        <v>2595</v>
      </c>
      <c r="J1978">
        <v>97024</v>
      </c>
      <c r="K1978">
        <v>85813</v>
      </c>
      <c r="L1978">
        <v>77420</v>
      </c>
      <c r="M1978" t="str">
        <f t="shared" si="181"/>
        <v>Small</v>
      </c>
      <c r="N1978">
        <f>VLOOKUP(C1978,Lookup!$A$2:$D$5,MATCH(M1978,Lookup!$A$1:$D$1,0),FALSE)</f>
        <v>0.09</v>
      </c>
      <c r="O1978">
        <f t="shared" si="182"/>
        <v>6967.8</v>
      </c>
      <c r="P1978" s="7">
        <f t="shared" si="183"/>
        <v>0.88445126978891819</v>
      </c>
      <c r="Q1978" s="7">
        <f t="shared" si="184"/>
        <v>9702.4</v>
      </c>
      <c r="R1978">
        <f t="shared" si="185"/>
        <v>0.37242745199345562</v>
      </c>
    </row>
    <row r="1979" spans="1:18" x14ac:dyDescent="0.25">
      <c r="A1979" t="s">
        <v>1125</v>
      </c>
      <c r="B1979" t="s">
        <v>363</v>
      </c>
      <c r="C1979" t="s">
        <v>17</v>
      </c>
      <c r="D1979">
        <v>10533</v>
      </c>
      <c r="E1979" s="1">
        <v>44469</v>
      </c>
      <c r="F1979" s="2">
        <f t="shared" si="180"/>
        <v>2021</v>
      </c>
      <c r="G1979">
        <v>10</v>
      </c>
      <c r="H1979" s="3">
        <v>93926</v>
      </c>
      <c r="I1979">
        <v>2899</v>
      </c>
      <c r="J1979">
        <v>93926</v>
      </c>
      <c r="K1979">
        <v>84704</v>
      </c>
      <c r="L1979">
        <v>82611</v>
      </c>
      <c r="M1979" t="str">
        <f t="shared" si="181"/>
        <v>Small</v>
      </c>
      <c r="N1979">
        <f>VLOOKUP(C1979,Lookup!$A$2:$D$5,MATCH(M1979,Lookup!$A$1:$D$1,0),FALSE)</f>
        <v>0.09</v>
      </c>
      <c r="O1979">
        <f t="shared" si="182"/>
        <v>7434.99</v>
      </c>
      <c r="P1979" s="7">
        <f t="shared" si="183"/>
        <v>0.90181632348870389</v>
      </c>
      <c r="Q1979" s="7">
        <f t="shared" si="184"/>
        <v>9392.6</v>
      </c>
      <c r="R1979">
        <f t="shared" si="185"/>
        <v>0.38991310008486901</v>
      </c>
    </row>
    <row r="1980" spans="1:18" x14ac:dyDescent="0.25">
      <c r="A1980" t="s">
        <v>1126</v>
      </c>
      <c r="B1980" t="s">
        <v>228</v>
      </c>
      <c r="C1980" t="s">
        <v>5</v>
      </c>
      <c r="D1980">
        <v>92614</v>
      </c>
      <c r="E1980" s="1">
        <v>43738</v>
      </c>
      <c r="F1980" s="2">
        <f t="shared" si="180"/>
        <v>2019</v>
      </c>
      <c r="G1980">
        <v>176</v>
      </c>
      <c r="H1980" s="3">
        <v>1346571</v>
      </c>
      <c r="I1980">
        <v>114295</v>
      </c>
      <c r="J1980">
        <v>1346571</v>
      </c>
      <c r="K1980">
        <v>1172783</v>
      </c>
      <c r="L1980">
        <v>1033354</v>
      </c>
      <c r="M1980" t="str">
        <f t="shared" si="181"/>
        <v>Large</v>
      </c>
      <c r="N1980">
        <f>VLOOKUP(C1980,Lookup!$A$2:$D$5,MATCH(M1980,Lookup!$A$1:$D$1,0),FALSE)</f>
        <v>0.08</v>
      </c>
      <c r="O1980">
        <f t="shared" si="182"/>
        <v>82668.320000000007</v>
      </c>
      <c r="P1980" s="7">
        <f t="shared" si="183"/>
        <v>0.87094033660312009</v>
      </c>
      <c r="Q1980" s="7">
        <f t="shared" si="184"/>
        <v>7650.971590909091</v>
      </c>
      <c r="R1980">
        <f t="shared" si="185"/>
        <v>1.382573154988513</v>
      </c>
    </row>
    <row r="1981" spans="1:18" x14ac:dyDescent="0.25">
      <c r="A1981" t="s">
        <v>1126</v>
      </c>
      <c r="B1981" t="s">
        <v>228</v>
      </c>
      <c r="C1981" t="s">
        <v>5</v>
      </c>
      <c r="D1981">
        <v>92614</v>
      </c>
      <c r="E1981" s="1">
        <v>44104</v>
      </c>
      <c r="F1981" s="2">
        <f t="shared" si="180"/>
        <v>2020</v>
      </c>
      <c r="G1981">
        <v>191</v>
      </c>
      <c r="H1981" s="3">
        <v>1976181</v>
      </c>
      <c r="I1981">
        <v>107447</v>
      </c>
      <c r="J1981">
        <v>1976181</v>
      </c>
      <c r="K1981">
        <v>1778887</v>
      </c>
      <c r="L1981">
        <v>1501614</v>
      </c>
      <c r="M1981" t="str">
        <f t="shared" si="181"/>
        <v>Large</v>
      </c>
      <c r="N1981">
        <f>VLOOKUP(C1981,Lookup!$A$2:$D$5,MATCH(M1981,Lookup!$A$1:$D$1,0),FALSE)</f>
        <v>0.08</v>
      </c>
      <c r="O1981">
        <f t="shared" si="182"/>
        <v>120129.12</v>
      </c>
      <c r="P1981" s="7">
        <f t="shared" si="183"/>
        <v>0.90016400319606349</v>
      </c>
      <c r="Q1981" s="7">
        <f t="shared" si="184"/>
        <v>10346.497382198953</v>
      </c>
      <c r="R1981">
        <f t="shared" si="185"/>
        <v>0.89442926078206519</v>
      </c>
    </row>
    <row r="1982" spans="1:18" x14ac:dyDescent="0.25">
      <c r="A1982" t="s">
        <v>1126</v>
      </c>
      <c r="B1982" t="s">
        <v>228</v>
      </c>
      <c r="C1982" t="s">
        <v>5</v>
      </c>
      <c r="D1982">
        <v>92614</v>
      </c>
      <c r="E1982" s="1">
        <v>44469</v>
      </c>
      <c r="F1982" s="2">
        <f t="shared" si="180"/>
        <v>2021</v>
      </c>
      <c r="G1982">
        <v>194</v>
      </c>
      <c r="H1982" s="3">
        <v>2153412</v>
      </c>
      <c r="I1982">
        <v>485018</v>
      </c>
      <c r="J1982">
        <v>2153412</v>
      </c>
      <c r="K1982">
        <v>1928229</v>
      </c>
      <c r="L1982">
        <v>1914972</v>
      </c>
      <c r="M1982" t="str">
        <f t="shared" si="181"/>
        <v>Large</v>
      </c>
      <c r="N1982">
        <f>VLOOKUP(C1982,Lookup!$A$2:$D$5,MATCH(M1982,Lookup!$A$1:$D$1,0),FALSE)</f>
        <v>0.08</v>
      </c>
      <c r="O1982">
        <f t="shared" si="182"/>
        <v>153197.76000000001</v>
      </c>
      <c r="P1982" s="7">
        <f t="shared" si="183"/>
        <v>0.89542967160952014</v>
      </c>
      <c r="Q1982" s="7">
        <f t="shared" si="184"/>
        <v>11100.061855670103</v>
      </c>
      <c r="R1982">
        <f t="shared" si="185"/>
        <v>3.1659601289209447</v>
      </c>
    </row>
    <row r="1983" spans="1:18" x14ac:dyDescent="0.25">
      <c r="A1983" t="s">
        <v>1127</v>
      </c>
      <c r="B1983" t="s">
        <v>1128</v>
      </c>
      <c r="C1983" t="s">
        <v>8</v>
      </c>
      <c r="D1983">
        <v>61482</v>
      </c>
      <c r="E1983" s="1">
        <v>43738</v>
      </c>
      <c r="F1983" s="2">
        <f t="shared" si="180"/>
        <v>2019</v>
      </c>
      <c r="G1983">
        <v>10</v>
      </c>
      <c r="H1983" s="3">
        <v>46308</v>
      </c>
      <c r="I1983">
        <v>2199</v>
      </c>
      <c r="J1983">
        <v>46308</v>
      </c>
      <c r="K1983">
        <v>40551</v>
      </c>
      <c r="L1983">
        <v>37847</v>
      </c>
      <c r="M1983" t="str">
        <f t="shared" si="181"/>
        <v>Small</v>
      </c>
      <c r="N1983">
        <f>VLOOKUP(C1983,Lookup!$A$2:$D$5,MATCH(M1983,Lookup!$A$1:$D$1,0),FALSE)</f>
        <v>0.09</v>
      </c>
      <c r="O1983">
        <f t="shared" si="182"/>
        <v>3406.23</v>
      </c>
      <c r="P1983" s="7">
        <f t="shared" si="183"/>
        <v>0.87568022803835188</v>
      </c>
      <c r="Q1983" s="7">
        <f t="shared" si="184"/>
        <v>4630.8</v>
      </c>
      <c r="R1983">
        <f t="shared" si="185"/>
        <v>0.64558177222324975</v>
      </c>
    </row>
    <row r="1984" spans="1:18" x14ac:dyDescent="0.25">
      <c r="A1984" t="s">
        <v>1127</v>
      </c>
      <c r="B1984" t="s">
        <v>1128</v>
      </c>
      <c r="C1984" t="s">
        <v>8</v>
      </c>
      <c r="D1984">
        <v>61482</v>
      </c>
      <c r="E1984" s="1">
        <v>44104</v>
      </c>
      <c r="F1984" s="2">
        <f t="shared" si="180"/>
        <v>2020</v>
      </c>
      <c r="G1984">
        <v>10</v>
      </c>
      <c r="H1984" s="3">
        <v>44745</v>
      </c>
      <c r="I1984">
        <v>1654</v>
      </c>
      <c r="J1984">
        <v>44745</v>
      </c>
      <c r="K1984">
        <v>38615</v>
      </c>
      <c r="L1984">
        <v>37363</v>
      </c>
      <c r="M1984" t="str">
        <f t="shared" si="181"/>
        <v>Small</v>
      </c>
      <c r="N1984">
        <f>VLOOKUP(C1984,Lookup!$A$2:$D$5,MATCH(M1984,Lookup!$A$1:$D$1,0),FALSE)</f>
        <v>0.09</v>
      </c>
      <c r="O1984">
        <f t="shared" si="182"/>
        <v>3362.67</v>
      </c>
      <c r="P1984" s="7">
        <f t="shared" si="183"/>
        <v>0.8630014526762767</v>
      </c>
      <c r="Q1984" s="7">
        <f t="shared" si="184"/>
        <v>4474.5</v>
      </c>
      <c r="R1984">
        <f t="shared" si="185"/>
        <v>0.49187104295098832</v>
      </c>
    </row>
    <row r="1985" spans="1:18" x14ac:dyDescent="0.25">
      <c r="A1985" t="s">
        <v>1127</v>
      </c>
      <c r="B1985" t="s">
        <v>1128</v>
      </c>
      <c r="C1985" t="s">
        <v>8</v>
      </c>
      <c r="D1985">
        <v>61482</v>
      </c>
      <c r="E1985" s="1">
        <v>44469</v>
      </c>
      <c r="F1985" s="2">
        <f t="shared" si="180"/>
        <v>2021</v>
      </c>
      <c r="G1985">
        <v>11</v>
      </c>
      <c r="H1985" s="3">
        <v>50275</v>
      </c>
      <c r="I1985">
        <v>5428</v>
      </c>
      <c r="J1985">
        <v>50275</v>
      </c>
      <c r="K1985">
        <v>44118</v>
      </c>
      <c r="L1985">
        <v>43909</v>
      </c>
      <c r="M1985" t="str">
        <f t="shared" si="181"/>
        <v>Small</v>
      </c>
      <c r="N1985">
        <f>VLOOKUP(C1985,Lookup!$A$2:$D$5,MATCH(M1985,Lookup!$A$1:$D$1,0),FALSE)</f>
        <v>0.09</v>
      </c>
      <c r="O1985">
        <f t="shared" si="182"/>
        <v>3951.81</v>
      </c>
      <c r="P1985" s="7">
        <f t="shared" si="183"/>
        <v>0.8775335653903531</v>
      </c>
      <c r="Q1985" s="7">
        <f t="shared" si="184"/>
        <v>4570.454545454545</v>
      </c>
      <c r="R1985">
        <f t="shared" si="185"/>
        <v>1.3735478173292746</v>
      </c>
    </row>
    <row r="1986" spans="1:18" x14ac:dyDescent="0.25">
      <c r="A1986" t="s">
        <v>1129</v>
      </c>
      <c r="B1986" t="s">
        <v>343</v>
      </c>
      <c r="C1986" t="s">
        <v>8</v>
      </c>
      <c r="D1986">
        <v>62293</v>
      </c>
      <c r="E1986" s="1">
        <v>43738</v>
      </c>
      <c r="F1986" s="2">
        <f t="shared" ref="F1986:F2049" si="186">YEAR(E1986)</f>
        <v>2019</v>
      </c>
      <c r="G1986">
        <v>17</v>
      </c>
      <c r="H1986" s="3">
        <v>94936</v>
      </c>
      <c r="I1986">
        <v>1528</v>
      </c>
      <c r="J1986">
        <v>94936</v>
      </c>
      <c r="K1986">
        <v>83946</v>
      </c>
      <c r="L1986">
        <v>73727</v>
      </c>
      <c r="M1986" t="str">
        <f t="shared" ref="M1986:M2049" si="187">IF(H1986&gt;1000000,"Large",IF(H1986&lt;100000,"Small","Medium"))</f>
        <v>Small</v>
      </c>
      <c r="N1986">
        <f>VLOOKUP(C1986,Lookup!$A$2:$D$5,MATCH(M1986,Lookup!$A$1:$D$1,0),FALSE)</f>
        <v>0.09</v>
      </c>
      <c r="O1986">
        <f t="shared" ref="O1986:O2049" si="188">L1986*N1986</f>
        <v>6635.4299999999994</v>
      </c>
      <c r="P1986" s="7">
        <f t="shared" ref="P1986:P2049" si="189">K1986/H1986</f>
        <v>0.8842378023089239</v>
      </c>
      <c r="Q1986" s="7">
        <f t="shared" ref="Q1986:Q2049" si="190">H1986/G1986</f>
        <v>5584.4705882352937</v>
      </c>
      <c r="R1986">
        <f t="shared" ref="R1986:R2049" si="191">I1986/O1986</f>
        <v>0.23027897212388648</v>
      </c>
    </row>
    <row r="1987" spans="1:18" x14ac:dyDescent="0.25">
      <c r="A1987" t="s">
        <v>1129</v>
      </c>
      <c r="B1987" t="s">
        <v>343</v>
      </c>
      <c r="C1987" t="s">
        <v>8</v>
      </c>
      <c r="D1987">
        <v>62293</v>
      </c>
      <c r="E1987" s="1">
        <v>44104</v>
      </c>
      <c r="F1987" s="2">
        <f t="shared" si="186"/>
        <v>2020</v>
      </c>
      <c r="G1987">
        <v>17</v>
      </c>
      <c r="H1987" s="3">
        <v>102140</v>
      </c>
      <c r="I1987">
        <v>2232</v>
      </c>
      <c r="J1987">
        <v>102140</v>
      </c>
      <c r="K1987">
        <v>93148</v>
      </c>
      <c r="L1987">
        <v>79352</v>
      </c>
      <c r="M1987" t="str">
        <f t="shared" si="187"/>
        <v>Medium</v>
      </c>
      <c r="N1987">
        <f>VLOOKUP(C1987,Lookup!$A$2:$D$5,MATCH(M1987,Lookup!$A$1:$D$1,0),FALSE)</f>
        <v>0.08</v>
      </c>
      <c r="O1987">
        <f t="shared" si="188"/>
        <v>6348.16</v>
      </c>
      <c r="P1987" s="7">
        <f t="shared" si="189"/>
        <v>0.91196397102016835</v>
      </c>
      <c r="Q1987" s="7">
        <f t="shared" si="190"/>
        <v>6008.2352941176468</v>
      </c>
      <c r="R1987">
        <f t="shared" si="191"/>
        <v>0.35159794334106259</v>
      </c>
    </row>
    <row r="1988" spans="1:18" x14ac:dyDescent="0.25">
      <c r="A1988" t="s">
        <v>1129</v>
      </c>
      <c r="B1988" t="s">
        <v>343</v>
      </c>
      <c r="C1988" t="s">
        <v>8</v>
      </c>
      <c r="D1988">
        <v>62293</v>
      </c>
      <c r="E1988" s="1">
        <v>44469</v>
      </c>
      <c r="F1988" s="2">
        <f t="shared" si="186"/>
        <v>2021</v>
      </c>
      <c r="G1988">
        <v>16</v>
      </c>
      <c r="H1988" s="3">
        <v>90664</v>
      </c>
      <c r="I1988">
        <v>1730</v>
      </c>
      <c r="J1988">
        <v>90664</v>
      </c>
      <c r="K1988">
        <v>80593</v>
      </c>
      <c r="L1988">
        <v>74775</v>
      </c>
      <c r="M1988" t="str">
        <f t="shared" si="187"/>
        <v>Small</v>
      </c>
      <c r="N1988">
        <f>VLOOKUP(C1988,Lookup!$A$2:$D$5,MATCH(M1988,Lookup!$A$1:$D$1,0),FALSE)</f>
        <v>0.09</v>
      </c>
      <c r="O1988">
        <f t="shared" si="188"/>
        <v>6729.75</v>
      </c>
      <c r="P1988" s="7">
        <f t="shared" si="189"/>
        <v>0.88891952704491306</v>
      </c>
      <c r="Q1988" s="7">
        <f t="shared" si="190"/>
        <v>5666.5</v>
      </c>
      <c r="R1988">
        <f t="shared" si="191"/>
        <v>0.25706749879267432</v>
      </c>
    </row>
    <row r="1989" spans="1:18" x14ac:dyDescent="0.25">
      <c r="A1989" t="s">
        <v>1130</v>
      </c>
      <c r="B1989" t="s">
        <v>1131</v>
      </c>
      <c r="C1989" t="s">
        <v>8</v>
      </c>
      <c r="D1989">
        <v>62467</v>
      </c>
      <c r="E1989" s="1">
        <v>43738</v>
      </c>
      <c r="F1989" s="2">
        <f t="shared" si="186"/>
        <v>2019</v>
      </c>
      <c r="G1989">
        <v>39</v>
      </c>
      <c r="H1989" s="3">
        <v>246484</v>
      </c>
      <c r="I1989">
        <v>29344</v>
      </c>
      <c r="J1989">
        <v>246484</v>
      </c>
      <c r="K1989">
        <v>212456</v>
      </c>
      <c r="L1989">
        <v>211981</v>
      </c>
      <c r="M1989" t="str">
        <f t="shared" si="187"/>
        <v>Medium</v>
      </c>
      <c r="N1989">
        <f>VLOOKUP(C1989,Lookup!$A$2:$D$5,MATCH(M1989,Lookup!$A$1:$D$1,0),FALSE)</f>
        <v>0.08</v>
      </c>
      <c r="O1989">
        <f t="shared" si="188"/>
        <v>16958.48</v>
      </c>
      <c r="P1989" s="7">
        <f t="shared" si="189"/>
        <v>0.86194641437172392</v>
      </c>
      <c r="Q1989" s="7">
        <f t="shared" si="190"/>
        <v>6320.1025641025644</v>
      </c>
      <c r="R1989">
        <f t="shared" si="191"/>
        <v>1.7303437572235247</v>
      </c>
    </row>
    <row r="1990" spans="1:18" x14ac:dyDescent="0.25">
      <c r="A1990" t="s">
        <v>1130</v>
      </c>
      <c r="B1990" t="s">
        <v>1131</v>
      </c>
      <c r="C1990" t="s">
        <v>8</v>
      </c>
      <c r="D1990">
        <v>62467</v>
      </c>
      <c r="E1990" s="1">
        <v>44104</v>
      </c>
      <c r="F1990" s="2">
        <f t="shared" si="186"/>
        <v>2020</v>
      </c>
      <c r="G1990">
        <v>41</v>
      </c>
      <c r="H1990" s="3">
        <v>277895</v>
      </c>
      <c r="I1990">
        <v>35724</v>
      </c>
      <c r="J1990">
        <v>277895</v>
      </c>
      <c r="K1990">
        <v>240060</v>
      </c>
      <c r="L1990">
        <v>239470</v>
      </c>
      <c r="M1990" t="str">
        <f t="shared" si="187"/>
        <v>Medium</v>
      </c>
      <c r="N1990">
        <f>VLOOKUP(C1990,Lookup!$A$2:$D$5,MATCH(M1990,Lookup!$A$1:$D$1,0),FALSE)</f>
        <v>0.08</v>
      </c>
      <c r="O1990">
        <f t="shared" si="188"/>
        <v>19157.600000000002</v>
      </c>
      <c r="P1990" s="7">
        <f t="shared" si="189"/>
        <v>0.86385145468612246</v>
      </c>
      <c r="Q1990" s="7">
        <f t="shared" si="190"/>
        <v>6777.9268292682927</v>
      </c>
      <c r="R1990">
        <f t="shared" si="191"/>
        <v>1.8647429740677326</v>
      </c>
    </row>
    <row r="1991" spans="1:18" x14ac:dyDescent="0.25">
      <c r="A1991" t="s">
        <v>1130</v>
      </c>
      <c r="B1991" t="s">
        <v>1131</v>
      </c>
      <c r="C1991" t="s">
        <v>8</v>
      </c>
      <c r="D1991">
        <v>62467</v>
      </c>
      <c r="E1991" s="1">
        <v>44469</v>
      </c>
      <c r="F1991" s="2">
        <f t="shared" si="186"/>
        <v>2021</v>
      </c>
      <c r="G1991">
        <v>35</v>
      </c>
      <c r="H1991" s="3">
        <v>311062</v>
      </c>
      <c r="I1991">
        <v>51975</v>
      </c>
      <c r="J1991">
        <v>311062</v>
      </c>
      <c r="K1991">
        <v>271116</v>
      </c>
      <c r="L1991">
        <v>270672</v>
      </c>
      <c r="M1991" t="str">
        <f t="shared" si="187"/>
        <v>Medium</v>
      </c>
      <c r="N1991">
        <f>VLOOKUP(C1991,Lookup!$A$2:$D$5,MATCH(M1991,Lookup!$A$1:$D$1,0),FALSE)</f>
        <v>0.08</v>
      </c>
      <c r="O1991">
        <f t="shared" si="188"/>
        <v>21653.760000000002</v>
      </c>
      <c r="P1991" s="7">
        <f t="shared" si="189"/>
        <v>0.87158187113822971</v>
      </c>
      <c r="Q1991" s="7">
        <f t="shared" si="190"/>
        <v>8887.4857142857145</v>
      </c>
      <c r="R1991">
        <f t="shared" si="191"/>
        <v>2.4002759797836495</v>
      </c>
    </row>
    <row r="1992" spans="1:18" x14ac:dyDescent="0.25">
      <c r="A1992" t="s">
        <v>1132</v>
      </c>
      <c r="B1992" t="s">
        <v>1133</v>
      </c>
      <c r="C1992" t="s">
        <v>8</v>
      </c>
      <c r="D1992">
        <v>62889</v>
      </c>
      <c r="E1992" s="1">
        <v>43738</v>
      </c>
      <c r="F1992" s="2">
        <f t="shared" si="186"/>
        <v>2019</v>
      </c>
      <c r="G1992">
        <v>2</v>
      </c>
      <c r="H1992" s="3">
        <v>8184</v>
      </c>
      <c r="I1992">
        <v>4253</v>
      </c>
      <c r="J1992">
        <v>8184</v>
      </c>
      <c r="K1992">
        <v>7474</v>
      </c>
      <c r="L1992">
        <v>7439</v>
      </c>
      <c r="M1992" t="str">
        <f t="shared" si="187"/>
        <v>Small</v>
      </c>
      <c r="N1992">
        <f>VLOOKUP(C1992,Lookup!$A$2:$D$5,MATCH(M1992,Lookup!$A$1:$D$1,0),FALSE)</f>
        <v>0.09</v>
      </c>
      <c r="O1992">
        <f t="shared" si="188"/>
        <v>669.51</v>
      </c>
      <c r="P1992" s="7">
        <f t="shared" si="189"/>
        <v>0.91324535679374386</v>
      </c>
      <c r="Q1992" s="7">
        <f t="shared" si="190"/>
        <v>4092</v>
      </c>
      <c r="R1992">
        <f t="shared" si="191"/>
        <v>6.3524069842123341</v>
      </c>
    </row>
    <row r="1993" spans="1:18" x14ac:dyDescent="0.25">
      <c r="A1993" t="s">
        <v>1132</v>
      </c>
      <c r="B1993" t="s">
        <v>1133</v>
      </c>
      <c r="C1993" t="s">
        <v>8</v>
      </c>
      <c r="D1993">
        <v>62889</v>
      </c>
      <c r="E1993" s="1">
        <v>44104</v>
      </c>
      <c r="F1993" s="2">
        <f t="shared" si="186"/>
        <v>2020</v>
      </c>
      <c r="G1993">
        <v>3</v>
      </c>
      <c r="H1993" s="3">
        <v>11297</v>
      </c>
      <c r="I1993">
        <v>3988</v>
      </c>
      <c r="J1993">
        <v>11297</v>
      </c>
      <c r="K1993">
        <v>10546</v>
      </c>
      <c r="L1993">
        <v>8201</v>
      </c>
      <c r="M1993" t="str">
        <f t="shared" si="187"/>
        <v>Small</v>
      </c>
      <c r="N1993">
        <f>VLOOKUP(C1993,Lookup!$A$2:$D$5,MATCH(M1993,Lookup!$A$1:$D$1,0),FALSE)</f>
        <v>0.09</v>
      </c>
      <c r="O1993">
        <f t="shared" si="188"/>
        <v>738.08999999999992</v>
      </c>
      <c r="P1993" s="7">
        <f t="shared" si="189"/>
        <v>0.93352217402850313</v>
      </c>
      <c r="Q1993" s="7">
        <f t="shared" si="190"/>
        <v>3765.6666666666665</v>
      </c>
      <c r="R1993">
        <f t="shared" si="191"/>
        <v>5.4031351190234256</v>
      </c>
    </row>
    <row r="1994" spans="1:18" x14ac:dyDescent="0.25">
      <c r="A1994" t="s">
        <v>1132</v>
      </c>
      <c r="B1994" t="s">
        <v>1133</v>
      </c>
      <c r="C1994" t="s">
        <v>8</v>
      </c>
      <c r="D1994">
        <v>62889</v>
      </c>
      <c r="E1994" s="1">
        <v>44469</v>
      </c>
      <c r="F1994" s="2">
        <f t="shared" si="186"/>
        <v>2021</v>
      </c>
      <c r="G1994">
        <v>2</v>
      </c>
      <c r="H1994" s="3">
        <v>10263</v>
      </c>
      <c r="I1994">
        <v>5599</v>
      </c>
      <c r="J1994">
        <v>10263</v>
      </c>
      <c r="K1994">
        <v>9800</v>
      </c>
      <c r="L1994">
        <v>9774</v>
      </c>
      <c r="M1994" t="str">
        <f t="shared" si="187"/>
        <v>Small</v>
      </c>
      <c r="N1994">
        <f>VLOOKUP(C1994,Lookup!$A$2:$D$5,MATCH(M1994,Lookup!$A$1:$D$1,0),FALSE)</f>
        <v>0.09</v>
      </c>
      <c r="O1994">
        <f t="shared" si="188"/>
        <v>879.66</v>
      </c>
      <c r="P1994" s="7">
        <f t="shared" si="189"/>
        <v>0.95488648543310928</v>
      </c>
      <c r="Q1994" s="7">
        <f t="shared" si="190"/>
        <v>5131.5</v>
      </c>
      <c r="R1994">
        <f t="shared" si="191"/>
        <v>6.3649591887774823</v>
      </c>
    </row>
    <row r="1995" spans="1:18" x14ac:dyDescent="0.25">
      <c r="A1995" t="s">
        <v>1134</v>
      </c>
      <c r="B1995" t="s">
        <v>1023</v>
      </c>
      <c r="C1995" t="s">
        <v>17</v>
      </c>
      <c r="D1995">
        <v>12866</v>
      </c>
      <c r="E1995" s="1">
        <v>43738</v>
      </c>
      <c r="F1995" s="2">
        <f t="shared" si="186"/>
        <v>2019</v>
      </c>
      <c r="G1995">
        <v>236</v>
      </c>
      <c r="H1995" s="3">
        <v>1204350</v>
      </c>
      <c r="I1995">
        <v>121539</v>
      </c>
      <c r="J1995">
        <v>1204350</v>
      </c>
      <c r="K1995">
        <v>1071270</v>
      </c>
      <c r="L1995">
        <v>1040057</v>
      </c>
      <c r="M1995" t="str">
        <f t="shared" si="187"/>
        <v>Large</v>
      </c>
      <c r="N1995">
        <f>VLOOKUP(C1995,Lookup!$A$2:$D$5,MATCH(M1995,Lookup!$A$1:$D$1,0),FALSE)</f>
        <v>0.08</v>
      </c>
      <c r="O1995">
        <f t="shared" si="188"/>
        <v>83204.56</v>
      </c>
      <c r="P1995" s="7">
        <f t="shared" si="189"/>
        <v>0.88950056046830239</v>
      </c>
      <c r="Q1995" s="7">
        <f t="shared" si="190"/>
        <v>5103.1779661016953</v>
      </c>
      <c r="R1995">
        <f t="shared" si="191"/>
        <v>1.460725229482615</v>
      </c>
    </row>
    <row r="1996" spans="1:18" x14ac:dyDescent="0.25">
      <c r="A1996" t="s">
        <v>1134</v>
      </c>
      <c r="B1996" t="s">
        <v>1023</v>
      </c>
      <c r="C1996" t="s">
        <v>17</v>
      </c>
      <c r="D1996">
        <v>12866</v>
      </c>
      <c r="E1996" s="1">
        <v>44104</v>
      </c>
      <c r="F1996" s="2">
        <f t="shared" si="186"/>
        <v>2020</v>
      </c>
      <c r="G1996">
        <v>235</v>
      </c>
      <c r="H1996" s="3">
        <v>1460006</v>
      </c>
      <c r="I1996">
        <v>317755</v>
      </c>
      <c r="J1996">
        <v>1460006</v>
      </c>
      <c r="K1996">
        <v>1316895</v>
      </c>
      <c r="L1996">
        <v>1288992</v>
      </c>
      <c r="M1996" t="str">
        <f t="shared" si="187"/>
        <v>Large</v>
      </c>
      <c r="N1996">
        <f>VLOOKUP(C1996,Lookup!$A$2:$D$5,MATCH(M1996,Lookup!$A$1:$D$1,0),FALSE)</f>
        <v>0.08</v>
      </c>
      <c r="O1996">
        <f t="shared" si="188"/>
        <v>103119.36</v>
      </c>
      <c r="P1996" s="7">
        <f t="shared" si="189"/>
        <v>0.9019791699486166</v>
      </c>
      <c r="Q1996" s="7">
        <f t="shared" si="190"/>
        <v>6212.7914893617017</v>
      </c>
      <c r="R1996">
        <f t="shared" si="191"/>
        <v>3.0814291322211464</v>
      </c>
    </row>
    <row r="1997" spans="1:18" x14ac:dyDescent="0.25">
      <c r="A1997" t="s">
        <v>1134</v>
      </c>
      <c r="B1997" t="s">
        <v>1023</v>
      </c>
      <c r="C1997" t="s">
        <v>17</v>
      </c>
      <c r="D1997">
        <v>12866</v>
      </c>
      <c r="E1997" s="1">
        <v>44469</v>
      </c>
      <c r="F1997" s="2">
        <f t="shared" si="186"/>
        <v>2021</v>
      </c>
      <c r="G1997">
        <v>249</v>
      </c>
      <c r="H1997" s="3">
        <v>1617518</v>
      </c>
      <c r="I1997">
        <v>334204</v>
      </c>
      <c r="J1997">
        <v>1617518</v>
      </c>
      <c r="K1997">
        <v>1469759</v>
      </c>
      <c r="L1997">
        <v>1433803</v>
      </c>
      <c r="M1997" t="str">
        <f t="shared" si="187"/>
        <v>Large</v>
      </c>
      <c r="N1997">
        <f>VLOOKUP(C1997,Lookup!$A$2:$D$5,MATCH(M1997,Lookup!$A$1:$D$1,0),FALSE)</f>
        <v>0.08</v>
      </c>
      <c r="O1997">
        <f t="shared" si="188"/>
        <v>114704.24</v>
      </c>
      <c r="P1997" s="7">
        <f t="shared" si="189"/>
        <v>0.90865078472078831</v>
      </c>
      <c r="Q1997" s="7">
        <f t="shared" si="190"/>
        <v>6496.0562248995984</v>
      </c>
      <c r="R1997">
        <f t="shared" si="191"/>
        <v>2.9136150503242075</v>
      </c>
    </row>
    <row r="1998" spans="1:18" x14ac:dyDescent="0.25">
      <c r="A1998" t="s">
        <v>1135</v>
      </c>
      <c r="B1998" t="s">
        <v>69</v>
      </c>
      <c r="C1998" t="s">
        <v>8</v>
      </c>
      <c r="D1998">
        <v>62906</v>
      </c>
      <c r="E1998" s="1">
        <v>43738</v>
      </c>
      <c r="F1998" s="2">
        <f t="shared" si="186"/>
        <v>2019</v>
      </c>
      <c r="G1998">
        <v>50</v>
      </c>
      <c r="H1998" s="3">
        <v>219665</v>
      </c>
      <c r="I1998">
        <v>18700</v>
      </c>
      <c r="J1998">
        <v>219665</v>
      </c>
      <c r="K1998">
        <v>187633</v>
      </c>
      <c r="L1998">
        <v>186784</v>
      </c>
      <c r="M1998" t="str">
        <f t="shared" si="187"/>
        <v>Medium</v>
      </c>
      <c r="N1998">
        <f>VLOOKUP(C1998,Lookup!$A$2:$D$5,MATCH(M1998,Lookup!$A$1:$D$1,0),FALSE)</f>
        <v>0.08</v>
      </c>
      <c r="O1998">
        <f t="shared" si="188"/>
        <v>14942.720000000001</v>
      </c>
      <c r="P1998" s="7">
        <f t="shared" si="189"/>
        <v>0.85417795279175113</v>
      </c>
      <c r="Q1998" s="7">
        <f t="shared" si="190"/>
        <v>4393.3</v>
      </c>
      <c r="R1998">
        <f t="shared" si="191"/>
        <v>1.251445519958883</v>
      </c>
    </row>
    <row r="1999" spans="1:18" x14ac:dyDescent="0.25">
      <c r="A1999" t="s">
        <v>1135</v>
      </c>
      <c r="B1999" t="s">
        <v>69</v>
      </c>
      <c r="C1999" t="s">
        <v>8</v>
      </c>
      <c r="D1999">
        <v>62906</v>
      </c>
      <c r="E1999" s="1">
        <v>44104</v>
      </c>
      <c r="F1999" s="2">
        <f t="shared" si="186"/>
        <v>2020</v>
      </c>
      <c r="G1999">
        <v>46</v>
      </c>
      <c r="H1999" s="3">
        <v>239590</v>
      </c>
      <c r="I1999">
        <v>19952</v>
      </c>
      <c r="J1999">
        <v>239590</v>
      </c>
      <c r="K1999">
        <v>205795</v>
      </c>
      <c r="L1999">
        <v>202658</v>
      </c>
      <c r="M1999" t="str">
        <f t="shared" si="187"/>
        <v>Medium</v>
      </c>
      <c r="N1999">
        <f>VLOOKUP(C1999,Lookup!$A$2:$D$5,MATCH(M1999,Lookup!$A$1:$D$1,0),FALSE)</f>
        <v>0.08</v>
      </c>
      <c r="O1999">
        <f t="shared" si="188"/>
        <v>16212.640000000001</v>
      </c>
      <c r="P1999" s="7">
        <f t="shared" si="189"/>
        <v>0.85894653366167206</v>
      </c>
      <c r="Q1999" s="7">
        <f t="shared" si="190"/>
        <v>5208.478260869565</v>
      </c>
      <c r="R1999">
        <f t="shared" si="191"/>
        <v>1.2306447315181241</v>
      </c>
    </row>
    <row r="2000" spans="1:18" x14ac:dyDescent="0.25">
      <c r="A2000" t="s">
        <v>1135</v>
      </c>
      <c r="B2000" t="s">
        <v>69</v>
      </c>
      <c r="C2000" t="s">
        <v>8</v>
      </c>
      <c r="D2000">
        <v>62906</v>
      </c>
      <c r="E2000" s="1">
        <v>44469</v>
      </c>
      <c r="F2000" s="2">
        <f t="shared" si="186"/>
        <v>2021</v>
      </c>
      <c r="G2000">
        <v>44</v>
      </c>
      <c r="H2000" s="3">
        <v>271406</v>
      </c>
      <c r="I2000">
        <v>15131</v>
      </c>
      <c r="J2000">
        <v>271406</v>
      </c>
      <c r="K2000">
        <v>237342</v>
      </c>
      <c r="L2000">
        <v>231072</v>
      </c>
      <c r="M2000" t="str">
        <f t="shared" si="187"/>
        <v>Medium</v>
      </c>
      <c r="N2000">
        <f>VLOOKUP(C2000,Lookup!$A$2:$D$5,MATCH(M2000,Lookup!$A$1:$D$1,0),FALSE)</f>
        <v>0.08</v>
      </c>
      <c r="O2000">
        <f t="shared" si="188"/>
        <v>18485.760000000002</v>
      </c>
      <c r="P2000" s="7">
        <f t="shared" si="189"/>
        <v>0.8744906155353972</v>
      </c>
      <c r="Q2000" s="7">
        <f t="shared" si="190"/>
        <v>6168.318181818182</v>
      </c>
      <c r="R2000">
        <f t="shared" si="191"/>
        <v>0.81852193255781736</v>
      </c>
    </row>
    <row r="2001" spans="1:18" x14ac:dyDescent="0.25">
      <c r="A2001" t="s">
        <v>1136</v>
      </c>
      <c r="B2001" t="s">
        <v>1137</v>
      </c>
      <c r="C2001" t="s">
        <v>8</v>
      </c>
      <c r="D2001">
        <v>61723</v>
      </c>
      <c r="E2001" s="1">
        <v>43738</v>
      </c>
      <c r="F2001" s="2">
        <f t="shared" si="186"/>
        <v>2019</v>
      </c>
      <c r="G2001">
        <v>14</v>
      </c>
      <c r="H2001" s="3">
        <v>59349</v>
      </c>
      <c r="I2001">
        <v>4030</v>
      </c>
      <c r="J2001">
        <v>59349</v>
      </c>
      <c r="K2001">
        <v>51010</v>
      </c>
      <c r="L2001">
        <v>50574</v>
      </c>
      <c r="M2001" t="str">
        <f t="shared" si="187"/>
        <v>Small</v>
      </c>
      <c r="N2001">
        <f>VLOOKUP(C2001,Lookup!$A$2:$D$5,MATCH(M2001,Lookup!$A$1:$D$1,0),FALSE)</f>
        <v>0.09</v>
      </c>
      <c r="O2001">
        <f t="shared" si="188"/>
        <v>4551.66</v>
      </c>
      <c r="P2001" s="7">
        <f t="shared" si="189"/>
        <v>0.85949215656540123</v>
      </c>
      <c r="Q2001" s="7">
        <f t="shared" si="190"/>
        <v>4239.2142857142853</v>
      </c>
      <c r="R2001">
        <f t="shared" si="191"/>
        <v>0.88539126384659661</v>
      </c>
    </row>
    <row r="2002" spans="1:18" x14ac:dyDescent="0.25">
      <c r="A2002" t="s">
        <v>1136</v>
      </c>
      <c r="B2002" t="s">
        <v>1137</v>
      </c>
      <c r="C2002" t="s">
        <v>8</v>
      </c>
      <c r="D2002">
        <v>61723</v>
      </c>
      <c r="E2002" s="1">
        <v>44104</v>
      </c>
      <c r="F2002" s="2">
        <f t="shared" si="186"/>
        <v>2020</v>
      </c>
      <c r="G2002">
        <v>14</v>
      </c>
      <c r="H2002" s="3">
        <v>70918</v>
      </c>
      <c r="I2002">
        <v>5519</v>
      </c>
      <c r="J2002">
        <v>70917</v>
      </c>
      <c r="K2002">
        <v>61991</v>
      </c>
      <c r="L2002">
        <v>58006</v>
      </c>
      <c r="M2002" t="str">
        <f t="shared" si="187"/>
        <v>Small</v>
      </c>
      <c r="N2002">
        <f>VLOOKUP(C2002,Lookup!$A$2:$D$5,MATCH(M2002,Lookup!$A$1:$D$1,0),FALSE)</f>
        <v>0.09</v>
      </c>
      <c r="O2002">
        <f t="shared" si="188"/>
        <v>5220.54</v>
      </c>
      <c r="P2002" s="7">
        <f t="shared" si="189"/>
        <v>0.8741222256690826</v>
      </c>
      <c r="Q2002" s="7">
        <f t="shared" si="190"/>
        <v>5065.5714285714284</v>
      </c>
      <c r="R2002">
        <f t="shared" si="191"/>
        <v>1.0571703310385516</v>
      </c>
    </row>
    <row r="2003" spans="1:18" x14ac:dyDescent="0.25">
      <c r="A2003" t="s">
        <v>1136</v>
      </c>
      <c r="B2003" t="s">
        <v>1137</v>
      </c>
      <c r="C2003" t="s">
        <v>8</v>
      </c>
      <c r="D2003">
        <v>61723</v>
      </c>
      <c r="E2003" s="1">
        <v>44469</v>
      </c>
      <c r="F2003" s="2">
        <f t="shared" si="186"/>
        <v>2021</v>
      </c>
      <c r="G2003">
        <v>13</v>
      </c>
      <c r="H2003" s="3">
        <v>71707</v>
      </c>
      <c r="I2003">
        <v>3363</v>
      </c>
      <c r="J2003">
        <v>71707</v>
      </c>
      <c r="K2003">
        <v>62460</v>
      </c>
      <c r="L2003">
        <v>61070</v>
      </c>
      <c r="M2003" t="str">
        <f t="shared" si="187"/>
        <v>Small</v>
      </c>
      <c r="N2003">
        <f>VLOOKUP(C2003,Lookup!$A$2:$D$5,MATCH(M2003,Lookup!$A$1:$D$1,0),FALSE)</f>
        <v>0.09</v>
      </c>
      <c r="O2003">
        <f t="shared" si="188"/>
        <v>5496.3</v>
      </c>
      <c r="P2003" s="7">
        <f t="shared" si="189"/>
        <v>0.8710446678845859</v>
      </c>
      <c r="Q2003" s="7">
        <f t="shared" si="190"/>
        <v>5515.9230769230771</v>
      </c>
      <c r="R2003">
        <f t="shared" si="191"/>
        <v>0.61186616451067077</v>
      </c>
    </row>
    <row r="2004" spans="1:18" x14ac:dyDescent="0.25">
      <c r="A2004" t="s">
        <v>1138</v>
      </c>
      <c r="B2004" t="s">
        <v>851</v>
      </c>
      <c r="C2004" t="s">
        <v>8</v>
      </c>
      <c r="D2004">
        <v>60914</v>
      </c>
      <c r="E2004" s="1">
        <v>43738</v>
      </c>
      <c r="F2004" s="2">
        <f t="shared" si="186"/>
        <v>2019</v>
      </c>
      <c r="G2004">
        <v>11</v>
      </c>
      <c r="H2004" s="3">
        <v>68071</v>
      </c>
      <c r="I2004">
        <v>2761</v>
      </c>
      <c r="J2004">
        <v>68071</v>
      </c>
      <c r="K2004">
        <v>59605</v>
      </c>
      <c r="L2004">
        <v>51608</v>
      </c>
      <c r="M2004" t="str">
        <f t="shared" si="187"/>
        <v>Small</v>
      </c>
      <c r="N2004">
        <f>VLOOKUP(C2004,Lookup!$A$2:$D$5,MATCH(M2004,Lookup!$A$1:$D$1,0),FALSE)</f>
        <v>0.09</v>
      </c>
      <c r="O2004">
        <f t="shared" si="188"/>
        <v>4644.72</v>
      </c>
      <c r="P2004" s="7">
        <f t="shared" si="189"/>
        <v>0.87562985706100982</v>
      </c>
      <c r="Q2004" s="7">
        <f t="shared" si="190"/>
        <v>6188.272727272727</v>
      </c>
      <c r="R2004">
        <f t="shared" si="191"/>
        <v>0.5944384160939733</v>
      </c>
    </row>
    <row r="2005" spans="1:18" x14ac:dyDescent="0.25">
      <c r="A2005" t="s">
        <v>1138</v>
      </c>
      <c r="B2005" t="s">
        <v>851</v>
      </c>
      <c r="C2005" t="s">
        <v>8</v>
      </c>
      <c r="D2005">
        <v>60914</v>
      </c>
      <c r="E2005" s="1">
        <v>44104</v>
      </c>
      <c r="F2005" s="2">
        <f t="shared" si="186"/>
        <v>2020</v>
      </c>
      <c r="G2005">
        <v>10</v>
      </c>
      <c r="H2005" s="3">
        <v>80313</v>
      </c>
      <c r="I2005">
        <v>2457</v>
      </c>
      <c r="J2005">
        <v>80313</v>
      </c>
      <c r="K2005">
        <v>71838</v>
      </c>
      <c r="L2005">
        <v>63508</v>
      </c>
      <c r="M2005" t="str">
        <f t="shared" si="187"/>
        <v>Small</v>
      </c>
      <c r="N2005">
        <f>VLOOKUP(C2005,Lookup!$A$2:$D$5,MATCH(M2005,Lookup!$A$1:$D$1,0),FALSE)</f>
        <v>0.09</v>
      </c>
      <c r="O2005">
        <f t="shared" si="188"/>
        <v>5715.7199999999993</v>
      </c>
      <c r="P2005" s="7">
        <f t="shared" si="189"/>
        <v>0.89447536513391357</v>
      </c>
      <c r="Q2005" s="7">
        <f t="shared" si="190"/>
        <v>8031.3</v>
      </c>
      <c r="R2005">
        <f t="shared" si="191"/>
        <v>0.42986710335705741</v>
      </c>
    </row>
    <row r="2006" spans="1:18" x14ac:dyDescent="0.25">
      <c r="A2006" t="s">
        <v>1138</v>
      </c>
      <c r="B2006" t="s">
        <v>851</v>
      </c>
      <c r="C2006" t="s">
        <v>8</v>
      </c>
      <c r="D2006">
        <v>60914</v>
      </c>
      <c r="E2006" s="1">
        <v>44469</v>
      </c>
      <c r="F2006" s="2">
        <f t="shared" si="186"/>
        <v>2021</v>
      </c>
      <c r="G2006">
        <v>10</v>
      </c>
      <c r="H2006" s="3">
        <v>90327</v>
      </c>
      <c r="I2006">
        <v>23456</v>
      </c>
      <c r="J2006">
        <v>90327</v>
      </c>
      <c r="K2006">
        <v>82351</v>
      </c>
      <c r="L2006">
        <v>71803</v>
      </c>
      <c r="M2006" t="str">
        <f t="shared" si="187"/>
        <v>Small</v>
      </c>
      <c r="N2006">
        <f>VLOOKUP(C2006,Lookup!$A$2:$D$5,MATCH(M2006,Lookup!$A$1:$D$1,0),FALSE)</f>
        <v>0.09</v>
      </c>
      <c r="O2006">
        <f t="shared" si="188"/>
        <v>6462.2699999999995</v>
      </c>
      <c r="P2006" s="7">
        <f t="shared" si="189"/>
        <v>0.91169860617534071</v>
      </c>
      <c r="Q2006" s="7">
        <f t="shared" si="190"/>
        <v>9032.7000000000007</v>
      </c>
      <c r="R2006">
        <f t="shared" si="191"/>
        <v>3.6296843059791684</v>
      </c>
    </row>
    <row r="2007" spans="1:18" x14ac:dyDescent="0.25">
      <c r="A2007" t="s">
        <v>1139</v>
      </c>
      <c r="B2007" t="s">
        <v>245</v>
      </c>
      <c r="C2007" t="s">
        <v>20</v>
      </c>
      <c r="D2007">
        <v>2021</v>
      </c>
      <c r="E2007" s="1">
        <v>43738</v>
      </c>
      <c r="F2007" s="2">
        <f t="shared" si="186"/>
        <v>2019</v>
      </c>
      <c r="G2007">
        <v>106</v>
      </c>
      <c r="H2007" s="3">
        <v>643963</v>
      </c>
      <c r="I2007">
        <v>35294</v>
      </c>
      <c r="J2007">
        <v>643963</v>
      </c>
      <c r="K2007">
        <v>570454</v>
      </c>
      <c r="L2007">
        <v>537702</v>
      </c>
      <c r="M2007" t="str">
        <f t="shared" si="187"/>
        <v>Medium</v>
      </c>
      <c r="N2007">
        <f>VLOOKUP(C2007,Lookup!$A$2:$D$5,MATCH(M2007,Lookup!$A$1:$D$1,0),FALSE)</f>
        <v>8.5000000000000006E-2</v>
      </c>
      <c r="O2007">
        <f t="shared" si="188"/>
        <v>45704.670000000006</v>
      </c>
      <c r="P2007" s="7">
        <f t="shared" si="189"/>
        <v>0.88584903169902618</v>
      </c>
      <c r="Q2007" s="7">
        <f t="shared" si="190"/>
        <v>6075.1226415094343</v>
      </c>
      <c r="R2007">
        <f t="shared" si="191"/>
        <v>0.77221868137326</v>
      </c>
    </row>
    <row r="2008" spans="1:18" x14ac:dyDescent="0.25">
      <c r="A2008" t="s">
        <v>1139</v>
      </c>
      <c r="B2008" t="s">
        <v>245</v>
      </c>
      <c r="C2008" t="s">
        <v>20</v>
      </c>
      <c r="D2008">
        <v>2021</v>
      </c>
      <c r="E2008" s="1">
        <v>44104</v>
      </c>
      <c r="F2008" s="2">
        <f t="shared" si="186"/>
        <v>2020</v>
      </c>
      <c r="G2008">
        <v>110</v>
      </c>
      <c r="H2008" s="3">
        <v>721782</v>
      </c>
      <c r="I2008">
        <v>52307</v>
      </c>
      <c r="J2008">
        <v>721782</v>
      </c>
      <c r="K2008">
        <v>647055</v>
      </c>
      <c r="L2008">
        <v>611200</v>
      </c>
      <c r="M2008" t="str">
        <f t="shared" si="187"/>
        <v>Medium</v>
      </c>
      <c r="N2008">
        <f>VLOOKUP(C2008,Lookup!$A$2:$D$5,MATCH(M2008,Lookup!$A$1:$D$1,0),FALSE)</f>
        <v>8.5000000000000006E-2</v>
      </c>
      <c r="O2008">
        <f t="shared" si="188"/>
        <v>51952.000000000007</v>
      </c>
      <c r="P2008" s="7">
        <f t="shared" si="189"/>
        <v>0.89646873986882469</v>
      </c>
      <c r="Q2008" s="7">
        <f t="shared" si="190"/>
        <v>6561.6545454545458</v>
      </c>
      <c r="R2008">
        <f t="shared" si="191"/>
        <v>1.0068332306744685</v>
      </c>
    </row>
    <row r="2009" spans="1:18" x14ac:dyDescent="0.25">
      <c r="A2009" t="s">
        <v>1139</v>
      </c>
      <c r="B2009" t="s">
        <v>245</v>
      </c>
      <c r="C2009" t="s">
        <v>20</v>
      </c>
      <c r="D2009">
        <v>2021</v>
      </c>
      <c r="E2009" s="1">
        <v>44469</v>
      </c>
      <c r="F2009" s="2">
        <f t="shared" si="186"/>
        <v>2021</v>
      </c>
      <c r="G2009">
        <v>108</v>
      </c>
      <c r="H2009" s="3">
        <v>816707</v>
      </c>
      <c r="I2009">
        <v>227219</v>
      </c>
      <c r="J2009">
        <v>816707</v>
      </c>
      <c r="K2009">
        <v>732793</v>
      </c>
      <c r="L2009">
        <v>725043</v>
      </c>
      <c r="M2009" t="str">
        <f t="shared" si="187"/>
        <v>Medium</v>
      </c>
      <c r="N2009">
        <f>VLOOKUP(C2009,Lookup!$A$2:$D$5,MATCH(M2009,Lookup!$A$1:$D$1,0),FALSE)</f>
        <v>8.5000000000000006E-2</v>
      </c>
      <c r="O2009">
        <f t="shared" si="188"/>
        <v>61628.655000000006</v>
      </c>
      <c r="P2009" s="7">
        <f t="shared" si="189"/>
        <v>0.8972532376972403</v>
      </c>
      <c r="Q2009" s="7">
        <f t="shared" si="190"/>
        <v>7562.1018518518522</v>
      </c>
      <c r="R2009">
        <f t="shared" si="191"/>
        <v>3.6869050606410276</v>
      </c>
    </row>
    <row r="2010" spans="1:18" x14ac:dyDescent="0.25">
      <c r="A2010" t="s">
        <v>1140</v>
      </c>
      <c r="B2010" t="s">
        <v>1141</v>
      </c>
      <c r="C2010" t="s">
        <v>8</v>
      </c>
      <c r="D2010">
        <v>62901</v>
      </c>
      <c r="E2010" s="1">
        <v>43738</v>
      </c>
      <c r="F2010" s="2">
        <f t="shared" si="186"/>
        <v>2019</v>
      </c>
      <c r="G2010">
        <v>54</v>
      </c>
      <c r="H2010" s="3">
        <v>246160</v>
      </c>
      <c r="I2010">
        <v>40152</v>
      </c>
      <c r="J2010">
        <v>246160</v>
      </c>
      <c r="K2010">
        <v>215246</v>
      </c>
      <c r="L2010">
        <v>214264</v>
      </c>
      <c r="M2010" t="str">
        <f t="shared" si="187"/>
        <v>Medium</v>
      </c>
      <c r="N2010">
        <f>VLOOKUP(C2010,Lookup!$A$2:$D$5,MATCH(M2010,Lookup!$A$1:$D$1,0),FALSE)</f>
        <v>0.08</v>
      </c>
      <c r="O2010">
        <f t="shared" si="188"/>
        <v>17141.12</v>
      </c>
      <c r="P2010" s="7">
        <f t="shared" si="189"/>
        <v>0.87441501462463433</v>
      </c>
      <c r="Q2010" s="7">
        <f t="shared" si="190"/>
        <v>4558.5185185185182</v>
      </c>
      <c r="R2010">
        <f t="shared" si="191"/>
        <v>2.3424373669865215</v>
      </c>
    </row>
    <row r="2011" spans="1:18" x14ac:dyDescent="0.25">
      <c r="A2011" t="s">
        <v>1140</v>
      </c>
      <c r="B2011" t="s">
        <v>1141</v>
      </c>
      <c r="C2011" t="s">
        <v>8</v>
      </c>
      <c r="D2011">
        <v>62901</v>
      </c>
      <c r="E2011" s="1">
        <v>44104</v>
      </c>
      <c r="F2011" s="2">
        <f t="shared" si="186"/>
        <v>2020</v>
      </c>
      <c r="G2011">
        <v>49</v>
      </c>
      <c r="H2011" s="3">
        <v>261571</v>
      </c>
      <c r="I2011">
        <v>29835</v>
      </c>
      <c r="J2011">
        <v>261571</v>
      </c>
      <c r="K2011">
        <v>227860</v>
      </c>
      <c r="L2011">
        <v>222166</v>
      </c>
      <c r="M2011" t="str">
        <f t="shared" si="187"/>
        <v>Medium</v>
      </c>
      <c r="N2011">
        <f>VLOOKUP(C2011,Lookup!$A$2:$D$5,MATCH(M2011,Lookup!$A$1:$D$1,0),FALSE)</f>
        <v>0.08</v>
      </c>
      <c r="O2011">
        <f t="shared" si="188"/>
        <v>17773.28</v>
      </c>
      <c r="P2011" s="7">
        <f t="shared" si="189"/>
        <v>0.87112103405958607</v>
      </c>
      <c r="Q2011" s="7">
        <f t="shared" si="190"/>
        <v>5338.1836734693879</v>
      </c>
      <c r="R2011">
        <f t="shared" si="191"/>
        <v>1.6786434467920386</v>
      </c>
    </row>
    <row r="2012" spans="1:18" x14ac:dyDescent="0.25">
      <c r="A2012" t="s">
        <v>1140</v>
      </c>
      <c r="B2012" t="s">
        <v>1141</v>
      </c>
      <c r="C2012" t="s">
        <v>8</v>
      </c>
      <c r="D2012">
        <v>62901</v>
      </c>
      <c r="E2012" s="1">
        <v>44469</v>
      </c>
      <c r="F2012" s="2">
        <f t="shared" si="186"/>
        <v>2021</v>
      </c>
      <c r="G2012">
        <v>43</v>
      </c>
      <c r="H2012" s="3">
        <v>282425</v>
      </c>
      <c r="I2012">
        <v>24411</v>
      </c>
      <c r="J2012">
        <v>282425</v>
      </c>
      <c r="K2012">
        <v>246641</v>
      </c>
      <c r="L2012">
        <v>241221</v>
      </c>
      <c r="M2012" t="str">
        <f t="shared" si="187"/>
        <v>Medium</v>
      </c>
      <c r="N2012">
        <f>VLOOKUP(C2012,Lookup!$A$2:$D$5,MATCH(M2012,Lookup!$A$1:$D$1,0),FALSE)</f>
        <v>0.08</v>
      </c>
      <c r="O2012">
        <f t="shared" si="188"/>
        <v>19297.68</v>
      </c>
      <c r="P2012" s="7">
        <f t="shared" si="189"/>
        <v>0.87329733557581657</v>
      </c>
      <c r="Q2012" s="7">
        <f t="shared" si="190"/>
        <v>6568.0232558139533</v>
      </c>
      <c r="R2012">
        <f t="shared" si="191"/>
        <v>1.2649707115052171</v>
      </c>
    </row>
    <row r="2013" spans="1:18" x14ac:dyDescent="0.25">
      <c r="A2013" t="s">
        <v>1142</v>
      </c>
      <c r="B2013" t="s">
        <v>1143</v>
      </c>
      <c r="C2013" t="s">
        <v>17</v>
      </c>
      <c r="D2013">
        <v>14427</v>
      </c>
      <c r="E2013" s="1">
        <v>43738</v>
      </c>
      <c r="F2013" s="2">
        <f t="shared" si="186"/>
        <v>2019</v>
      </c>
      <c r="G2013">
        <v>129</v>
      </c>
      <c r="H2013" s="3">
        <v>1483140</v>
      </c>
      <c r="I2013">
        <v>29926</v>
      </c>
      <c r="J2013">
        <v>1483140</v>
      </c>
      <c r="K2013">
        <v>1353487</v>
      </c>
      <c r="L2013">
        <v>1264907</v>
      </c>
      <c r="M2013" t="str">
        <f t="shared" si="187"/>
        <v>Large</v>
      </c>
      <c r="N2013">
        <f>VLOOKUP(C2013,Lookup!$A$2:$D$5,MATCH(M2013,Lookup!$A$1:$D$1,0),FALSE)</f>
        <v>0.08</v>
      </c>
      <c r="O2013">
        <f t="shared" si="188"/>
        <v>101192.56</v>
      </c>
      <c r="P2013" s="7">
        <f t="shared" si="189"/>
        <v>0.91258208935097163</v>
      </c>
      <c r="Q2013" s="7">
        <f t="shared" si="190"/>
        <v>11497.209302325582</v>
      </c>
      <c r="R2013">
        <f t="shared" si="191"/>
        <v>0.2957332041011711</v>
      </c>
    </row>
    <row r="2014" spans="1:18" x14ac:dyDescent="0.25">
      <c r="A2014" t="s">
        <v>1142</v>
      </c>
      <c r="B2014" t="s">
        <v>1143</v>
      </c>
      <c r="C2014" t="s">
        <v>17</v>
      </c>
      <c r="D2014">
        <v>14427</v>
      </c>
      <c r="E2014" s="1">
        <v>44104</v>
      </c>
      <c r="F2014" s="2">
        <f t="shared" si="186"/>
        <v>2020</v>
      </c>
      <c r="G2014">
        <v>127</v>
      </c>
      <c r="H2014" s="3">
        <v>1782679</v>
      </c>
      <c r="I2014">
        <v>103864</v>
      </c>
      <c r="J2014">
        <v>1782679</v>
      </c>
      <c r="K2014">
        <v>1641033</v>
      </c>
      <c r="L2014">
        <v>1579981</v>
      </c>
      <c r="M2014" t="str">
        <f t="shared" si="187"/>
        <v>Large</v>
      </c>
      <c r="N2014">
        <f>VLOOKUP(C2014,Lookup!$A$2:$D$5,MATCH(M2014,Lookup!$A$1:$D$1,0),FALSE)</f>
        <v>0.08</v>
      </c>
      <c r="O2014">
        <f t="shared" si="188"/>
        <v>126398.48</v>
      </c>
      <c r="P2014" s="7">
        <f t="shared" si="189"/>
        <v>0.92054318247985201</v>
      </c>
      <c r="Q2014" s="7">
        <f t="shared" si="190"/>
        <v>14036.842519685038</v>
      </c>
      <c r="R2014">
        <f t="shared" si="191"/>
        <v>0.82171874218740604</v>
      </c>
    </row>
    <row r="2015" spans="1:18" x14ac:dyDescent="0.25">
      <c r="A2015" t="s">
        <v>1142</v>
      </c>
      <c r="B2015" t="s">
        <v>1143</v>
      </c>
      <c r="C2015" t="s">
        <v>17</v>
      </c>
      <c r="D2015">
        <v>14427</v>
      </c>
      <c r="E2015" s="1">
        <v>44469</v>
      </c>
      <c r="F2015" s="2">
        <f t="shared" si="186"/>
        <v>2021</v>
      </c>
      <c r="G2015">
        <v>127</v>
      </c>
      <c r="H2015" s="3">
        <v>1932677</v>
      </c>
      <c r="I2015">
        <v>97443</v>
      </c>
      <c r="J2015">
        <v>1932677</v>
      </c>
      <c r="K2015">
        <v>1789695</v>
      </c>
      <c r="L2015">
        <v>1741726</v>
      </c>
      <c r="M2015" t="str">
        <f t="shared" si="187"/>
        <v>Large</v>
      </c>
      <c r="N2015">
        <f>VLOOKUP(C2015,Lookup!$A$2:$D$5,MATCH(M2015,Lookup!$A$1:$D$1,0),FALSE)</f>
        <v>0.08</v>
      </c>
      <c r="O2015">
        <f t="shared" si="188"/>
        <v>139338.08000000002</v>
      </c>
      <c r="P2015" s="7">
        <f t="shared" si="189"/>
        <v>0.92601867772007429</v>
      </c>
      <c r="Q2015" s="7">
        <f t="shared" si="190"/>
        <v>15217.929133858268</v>
      </c>
      <c r="R2015">
        <f t="shared" si="191"/>
        <v>0.69932785064929837</v>
      </c>
    </row>
    <row r="2016" spans="1:18" x14ac:dyDescent="0.25">
      <c r="A2016" t="s">
        <v>1144</v>
      </c>
      <c r="B2016" t="s">
        <v>16</v>
      </c>
      <c r="C2016" t="s">
        <v>17</v>
      </c>
      <c r="D2016">
        <v>10022</v>
      </c>
      <c r="E2016" s="1">
        <v>43738</v>
      </c>
      <c r="F2016" s="2">
        <f t="shared" si="186"/>
        <v>2019</v>
      </c>
      <c r="G2016">
        <v>301</v>
      </c>
      <c r="H2016" s="3">
        <v>2789917</v>
      </c>
      <c r="I2016">
        <v>297786</v>
      </c>
      <c r="J2016">
        <v>2789917</v>
      </c>
      <c r="K2016">
        <v>2789917</v>
      </c>
      <c r="L2016">
        <v>2378558</v>
      </c>
      <c r="M2016" t="str">
        <f t="shared" si="187"/>
        <v>Large</v>
      </c>
      <c r="N2016">
        <f>VLOOKUP(C2016,Lookup!$A$2:$D$5,MATCH(M2016,Lookup!$A$1:$D$1,0),FALSE)</f>
        <v>0.08</v>
      </c>
      <c r="O2016">
        <f t="shared" si="188"/>
        <v>190284.64</v>
      </c>
      <c r="P2016" s="7">
        <f t="shared" si="189"/>
        <v>1</v>
      </c>
      <c r="Q2016" s="7">
        <f t="shared" si="190"/>
        <v>9268.8272425249161</v>
      </c>
      <c r="R2016">
        <f t="shared" si="191"/>
        <v>1.564950276596156</v>
      </c>
    </row>
    <row r="2017" spans="1:18" x14ac:dyDescent="0.25">
      <c r="A2017" t="s">
        <v>1144</v>
      </c>
      <c r="B2017" t="s">
        <v>16</v>
      </c>
      <c r="C2017" t="s">
        <v>17</v>
      </c>
      <c r="D2017">
        <v>10022</v>
      </c>
      <c r="E2017" s="1">
        <v>44104</v>
      </c>
      <c r="F2017" s="2">
        <f t="shared" si="186"/>
        <v>2020</v>
      </c>
      <c r="G2017">
        <v>432</v>
      </c>
      <c r="H2017" s="3">
        <v>3059158</v>
      </c>
      <c r="I2017">
        <v>616901</v>
      </c>
      <c r="J2017">
        <v>3059158</v>
      </c>
      <c r="K2017">
        <v>3059158</v>
      </c>
      <c r="L2017">
        <v>2810359</v>
      </c>
      <c r="M2017" t="str">
        <f t="shared" si="187"/>
        <v>Large</v>
      </c>
      <c r="N2017">
        <f>VLOOKUP(C2017,Lookup!$A$2:$D$5,MATCH(M2017,Lookup!$A$1:$D$1,0),FALSE)</f>
        <v>0.08</v>
      </c>
      <c r="O2017">
        <f t="shared" si="188"/>
        <v>224828.72</v>
      </c>
      <c r="P2017" s="7">
        <f t="shared" si="189"/>
        <v>1</v>
      </c>
      <c r="Q2017" s="7">
        <f t="shared" si="190"/>
        <v>7081.3842592592591</v>
      </c>
      <c r="R2017">
        <f t="shared" si="191"/>
        <v>2.7438709787610764</v>
      </c>
    </row>
    <row r="2018" spans="1:18" x14ac:dyDescent="0.25">
      <c r="A2018" t="s">
        <v>1144</v>
      </c>
      <c r="B2018" t="s">
        <v>16</v>
      </c>
      <c r="C2018" t="s">
        <v>17</v>
      </c>
      <c r="D2018">
        <v>10022</v>
      </c>
      <c r="E2018" s="1">
        <v>44469</v>
      </c>
      <c r="F2018" s="2">
        <f t="shared" si="186"/>
        <v>2021</v>
      </c>
      <c r="G2018">
        <v>433</v>
      </c>
      <c r="H2018" s="3">
        <v>3216565</v>
      </c>
      <c r="I2018">
        <v>806426</v>
      </c>
      <c r="J2018">
        <v>3216565</v>
      </c>
      <c r="K2018">
        <v>3216565</v>
      </c>
      <c r="L2018">
        <v>2846161</v>
      </c>
      <c r="M2018" t="str">
        <f t="shared" si="187"/>
        <v>Large</v>
      </c>
      <c r="N2018">
        <f>VLOOKUP(C2018,Lookup!$A$2:$D$5,MATCH(M2018,Lookup!$A$1:$D$1,0),FALSE)</f>
        <v>0.08</v>
      </c>
      <c r="O2018">
        <f t="shared" si="188"/>
        <v>227692.88</v>
      </c>
      <c r="P2018" s="7">
        <f t="shared" si="189"/>
        <v>1</v>
      </c>
      <c r="Q2018" s="7">
        <f t="shared" si="190"/>
        <v>7428.5565819861431</v>
      </c>
      <c r="R2018">
        <f t="shared" si="191"/>
        <v>3.5417269086323646</v>
      </c>
    </row>
    <row r="2019" spans="1:18" x14ac:dyDescent="0.25">
      <c r="A2019" t="s">
        <v>1145</v>
      </c>
      <c r="B2019" t="s">
        <v>1146</v>
      </c>
      <c r="C2019" t="s">
        <v>8</v>
      </c>
      <c r="D2019">
        <v>62025</v>
      </c>
      <c r="E2019" s="1">
        <v>43738</v>
      </c>
      <c r="F2019" s="2">
        <f t="shared" si="186"/>
        <v>2019</v>
      </c>
      <c r="G2019">
        <v>293</v>
      </c>
      <c r="H2019" s="3">
        <v>1943295</v>
      </c>
      <c r="I2019">
        <v>339078</v>
      </c>
      <c r="J2019">
        <v>1943295</v>
      </c>
      <c r="K2019">
        <v>1670234</v>
      </c>
      <c r="L2019">
        <v>1573132</v>
      </c>
      <c r="M2019" t="str">
        <f t="shared" si="187"/>
        <v>Large</v>
      </c>
      <c r="N2019">
        <f>VLOOKUP(C2019,Lookup!$A$2:$D$5,MATCH(M2019,Lookup!$A$1:$D$1,0),FALSE)</f>
        <v>7.4999999999999997E-2</v>
      </c>
      <c r="O2019">
        <f t="shared" si="188"/>
        <v>117984.9</v>
      </c>
      <c r="P2019" s="7">
        <f t="shared" si="189"/>
        <v>0.85948556446653745</v>
      </c>
      <c r="Q2019" s="7">
        <f t="shared" si="190"/>
        <v>6632.4061433447096</v>
      </c>
      <c r="R2019">
        <f t="shared" si="191"/>
        <v>2.8739101359580763</v>
      </c>
    </row>
    <row r="2020" spans="1:18" x14ac:dyDescent="0.25">
      <c r="A2020" t="s">
        <v>1147</v>
      </c>
      <c r="B2020" t="s">
        <v>660</v>
      </c>
      <c r="C2020" t="s">
        <v>17</v>
      </c>
      <c r="D2020">
        <v>12414</v>
      </c>
      <c r="E2020" s="1">
        <v>43738</v>
      </c>
      <c r="F2020" s="2">
        <f t="shared" si="186"/>
        <v>2019</v>
      </c>
      <c r="G2020">
        <v>169</v>
      </c>
      <c r="H2020" s="3">
        <v>1406753</v>
      </c>
      <c r="I2020">
        <v>111077</v>
      </c>
      <c r="J2020">
        <v>1406753</v>
      </c>
      <c r="K2020">
        <v>1294634</v>
      </c>
      <c r="L2020">
        <v>1265307</v>
      </c>
      <c r="M2020" t="str">
        <f t="shared" si="187"/>
        <v>Large</v>
      </c>
      <c r="N2020">
        <f>VLOOKUP(C2020,Lookup!$A$2:$D$5,MATCH(M2020,Lookup!$A$1:$D$1,0),FALSE)</f>
        <v>0.08</v>
      </c>
      <c r="O2020">
        <f t="shared" si="188"/>
        <v>101224.56</v>
      </c>
      <c r="P2020" s="7">
        <f t="shared" si="189"/>
        <v>0.92029944133760511</v>
      </c>
      <c r="Q2020" s="7">
        <f t="shared" si="190"/>
        <v>8323.9822485207096</v>
      </c>
      <c r="R2020">
        <f t="shared" si="191"/>
        <v>1.0973325050758433</v>
      </c>
    </row>
    <row r="2021" spans="1:18" x14ac:dyDescent="0.25">
      <c r="A2021" t="s">
        <v>1147</v>
      </c>
      <c r="B2021" t="s">
        <v>660</v>
      </c>
      <c r="C2021" t="s">
        <v>17</v>
      </c>
      <c r="D2021">
        <v>12414</v>
      </c>
      <c r="E2021" s="1">
        <v>44104</v>
      </c>
      <c r="F2021" s="2">
        <f t="shared" si="186"/>
        <v>2020</v>
      </c>
      <c r="G2021">
        <v>189</v>
      </c>
      <c r="H2021" s="3">
        <v>1796065</v>
      </c>
      <c r="I2021">
        <v>76493</v>
      </c>
      <c r="J2021">
        <v>1796065</v>
      </c>
      <c r="K2021">
        <v>1655668</v>
      </c>
      <c r="L2021">
        <v>1629143</v>
      </c>
      <c r="M2021" t="str">
        <f t="shared" si="187"/>
        <v>Large</v>
      </c>
      <c r="N2021">
        <f>VLOOKUP(C2021,Lookup!$A$2:$D$5,MATCH(M2021,Lookup!$A$1:$D$1,0),FALSE)</f>
        <v>0.08</v>
      </c>
      <c r="O2021">
        <f t="shared" si="188"/>
        <v>130331.44</v>
      </c>
      <c r="P2021" s="7">
        <f t="shared" si="189"/>
        <v>0.92183078006642294</v>
      </c>
      <c r="Q2021" s="7">
        <f t="shared" si="190"/>
        <v>9502.9894179894181</v>
      </c>
      <c r="R2021">
        <f t="shared" si="191"/>
        <v>0.58691133927469841</v>
      </c>
    </row>
    <row r="2022" spans="1:18" x14ac:dyDescent="0.25">
      <c r="A2022" t="s">
        <v>1147</v>
      </c>
      <c r="B2022" t="s">
        <v>660</v>
      </c>
      <c r="C2022" t="s">
        <v>17</v>
      </c>
      <c r="D2022">
        <v>12414</v>
      </c>
      <c r="E2022" s="1">
        <v>44469</v>
      </c>
      <c r="F2022" s="2">
        <f t="shared" si="186"/>
        <v>2021</v>
      </c>
      <c r="G2022">
        <v>187</v>
      </c>
      <c r="H2022" s="3">
        <v>2279557</v>
      </c>
      <c r="I2022">
        <v>113586</v>
      </c>
      <c r="J2022">
        <v>2279557</v>
      </c>
      <c r="K2022">
        <v>2101531</v>
      </c>
      <c r="L2022">
        <v>2080482</v>
      </c>
      <c r="M2022" t="str">
        <f t="shared" si="187"/>
        <v>Large</v>
      </c>
      <c r="N2022">
        <f>VLOOKUP(C2022,Lookup!$A$2:$D$5,MATCH(M2022,Lookup!$A$1:$D$1,0),FALSE)</f>
        <v>0.08</v>
      </c>
      <c r="O2022">
        <f t="shared" si="188"/>
        <v>166438.56</v>
      </c>
      <c r="P2022" s="7">
        <f t="shared" si="189"/>
        <v>0.92190324699053372</v>
      </c>
      <c r="Q2022" s="7">
        <f t="shared" si="190"/>
        <v>12190.144385026739</v>
      </c>
      <c r="R2022">
        <f t="shared" si="191"/>
        <v>0.68245002840687885</v>
      </c>
    </row>
    <row r="2023" spans="1:18" x14ac:dyDescent="0.25">
      <c r="A2023" t="s">
        <v>1148</v>
      </c>
      <c r="B2023" t="s">
        <v>985</v>
      </c>
      <c r="C2023" t="s">
        <v>5</v>
      </c>
      <c r="D2023">
        <v>92506</v>
      </c>
      <c r="E2023" s="1">
        <v>43738</v>
      </c>
      <c r="F2023" s="2">
        <f t="shared" si="186"/>
        <v>2019</v>
      </c>
      <c r="G2023">
        <v>88</v>
      </c>
      <c r="H2023" s="3">
        <v>722266</v>
      </c>
      <c r="I2023">
        <v>83412</v>
      </c>
      <c r="J2023">
        <v>722266</v>
      </c>
      <c r="K2023">
        <v>641251</v>
      </c>
      <c r="L2023">
        <v>636386</v>
      </c>
      <c r="M2023" t="str">
        <f t="shared" si="187"/>
        <v>Medium</v>
      </c>
      <c r="N2023">
        <f>VLOOKUP(C2023,Lookup!$A$2:$D$5,MATCH(M2023,Lookup!$A$1:$D$1,0),FALSE)</f>
        <v>0.09</v>
      </c>
      <c r="O2023">
        <f t="shared" si="188"/>
        <v>57274.74</v>
      </c>
      <c r="P2023" s="7">
        <f t="shared" si="189"/>
        <v>0.88783218371071049</v>
      </c>
      <c r="Q2023" s="7">
        <f t="shared" si="190"/>
        <v>8207.568181818182</v>
      </c>
      <c r="R2023">
        <f t="shared" si="191"/>
        <v>1.4563488197414778</v>
      </c>
    </row>
    <row r="2024" spans="1:18" x14ac:dyDescent="0.25">
      <c r="A2024" t="s">
        <v>1148</v>
      </c>
      <c r="B2024" t="s">
        <v>985</v>
      </c>
      <c r="C2024" t="s">
        <v>5</v>
      </c>
      <c r="D2024">
        <v>92506</v>
      </c>
      <c r="E2024" s="1">
        <v>44104</v>
      </c>
      <c r="F2024" s="2">
        <f t="shared" si="186"/>
        <v>2020</v>
      </c>
      <c r="G2024">
        <v>88</v>
      </c>
      <c r="H2024" s="3">
        <v>854584</v>
      </c>
      <c r="I2024">
        <v>185409</v>
      </c>
      <c r="J2024">
        <v>854584</v>
      </c>
      <c r="K2024">
        <v>766884</v>
      </c>
      <c r="L2024">
        <v>751647</v>
      </c>
      <c r="M2024" t="str">
        <f t="shared" si="187"/>
        <v>Medium</v>
      </c>
      <c r="N2024">
        <f>VLOOKUP(C2024,Lookup!$A$2:$D$5,MATCH(M2024,Lookup!$A$1:$D$1,0),FALSE)</f>
        <v>0.09</v>
      </c>
      <c r="O2024">
        <f t="shared" si="188"/>
        <v>67648.23</v>
      </c>
      <c r="P2024" s="7">
        <f t="shared" si="189"/>
        <v>0.89737696937925349</v>
      </c>
      <c r="Q2024" s="7">
        <f t="shared" si="190"/>
        <v>9711.181818181818</v>
      </c>
      <c r="R2024">
        <f t="shared" si="191"/>
        <v>2.7407812443873256</v>
      </c>
    </row>
    <row r="2025" spans="1:18" x14ac:dyDescent="0.25">
      <c r="A2025" t="s">
        <v>1148</v>
      </c>
      <c r="B2025" t="s">
        <v>985</v>
      </c>
      <c r="C2025" t="s">
        <v>5</v>
      </c>
      <c r="D2025">
        <v>92506</v>
      </c>
      <c r="E2025" s="1">
        <v>44469</v>
      </c>
      <c r="F2025" s="2">
        <f t="shared" si="186"/>
        <v>2021</v>
      </c>
      <c r="G2025">
        <v>87</v>
      </c>
      <c r="H2025" s="3">
        <v>1021411</v>
      </c>
      <c r="I2025">
        <v>242018</v>
      </c>
      <c r="J2025">
        <v>1021411</v>
      </c>
      <c r="K2025">
        <v>929040</v>
      </c>
      <c r="L2025">
        <v>923338</v>
      </c>
      <c r="M2025" t="str">
        <f t="shared" si="187"/>
        <v>Large</v>
      </c>
      <c r="N2025">
        <f>VLOOKUP(C2025,Lookup!$A$2:$D$5,MATCH(M2025,Lookup!$A$1:$D$1,0),FALSE)</f>
        <v>0.08</v>
      </c>
      <c r="O2025">
        <f t="shared" si="188"/>
        <v>73867.040000000008</v>
      </c>
      <c r="P2025" s="7">
        <f t="shared" si="189"/>
        <v>0.90956529741700454</v>
      </c>
      <c r="Q2025" s="7">
        <f t="shared" si="190"/>
        <v>11740.356321839081</v>
      </c>
      <c r="R2025">
        <f t="shared" si="191"/>
        <v>3.2764004080845797</v>
      </c>
    </row>
    <row r="2026" spans="1:18" x14ac:dyDescent="0.25">
      <c r="A2026" t="s">
        <v>1149</v>
      </c>
      <c r="B2026" t="s">
        <v>1150</v>
      </c>
      <c r="C2026" t="s">
        <v>8</v>
      </c>
      <c r="D2026">
        <v>62948</v>
      </c>
      <c r="E2026" s="1">
        <v>43738</v>
      </c>
      <c r="F2026" s="2">
        <f t="shared" si="186"/>
        <v>2019</v>
      </c>
      <c r="G2026">
        <v>60</v>
      </c>
      <c r="H2026" s="3">
        <v>250381</v>
      </c>
      <c r="I2026">
        <v>12283</v>
      </c>
      <c r="J2026">
        <v>250381</v>
      </c>
      <c r="K2026">
        <v>223065</v>
      </c>
      <c r="L2026">
        <v>222870</v>
      </c>
      <c r="M2026" t="str">
        <f t="shared" si="187"/>
        <v>Medium</v>
      </c>
      <c r="N2026">
        <f>VLOOKUP(C2026,Lookup!$A$2:$D$5,MATCH(M2026,Lookup!$A$1:$D$1,0),FALSE)</f>
        <v>0.08</v>
      </c>
      <c r="O2026">
        <f t="shared" si="188"/>
        <v>17829.600000000002</v>
      </c>
      <c r="P2026" s="7">
        <f t="shared" si="189"/>
        <v>0.89090226494821889</v>
      </c>
      <c r="Q2026" s="7">
        <f t="shared" si="190"/>
        <v>4173.0166666666664</v>
      </c>
      <c r="R2026">
        <f t="shared" si="191"/>
        <v>0.68891057567191627</v>
      </c>
    </row>
    <row r="2027" spans="1:18" x14ac:dyDescent="0.25">
      <c r="A2027" t="s">
        <v>1149</v>
      </c>
      <c r="B2027" t="s">
        <v>1150</v>
      </c>
      <c r="C2027" t="s">
        <v>8</v>
      </c>
      <c r="D2027">
        <v>62948</v>
      </c>
      <c r="E2027" s="1">
        <v>44104</v>
      </c>
      <c r="F2027" s="2">
        <f t="shared" si="186"/>
        <v>2020</v>
      </c>
      <c r="G2027">
        <v>59</v>
      </c>
      <c r="H2027" s="3">
        <v>277395</v>
      </c>
      <c r="I2027">
        <v>28319</v>
      </c>
      <c r="J2027">
        <v>277395</v>
      </c>
      <c r="K2027">
        <v>251689</v>
      </c>
      <c r="L2027">
        <v>251422</v>
      </c>
      <c r="M2027" t="str">
        <f t="shared" si="187"/>
        <v>Medium</v>
      </c>
      <c r="N2027">
        <f>VLOOKUP(C2027,Lookup!$A$2:$D$5,MATCH(M2027,Lookup!$A$1:$D$1,0),FALSE)</f>
        <v>0.08</v>
      </c>
      <c r="O2027">
        <f t="shared" si="188"/>
        <v>20113.760000000002</v>
      </c>
      <c r="P2027" s="7">
        <f t="shared" si="189"/>
        <v>0.90733070170695218</v>
      </c>
      <c r="Q2027" s="7">
        <f t="shared" si="190"/>
        <v>4701.6101694915251</v>
      </c>
      <c r="R2027">
        <f t="shared" si="191"/>
        <v>1.4079416280198231</v>
      </c>
    </row>
    <row r="2028" spans="1:18" x14ac:dyDescent="0.25">
      <c r="A2028" t="s">
        <v>1149</v>
      </c>
      <c r="B2028" t="s">
        <v>1150</v>
      </c>
      <c r="C2028" t="s">
        <v>8</v>
      </c>
      <c r="D2028">
        <v>62948</v>
      </c>
      <c r="E2028" s="1">
        <v>44469</v>
      </c>
      <c r="F2028" s="2">
        <f t="shared" si="186"/>
        <v>2021</v>
      </c>
      <c r="G2028">
        <v>58</v>
      </c>
      <c r="H2028" s="3">
        <v>309223</v>
      </c>
      <c r="I2028">
        <v>31278</v>
      </c>
      <c r="J2028">
        <v>309223</v>
      </c>
      <c r="K2028">
        <v>282969</v>
      </c>
      <c r="L2028">
        <v>282788</v>
      </c>
      <c r="M2028" t="str">
        <f t="shared" si="187"/>
        <v>Medium</v>
      </c>
      <c r="N2028">
        <f>VLOOKUP(C2028,Lookup!$A$2:$D$5,MATCH(M2028,Lookup!$A$1:$D$1,0),FALSE)</f>
        <v>0.08</v>
      </c>
      <c r="O2028">
        <f t="shared" si="188"/>
        <v>22623.040000000001</v>
      </c>
      <c r="P2028" s="7">
        <f t="shared" si="189"/>
        <v>0.91509687183682975</v>
      </c>
      <c r="Q2028" s="7">
        <f t="shared" si="190"/>
        <v>5331.4310344827591</v>
      </c>
      <c r="R2028">
        <f t="shared" si="191"/>
        <v>1.3825728107274706</v>
      </c>
    </row>
    <row r="2029" spans="1:18" x14ac:dyDescent="0.25">
      <c r="A2029" t="s">
        <v>1151</v>
      </c>
      <c r="B2029" t="s">
        <v>16</v>
      </c>
      <c r="C2029" t="s">
        <v>17</v>
      </c>
      <c r="D2029">
        <v>10286</v>
      </c>
      <c r="E2029" s="1">
        <v>43738</v>
      </c>
      <c r="F2029" s="2">
        <f t="shared" si="186"/>
        <v>2019</v>
      </c>
      <c r="G2029">
        <v>38520</v>
      </c>
      <c r="H2029" s="3">
        <v>304096000</v>
      </c>
      <c r="I2029">
        <v>97459000</v>
      </c>
      <c r="J2029">
        <v>304096000</v>
      </c>
      <c r="K2029">
        <v>278093000</v>
      </c>
      <c r="L2029">
        <v>255504000</v>
      </c>
      <c r="M2029" t="str">
        <f t="shared" si="187"/>
        <v>Large</v>
      </c>
      <c r="N2029">
        <f>VLOOKUP(C2029,Lookup!$A$2:$D$5,MATCH(M2029,Lookup!$A$1:$D$1,0),FALSE)</f>
        <v>0.08</v>
      </c>
      <c r="O2029">
        <f t="shared" si="188"/>
        <v>20440320</v>
      </c>
      <c r="P2029" s="7">
        <f t="shared" si="189"/>
        <v>0.91449081868883508</v>
      </c>
      <c r="Q2029" s="7">
        <f t="shared" si="190"/>
        <v>7894.4963655244028</v>
      </c>
      <c r="R2029">
        <f t="shared" si="191"/>
        <v>4.7679781921222366</v>
      </c>
    </row>
    <row r="2030" spans="1:18" x14ac:dyDescent="0.25">
      <c r="A2030" t="s">
        <v>1151</v>
      </c>
      <c r="B2030" t="s">
        <v>16</v>
      </c>
      <c r="C2030" t="s">
        <v>17</v>
      </c>
      <c r="D2030">
        <v>10286</v>
      </c>
      <c r="E2030" s="1">
        <v>44104</v>
      </c>
      <c r="F2030" s="2">
        <f t="shared" si="186"/>
        <v>2020</v>
      </c>
      <c r="G2030">
        <v>39108</v>
      </c>
      <c r="H2030" s="3">
        <v>349432000</v>
      </c>
      <c r="I2030">
        <v>128562000</v>
      </c>
      <c r="J2030">
        <v>349432000</v>
      </c>
      <c r="K2030">
        <v>320352000</v>
      </c>
      <c r="L2030">
        <v>300672000</v>
      </c>
      <c r="M2030" t="str">
        <f t="shared" si="187"/>
        <v>Large</v>
      </c>
      <c r="N2030">
        <f>VLOOKUP(C2030,Lookup!$A$2:$D$5,MATCH(M2030,Lookup!$A$1:$D$1,0),FALSE)</f>
        <v>0.08</v>
      </c>
      <c r="O2030">
        <f t="shared" si="188"/>
        <v>24053760</v>
      </c>
      <c r="P2030" s="7">
        <f t="shared" si="189"/>
        <v>0.91677923029373387</v>
      </c>
      <c r="Q2030" s="7">
        <f t="shared" si="190"/>
        <v>8935.0516518359418</v>
      </c>
      <c r="R2030">
        <f t="shared" si="191"/>
        <v>5.3447776979565775</v>
      </c>
    </row>
    <row r="2031" spans="1:18" x14ac:dyDescent="0.25">
      <c r="A2031" t="s">
        <v>1151</v>
      </c>
      <c r="B2031" t="s">
        <v>16</v>
      </c>
      <c r="C2031" t="s">
        <v>17</v>
      </c>
      <c r="D2031">
        <v>10286</v>
      </c>
      <c r="E2031" s="1">
        <v>44469</v>
      </c>
      <c r="F2031" s="2">
        <f t="shared" si="186"/>
        <v>2021</v>
      </c>
      <c r="G2031">
        <v>39711</v>
      </c>
      <c r="H2031" s="3">
        <v>385830000</v>
      </c>
      <c r="I2031">
        <v>148509000</v>
      </c>
      <c r="J2031">
        <v>385830000</v>
      </c>
      <c r="K2031">
        <v>357319000</v>
      </c>
      <c r="L2031">
        <v>341915000</v>
      </c>
      <c r="M2031" t="str">
        <f t="shared" si="187"/>
        <v>Large</v>
      </c>
      <c r="N2031">
        <f>VLOOKUP(C2031,Lookup!$A$2:$D$5,MATCH(M2031,Lookup!$A$1:$D$1,0),FALSE)</f>
        <v>0.08</v>
      </c>
      <c r="O2031">
        <f t="shared" si="188"/>
        <v>27353200</v>
      </c>
      <c r="P2031" s="7">
        <f t="shared" si="189"/>
        <v>0.92610476116424334</v>
      </c>
      <c r="Q2031" s="7">
        <f t="shared" si="190"/>
        <v>9715.9477222935711</v>
      </c>
      <c r="R2031">
        <f t="shared" si="191"/>
        <v>5.4293099162072442</v>
      </c>
    </row>
    <row r="2032" spans="1:18" x14ac:dyDescent="0.25">
      <c r="A2032" t="s">
        <v>1152</v>
      </c>
      <c r="B2032" t="s">
        <v>47</v>
      </c>
      <c r="C2032" t="s">
        <v>5</v>
      </c>
      <c r="D2032">
        <v>90071</v>
      </c>
      <c r="E2032" s="1">
        <v>43738</v>
      </c>
      <c r="F2032" s="2">
        <f t="shared" si="186"/>
        <v>2019</v>
      </c>
      <c r="G2032">
        <v>1194</v>
      </c>
      <c r="H2032" s="3">
        <v>1360505</v>
      </c>
      <c r="I2032">
        <v>211851</v>
      </c>
      <c r="J2032">
        <v>1360505</v>
      </c>
      <c r="K2032">
        <v>251620</v>
      </c>
      <c r="L2032">
        <v>2897</v>
      </c>
      <c r="M2032" t="str">
        <f t="shared" si="187"/>
        <v>Large</v>
      </c>
      <c r="N2032">
        <f>VLOOKUP(C2032,Lookup!$A$2:$D$5,MATCH(M2032,Lookup!$A$1:$D$1,0),FALSE)</f>
        <v>0.08</v>
      </c>
      <c r="O2032">
        <f t="shared" si="188"/>
        <v>231.76</v>
      </c>
      <c r="P2032" s="7">
        <f t="shared" si="189"/>
        <v>0.18494603106934557</v>
      </c>
      <c r="Q2032" s="7">
        <f t="shared" si="190"/>
        <v>1139.4514237855947</v>
      </c>
      <c r="R2032">
        <f t="shared" si="191"/>
        <v>914.09647911632726</v>
      </c>
    </row>
    <row r="2033" spans="1:18" x14ac:dyDescent="0.25">
      <c r="A2033" t="s">
        <v>1152</v>
      </c>
      <c r="B2033" t="s">
        <v>47</v>
      </c>
      <c r="C2033" t="s">
        <v>5</v>
      </c>
      <c r="D2033">
        <v>90071</v>
      </c>
      <c r="E2033" s="1">
        <v>44104</v>
      </c>
      <c r="F2033" s="2">
        <f t="shared" si="186"/>
        <v>2020</v>
      </c>
      <c r="G2033">
        <v>880</v>
      </c>
      <c r="H2033" s="3">
        <v>1478507</v>
      </c>
      <c r="I2033">
        <v>353022</v>
      </c>
      <c r="J2033">
        <v>1478507</v>
      </c>
      <c r="K2033">
        <v>260014</v>
      </c>
      <c r="L2033">
        <v>2258</v>
      </c>
      <c r="M2033" t="str">
        <f t="shared" si="187"/>
        <v>Large</v>
      </c>
      <c r="N2033">
        <f>VLOOKUP(C2033,Lookup!$A$2:$D$5,MATCH(M2033,Lookup!$A$1:$D$1,0),FALSE)</f>
        <v>0.08</v>
      </c>
      <c r="O2033">
        <f t="shared" si="188"/>
        <v>180.64000000000001</v>
      </c>
      <c r="P2033" s="7">
        <f t="shared" si="189"/>
        <v>0.17586254241609947</v>
      </c>
      <c r="Q2033" s="7">
        <f t="shared" si="190"/>
        <v>1680.1215909090909</v>
      </c>
      <c r="R2033">
        <f t="shared" si="191"/>
        <v>1954.2847652790078</v>
      </c>
    </row>
    <row r="2034" spans="1:18" x14ac:dyDescent="0.25">
      <c r="A2034" t="s">
        <v>1152</v>
      </c>
      <c r="B2034" t="s">
        <v>47</v>
      </c>
      <c r="C2034" t="s">
        <v>5</v>
      </c>
      <c r="D2034">
        <v>90071</v>
      </c>
      <c r="E2034" s="1">
        <v>44469</v>
      </c>
      <c r="F2034" s="2">
        <f t="shared" si="186"/>
        <v>2021</v>
      </c>
      <c r="G2034">
        <v>804</v>
      </c>
      <c r="H2034" s="3">
        <v>1422604</v>
      </c>
      <c r="I2034">
        <v>404688</v>
      </c>
      <c r="J2034">
        <v>1422604</v>
      </c>
      <c r="K2034">
        <v>270055</v>
      </c>
      <c r="L2034">
        <v>749</v>
      </c>
      <c r="M2034" t="str">
        <f t="shared" si="187"/>
        <v>Large</v>
      </c>
      <c r="N2034">
        <f>VLOOKUP(C2034,Lookup!$A$2:$D$5,MATCH(M2034,Lookup!$A$1:$D$1,0),FALSE)</f>
        <v>0.08</v>
      </c>
      <c r="O2034">
        <f t="shared" si="188"/>
        <v>59.92</v>
      </c>
      <c r="P2034" s="7">
        <f t="shared" si="189"/>
        <v>0.18983146399138481</v>
      </c>
      <c r="Q2034" s="7">
        <f t="shared" si="190"/>
        <v>1769.4079601990049</v>
      </c>
      <c r="R2034">
        <f t="shared" si="191"/>
        <v>6753.8050734312419</v>
      </c>
    </row>
    <row r="2035" spans="1:18" x14ac:dyDescent="0.25">
      <c r="A2035" t="s">
        <v>1153</v>
      </c>
      <c r="B2035" t="s">
        <v>16</v>
      </c>
      <c r="C2035" t="s">
        <v>17</v>
      </c>
      <c r="D2035">
        <v>10016</v>
      </c>
      <c r="E2035" s="1">
        <v>43738</v>
      </c>
      <c r="F2035" s="2">
        <f t="shared" si="186"/>
        <v>2019</v>
      </c>
      <c r="G2035">
        <v>93</v>
      </c>
      <c r="H2035" s="3">
        <v>642882</v>
      </c>
      <c r="I2035">
        <v>92442</v>
      </c>
      <c r="J2035">
        <v>642882</v>
      </c>
      <c r="K2035">
        <v>522005</v>
      </c>
      <c r="L2035">
        <v>512462</v>
      </c>
      <c r="M2035" t="str">
        <f t="shared" si="187"/>
        <v>Medium</v>
      </c>
      <c r="N2035">
        <f>VLOOKUP(C2035,Lookup!$A$2:$D$5,MATCH(M2035,Lookup!$A$1:$D$1,0),FALSE)</f>
        <v>8.5000000000000006E-2</v>
      </c>
      <c r="O2035">
        <f t="shared" si="188"/>
        <v>43559.270000000004</v>
      </c>
      <c r="P2035" s="7">
        <f t="shared" si="189"/>
        <v>0.81197638135769856</v>
      </c>
      <c r="Q2035" s="7">
        <f t="shared" si="190"/>
        <v>6912.7096774193551</v>
      </c>
      <c r="R2035">
        <f t="shared" si="191"/>
        <v>2.1222118736149618</v>
      </c>
    </row>
    <row r="2036" spans="1:18" x14ac:dyDescent="0.25">
      <c r="A2036" t="s">
        <v>1153</v>
      </c>
      <c r="B2036" t="s">
        <v>16</v>
      </c>
      <c r="C2036" t="s">
        <v>17</v>
      </c>
      <c r="D2036">
        <v>10016</v>
      </c>
      <c r="E2036" s="1">
        <v>44104</v>
      </c>
      <c r="F2036" s="2">
        <f t="shared" si="186"/>
        <v>2020</v>
      </c>
      <c r="G2036">
        <v>89</v>
      </c>
      <c r="H2036" s="3">
        <v>686442</v>
      </c>
      <c r="I2036">
        <v>262852</v>
      </c>
      <c r="J2036">
        <v>686442</v>
      </c>
      <c r="K2036">
        <v>564120</v>
      </c>
      <c r="L2036">
        <v>557111</v>
      </c>
      <c r="M2036" t="str">
        <f t="shared" si="187"/>
        <v>Medium</v>
      </c>
      <c r="N2036">
        <f>VLOOKUP(C2036,Lookup!$A$2:$D$5,MATCH(M2036,Lookup!$A$1:$D$1,0),FALSE)</f>
        <v>8.5000000000000006E-2</v>
      </c>
      <c r="O2036">
        <f t="shared" si="188"/>
        <v>47354.435000000005</v>
      </c>
      <c r="P2036" s="7">
        <f t="shared" si="189"/>
        <v>0.82180286171300709</v>
      </c>
      <c r="Q2036" s="7">
        <f t="shared" si="190"/>
        <v>7712.8314606741569</v>
      </c>
      <c r="R2036">
        <f t="shared" si="191"/>
        <v>5.5507366944616692</v>
      </c>
    </row>
    <row r="2037" spans="1:18" x14ac:dyDescent="0.25">
      <c r="A2037" t="s">
        <v>1153</v>
      </c>
      <c r="B2037" t="s">
        <v>16</v>
      </c>
      <c r="C2037" t="s">
        <v>17</v>
      </c>
      <c r="D2037">
        <v>10016</v>
      </c>
      <c r="E2037" s="1">
        <v>44469</v>
      </c>
      <c r="F2037" s="2">
        <f t="shared" si="186"/>
        <v>2021</v>
      </c>
      <c r="G2037">
        <v>79</v>
      </c>
      <c r="H2037" s="3">
        <v>665807</v>
      </c>
      <c r="I2037">
        <v>233015</v>
      </c>
      <c r="J2037">
        <v>665807</v>
      </c>
      <c r="K2037">
        <v>541995</v>
      </c>
      <c r="L2037">
        <v>533877</v>
      </c>
      <c r="M2037" t="str">
        <f t="shared" si="187"/>
        <v>Medium</v>
      </c>
      <c r="N2037">
        <f>VLOOKUP(C2037,Lookup!$A$2:$D$5,MATCH(M2037,Lookup!$A$1:$D$1,0),FALSE)</f>
        <v>8.5000000000000006E-2</v>
      </c>
      <c r="O2037">
        <f t="shared" si="188"/>
        <v>45379.545000000006</v>
      </c>
      <c r="P2037" s="7">
        <f t="shared" si="189"/>
        <v>0.81404220742647648</v>
      </c>
      <c r="Q2037" s="7">
        <f t="shared" si="190"/>
        <v>8427.9367088607596</v>
      </c>
      <c r="R2037">
        <f t="shared" si="191"/>
        <v>5.1348024754324877</v>
      </c>
    </row>
    <row r="2038" spans="1:18" x14ac:dyDescent="0.25">
      <c r="A2038" t="s">
        <v>1154</v>
      </c>
      <c r="B2038" t="s">
        <v>1155</v>
      </c>
      <c r="C2038" t="s">
        <v>8</v>
      </c>
      <c r="D2038">
        <v>62246</v>
      </c>
      <c r="E2038" s="1">
        <v>43738</v>
      </c>
      <c r="F2038" s="2">
        <f t="shared" si="186"/>
        <v>2019</v>
      </c>
      <c r="G2038">
        <v>48</v>
      </c>
      <c r="H2038" s="3">
        <v>318318</v>
      </c>
      <c r="I2038">
        <v>9382</v>
      </c>
      <c r="J2038">
        <v>318318</v>
      </c>
      <c r="K2038">
        <v>276463</v>
      </c>
      <c r="L2038">
        <v>259937</v>
      </c>
      <c r="M2038" t="str">
        <f t="shared" si="187"/>
        <v>Medium</v>
      </c>
      <c r="N2038">
        <f>VLOOKUP(C2038,Lookup!$A$2:$D$5,MATCH(M2038,Lookup!$A$1:$D$1,0),FALSE)</f>
        <v>0.08</v>
      </c>
      <c r="O2038">
        <f t="shared" si="188"/>
        <v>20794.96</v>
      </c>
      <c r="P2038" s="7">
        <f t="shared" si="189"/>
        <v>0.86851199115350064</v>
      </c>
      <c r="Q2038" s="7">
        <f t="shared" si="190"/>
        <v>6631.625</v>
      </c>
      <c r="R2038">
        <f t="shared" si="191"/>
        <v>0.45116701354558991</v>
      </c>
    </row>
    <row r="2039" spans="1:18" x14ac:dyDescent="0.25">
      <c r="A2039" t="s">
        <v>1154</v>
      </c>
      <c r="B2039" t="s">
        <v>1155</v>
      </c>
      <c r="C2039" t="s">
        <v>8</v>
      </c>
      <c r="D2039">
        <v>62246</v>
      </c>
      <c r="E2039" s="1">
        <v>44104</v>
      </c>
      <c r="F2039" s="2">
        <f t="shared" si="186"/>
        <v>2020</v>
      </c>
      <c r="G2039">
        <v>49</v>
      </c>
      <c r="H2039" s="3">
        <v>406648</v>
      </c>
      <c r="I2039">
        <v>5388</v>
      </c>
      <c r="J2039">
        <v>406648</v>
      </c>
      <c r="K2039">
        <v>349299</v>
      </c>
      <c r="L2039">
        <v>324401</v>
      </c>
      <c r="M2039" t="str">
        <f t="shared" si="187"/>
        <v>Medium</v>
      </c>
      <c r="N2039">
        <f>VLOOKUP(C2039,Lookup!$A$2:$D$5,MATCH(M2039,Lookup!$A$1:$D$1,0),FALSE)</f>
        <v>0.08</v>
      </c>
      <c r="O2039">
        <f t="shared" si="188"/>
        <v>25952.080000000002</v>
      </c>
      <c r="P2039" s="7">
        <f t="shared" si="189"/>
        <v>0.8589713954083138</v>
      </c>
      <c r="Q2039" s="7">
        <f t="shared" si="190"/>
        <v>8298.9387755102034</v>
      </c>
      <c r="R2039">
        <f t="shared" si="191"/>
        <v>0.20761341672806186</v>
      </c>
    </row>
    <row r="2040" spans="1:18" x14ac:dyDescent="0.25">
      <c r="A2040" t="s">
        <v>1154</v>
      </c>
      <c r="B2040" t="s">
        <v>1155</v>
      </c>
      <c r="C2040" t="s">
        <v>8</v>
      </c>
      <c r="D2040">
        <v>62246</v>
      </c>
      <c r="E2040" s="1">
        <v>44469</v>
      </c>
      <c r="F2040" s="2">
        <f t="shared" si="186"/>
        <v>2021</v>
      </c>
      <c r="G2040">
        <v>50</v>
      </c>
      <c r="H2040" s="3">
        <v>469614</v>
      </c>
      <c r="I2040">
        <v>6513</v>
      </c>
      <c r="J2040">
        <v>469614</v>
      </c>
      <c r="K2040">
        <v>403098</v>
      </c>
      <c r="L2040">
        <v>333993</v>
      </c>
      <c r="M2040" t="str">
        <f t="shared" si="187"/>
        <v>Medium</v>
      </c>
      <c r="N2040">
        <f>VLOOKUP(C2040,Lookup!$A$2:$D$5,MATCH(M2040,Lookup!$A$1:$D$1,0),FALSE)</f>
        <v>0.08</v>
      </c>
      <c r="O2040">
        <f t="shared" si="188"/>
        <v>26719.440000000002</v>
      </c>
      <c r="P2040" s="7">
        <f t="shared" si="189"/>
        <v>0.85836027034969142</v>
      </c>
      <c r="Q2040" s="7">
        <f t="shared" si="190"/>
        <v>9392.2800000000007</v>
      </c>
      <c r="R2040">
        <f t="shared" si="191"/>
        <v>0.24375510864000141</v>
      </c>
    </row>
    <row r="2041" spans="1:18" x14ac:dyDescent="0.25">
      <c r="A2041" t="s">
        <v>1156</v>
      </c>
      <c r="B2041" t="s">
        <v>1157</v>
      </c>
      <c r="C2041" t="s">
        <v>17</v>
      </c>
      <c r="D2041">
        <v>14424</v>
      </c>
      <c r="E2041" s="1">
        <v>43738</v>
      </c>
      <c r="F2041" s="2">
        <f t="shared" si="186"/>
        <v>2019</v>
      </c>
      <c r="G2041">
        <v>507</v>
      </c>
      <c r="H2041" s="3">
        <v>2978215</v>
      </c>
      <c r="I2041">
        <v>82157</v>
      </c>
      <c r="J2041">
        <v>2978215</v>
      </c>
      <c r="K2041">
        <v>2688301</v>
      </c>
      <c r="L2041">
        <v>2396881</v>
      </c>
      <c r="M2041" t="str">
        <f t="shared" si="187"/>
        <v>Large</v>
      </c>
      <c r="N2041">
        <f>VLOOKUP(C2041,Lookup!$A$2:$D$5,MATCH(M2041,Lookup!$A$1:$D$1,0),FALSE)</f>
        <v>0.08</v>
      </c>
      <c r="O2041">
        <f t="shared" si="188"/>
        <v>191750.48</v>
      </c>
      <c r="P2041" s="7">
        <f t="shared" si="189"/>
        <v>0.9026551138853306</v>
      </c>
      <c r="Q2041" s="7">
        <f t="shared" si="190"/>
        <v>5874.1913214990136</v>
      </c>
      <c r="R2041">
        <f t="shared" si="191"/>
        <v>0.42845785835842493</v>
      </c>
    </row>
    <row r="2042" spans="1:18" x14ac:dyDescent="0.25">
      <c r="A2042" t="s">
        <v>1156</v>
      </c>
      <c r="B2042" t="s">
        <v>1157</v>
      </c>
      <c r="C2042" t="s">
        <v>17</v>
      </c>
      <c r="D2042">
        <v>14424</v>
      </c>
      <c r="E2042" s="1">
        <v>44104</v>
      </c>
      <c r="F2042" s="2">
        <f t="shared" si="186"/>
        <v>2020</v>
      </c>
      <c r="G2042">
        <v>540</v>
      </c>
      <c r="H2042" s="3">
        <v>3598624</v>
      </c>
      <c r="I2042">
        <v>78169</v>
      </c>
      <c r="J2042">
        <v>3598624</v>
      </c>
      <c r="K2042">
        <v>3280717</v>
      </c>
      <c r="L2042">
        <v>2935991</v>
      </c>
      <c r="M2042" t="str">
        <f t="shared" si="187"/>
        <v>Large</v>
      </c>
      <c r="N2042">
        <f>VLOOKUP(C2042,Lookup!$A$2:$D$5,MATCH(M2042,Lookup!$A$1:$D$1,0),FALSE)</f>
        <v>0.08</v>
      </c>
      <c r="O2042">
        <f t="shared" si="188"/>
        <v>234879.28</v>
      </c>
      <c r="P2042" s="7">
        <f t="shared" si="189"/>
        <v>0.91165873400499742</v>
      </c>
      <c r="Q2042" s="7">
        <f t="shared" si="190"/>
        <v>6664.1185185185186</v>
      </c>
      <c r="R2042">
        <f t="shared" si="191"/>
        <v>0.33280500519245459</v>
      </c>
    </row>
    <row r="2043" spans="1:18" x14ac:dyDescent="0.25">
      <c r="A2043" t="s">
        <v>1156</v>
      </c>
      <c r="B2043" t="s">
        <v>1157</v>
      </c>
      <c r="C2043" t="s">
        <v>17</v>
      </c>
      <c r="D2043">
        <v>14424</v>
      </c>
      <c r="E2043" s="1">
        <v>44469</v>
      </c>
      <c r="F2043" s="2">
        <f t="shared" si="186"/>
        <v>2021</v>
      </c>
      <c r="G2043">
        <v>577</v>
      </c>
      <c r="H2043" s="3">
        <v>4057834</v>
      </c>
      <c r="I2043">
        <v>95579</v>
      </c>
      <c r="J2043">
        <v>4057834</v>
      </c>
      <c r="K2043">
        <v>3715167</v>
      </c>
      <c r="L2043">
        <v>3449977</v>
      </c>
      <c r="M2043" t="str">
        <f t="shared" si="187"/>
        <v>Large</v>
      </c>
      <c r="N2043">
        <f>VLOOKUP(C2043,Lookup!$A$2:$D$5,MATCH(M2043,Lookup!$A$1:$D$1,0),FALSE)</f>
        <v>0.08</v>
      </c>
      <c r="O2043">
        <f t="shared" si="188"/>
        <v>275998.16000000003</v>
      </c>
      <c r="P2043" s="7">
        <f t="shared" si="189"/>
        <v>0.91555420946248667</v>
      </c>
      <c r="Q2043" s="7">
        <f t="shared" si="190"/>
        <v>7032.6412478336224</v>
      </c>
      <c r="R2043">
        <f t="shared" si="191"/>
        <v>0.34630303332456996</v>
      </c>
    </row>
    <row r="2044" spans="1:18" x14ac:dyDescent="0.25">
      <c r="A2044" t="s">
        <v>1158</v>
      </c>
      <c r="B2044" t="s">
        <v>1159</v>
      </c>
      <c r="C2044" t="s">
        <v>20</v>
      </c>
      <c r="D2044">
        <v>2646</v>
      </c>
      <c r="E2044" s="1">
        <v>43738</v>
      </c>
      <c r="F2044" s="2">
        <f t="shared" si="186"/>
        <v>2019</v>
      </c>
      <c r="G2044">
        <v>533</v>
      </c>
      <c r="H2044" s="3">
        <v>3617824</v>
      </c>
      <c r="I2044">
        <v>46055</v>
      </c>
      <c r="J2044">
        <v>3617824</v>
      </c>
      <c r="K2044">
        <v>3269035</v>
      </c>
      <c r="L2044">
        <v>3031387</v>
      </c>
      <c r="M2044" t="str">
        <f t="shared" si="187"/>
        <v>Large</v>
      </c>
      <c r="N2044">
        <f>VLOOKUP(C2044,Lookup!$A$2:$D$5,MATCH(M2044,Lookup!$A$1:$D$1,0),FALSE)</f>
        <v>0.08</v>
      </c>
      <c r="O2044">
        <f t="shared" si="188"/>
        <v>242510.96</v>
      </c>
      <c r="P2044" s="7">
        <f t="shared" si="189"/>
        <v>0.9035914958826079</v>
      </c>
      <c r="Q2044" s="7">
        <f t="shared" si="190"/>
        <v>6787.6622889305818</v>
      </c>
      <c r="R2044">
        <f t="shared" si="191"/>
        <v>0.18990894267211678</v>
      </c>
    </row>
    <row r="2045" spans="1:18" x14ac:dyDescent="0.25">
      <c r="A2045" t="s">
        <v>1158</v>
      </c>
      <c r="B2045" t="s">
        <v>1381</v>
      </c>
      <c r="C2045" t="s">
        <v>20</v>
      </c>
      <c r="D2045">
        <v>2601</v>
      </c>
      <c r="E2045" s="1">
        <v>44104</v>
      </c>
      <c r="F2045" s="2">
        <f t="shared" si="186"/>
        <v>2020</v>
      </c>
      <c r="G2045">
        <v>529</v>
      </c>
      <c r="H2045" s="3">
        <v>4172702</v>
      </c>
      <c r="I2045">
        <v>335573</v>
      </c>
      <c r="J2045">
        <v>4172702</v>
      </c>
      <c r="K2045">
        <v>3790591</v>
      </c>
      <c r="L2045">
        <v>3696173</v>
      </c>
      <c r="M2045" t="str">
        <f t="shared" si="187"/>
        <v>Large</v>
      </c>
      <c r="N2045">
        <f>VLOOKUP(C2045,Lookup!$A$2:$D$5,MATCH(M2045,Lookup!$A$1:$D$1,0),FALSE)</f>
        <v>0.08</v>
      </c>
      <c r="O2045">
        <f t="shared" si="188"/>
        <v>295693.84000000003</v>
      </c>
      <c r="P2045" s="7">
        <f t="shared" si="189"/>
        <v>0.90842600310302535</v>
      </c>
      <c r="Q2045" s="7">
        <f t="shared" si="190"/>
        <v>7887.9054820415877</v>
      </c>
      <c r="R2045">
        <f t="shared" si="191"/>
        <v>1.1348663874769931</v>
      </c>
    </row>
    <row r="2046" spans="1:18" x14ac:dyDescent="0.25">
      <c r="A2046" t="s">
        <v>1158</v>
      </c>
      <c r="B2046" t="s">
        <v>1381</v>
      </c>
      <c r="C2046" t="s">
        <v>20</v>
      </c>
      <c r="D2046">
        <v>2601</v>
      </c>
      <c r="E2046" s="1">
        <v>44469</v>
      </c>
      <c r="F2046" s="2">
        <f t="shared" si="186"/>
        <v>2021</v>
      </c>
      <c r="G2046">
        <v>527</v>
      </c>
      <c r="H2046" s="3">
        <v>4792923</v>
      </c>
      <c r="I2046">
        <v>761865</v>
      </c>
      <c r="J2046">
        <v>4792923</v>
      </c>
      <c r="K2046">
        <v>4324502</v>
      </c>
      <c r="L2046">
        <v>4302241</v>
      </c>
      <c r="M2046" t="str">
        <f t="shared" si="187"/>
        <v>Large</v>
      </c>
      <c r="N2046">
        <f>VLOOKUP(C2046,Lookup!$A$2:$D$5,MATCH(M2046,Lookup!$A$1:$D$1,0),FALSE)</f>
        <v>0.08</v>
      </c>
      <c r="O2046">
        <f t="shared" si="188"/>
        <v>344179.28</v>
      </c>
      <c r="P2046" s="7">
        <f t="shared" si="189"/>
        <v>0.90226819834159655</v>
      </c>
      <c r="Q2046" s="7">
        <f t="shared" si="190"/>
        <v>9094.7305502846302</v>
      </c>
      <c r="R2046">
        <f t="shared" si="191"/>
        <v>2.2135702067829297</v>
      </c>
    </row>
    <row r="2047" spans="1:18" x14ac:dyDescent="0.25">
      <c r="A2047" t="s">
        <v>1160</v>
      </c>
      <c r="B2047" t="s">
        <v>1161</v>
      </c>
      <c r="C2047" t="s">
        <v>17</v>
      </c>
      <c r="D2047">
        <v>13646</v>
      </c>
      <c r="E2047" s="1">
        <v>43738</v>
      </c>
      <c r="F2047" s="2">
        <f t="shared" si="186"/>
        <v>2019</v>
      </c>
      <c r="G2047">
        <v>7</v>
      </c>
      <c r="H2047" s="3">
        <v>25217</v>
      </c>
      <c r="I2047">
        <v>3661</v>
      </c>
      <c r="J2047">
        <v>25217</v>
      </c>
      <c r="K2047">
        <v>22931</v>
      </c>
      <c r="L2047">
        <v>22864</v>
      </c>
      <c r="M2047" t="str">
        <f t="shared" si="187"/>
        <v>Small</v>
      </c>
      <c r="N2047">
        <f>VLOOKUP(C2047,Lookup!$A$2:$D$5,MATCH(M2047,Lookup!$A$1:$D$1,0),FALSE)</f>
        <v>0.09</v>
      </c>
      <c r="O2047">
        <f t="shared" si="188"/>
        <v>2057.7599999999998</v>
      </c>
      <c r="P2047" s="7">
        <f t="shared" si="189"/>
        <v>0.90934686917555618</v>
      </c>
      <c r="Q2047" s="7">
        <f t="shared" si="190"/>
        <v>3602.4285714285716</v>
      </c>
      <c r="R2047">
        <f t="shared" si="191"/>
        <v>1.7791190420651584</v>
      </c>
    </row>
    <row r="2048" spans="1:18" x14ac:dyDescent="0.25">
      <c r="A2048" t="s">
        <v>1160</v>
      </c>
      <c r="B2048" t="s">
        <v>1161</v>
      </c>
      <c r="C2048" t="s">
        <v>17</v>
      </c>
      <c r="D2048">
        <v>13646</v>
      </c>
      <c r="E2048" s="1">
        <v>44104</v>
      </c>
      <c r="F2048" s="2">
        <f t="shared" si="186"/>
        <v>2020</v>
      </c>
      <c r="G2048">
        <v>7</v>
      </c>
      <c r="H2048" s="3">
        <v>26184</v>
      </c>
      <c r="I2048">
        <v>5239</v>
      </c>
      <c r="J2048">
        <v>26184</v>
      </c>
      <c r="K2048">
        <v>23693</v>
      </c>
      <c r="L2048">
        <v>23627</v>
      </c>
      <c r="M2048" t="str">
        <f t="shared" si="187"/>
        <v>Small</v>
      </c>
      <c r="N2048">
        <f>VLOOKUP(C2048,Lookup!$A$2:$D$5,MATCH(M2048,Lookup!$A$1:$D$1,0),FALSE)</f>
        <v>0.09</v>
      </c>
      <c r="O2048">
        <f t="shared" si="188"/>
        <v>2126.4299999999998</v>
      </c>
      <c r="P2048" s="7">
        <f t="shared" si="189"/>
        <v>0.90486556675832575</v>
      </c>
      <c r="Q2048" s="7">
        <f t="shared" si="190"/>
        <v>3740.5714285714284</v>
      </c>
      <c r="R2048">
        <f t="shared" si="191"/>
        <v>2.4637538033229407</v>
      </c>
    </row>
    <row r="2049" spans="1:18" x14ac:dyDescent="0.25">
      <c r="A2049" t="s">
        <v>1160</v>
      </c>
      <c r="B2049" t="s">
        <v>1161</v>
      </c>
      <c r="C2049" t="s">
        <v>17</v>
      </c>
      <c r="D2049">
        <v>13646</v>
      </c>
      <c r="E2049" s="1">
        <v>44469</v>
      </c>
      <c r="F2049" s="2">
        <f t="shared" si="186"/>
        <v>2021</v>
      </c>
      <c r="G2049">
        <v>7</v>
      </c>
      <c r="H2049" s="3">
        <v>26520</v>
      </c>
      <c r="I2049">
        <v>4233</v>
      </c>
      <c r="J2049">
        <v>26520</v>
      </c>
      <c r="K2049">
        <v>24022</v>
      </c>
      <c r="L2049">
        <v>23955</v>
      </c>
      <c r="M2049" t="str">
        <f t="shared" si="187"/>
        <v>Small</v>
      </c>
      <c r="N2049">
        <f>VLOOKUP(C2049,Lookup!$A$2:$D$5,MATCH(M2049,Lookup!$A$1:$D$1,0),FALSE)</f>
        <v>0.09</v>
      </c>
      <c r="O2049">
        <f t="shared" si="188"/>
        <v>2155.9499999999998</v>
      </c>
      <c r="P2049" s="7">
        <f t="shared" si="189"/>
        <v>0.90580693815987934</v>
      </c>
      <c r="Q2049" s="7">
        <f t="shared" si="190"/>
        <v>3788.5714285714284</v>
      </c>
      <c r="R2049">
        <f t="shared" si="191"/>
        <v>1.9634036039796843</v>
      </c>
    </row>
    <row r="2050" spans="1:18" x14ac:dyDescent="0.25">
      <c r="A2050" t="s">
        <v>1162</v>
      </c>
      <c r="B2050" t="s">
        <v>1163</v>
      </c>
      <c r="C2050" t="s">
        <v>8</v>
      </c>
      <c r="D2050">
        <v>62960</v>
      </c>
      <c r="E2050" s="1">
        <v>43738</v>
      </c>
      <c r="F2050" s="2">
        <f t="shared" ref="F2050:F2113" si="192">YEAR(E2050)</f>
        <v>2019</v>
      </c>
      <c r="G2050">
        <v>49</v>
      </c>
      <c r="H2050" s="3">
        <v>388746</v>
      </c>
      <c r="I2050">
        <v>33899</v>
      </c>
      <c r="J2050">
        <v>388746</v>
      </c>
      <c r="K2050">
        <v>336153</v>
      </c>
      <c r="L2050">
        <v>302137</v>
      </c>
      <c r="M2050" t="str">
        <f t="shared" ref="M2050:M2113" si="193">IF(H2050&gt;1000000,"Large",IF(H2050&lt;100000,"Small","Medium"))</f>
        <v>Medium</v>
      </c>
      <c r="N2050">
        <f>VLOOKUP(C2050,Lookup!$A$2:$D$5,MATCH(M2050,Lookup!$A$1:$D$1,0),FALSE)</f>
        <v>0.08</v>
      </c>
      <c r="O2050">
        <f t="shared" ref="O2050:O2113" si="194">L2050*N2050</f>
        <v>24170.959999999999</v>
      </c>
      <c r="P2050" s="7">
        <f t="shared" ref="P2050:P2113" si="195">K2050/H2050</f>
        <v>0.86471114815329286</v>
      </c>
      <c r="Q2050" s="7">
        <f t="shared" ref="Q2050:Q2113" si="196">H2050/G2050</f>
        <v>7933.591836734694</v>
      </c>
      <c r="R2050">
        <f t="shared" ref="R2050:R2113" si="197">I2050/O2050</f>
        <v>1.4024680856697458</v>
      </c>
    </row>
    <row r="2051" spans="1:18" x14ac:dyDescent="0.25">
      <c r="A2051" t="s">
        <v>1162</v>
      </c>
      <c r="B2051" t="s">
        <v>1163</v>
      </c>
      <c r="C2051" t="s">
        <v>8</v>
      </c>
      <c r="D2051">
        <v>62960</v>
      </c>
      <c r="E2051" s="1">
        <v>44104</v>
      </c>
      <c r="F2051" s="2">
        <f t="shared" si="192"/>
        <v>2020</v>
      </c>
      <c r="G2051">
        <v>50</v>
      </c>
      <c r="H2051" s="3">
        <v>446930</v>
      </c>
      <c r="I2051">
        <v>19495</v>
      </c>
      <c r="J2051">
        <v>446930</v>
      </c>
      <c r="K2051">
        <v>389768</v>
      </c>
      <c r="L2051">
        <v>340647</v>
      </c>
      <c r="M2051" t="str">
        <f t="shared" si="193"/>
        <v>Medium</v>
      </c>
      <c r="N2051">
        <f>VLOOKUP(C2051,Lookup!$A$2:$D$5,MATCH(M2051,Lookup!$A$1:$D$1,0),FALSE)</f>
        <v>0.08</v>
      </c>
      <c r="O2051">
        <f t="shared" si="194"/>
        <v>27251.760000000002</v>
      </c>
      <c r="P2051" s="7">
        <f t="shared" si="195"/>
        <v>0.87210077640793859</v>
      </c>
      <c r="Q2051" s="7">
        <f t="shared" si="196"/>
        <v>8938.6</v>
      </c>
      <c r="R2051">
        <f t="shared" si="197"/>
        <v>0.71536664053991372</v>
      </c>
    </row>
    <row r="2052" spans="1:18" x14ac:dyDescent="0.25">
      <c r="A2052" t="s">
        <v>1162</v>
      </c>
      <c r="B2052" t="s">
        <v>1163</v>
      </c>
      <c r="C2052" t="s">
        <v>8</v>
      </c>
      <c r="D2052">
        <v>62960</v>
      </c>
      <c r="E2052" s="1">
        <v>44469</v>
      </c>
      <c r="F2052" s="2">
        <f t="shared" si="192"/>
        <v>2021</v>
      </c>
      <c r="G2052">
        <v>50</v>
      </c>
      <c r="H2052" s="3">
        <v>477297</v>
      </c>
      <c r="I2052">
        <v>69724</v>
      </c>
      <c r="J2052">
        <v>477297</v>
      </c>
      <c r="K2052">
        <v>419444</v>
      </c>
      <c r="L2052">
        <v>375610</v>
      </c>
      <c r="M2052" t="str">
        <f t="shared" si="193"/>
        <v>Medium</v>
      </c>
      <c r="N2052">
        <f>VLOOKUP(C2052,Lookup!$A$2:$D$5,MATCH(M2052,Lookup!$A$1:$D$1,0),FALSE)</f>
        <v>0.08</v>
      </c>
      <c r="O2052">
        <f t="shared" si="194"/>
        <v>30048.799999999999</v>
      </c>
      <c r="P2052" s="7">
        <f t="shared" si="195"/>
        <v>0.8787903548524294</v>
      </c>
      <c r="Q2052" s="7">
        <f t="shared" si="196"/>
        <v>9545.94</v>
      </c>
      <c r="R2052">
        <f t="shared" si="197"/>
        <v>2.3203588828838422</v>
      </c>
    </row>
    <row r="2053" spans="1:18" x14ac:dyDescent="0.25">
      <c r="A2053" t="s">
        <v>1164</v>
      </c>
      <c r="B2053" t="s">
        <v>1165</v>
      </c>
      <c r="C2053" t="s">
        <v>8</v>
      </c>
      <c r="D2053">
        <v>62824</v>
      </c>
      <c r="E2053" s="1">
        <v>43738</v>
      </c>
      <c r="F2053" s="2">
        <f t="shared" si="192"/>
        <v>2019</v>
      </c>
      <c r="G2053">
        <v>35</v>
      </c>
      <c r="H2053" s="3">
        <v>149516</v>
      </c>
      <c r="I2053">
        <v>4837</v>
      </c>
      <c r="J2053">
        <v>149516</v>
      </c>
      <c r="K2053">
        <v>134893</v>
      </c>
      <c r="L2053">
        <v>130668</v>
      </c>
      <c r="M2053" t="str">
        <f t="shared" si="193"/>
        <v>Medium</v>
      </c>
      <c r="N2053">
        <f>VLOOKUP(C2053,Lookup!$A$2:$D$5,MATCH(M2053,Lookup!$A$1:$D$1,0),FALSE)</f>
        <v>0.08</v>
      </c>
      <c r="O2053">
        <f t="shared" si="194"/>
        <v>10453.44</v>
      </c>
      <c r="P2053" s="7">
        <f t="shared" si="195"/>
        <v>0.90219775809946756</v>
      </c>
      <c r="Q2053" s="7">
        <f t="shared" si="196"/>
        <v>4271.8857142857141</v>
      </c>
      <c r="R2053">
        <f t="shared" si="197"/>
        <v>0.46271849266844212</v>
      </c>
    </row>
    <row r="2054" spans="1:18" x14ac:dyDescent="0.25">
      <c r="A2054" t="s">
        <v>1164</v>
      </c>
      <c r="B2054" t="s">
        <v>1165</v>
      </c>
      <c r="C2054" t="s">
        <v>8</v>
      </c>
      <c r="D2054">
        <v>62824</v>
      </c>
      <c r="E2054" s="1">
        <v>44104</v>
      </c>
      <c r="F2054" s="2">
        <f t="shared" si="192"/>
        <v>2020</v>
      </c>
      <c r="G2054">
        <v>35</v>
      </c>
      <c r="H2054" s="3">
        <v>169881</v>
      </c>
      <c r="I2054">
        <v>8406</v>
      </c>
      <c r="J2054">
        <v>169881</v>
      </c>
      <c r="K2054">
        <v>154013</v>
      </c>
      <c r="L2054">
        <v>149600</v>
      </c>
      <c r="M2054" t="str">
        <f t="shared" si="193"/>
        <v>Medium</v>
      </c>
      <c r="N2054">
        <f>VLOOKUP(C2054,Lookup!$A$2:$D$5,MATCH(M2054,Lookup!$A$1:$D$1,0),FALSE)</f>
        <v>0.08</v>
      </c>
      <c r="O2054">
        <f t="shared" si="194"/>
        <v>11968</v>
      </c>
      <c r="P2054" s="7">
        <f t="shared" si="195"/>
        <v>0.90659343893666744</v>
      </c>
      <c r="Q2054" s="7">
        <f t="shared" si="196"/>
        <v>4853.7428571428572</v>
      </c>
      <c r="R2054">
        <f t="shared" si="197"/>
        <v>0.70237299465240643</v>
      </c>
    </row>
    <row r="2055" spans="1:18" x14ac:dyDescent="0.25">
      <c r="A2055" t="s">
        <v>1164</v>
      </c>
      <c r="B2055" t="s">
        <v>1165</v>
      </c>
      <c r="C2055" t="s">
        <v>8</v>
      </c>
      <c r="D2055">
        <v>62824</v>
      </c>
      <c r="E2055" s="1">
        <v>44469</v>
      </c>
      <c r="F2055" s="2">
        <f t="shared" si="192"/>
        <v>2021</v>
      </c>
      <c r="G2055">
        <v>33</v>
      </c>
      <c r="H2055" s="3">
        <v>192378</v>
      </c>
      <c r="I2055">
        <v>6565</v>
      </c>
      <c r="J2055">
        <v>192378</v>
      </c>
      <c r="K2055">
        <v>175254</v>
      </c>
      <c r="L2055">
        <v>170652</v>
      </c>
      <c r="M2055" t="str">
        <f t="shared" si="193"/>
        <v>Medium</v>
      </c>
      <c r="N2055">
        <f>VLOOKUP(C2055,Lookup!$A$2:$D$5,MATCH(M2055,Lookup!$A$1:$D$1,0),FALSE)</f>
        <v>0.08</v>
      </c>
      <c r="O2055">
        <f t="shared" si="194"/>
        <v>13652.16</v>
      </c>
      <c r="P2055" s="7">
        <f t="shared" si="195"/>
        <v>0.91098774288120266</v>
      </c>
      <c r="Q2055" s="7">
        <f t="shared" si="196"/>
        <v>5829.636363636364</v>
      </c>
      <c r="R2055">
        <f t="shared" si="197"/>
        <v>0.48087628624334905</v>
      </c>
    </row>
    <row r="2056" spans="1:18" x14ac:dyDescent="0.25">
      <c r="A2056" t="s">
        <v>1166</v>
      </c>
      <c r="B2056" t="s">
        <v>1167</v>
      </c>
      <c r="C2056" t="s">
        <v>20</v>
      </c>
      <c r="D2056">
        <v>2131</v>
      </c>
      <c r="E2056" s="1">
        <v>43738</v>
      </c>
      <c r="F2056" s="2">
        <f t="shared" si="192"/>
        <v>2019</v>
      </c>
      <c r="G2056">
        <v>66</v>
      </c>
      <c r="H2056" s="3">
        <v>439192</v>
      </c>
      <c r="I2056">
        <v>14624</v>
      </c>
      <c r="J2056">
        <v>439192</v>
      </c>
      <c r="K2056">
        <v>396402</v>
      </c>
      <c r="L2056">
        <v>350862</v>
      </c>
      <c r="M2056" t="str">
        <f t="shared" si="193"/>
        <v>Medium</v>
      </c>
      <c r="N2056">
        <f>VLOOKUP(C2056,Lookup!$A$2:$D$5,MATCH(M2056,Lookup!$A$1:$D$1,0),FALSE)</f>
        <v>8.5000000000000006E-2</v>
      </c>
      <c r="O2056">
        <f t="shared" si="194"/>
        <v>29823.27</v>
      </c>
      <c r="P2056" s="7">
        <f t="shared" si="195"/>
        <v>0.90257108508351702</v>
      </c>
      <c r="Q2056" s="7">
        <f t="shared" si="196"/>
        <v>6654.424242424242</v>
      </c>
      <c r="R2056">
        <f t="shared" si="197"/>
        <v>0.49035535003371528</v>
      </c>
    </row>
    <row r="2057" spans="1:18" x14ac:dyDescent="0.25">
      <c r="A2057" t="s">
        <v>1166</v>
      </c>
      <c r="B2057" t="s">
        <v>1167</v>
      </c>
      <c r="C2057" t="s">
        <v>20</v>
      </c>
      <c r="D2057">
        <v>2131</v>
      </c>
      <c r="E2057" s="1">
        <v>44104</v>
      </c>
      <c r="F2057" s="2">
        <f t="shared" si="192"/>
        <v>2020</v>
      </c>
      <c r="G2057">
        <v>71</v>
      </c>
      <c r="H2057" s="3">
        <v>472403</v>
      </c>
      <c r="I2057">
        <v>27293</v>
      </c>
      <c r="J2057">
        <v>472403</v>
      </c>
      <c r="K2057">
        <v>426894</v>
      </c>
      <c r="L2057">
        <v>391163</v>
      </c>
      <c r="M2057" t="str">
        <f t="shared" si="193"/>
        <v>Medium</v>
      </c>
      <c r="N2057">
        <f>VLOOKUP(C2057,Lookup!$A$2:$D$5,MATCH(M2057,Lookup!$A$1:$D$1,0),FALSE)</f>
        <v>8.5000000000000006E-2</v>
      </c>
      <c r="O2057">
        <f t="shared" si="194"/>
        <v>33248.855000000003</v>
      </c>
      <c r="P2057" s="7">
        <f t="shared" si="195"/>
        <v>0.90366487935089324</v>
      </c>
      <c r="Q2057" s="7">
        <f t="shared" si="196"/>
        <v>6653.5633802816901</v>
      </c>
      <c r="R2057">
        <f t="shared" si="197"/>
        <v>0.82087037282938002</v>
      </c>
    </row>
    <row r="2058" spans="1:18" x14ac:dyDescent="0.25">
      <c r="A2058" t="s">
        <v>1166</v>
      </c>
      <c r="B2058" t="s">
        <v>1167</v>
      </c>
      <c r="C2058" t="s">
        <v>20</v>
      </c>
      <c r="D2058">
        <v>2131</v>
      </c>
      <c r="E2058" s="1">
        <v>44469</v>
      </c>
      <c r="F2058" s="2">
        <f t="shared" si="192"/>
        <v>2021</v>
      </c>
      <c r="G2058">
        <v>78</v>
      </c>
      <c r="H2058" s="3">
        <v>483441</v>
      </c>
      <c r="I2058">
        <v>15209</v>
      </c>
      <c r="J2058">
        <v>483441</v>
      </c>
      <c r="K2058">
        <v>435810</v>
      </c>
      <c r="L2058">
        <v>423036</v>
      </c>
      <c r="M2058" t="str">
        <f t="shared" si="193"/>
        <v>Medium</v>
      </c>
      <c r="N2058">
        <f>VLOOKUP(C2058,Lookup!$A$2:$D$5,MATCH(M2058,Lookup!$A$1:$D$1,0),FALSE)</f>
        <v>8.5000000000000006E-2</v>
      </c>
      <c r="O2058">
        <f t="shared" si="194"/>
        <v>35958.060000000005</v>
      </c>
      <c r="P2058" s="7">
        <f t="shared" si="195"/>
        <v>0.90147505073007872</v>
      </c>
      <c r="Q2058" s="7">
        <f t="shared" si="196"/>
        <v>6197.9615384615381</v>
      </c>
      <c r="R2058">
        <f t="shared" si="197"/>
        <v>0.42296497641975117</v>
      </c>
    </row>
    <row r="2059" spans="1:18" x14ac:dyDescent="0.25">
      <c r="A2059" t="s">
        <v>1168</v>
      </c>
      <c r="B2059" t="s">
        <v>1169</v>
      </c>
      <c r="C2059" t="s">
        <v>17</v>
      </c>
      <c r="D2059">
        <v>13753</v>
      </c>
      <c r="E2059" s="1">
        <v>43738</v>
      </c>
      <c r="F2059" s="2">
        <f t="shared" si="192"/>
        <v>2019</v>
      </c>
      <c r="G2059">
        <v>49</v>
      </c>
      <c r="H2059" s="3">
        <v>304811</v>
      </c>
      <c r="I2059">
        <v>39965</v>
      </c>
      <c r="J2059">
        <v>304811</v>
      </c>
      <c r="K2059">
        <v>273769</v>
      </c>
      <c r="L2059">
        <v>269741</v>
      </c>
      <c r="M2059" t="str">
        <f t="shared" si="193"/>
        <v>Medium</v>
      </c>
      <c r="N2059">
        <f>VLOOKUP(C2059,Lookup!$A$2:$D$5,MATCH(M2059,Lookup!$A$1:$D$1,0),FALSE)</f>
        <v>8.5000000000000006E-2</v>
      </c>
      <c r="O2059">
        <f t="shared" si="194"/>
        <v>22927.985000000001</v>
      </c>
      <c r="P2059" s="7">
        <f t="shared" si="195"/>
        <v>0.89815984331274135</v>
      </c>
      <c r="Q2059" s="7">
        <f t="shared" si="196"/>
        <v>6220.6326530612241</v>
      </c>
      <c r="R2059">
        <f t="shared" si="197"/>
        <v>1.7430663880842558</v>
      </c>
    </row>
    <row r="2060" spans="1:18" x14ac:dyDescent="0.25">
      <c r="A2060" t="s">
        <v>1168</v>
      </c>
      <c r="B2060" t="s">
        <v>1169</v>
      </c>
      <c r="C2060" t="s">
        <v>17</v>
      </c>
      <c r="D2060">
        <v>13753</v>
      </c>
      <c r="E2060" s="1">
        <v>44104</v>
      </c>
      <c r="F2060" s="2">
        <f t="shared" si="192"/>
        <v>2020</v>
      </c>
      <c r="G2060">
        <v>51</v>
      </c>
      <c r="H2060" s="3">
        <v>336613</v>
      </c>
      <c r="I2060">
        <v>44233</v>
      </c>
      <c r="J2060">
        <v>336614</v>
      </c>
      <c r="K2060">
        <v>302711</v>
      </c>
      <c r="L2060">
        <v>298725</v>
      </c>
      <c r="M2060" t="str">
        <f t="shared" si="193"/>
        <v>Medium</v>
      </c>
      <c r="N2060">
        <f>VLOOKUP(C2060,Lookup!$A$2:$D$5,MATCH(M2060,Lookup!$A$1:$D$1,0),FALSE)</f>
        <v>8.5000000000000006E-2</v>
      </c>
      <c r="O2060">
        <f t="shared" si="194"/>
        <v>25391.625000000004</v>
      </c>
      <c r="P2060" s="7">
        <f t="shared" si="195"/>
        <v>0.89928493551942434</v>
      </c>
      <c r="Q2060" s="7">
        <f t="shared" si="196"/>
        <v>6600.2549019607841</v>
      </c>
      <c r="R2060">
        <f t="shared" si="197"/>
        <v>1.7420310830834969</v>
      </c>
    </row>
    <row r="2061" spans="1:18" x14ac:dyDescent="0.25">
      <c r="A2061" t="s">
        <v>1168</v>
      </c>
      <c r="B2061" t="s">
        <v>1169</v>
      </c>
      <c r="C2061" t="s">
        <v>17</v>
      </c>
      <c r="D2061">
        <v>13753</v>
      </c>
      <c r="E2061" s="1">
        <v>44469</v>
      </c>
      <c r="F2061" s="2">
        <f t="shared" si="192"/>
        <v>2021</v>
      </c>
      <c r="G2061">
        <v>49</v>
      </c>
      <c r="H2061" s="3">
        <v>376835</v>
      </c>
      <c r="I2061">
        <v>50416</v>
      </c>
      <c r="J2061">
        <v>376835</v>
      </c>
      <c r="K2061">
        <v>342139</v>
      </c>
      <c r="L2061">
        <v>338116</v>
      </c>
      <c r="M2061" t="str">
        <f t="shared" si="193"/>
        <v>Medium</v>
      </c>
      <c r="N2061">
        <f>VLOOKUP(C2061,Lookup!$A$2:$D$5,MATCH(M2061,Lookup!$A$1:$D$1,0),FALSE)</f>
        <v>8.5000000000000006E-2</v>
      </c>
      <c r="O2061">
        <f t="shared" si="194"/>
        <v>28739.86</v>
      </c>
      <c r="P2061" s="7">
        <f t="shared" si="195"/>
        <v>0.90792787294173838</v>
      </c>
      <c r="Q2061" s="7">
        <f t="shared" si="196"/>
        <v>7690.5102040816328</v>
      </c>
      <c r="R2061">
        <f t="shared" si="197"/>
        <v>1.7542187053103251</v>
      </c>
    </row>
    <row r="2062" spans="1:18" x14ac:dyDescent="0.25">
      <c r="A2062" t="s">
        <v>1170</v>
      </c>
      <c r="B2062" t="s">
        <v>1171</v>
      </c>
      <c r="C2062" t="s">
        <v>8</v>
      </c>
      <c r="D2062">
        <v>62837</v>
      </c>
      <c r="E2062" s="1">
        <v>43738</v>
      </c>
      <c r="F2062" s="2">
        <f t="shared" si="192"/>
        <v>2019</v>
      </c>
      <c r="G2062">
        <v>59</v>
      </c>
      <c r="H2062" s="3">
        <v>551260</v>
      </c>
      <c r="I2062">
        <v>16014</v>
      </c>
      <c r="J2062">
        <v>551260</v>
      </c>
      <c r="K2062">
        <v>479126</v>
      </c>
      <c r="L2062">
        <v>329217</v>
      </c>
      <c r="M2062" t="str">
        <f t="shared" si="193"/>
        <v>Medium</v>
      </c>
      <c r="N2062">
        <f>VLOOKUP(C2062,Lookup!$A$2:$D$5,MATCH(M2062,Lookup!$A$1:$D$1,0),FALSE)</f>
        <v>0.08</v>
      </c>
      <c r="O2062">
        <f t="shared" si="194"/>
        <v>26337.360000000001</v>
      </c>
      <c r="P2062" s="7">
        <f t="shared" si="195"/>
        <v>0.86914704495156547</v>
      </c>
      <c r="Q2062" s="7">
        <f t="shared" si="196"/>
        <v>9343.3898305084749</v>
      </c>
      <c r="R2062">
        <f t="shared" si="197"/>
        <v>0.60803360701300357</v>
      </c>
    </row>
    <row r="2063" spans="1:18" x14ac:dyDescent="0.25">
      <c r="A2063" t="s">
        <v>1170</v>
      </c>
      <c r="B2063" t="s">
        <v>1171</v>
      </c>
      <c r="C2063" t="s">
        <v>8</v>
      </c>
      <c r="D2063">
        <v>62837</v>
      </c>
      <c r="E2063" s="1">
        <v>44104</v>
      </c>
      <c r="F2063" s="2">
        <f t="shared" si="192"/>
        <v>2020</v>
      </c>
      <c r="G2063">
        <v>60</v>
      </c>
      <c r="H2063" s="3">
        <v>582433</v>
      </c>
      <c r="I2063">
        <v>9932</v>
      </c>
      <c r="J2063">
        <v>582433</v>
      </c>
      <c r="K2063">
        <v>502050</v>
      </c>
      <c r="L2063">
        <v>340256</v>
      </c>
      <c r="M2063" t="str">
        <f t="shared" si="193"/>
        <v>Medium</v>
      </c>
      <c r="N2063">
        <f>VLOOKUP(C2063,Lookup!$A$2:$D$5,MATCH(M2063,Lookup!$A$1:$D$1,0),FALSE)</f>
        <v>0.08</v>
      </c>
      <c r="O2063">
        <f t="shared" si="194"/>
        <v>27220.48</v>
      </c>
      <c r="P2063" s="7">
        <f t="shared" si="195"/>
        <v>0.86198755908404912</v>
      </c>
      <c r="Q2063" s="7">
        <f t="shared" si="196"/>
        <v>9707.2166666666672</v>
      </c>
      <c r="R2063">
        <f t="shared" si="197"/>
        <v>0.36487233142104769</v>
      </c>
    </row>
    <row r="2064" spans="1:18" x14ac:dyDescent="0.25">
      <c r="A2064" t="s">
        <v>1170</v>
      </c>
      <c r="B2064" t="s">
        <v>1171</v>
      </c>
      <c r="C2064" t="s">
        <v>8</v>
      </c>
      <c r="D2064">
        <v>62837</v>
      </c>
      <c r="E2064" s="1">
        <v>44469</v>
      </c>
      <c r="F2064" s="2">
        <f t="shared" si="192"/>
        <v>2021</v>
      </c>
      <c r="G2064">
        <v>59</v>
      </c>
      <c r="H2064" s="3">
        <v>661486</v>
      </c>
      <c r="I2064">
        <v>14272</v>
      </c>
      <c r="J2064">
        <v>661486</v>
      </c>
      <c r="K2064">
        <v>580582</v>
      </c>
      <c r="L2064">
        <v>401762</v>
      </c>
      <c r="M2064" t="str">
        <f t="shared" si="193"/>
        <v>Medium</v>
      </c>
      <c r="N2064">
        <f>VLOOKUP(C2064,Lookup!$A$2:$D$5,MATCH(M2064,Lookup!$A$1:$D$1,0),FALSE)</f>
        <v>0.08</v>
      </c>
      <c r="O2064">
        <f t="shared" si="194"/>
        <v>32140.959999999999</v>
      </c>
      <c r="P2064" s="7">
        <f t="shared" si="195"/>
        <v>0.87769355662856052</v>
      </c>
      <c r="Q2064" s="7">
        <f t="shared" si="196"/>
        <v>11211.627118644068</v>
      </c>
      <c r="R2064">
        <f t="shared" si="197"/>
        <v>0.44404398624061014</v>
      </c>
    </row>
    <row r="2065" spans="1:18" x14ac:dyDescent="0.25">
      <c r="A2065" t="s">
        <v>1172</v>
      </c>
      <c r="B2065" t="s">
        <v>859</v>
      </c>
      <c r="C2065" t="s">
        <v>8</v>
      </c>
      <c r="D2065">
        <v>62263</v>
      </c>
      <c r="E2065" s="1">
        <v>43738</v>
      </c>
      <c r="F2065" s="2">
        <f t="shared" si="192"/>
        <v>2019</v>
      </c>
      <c r="G2065">
        <v>45</v>
      </c>
      <c r="H2065" s="3">
        <v>183440</v>
      </c>
      <c r="I2065">
        <v>10169</v>
      </c>
      <c r="J2065">
        <v>183440</v>
      </c>
      <c r="K2065">
        <v>160808</v>
      </c>
      <c r="L2065">
        <v>160382</v>
      </c>
      <c r="M2065" t="str">
        <f t="shared" si="193"/>
        <v>Medium</v>
      </c>
      <c r="N2065">
        <f>VLOOKUP(C2065,Lookup!$A$2:$D$5,MATCH(M2065,Lookup!$A$1:$D$1,0),FALSE)</f>
        <v>0.08</v>
      </c>
      <c r="O2065">
        <f t="shared" si="194"/>
        <v>12830.56</v>
      </c>
      <c r="P2065" s="7">
        <f t="shared" si="195"/>
        <v>0.87662450937636283</v>
      </c>
      <c r="Q2065" s="7">
        <f t="shared" si="196"/>
        <v>4076.4444444444443</v>
      </c>
      <c r="R2065">
        <f t="shared" si="197"/>
        <v>0.79256088588494966</v>
      </c>
    </row>
    <row r="2066" spans="1:18" x14ac:dyDescent="0.25">
      <c r="A2066" t="s">
        <v>1172</v>
      </c>
      <c r="B2066" t="s">
        <v>859</v>
      </c>
      <c r="C2066" t="s">
        <v>8</v>
      </c>
      <c r="D2066">
        <v>62263</v>
      </c>
      <c r="E2066" s="1">
        <v>44104</v>
      </c>
      <c r="F2066" s="2">
        <f t="shared" si="192"/>
        <v>2020</v>
      </c>
      <c r="G2066">
        <v>46</v>
      </c>
      <c r="H2066" s="3">
        <v>215562</v>
      </c>
      <c r="I2066">
        <v>15211</v>
      </c>
      <c r="J2066">
        <v>215562</v>
      </c>
      <c r="K2066">
        <v>190804</v>
      </c>
      <c r="L2066">
        <v>190080</v>
      </c>
      <c r="M2066" t="str">
        <f t="shared" si="193"/>
        <v>Medium</v>
      </c>
      <c r="N2066">
        <f>VLOOKUP(C2066,Lookup!$A$2:$D$5,MATCH(M2066,Lookup!$A$1:$D$1,0),FALSE)</f>
        <v>0.08</v>
      </c>
      <c r="O2066">
        <f t="shared" si="194"/>
        <v>15206.4</v>
      </c>
      <c r="P2066" s="7">
        <f t="shared" si="195"/>
        <v>0.88514673272654731</v>
      </c>
      <c r="Q2066" s="7">
        <f t="shared" si="196"/>
        <v>4686.130434782609</v>
      </c>
      <c r="R2066">
        <f t="shared" si="197"/>
        <v>1.0003025042087543</v>
      </c>
    </row>
    <row r="2067" spans="1:18" x14ac:dyDescent="0.25">
      <c r="A2067" t="s">
        <v>1172</v>
      </c>
      <c r="B2067" t="s">
        <v>859</v>
      </c>
      <c r="C2067" t="s">
        <v>8</v>
      </c>
      <c r="D2067">
        <v>62263</v>
      </c>
      <c r="E2067" s="1">
        <v>44469</v>
      </c>
      <c r="F2067" s="2">
        <f t="shared" si="192"/>
        <v>2021</v>
      </c>
      <c r="G2067">
        <v>44</v>
      </c>
      <c r="H2067" s="3">
        <v>238493</v>
      </c>
      <c r="I2067">
        <v>23939</v>
      </c>
      <c r="J2067">
        <v>238493</v>
      </c>
      <c r="K2067">
        <v>211692</v>
      </c>
      <c r="L2067">
        <v>211186</v>
      </c>
      <c r="M2067" t="str">
        <f t="shared" si="193"/>
        <v>Medium</v>
      </c>
      <c r="N2067">
        <f>VLOOKUP(C2067,Lookup!$A$2:$D$5,MATCH(M2067,Lookup!$A$1:$D$1,0),FALSE)</f>
        <v>0.08</v>
      </c>
      <c r="O2067">
        <f t="shared" si="194"/>
        <v>16894.88</v>
      </c>
      <c r="P2067" s="7">
        <f t="shared" si="195"/>
        <v>0.887623536120557</v>
      </c>
      <c r="Q2067" s="7">
        <f t="shared" si="196"/>
        <v>5420.295454545455</v>
      </c>
      <c r="R2067">
        <f t="shared" si="197"/>
        <v>1.4169381493091397</v>
      </c>
    </row>
    <row r="2068" spans="1:18" x14ac:dyDescent="0.25">
      <c r="A2068" t="s">
        <v>1173</v>
      </c>
      <c r="B2068" t="s">
        <v>1174</v>
      </c>
      <c r="C2068" t="s">
        <v>8</v>
      </c>
      <c r="D2068">
        <v>62548</v>
      </c>
      <c r="E2068" s="1">
        <v>43738</v>
      </c>
      <c r="F2068" s="2">
        <f t="shared" si="192"/>
        <v>2019</v>
      </c>
      <c r="G2068">
        <v>12</v>
      </c>
      <c r="H2068" s="3">
        <v>57018</v>
      </c>
      <c r="I2068">
        <v>16318</v>
      </c>
      <c r="J2068">
        <v>57018</v>
      </c>
      <c r="K2068">
        <v>50163</v>
      </c>
      <c r="L2068">
        <v>50090</v>
      </c>
      <c r="M2068" t="str">
        <f t="shared" si="193"/>
        <v>Small</v>
      </c>
      <c r="N2068">
        <f>VLOOKUP(C2068,Lookup!$A$2:$D$5,MATCH(M2068,Lookup!$A$1:$D$1,0),FALSE)</f>
        <v>0.09</v>
      </c>
      <c r="O2068">
        <f t="shared" si="194"/>
        <v>4508.0999999999995</v>
      </c>
      <c r="P2068" s="7">
        <f t="shared" si="195"/>
        <v>0.87977480795538254</v>
      </c>
      <c r="Q2068" s="7">
        <f t="shared" si="196"/>
        <v>4751.5</v>
      </c>
      <c r="R2068">
        <f t="shared" si="197"/>
        <v>3.6197067500720927</v>
      </c>
    </row>
    <row r="2069" spans="1:18" x14ac:dyDescent="0.25">
      <c r="A2069" t="s">
        <v>1173</v>
      </c>
      <c r="B2069" t="s">
        <v>1174</v>
      </c>
      <c r="C2069" t="s">
        <v>8</v>
      </c>
      <c r="D2069">
        <v>62548</v>
      </c>
      <c r="E2069" s="1">
        <v>44104</v>
      </c>
      <c r="F2069" s="2">
        <f t="shared" si="192"/>
        <v>2020</v>
      </c>
      <c r="G2069">
        <v>10</v>
      </c>
      <c r="H2069" s="3">
        <v>57895</v>
      </c>
      <c r="I2069">
        <v>25606</v>
      </c>
      <c r="J2069">
        <v>57895</v>
      </c>
      <c r="K2069">
        <v>50760</v>
      </c>
      <c r="L2069">
        <v>46668</v>
      </c>
      <c r="M2069" t="str">
        <f t="shared" si="193"/>
        <v>Small</v>
      </c>
      <c r="N2069">
        <f>VLOOKUP(C2069,Lookup!$A$2:$D$5,MATCH(M2069,Lookup!$A$1:$D$1,0),FALSE)</f>
        <v>0.09</v>
      </c>
      <c r="O2069">
        <f t="shared" si="194"/>
        <v>4200.12</v>
      </c>
      <c r="P2069" s="7">
        <f t="shared" si="195"/>
        <v>0.87675965109249498</v>
      </c>
      <c r="Q2069" s="7">
        <f t="shared" si="196"/>
        <v>5789.5</v>
      </c>
      <c r="R2069">
        <f t="shared" si="197"/>
        <v>6.0964924811672052</v>
      </c>
    </row>
    <row r="2070" spans="1:18" x14ac:dyDescent="0.25">
      <c r="A2070" t="s">
        <v>1173</v>
      </c>
      <c r="B2070" t="s">
        <v>1174</v>
      </c>
      <c r="C2070" t="s">
        <v>8</v>
      </c>
      <c r="D2070">
        <v>62548</v>
      </c>
      <c r="E2070" s="1">
        <v>44469</v>
      </c>
      <c r="F2070" s="2">
        <f t="shared" si="192"/>
        <v>2021</v>
      </c>
      <c r="G2070">
        <v>10</v>
      </c>
      <c r="H2070" s="3">
        <v>60356</v>
      </c>
      <c r="I2070">
        <v>12090</v>
      </c>
      <c r="J2070">
        <v>60356</v>
      </c>
      <c r="K2070">
        <v>53166</v>
      </c>
      <c r="L2070">
        <v>53110</v>
      </c>
      <c r="M2070" t="str">
        <f t="shared" si="193"/>
        <v>Small</v>
      </c>
      <c r="N2070">
        <f>VLOOKUP(C2070,Lookup!$A$2:$D$5,MATCH(M2070,Lookup!$A$1:$D$1,0),FALSE)</f>
        <v>0.09</v>
      </c>
      <c r="O2070">
        <f t="shared" si="194"/>
        <v>4779.8999999999996</v>
      </c>
      <c r="P2070" s="7">
        <f t="shared" si="195"/>
        <v>0.88087348399496324</v>
      </c>
      <c r="Q2070" s="7">
        <f t="shared" si="196"/>
        <v>6035.6</v>
      </c>
      <c r="R2070">
        <f t="shared" si="197"/>
        <v>2.529341618025482</v>
      </c>
    </row>
    <row r="2071" spans="1:18" x14ac:dyDescent="0.25">
      <c r="A2071" t="s">
        <v>1175</v>
      </c>
      <c r="B2071" t="s">
        <v>1176</v>
      </c>
      <c r="C2071" t="s">
        <v>8</v>
      </c>
      <c r="D2071">
        <v>61277</v>
      </c>
      <c r="E2071" s="1">
        <v>43738</v>
      </c>
      <c r="F2071" s="2">
        <f t="shared" si="192"/>
        <v>2019</v>
      </c>
      <c r="G2071">
        <v>49</v>
      </c>
      <c r="H2071" s="3">
        <v>726119</v>
      </c>
      <c r="I2071">
        <v>33905</v>
      </c>
      <c r="J2071">
        <v>726119</v>
      </c>
      <c r="K2071">
        <v>620535</v>
      </c>
      <c r="L2071">
        <v>484282</v>
      </c>
      <c r="M2071" t="str">
        <f t="shared" si="193"/>
        <v>Medium</v>
      </c>
      <c r="N2071">
        <f>VLOOKUP(C2071,Lookup!$A$2:$D$5,MATCH(M2071,Lookup!$A$1:$D$1,0),FALSE)</f>
        <v>0.08</v>
      </c>
      <c r="O2071">
        <f t="shared" si="194"/>
        <v>38742.559999999998</v>
      </c>
      <c r="P2071" s="7">
        <f t="shared" si="195"/>
        <v>0.85459132731687226</v>
      </c>
      <c r="Q2071" s="7">
        <f t="shared" si="196"/>
        <v>14818.755102040815</v>
      </c>
      <c r="R2071">
        <f t="shared" si="197"/>
        <v>0.87513576800294046</v>
      </c>
    </row>
    <row r="2072" spans="1:18" x14ac:dyDescent="0.25">
      <c r="A2072" t="s">
        <v>1177</v>
      </c>
      <c r="B2072" t="s">
        <v>1178</v>
      </c>
      <c r="C2072" t="s">
        <v>8</v>
      </c>
      <c r="D2072">
        <v>62650</v>
      </c>
      <c r="E2072" s="1">
        <v>43738</v>
      </c>
      <c r="F2072" s="2">
        <f t="shared" si="192"/>
        <v>2019</v>
      </c>
      <c r="G2072">
        <v>54</v>
      </c>
      <c r="H2072" s="3">
        <v>196711</v>
      </c>
      <c r="I2072">
        <v>5437</v>
      </c>
      <c r="J2072">
        <v>196711</v>
      </c>
      <c r="K2072">
        <v>172079</v>
      </c>
      <c r="L2072">
        <v>168977</v>
      </c>
      <c r="M2072" t="str">
        <f t="shared" si="193"/>
        <v>Medium</v>
      </c>
      <c r="N2072">
        <f>VLOOKUP(C2072,Lookup!$A$2:$D$5,MATCH(M2072,Lookup!$A$1:$D$1,0),FALSE)</f>
        <v>0.08</v>
      </c>
      <c r="O2072">
        <f t="shared" si="194"/>
        <v>13518.16</v>
      </c>
      <c r="P2072" s="7">
        <f t="shared" si="195"/>
        <v>0.87478076975868146</v>
      </c>
      <c r="Q2072" s="7">
        <f t="shared" si="196"/>
        <v>3642.7962962962961</v>
      </c>
      <c r="R2072">
        <f t="shared" si="197"/>
        <v>0.40219970765252078</v>
      </c>
    </row>
    <row r="2073" spans="1:18" x14ac:dyDescent="0.25">
      <c r="A2073" t="s">
        <v>1177</v>
      </c>
      <c r="B2073" t="s">
        <v>1178</v>
      </c>
      <c r="C2073" t="s">
        <v>8</v>
      </c>
      <c r="D2073">
        <v>62650</v>
      </c>
      <c r="E2073" s="1">
        <v>44104</v>
      </c>
      <c r="F2073" s="2">
        <f t="shared" si="192"/>
        <v>2020</v>
      </c>
      <c r="G2073">
        <v>55</v>
      </c>
      <c r="H2073" s="3">
        <v>217103</v>
      </c>
      <c r="I2073">
        <v>4469</v>
      </c>
      <c r="J2073">
        <v>217103</v>
      </c>
      <c r="K2073">
        <v>190522</v>
      </c>
      <c r="L2073">
        <v>186661</v>
      </c>
      <c r="M2073" t="str">
        <f t="shared" si="193"/>
        <v>Medium</v>
      </c>
      <c r="N2073">
        <f>VLOOKUP(C2073,Lookup!$A$2:$D$5,MATCH(M2073,Lookup!$A$1:$D$1,0),FALSE)</f>
        <v>0.08</v>
      </c>
      <c r="O2073">
        <f t="shared" si="194"/>
        <v>14932.880000000001</v>
      </c>
      <c r="P2073" s="7">
        <f t="shared" si="195"/>
        <v>0.8775650267384606</v>
      </c>
      <c r="Q2073" s="7">
        <f t="shared" si="196"/>
        <v>3947.3272727272729</v>
      </c>
      <c r="R2073">
        <f t="shared" si="197"/>
        <v>0.29927247791450812</v>
      </c>
    </row>
    <row r="2074" spans="1:18" x14ac:dyDescent="0.25">
      <c r="A2074" t="s">
        <v>1177</v>
      </c>
      <c r="B2074" t="s">
        <v>1178</v>
      </c>
      <c r="C2074" t="s">
        <v>8</v>
      </c>
      <c r="D2074">
        <v>62650</v>
      </c>
      <c r="E2074" s="1">
        <v>44469</v>
      </c>
      <c r="F2074" s="2">
        <f t="shared" si="192"/>
        <v>2021</v>
      </c>
      <c r="G2074">
        <v>48</v>
      </c>
      <c r="H2074" s="3">
        <v>238156</v>
      </c>
      <c r="I2074">
        <v>11683</v>
      </c>
      <c r="J2074">
        <v>238156</v>
      </c>
      <c r="K2074">
        <v>210996</v>
      </c>
      <c r="L2074">
        <v>210725</v>
      </c>
      <c r="M2074" t="str">
        <f t="shared" si="193"/>
        <v>Medium</v>
      </c>
      <c r="N2074">
        <f>VLOOKUP(C2074,Lookup!$A$2:$D$5,MATCH(M2074,Lookup!$A$1:$D$1,0),FALSE)</f>
        <v>0.08</v>
      </c>
      <c r="O2074">
        <f t="shared" si="194"/>
        <v>16858</v>
      </c>
      <c r="P2074" s="7">
        <f t="shared" si="195"/>
        <v>0.88595710374712378</v>
      </c>
      <c r="Q2074" s="7">
        <f t="shared" si="196"/>
        <v>4961.583333333333</v>
      </c>
      <c r="R2074">
        <f t="shared" si="197"/>
        <v>0.69302408352117684</v>
      </c>
    </row>
    <row r="2075" spans="1:18" x14ac:dyDescent="0.25">
      <c r="A2075" t="s">
        <v>1179</v>
      </c>
      <c r="B2075" t="s">
        <v>28</v>
      </c>
      <c r="C2075" t="s">
        <v>8</v>
      </c>
      <c r="D2075">
        <v>60607</v>
      </c>
      <c r="E2075" s="1">
        <v>43738</v>
      </c>
      <c r="F2075" s="2">
        <f t="shared" si="192"/>
        <v>2019</v>
      </c>
      <c r="G2075">
        <v>1090</v>
      </c>
      <c r="H2075" s="3">
        <v>756162</v>
      </c>
      <c r="I2075">
        <v>63500</v>
      </c>
      <c r="J2075">
        <v>756162</v>
      </c>
      <c r="K2075">
        <v>655057</v>
      </c>
      <c r="L2075">
        <v>621830</v>
      </c>
      <c r="M2075" t="str">
        <f t="shared" si="193"/>
        <v>Medium</v>
      </c>
      <c r="N2075">
        <f>VLOOKUP(C2075,Lookup!$A$2:$D$5,MATCH(M2075,Lookup!$A$1:$D$1,0),FALSE)</f>
        <v>0.08</v>
      </c>
      <c r="O2075">
        <f t="shared" si="194"/>
        <v>49746.400000000001</v>
      </c>
      <c r="P2075" s="7">
        <f t="shared" si="195"/>
        <v>0.86629187925338746</v>
      </c>
      <c r="Q2075" s="7">
        <f t="shared" si="196"/>
        <v>693.72660550458716</v>
      </c>
      <c r="R2075">
        <f t="shared" si="197"/>
        <v>1.2764742775356608</v>
      </c>
    </row>
    <row r="2076" spans="1:18" x14ac:dyDescent="0.25">
      <c r="A2076" t="s">
        <v>1179</v>
      </c>
      <c r="B2076" t="s">
        <v>28</v>
      </c>
      <c r="C2076" t="s">
        <v>8</v>
      </c>
      <c r="D2076">
        <v>60607</v>
      </c>
      <c r="E2076" s="1">
        <v>44104</v>
      </c>
      <c r="F2076" s="2">
        <f t="shared" si="192"/>
        <v>2020</v>
      </c>
      <c r="G2076">
        <v>1514</v>
      </c>
      <c r="H2076" s="3">
        <v>1360504</v>
      </c>
      <c r="I2076">
        <v>206307</v>
      </c>
      <c r="J2076">
        <v>1360504</v>
      </c>
      <c r="K2076">
        <v>1203486</v>
      </c>
      <c r="L2076">
        <v>1137811</v>
      </c>
      <c r="M2076" t="str">
        <f t="shared" si="193"/>
        <v>Large</v>
      </c>
      <c r="N2076">
        <f>VLOOKUP(C2076,Lookup!$A$2:$D$5,MATCH(M2076,Lookup!$A$1:$D$1,0),FALSE)</f>
        <v>7.4999999999999997E-2</v>
      </c>
      <c r="O2076">
        <f t="shared" si="194"/>
        <v>85335.824999999997</v>
      </c>
      <c r="P2076" s="7">
        <f t="shared" si="195"/>
        <v>0.88458835843187522</v>
      </c>
      <c r="Q2076" s="7">
        <f t="shared" si="196"/>
        <v>898.61558784676356</v>
      </c>
      <c r="R2076">
        <f t="shared" si="197"/>
        <v>2.4175895645234577</v>
      </c>
    </row>
    <row r="2077" spans="1:18" x14ac:dyDescent="0.25">
      <c r="A2077" t="s">
        <v>1179</v>
      </c>
      <c r="B2077" t="s">
        <v>28</v>
      </c>
      <c r="C2077" t="s">
        <v>8</v>
      </c>
      <c r="D2077">
        <v>60639</v>
      </c>
      <c r="E2077" s="1">
        <v>44469</v>
      </c>
      <c r="F2077" s="2">
        <f t="shared" si="192"/>
        <v>2021</v>
      </c>
      <c r="G2077">
        <v>1710</v>
      </c>
      <c r="H2077" s="3">
        <v>861090</v>
      </c>
      <c r="I2077">
        <v>22695</v>
      </c>
      <c r="J2077">
        <v>861090</v>
      </c>
      <c r="K2077">
        <v>700732</v>
      </c>
      <c r="L2077">
        <v>599496</v>
      </c>
      <c r="M2077" t="str">
        <f t="shared" si="193"/>
        <v>Medium</v>
      </c>
      <c r="N2077">
        <f>VLOOKUP(C2077,Lookup!$A$2:$D$5,MATCH(M2077,Lookup!$A$1:$D$1,0),FALSE)</f>
        <v>0.08</v>
      </c>
      <c r="O2077">
        <f t="shared" si="194"/>
        <v>47959.68</v>
      </c>
      <c r="P2077" s="7">
        <f t="shared" si="195"/>
        <v>0.81377324089235736</v>
      </c>
      <c r="Q2077" s="7">
        <f t="shared" si="196"/>
        <v>503.56140350877195</v>
      </c>
      <c r="R2077">
        <f t="shared" si="197"/>
        <v>0.47320999639697348</v>
      </c>
    </row>
    <row r="2078" spans="1:18" x14ac:dyDescent="0.25">
      <c r="A2078" t="s">
        <v>1180</v>
      </c>
      <c r="B2078" t="s">
        <v>1181</v>
      </c>
      <c r="C2078" t="s">
        <v>8</v>
      </c>
      <c r="D2078">
        <v>62966</v>
      </c>
      <c r="E2078" s="1">
        <v>43738</v>
      </c>
      <c r="F2078" s="2">
        <f t="shared" si="192"/>
        <v>2019</v>
      </c>
      <c r="G2078">
        <v>28</v>
      </c>
      <c r="H2078" s="3">
        <v>79165</v>
      </c>
      <c r="I2078">
        <v>5284</v>
      </c>
      <c r="J2078">
        <v>79165</v>
      </c>
      <c r="K2078">
        <v>72174</v>
      </c>
      <c r="L2078">
        <v>70306</v>
      </c>
      <c r="M2078" t="str">
        <f t="shared" si="193"/>
        <v>Small</v>
      </c>
      <c r="N2078">
        <f>VLOOKUP(C2078,Lookup!$A$2:$D$5,MATCH(M2078,Lookup!$A$1:$D$1,0),FALSE)</f>
        <v>0.09</v>
      </c>
      <c r="O2078">
        <f t="shared" si="194"/>
        <v>6327.54</v>
      </c>
      <c r="P2078" s="7">
        <f t="shared" si="195"/>
        <v>0.91169077243731445</v>
      </c>
      <c r="Q2078" s="7">
        <f t="shared" si="196"/>
        <v>2827.3214285714284</v>
      </c>
      <c r="R2078">
        <f t="shared" si="197"/>
        <v>0.83507966761174168</v>
      </c>
    </row>
    <row r="2079" spans="1:18" x14ac:dyDescent="0.25">
      <c r="A2079" t="s">
        <v>1180</v>
      </c>
      <c r="B2079" t="s">
        <v>1181</v>
      </c>
      <c r="C2079" t="s">
        <v>8</v>
      </c>
      <c r="D2079">
        <v>62966</v>
      </c>
      <c r="E2079" s="1">
        <v>44104</v>
      </c>
      <c r="F2079" s="2">
        <f t="shared" si="192"/>
        <v>2020</v>
      </c>
      <c r="G2079">
        <v>26</v>
      </c>
      <c r="H2079" s="3">
        <v>84607</v>
      </c>
      <c r="I2079">
        <v>8024</v>
      </c>
      <c r="J2079">
        <v>84607</v>
      </c>
      <c r="K2079">
        <v>77260</v>
      </c>
      <c r="L2079">
        <v>74504</v>
      </c>
      <c r="M2079" t="str">
        <f t="shared" si="193"/>
        <v>Small</v>
      </c>
      <c r="N2079">
        <f>VLOOKUP(C2079,Lookup!$A$2:$D$5,MATCH(M2079,Lookup!$A$1:$D$1,0),FALSE)</f>
        <v>0.09</v>
      </c>
      <c r="O2079">
        <f t="shared" si="194"/>
        <v>6705.36</v>
      </c>
      <c r="P2079" s="7">
        <f t="shared" si="195"/>
        <v>0.91316321344569595</v>
      </c>
      <c r="Q2079" s="7">
        <f t="shared" si="196"/>
        <v>3254.1153846153848</v>
      </c>
      <c r="R2079">
        <f t="shared" si="197"/>
        <v>1.1966546166052234</v>
      </c>
    </row>
    <row r="2080" spans="1:18" x14ac:dyDescent="0.25">
      <c r="A2080" t="s">
        <v>1180</v>
      </c>
      <c r="B2080" t="s">
        <v>1181</v>
      </c>
      <c r="C2080" t="s">
        <v>8</v>
      </c>
      <c r="D2080">
        <v>62966</v>
      </c>
      <c r="E2080" s="1">
        <v>44469</v>
      </c>
      <c r="F2080" s="2">
        <f t="shared" si="192"/>
        <v>2021</v>
      </c>
      <c r="G2080">
        <v>28</v>
      </c>
      <c r="H2080" s="3">
        <v>88872</v>
      </c>
      <c r="I2080">
        <v>8887</v>
      </c>
      <c r="J2080">
        <v>88872</v>
      </c>
      <c r="K2080">
        <v>81112</v>
      </c>
      <c r="L2080">
        <v>80438</v>
      </c>
      <c r="M2080" t="str">
        <f t="shared" si="193"/>
        <v>Small</v>
      </c>
      <c r="N2080">
        <f>VLOOKUP(C2080,Lookup!$A$2:$D$5,MATCH(M2080,Lookup!$A$1:$D$1,0),FALSE)</f>
        <v>0.09</v>
      </c>
      <c r="O2080">
        <f t="shared" si="194"/>
        <v>7239.42</v>
      </c>
      <c r="P2080" s="7">
        <f t="shared" si="195"/>
        <v>0.91268340984787111</v>
      </c>
      <c r="Q2080" s="7">
        <f t="shared" si="196"/>
        <v>3174</v>
      </c>
      <c r="R2080">
        <f t="shared" si="197"/>
        <v>1.2275845302524235</v>
      </c>
    </row>
    <row r="2081" spans="1:18" x14ac:dyDescent="0.25">
      <c r="A2081" t="s">
        <v>1182</v>
      </c>
      <c r="B2081" t="s">
        <v>528</v>
      </c>
      <c r="C2081" t="s">
        <v>8</v>
      </c>
      <c r="D2081">
        <v>61938</v>
      </c>
      <c r="E2081" s="1">
        <v>43738</v>
      </c>
      <c r="F2081" s="2">
        <f t="shared" si="192"/>
        <v>2019</v>
      </c>
      <c r="G2081">
        <v>22</v>
      </c>
      <c r="H2081" s="3">
        <v>92080</v>
      </c>
      <c r="I2081">
        <v>5884</v>
      </c>
      <c r="J2081">
        <v>92080</v>
      </c>
      <c r="K2081">
        <v>83825</v>
      </c>
      <c r="L2081">
        <v>79587</v>
      </c>
      <c r="M2081" t="str">
        <f t="shared" si="193"/>
        <v>Small</v>
      </c>
      <c r="N2081">
        <f>VLOOKUP(C2081,Lookup!$A$2:$D$5,MATCH(M2081,Lookup!$A$1:$D$1,0),FALSE)</f>
        <v>0.09</v>
      </c>
      <c r="O2081">
        <f t="shared" si="194"/>
        <v>7162.83</v>
      </c>
      <c r="P2081" s="7">
        <f t="shared" si="195"/>
        <v>0.91034969591659431</v>
      </c>
      <c r="Q2081" s="7">
        <f t="shared" si="196"/>
        <v>4185.454545454545</v>
      </c>
      <c r="R2081">
        <f t="shared" si="197"/>
        <v>0.82146302508924551</v>
      </c>
    </row>
    <row r="2082" spans="1:18" x14ac:dyDescent="0.25">
      <c r="A2082" t="s">
        <v>1182</v>
      </c>
      <c r="B2082" t="s">
        <v>528</v>
      </c>
      <c r="C2082" t="s">
        <v>8</v>
      </c>
      <c r="D2082">
        <v>61938</v>
      </c>
      <c r="E2082" s="1">
        <v>44104</v>
      </c>
      <c r="F2082" s="2">
        <f t="shared" si="192"/>
        <v>2020</v>
      </c>
      <c r="G2082">
        <v>22</v>
      </c>
      <c r="H2082" s="3">
        <v>101569</v>
      </c>
      <c r="I2082">
        <v>15784</v>
      </c>
      <c r="J2082">
        <v>101569</v>
      </c>
      <c r="K2082">
        <v>92397</v>
      </c>
      <c r="L2082">
        <v>84022</v>
      </c>
      <c r="M2082" t="str">
        <f t="shared" si="193"/>
        <v>Medium</v>
      </c>
      <c r="N2082">
        <f>VLOOKUP(C2082,Lookup!$A$2:$D$5,MATCH(M2082,Lookup!$A$1:$D$1,0),FALSE)</f>
        <v>0.08</v>
      </c>
      <c r="O2082">
        <f t="shared" si="194"/>
        <v>6721.76</v>
      </c>
      <c r="P2082" s="7">
        <f t="shared" si="195"/>
        <v>0.90969685632427222</v>
      </c>
      <c r="Q2082" s="7">
        <f t="shared" si="196"/>
        <v>4616.772727272727</v>
      </c>
      <c r="R2082">
        <f t="shared" si="197"/>
        <v>2.3481945204827306</v>
      </c>
    </row>
    <row r="2083" spans="1:18" x14ac:dyDescent="0.25">
      <c r="A2083" t="s">
        <v>1183</v>
      </c>
      <c r="B2083" t="s">
        <v>1184</v>
      </c>
      <c r="C2083" t="s">
        <v>8</v>
      </c>
      <c r="D2083">
        <v>61310</v>
      </c>
      <c r="E2083" s="1">
        <v>43738</v>
      </c>
      <c r="F2083" s="2">
        <f t="shared" si="192"/>
        <v>2019</v>
      </c>
      <c r="G2083">
        <v>60</v>
      </c>
      <c r="H2083" s="3">
        <v>206310</v>
      </c>
      <c r="I2083">
        <v>14905</v>
      </c>
      <c r="J2083">
        <v>206310</v>
      </c>
      <c r="K2083">
        <v>181763</v>
      </c>
      <c r="L2083">
        <v>177397</v>
      </c>
      <c r="M2083" t="str">
        <f t="shared" si="193"/>
        <v>Medium</v>
      </c>
      <c r="N2083">
        <f>VLOOKUP(C2083,Lookup!$A$2:$D$5,MATCH(M2083,Lookup!$A$1:$D$1,0),FALSE)</f>
        <v>0.08</v>
      </c>
      <c r="O2083">
        <f t="shared" si="194"/>
        <v>14191.76</v>
      </c>
      <c r="P2083" s="7">
        <f t="shared" si="195"/>
        <v>0.88101885512093447</v>
      </c>
      <c r="Q2083" s="7">
        <f t="shared" si="196"/>
        <v>3438.5</v>
      </c>
      <c r="R2083">
        <f t="shared" si="197"/>
        <v>1.0502573324238853</v>
      </c>
    </row>
    <row r="2084" spans="1:18" x14ac:dyDescent="0.25">
      <c r="A2084" t="s">
        <v>1183</v>
      </c>
      <c r="B2084" t="s">
        <v>1184</v>
      </c>
      <c r="C2084" t="s">
        <v>8</v>
      </c>
      <c r="D2084">
        <v>61310</v>
      </c>
      <c r="E2084" s="1">
        <v>44104</v>
      </c>
      <c r="F2084" s="2">
        <f t="shared" si="192"/>
        <v>2020</v>
      </c>
      <c r="G2084">
        <v>59</v>
      </c>
      <c r="H2084" s="3">
        <v>231527</v>
      </c>
      <c r="I2084">
        <v>14276</v>
      </c>
      <c r="J2084">
        <v>231527</v>
      </c>
      <c r="K2084">
        <v>204371</v>
      </c>
      <c r="L2084">
        <v>197280</v>
      </c>
      <c r="M2084" t="str">
        <f t="shared" si="193"/>
        <v>Medium</v>
      </c>
      <c r="N2084">
        <f>VLOOKUP(C2084,Lookup!$A$2:$D$5,MATCH(M2084,Lookup!$A$1:$D$1,0),FALSE)</f>
        <v>0.08</v>
      </c>
      <c r="O2084">
        <f t="shared" si="194"/>
        <v>15782.4</v>
      </c>
      <c r="P2084" s="7">
        <f t="shared" si="195"/>
        <v>0.88270914407390932</v>
      </c>
      <c r="Q2084" s="7">
        <f t="shared" si="196"/>
        <v>3924.1864406779659</v>
      </c>
      <c r="R2084">
        <f t="shared" si="197"/>
        <v>0.90455190592051904</v>
      </c>
    </row>
    <row r="2085" spans="1:18" x14ac:dyDescent="0.25">
      <c r="A2085" t="s">
        <v>1183</v>
      </c>
      <c r="B2085" t="s">
        <v>1184</v>
      </c>
      <c r="C2085" t="s">
        <v>8</v>
      </c>
      <c r="D2085">
        <v>61310</v>
      </c>
      <c r="E2085" s="1">
        <v>44469</v>
      </c>
      <c r="F2085" s="2">
        <f t="shared" si="192"/>
        <v>2021</v>
      </c>
      <c r="G2085">
        <v>56</v>
      </c>
      <c r="H2085" s="3">
        <v>273527</v>
      </c>
      <c r="I2085">
        <v>32214</v>
      </c>
      <c r="J2085">
        <v>273527</v>
      </c>
      <c r="K2085">
        <v>244685</v>
      </c>
      <c r="L2085">
        <v>237451</v>
      </c>
      <c r="M2085" t="str">
        <f t="shared" si="193"/>
        <v>Medium</v>
      </c>
      <c r="N2085">
        <f>VLOOKUP(C2085,Lookup!$A$2:$D$5,MATCH(M2085,Lookup!$A$1:$D$1,0),FALSE)</f>
        <v>0.08</v>
      </c>
      <c r="O2085">
        <f t="shared" si="194"/>
        <v>18996.080000000002</v>
      </c>
      <c r="P2085" s="7">
        <f t="shared" si="195"/>
        <v>0.89455519930390781</v>
      </c>
      <c r="Q2085" s="7">
        <f t="shared" si="196"/>
        <v>4884.4107142857147</v>
      </c>
      <c r="R2085">
        <f t="shared" si="197"/>
        <v>1.6958235593869893</v>
      </c>
    </row>
    <row r="2086" spans="1:18" x14ac:dyDescent="0.25">
      <c r="A2086" t="s">
        <v>1185</v>
      </c>
      <c r="B2086" t="s">
        <v>1186</v>
      </c>
      <c r="C2086" t="s">
        <v>8</v>
      </c>
      <c r="D2086">
        <v>62231</v>
      </c>
      <c r="E2086" s="1">
        <v>43738</v>
      </c>
      <c r="F2086" s="2">
        <f t="shared" si="192"/>
        <v>2019</v>
      </c>
      <c r="G2086">
        <v>33</v>
      </c>
      <c r="H2086" s="3">
        <v>196892</v>
      </c>
      <c r="I2086">
        <v>13712</v>
      </c>
      <c r="J2086">
        <v>196892</v>
      </c>
      <c r="K2086">
        <v>174293</v>
      </c>
      <c r="L2086">
        <v>156778</v>
      </c>
      <c r="M2086" t="str">
        <f t="shared" si="193"/>
        <v>Medium</v>
      </c>
      <c r="N2086">
        <f>VLOOKUP(C2086,Lookup!$A$2:$D$5,MATCH(M2086,Lookup!$A$1:$D$1,0),FALSE)</f>
        <v>0.08</v>
      </c>
      <c r="O2086">
        <f t="shared" si="194"/>
        <v>12542.24</v>
      </c>
      <c r="P2086" s="7">
        <f t="shared" si="195"/>
        <v>0.88522133961765836</v>
      </c>
      <c r="Q2086" s="7">
        <f t="shared" si="196"/>
        <v>5966.424242424242</v>
      </c>
      <c r="R2086">
        <f t="shared" si="197"/>
        <v>1.0932656367602598</v>
      </c>
    </row>
    <row r="2087" spans="1:18" x14ac:dyDescent="0.25">
      <c r="A2087" t="s">
        <v>1185</v>
      </c>
      <c r="B2087" t="s">
        <v>1186</v>
      </c>
      <c r="C2087" t="s">
        <v>8</v>
      </c>
      <c r="D2087">
        <v>62231</v>
      </c>
      <c r="E2087" s="1">
        <v>44104</v>
      </c>
      <c r="F2087" s="2">
        <f t="shared" si="192"/>
        <v>2020</v>
      </c>
      <c r="G2087">
        <v>30</v>
      </c>
      <c r="H2087" s="3">
        <v>228500</v>
      </c>
      <c r="I2087">
        <v>16347</v>
      </c>
      <c r="J2087">
        <v>228500</v>
      </c>
      <c r="K2087">
        <v>204539</v>
      </c>
      <c r="L2087">
        <v>176686</v>
      </c>
      <c r="M2087" t="str">
        <f t="shared" si="193"/>
        <v>Medium</v>
      </c>
      <c r="N2087">
        <f>VLOOKUP(C2087,Lookup!$A$2:$D$5,MATCH(M2087,Lookup!$A$1:$D$1,0),FALSE)</f>
        <v>0.08</v>
      </c>
      <c r="O2087">
        <f t="shared" si="194"/>
        <v>14134.880000000001</v>
      </c>
      <c r="P2087" s="7">
        <f t="shared" si="195"/>
        <v>0.89513785557986869</v>
      </c>
      <c r="Q2087" s="7">
        <f t="shared" si="196"/>
        <v>7616.666666666667</v>
      </c>
      <c r="R2087">
        <f t="shared" si="197"/>
        <v>1.1565007980258764</v>
      </c>
    </row>
    <row r="2088" spans="1:18" x14ac:dyDescent="0.25">
      <c r="A2088" t="s">
        <v>1185</v>
      </c>
      <c r="B2088" t="s">
        <v>1186</v>
      </c>
      <c r="C2088" t="s">
        <v>8</v>
      </c>
      <c r="D2088">
        <v>62231</v>
      </c>
      <c r="E2088" s="1">
        <v>44469</v>
      </c>
      <c r="F2088" s="2">
        <f t="shared" si="192"/>
        <v>2021</v>
      </c>
      <c r="G2088">
        <v>31</v>
      </c>
      <c r="H2088" s="3">
        <v>259072</v>
      </c>
      <c r="I2088">
        <v>13188</v>
      </c>
      <c r="J2088">
        <v>259072</v>
      </c>
      <c r="K2088">
        <v>234068</v>
      </c>
      <c r="L2088">
        <v>207532</v>
      </c>
      <c r="M2088" t="str">
        <f t="shared" si="193"/>
        <v>Medium</v>
      </c>
      <c r="N2088">
        <f>VLOOKUP(C2088,Lookup!$A$2:$D$5,MATCH(M2088,Lookup!$A$1:$D$1,0),FALSE)</f>
        <v>0.08</v>
      </c>
      <c r="O2088">
        <f t="shared" si="194"/>
        <v>16602.560000000001</v>
      </c>
      <c r="P2088" s="7">
        <f t="shared" si="195"/>
        <v>0.90348628952569165</v>
      </c>
      <c r="Q2088" s="7">
        <f t="shared" si="196"/>
        <v>8357.1612903225814</v>
      </c>
      <c r="R2088">
        <f t="shared" si="197"/>
        <v>0.79433533141876911</v>
      </c>
    </row>
    <row r="2089" spans="1:18" x14ac:dyDescent="0.25">
      <c r="A2089" t="s">
        <v>1187</v>
      </c>
      <c r="B2089" t="s">
        <v>1188</v>
      </c>
      <c r="C2089" t="s">
        <v>8</v>
      </c>
      <c r="D2089">
        <v>62088</v>
      </c>
      <c r="E2089" s="1">
        <v>43738</v>
      </c>
      <c r="F2089" s="2">
        <f t="shared" si="192"/>
        <v>2019</v>
      </c>
      <c r="G2089">
        <v>123</v>
      </c>
      <c r="H2089" s="3">
        <v>543284</v>
      </c>
      <c r="I2089">
        <v>44530</v>
      </c>
      <c r="J2089">
        <v>543285</v>
      </c>
      <c r="K2089">
        <v>477153</v>
      </c>
      <c r="L2089">
        <v>435780</v>
      </c>
      <c r="M2089" t="str">
        <f t="shared" si="193"/>
        <v>Medium</v>
      </c>
      <c r="N2089">
        <f>VLOOKUP(C2089,Lookup!$A$2:$D$5,MATCH(M2089,Lookup!$A$1:$D$1,0),FALSE)</f>
        <v>0.08</v>
      </c>
      <c r="O2089">
        <f t="shared" si="194"/>
        <v>34862.400000000001</v>
      </c>
      <c r="P2089" s="7">
        <f t="shared" si="195"/>
        <v>0.87827545077712577</v>
      </c>
      <c r="Q2089" s="7">
        <f t="shared" si="196"/>
        <v>4416.9430894308944</v>
      </c>
      <c r="R2089">
        <f t="shared" si="197"/>
        <v>1.2773073569232181</v>
      </c>
    </row>
    <row r="2090" spans="1:18" x14ac:dyDescent="0.25">
      <c r="A2090" t="s">
        <v>1189</v>
      </c>
      <c r="B2090" t="s">
        <v>1190</v>
      </c>
      <c r="C2090" t="s">
        <v>8</v>
      </c>
      <c r="D2090">
        <v>61568</v>
      </c>
      <c r="E2090" s="1">
        <v>43738</v>
      </c>
      <c r="F2090" s="2">
        <f t="shared" si="192"/>
        <v>2019</v>
      </c>
      <c r="G2090">
        <v>30</v>
      </c>
      <c r="H2090" s="3">
        <v>122698</v>
      </c>
      <c r="I2090">
        <v>7552</v>
      </c>
      <c r="J2090">
        <v>122698</v>
      </c>
      <c r="K2090">
        <v>107248</v>
      </c>
      <c r="L2090">
        <v>106410</v>
      </c>
      <c r="M2090" t="str">
        <f t="shared" si="193"/>
        <v>Medium</v>
      </c>
      <c r="N2090">
        <f>VLOOKUP(C2090,Lookup!$A$2:$D$5,MATCH(M2090,Lookup!$A$1:$D$1,0),FALSE)</f>
        <v>0.08</v>
      </c>
      <c r="O2090">
        <f t="shared" si="194"/>
        <v>8512.7999999999993</v>
      </c>
      <c r="P2090" s="7">
        <f t="shared" si="195"/>
        <v>0.87408107711617145</v>
      </c>
      <c r="Q2090" s="7">
        <f t="shared" si="196"/>
        <v>4089.9333333333334</v>
      </c>
      <c r="R2090">
        <f t="shared" si="197"/>
        <v>0.88713466779438033</v>
      </c>
    </row>
    <row r="2091" spans="1:18" x14ac:dyDescent="0.25">
      <c r="A2091" t="s">
        <v>1189</v>
      </c>
      <c r="B2091" t="s">
        <v>1190</v>
      </c>
      <c r="C2091" t="s">
        <v>8</v>
      </c>
      <c r="D2091">
        <v>61568</v>
      </c>
      <c r="E2091" s="1">
        <v>44104</v>
      </c>
      <c r="F2091" s="2">
        <f t="shared" si="192"/>
        <v>2020</v>
      </c>
      <c r="G2091">
        <v>31</v>
      </c>
      <c r="H2091" s="3">
        <v>135550</v>
      </c>
      <c r="I2091">
        <v>12965</v>
      </c>
      <c r="J2091">
        <v>135550</v>
      </c>
      <c r="K2091">
        <v>118825</v>
      </c>
      <c r="L2091">
        <v>113600</v>
      </c>
      <c r="M2091" t="str">
        <f t="shared" si="193"/>
        <v>Medium</v>
      </c>
      <c r="N2091">
        <f>VLOOKUP(C2091,Lookup!$A$2:$D$5,MATCH(M2091,Lookup!$A$1:$D$1,0),FALSE)</f>
        <v>0.08</v>
      </c>
      <c r="O2091">
        <f t="shared" si="194"/>
        <v>9088</v>
      </c>
      <c r="P2091" s="7">
        <f t="shared" si="195"/>
        <v>0.87661379564736264</v>
      </c>
      <c r="Q2091" s="7">
        <f t="shared" si="196"/>
        <v>4372.5806451612907</v>
      </c>
      <c r="R2091">
        <f t="shared" si="197"/>
        <v>1.426606514084507</v>
      </c>
    </row>
    <row r="2092" spans="1:18" x14ac:dyDescent="0.25">
      <c r="A2092" t="s">
        <v>1189</v>
      </c>
      <c r="B2092" t="s">
        <v>1190</v>
      </c>
      <c r="C2092" t="s">
        <v>8</v>
      </c>
      <c r="D2092">
        <v>61568</v>
      </c>
      <c r="E2092" s="1">
        <v>44469</v>
      </c>
      <c r="F2092" s="2">
        <f t="shared" si="192"/>
        <v>2021</v>
      </c>
      <c r="G2092">
        <v>31</v>
      </c>
      <c r="H2092" s="3">
        <v>152624</v>
      </c>
      <c r="I2092">
        <v>29537</v>
      </c>
      <c r="J2092">
        <v>152624</v>
      </c>
      <c r="K2092">
        <v>135520</v>
      </c>
      <c r="L2092">
        <v>129366</v>
      </c>
      <c r="M2092" t="str">
        <f t="shared" si="193"/>
        <v>Medium</v>
      </c>
      <c r="N2092">
        <f>VLOOKUP(C2092,Lookup!$A$2:$D$5,MATCH(M2092,Lookup!$A$1:$D$1,0),FALSE)</f>
        <v>0.08</v>
      </c>
      <c r="O2092">
        <f t="shared" si="194"/>
        <v>10349.280000000001</v>
      </c>
      <c r="P2092" s="7">
        <f t="shared" si="195"/>
        <v>0.88793374567564731</v>
      </c>
      <c r="Q2092" s="7">
        <f t="shared" si="196"/>
        <v>4923.3548387096771</v>
      </c>
      <c r="R2092">
        <f t="shared" si="197"/>
        <v>2.8540149652922713</v>
      </c>
    </row>
    <row r="2093" spans="1:18" x14ac:dyDescent="0.25">
      <c r="A2093" t="s">
        <v>1191</v>
      </c>
      <c r="B2093" t="s">
        <v>1192</v>
      </c>
      <c r="C2093" t="s">
        <v>8</v>
      </c>
      <c r="D2093">
        <v>62410</v>
      </c>
      <c r="E2093" s="1">
        <v>43738</v>
      </c>
      <c r="F2093" s="2">
        <f t="shared" si="192"/>
        <v>2019</v>
      </c>
      <c r="G2093">
        <v>43</v>
      </c>
      <c r="H2093" s="3">
        <v>239993</v>
      </c>
      <c r="I2093">
        <v>12906</v>
      </c>
      <c r="J2093">
        <v>239993</v>
      </c>
      <c r="K2093">
        <v>213365</v>
      </c>
      <c r="L2093">
        <v>205703</v>
      </c>
      <c r="M2093" t="str">
        <f t="shared" si="193"/>
        <v>Medium</v>
      </c>
      <c r="N2093">
        <f>VLOOKUP(C2093,Lookup!$A$2:$D$5,MATCH(M2093,Lookup!$A$1:$D$1,0),FALSE)</f>
        <v>0.08</v>
      </c>
      <c r="O2093">
        <f t="shared" si="194"/>
        <v>16456.240000000002</v>
      </c>
      <c r="P2093" s="7">
        <f t="shared" si="195"/>
        <v>0.88904676386394599</v>
      </c>
      <c r="Q2093" s="7">
        <f t="shared" si="196"/>
        <v>5581.2325581395353</v>
      </c>
      <c r="R2093">
        <f t="shared" si="197"/>
        <v>0.78426177547240428</v>
      </c>
    </row>
    <row r="2094" spans="1:18" x14ac:dyDescent="0.25">
      <c r="A2094" t="s">
        <v>1191</v>
      </c>
      <c r="B2094" t="s">
        <v>1192</v>
      </c>
      <c r="C2094" t="s">
        <v>8</v>
      </c>
      <c r="D2094">
        <v>62410</v>
      </c>
      <c r="E2094" s="1">
        <v>44104</v>
      </c>
      <c r="F2094" s="2">
        <f t="shared" si="192"/>
        <v>2020</v>
      </c>
      <c r="G2094">
        <v>45</v>
      </c>
      <c r="H2094" s="3">
        <v>284578</v>
      </c>
      <c r="I2094">
        <v>21141</v>
      </c>
      <c r="J2094">
        <v>284579</v>
      </c>
      <c r="K2094">
        <v>254949</v>
      </c>
      <c r="L2094">
        <v>237711</v>
      </c>
      <c r="M2094" t="str">
        <f t="shared" si="193"/>
        <v>Medium</v>
      </c>
      <c r="N2094">
        <f>VLOOKUP(C2094,Lookup!$A$2:$D$5,MATCH(M2094,Lookup!$A$1:$D$1,0),FALSE)</f>
        <v>0.08</v>
      </c>
      <c r="O2094">
        <f t="shared" si="194"/>
        <v>19016.88</v>
      </c>
      <c r="P2094" s="7">
        <f t="shared" si="195"/>
        <v>0.89588443238760551</v>
      </c>
      <c r="Q2094" s="7">
        <f t="shared" si="196"/>
        <v>6323.9555555555553</v>
      </c>
      <c r="R2094">
        <f t="shared" si="197"/>
        <v>1.1116965559019145</v>
      </c>
    </row>
    <row r="2095" spans="1:18" x14ac:dyDescent="0.25">
      <c r="A2095" t="s">
        <v>1191</v>
      </c>
      <c r="B2095" t="s">
        <v>1192</v>
      </c>
      <c r="C2095" t="s">
        <v>8</v>
      </c>
      <c r="D2095">
        <v>62410</v>
      </c>
      <c r="E2095" s="1">
        <v>44469</v>
      </c>
      <c r="F2095" s="2">
        <f t="shared" si="192"/>
        <v>2021</v>
      </c>
      <c r="G2095">
        <v>46</v>
      </c>
      <c r="H2095" s="3">
        <v>319317</v>
      </c>
      <c r="I2095">
        <v>17471</v>
      </c>
      <c r="J2095">
        <v>319317</v>
      </c>
      <c r="K2095">
        <v>287653</v>
      </c>
      <c r="L2095">
        <v>281787</v>
      </c>
      <c r="M2095" t="str">
        <f t="shared" si="193"/>
        <v>Medium</v>
      </c>
      <c r="N2095">
        <f>VLOOKUP(C2095,Lookup!$A$2:$D$5,MATCH(M2095,Lookup!$A$1:$D$1,0),FALSE)</f>
        <v>0.08</v>
      </c>
      <c r="O2095">
        <f t="shared" si="194"/>
        <v>22542.959999999999</v>
      </c>
      <c r="P2095" s="7">
        <f t="shared" si="195"/>
        <v>0.90083835185724526</v>
      </c>
      <c r="Q2095" s="7">
        <f t="shared" si="196"/>
        <v>6941.673913043478</v>
      </c>
      <c r="R2095">
        <f t="shared" si="197"/>
        <v>0.77500913810786165</v>
      </c>
    </row>
    <row r="2096" spans="1:18" x14ac:dyDescent="0.25">
      <c r="A2096" t="s">
        <v>1193</v>
      </c>
      <c r="B2096" t="s">
        <v>1194</v>
      </c>
      <c r="C2096" t="s">
        <v>8</v>
      </c>
      <c r="D2096">
        <v>62611</v>
      </c>
      <c r="E2096" s="1">
        <v>43738</v>
      </c>
      <c r="F2096" s="2">
        <f t="shared" si="192"/>
        <v>2019</v>
      </c>
      <c r="G2096">
        <v>21</v>
      </c>
      <c r="H2096" s="3">
        <v>86888</v>
      </c>
      <c r="I2096">
        <v>8793</v>
      </c>
      <c r="J2096">
        <v>86888</v>
      </c>
      <c r="K2096">
        <v>77836</v>
      </c>
      <c r="L2096">
        <v>77610</v>
      </c>
      <c r="M2096" t="str">
        <f t="shared" si="193"/>
        <v>Small</v>
      </c>
      <c r="N2096">
        <f>VLOOKUP(C2096,Lookup!$A$2:$D$5,MATCH(M2096,Lookup!$A$1:$D$1,0),FALSE)</f>
        <v>0.09</v>
      </c>
      <c r="O2096">
        <f t="shared" si="194"/>
        <v>6984.9</v>
      </c>
      <c r="P2096" s="7">
        <f t="shared" si="195"/>
        <v>0.89581990608599571</v>
      </c>
      <c r="Q2096" s="7">
        <f t="shared" si="196"/>
        <v>4137.5238095238092</v>
      </c>
      <c r="R2096">
        <f t="shared" si="197"/>
        <v>1.2588583945367866</v>
      </c>
    </row>
    <row r="2097" spans="1:18" x14ac:dyDescent="0.25">
      <c r="A2097" t="s">
        <v>1193</v>
      </c>
      <c r="B2097" t="s">
        <v>1194</v>
      </c>
      <c r="C2097" t="s">
        <v>8</v>
      </c>
      <c r="D2097">
        <v>62611</v>
      </c>
      <c r="E2097" s="1">
        <v>44104</v>
      </c>
      <c r="F2097" s="2">
        <f t="shared" si="192"/>
        <v>2020</v>
      </c>
      <c r="G2097">
        <v>20</v>
      </c>
      <c r="H2097" s="3">
        <v>101156</v>
      </c>
      <c r="I2097">
        <v>19906</v>
      </c>
      <c r="J2097">
        <v>101156</v>
      </c>
      <c r="K2097">
        <v>91310</v>
      </c>
      <c r="L2097">
        <v>91047</v>
      </c>
      <c r="M2097" t="str">
        <f t="shared" si="193"/>
        <v>Medium</v>
      </c>
      <c r="N2097">
        <f>VLOOKUP(C2097,Lookup!$A$2:$D$5,MATCH(M2097,Lookup!$A$1:$D$1,0),FALSE)</f>
        <v>0.08</v>
      </c>
      <c r="O2097">
        <f t="shared" si="194"/>
        <v>7283.76</v>
      </c>
      <c r="P2097" s="7">
        <f t="shared" si="195"/>
        <v>0.90266519039898774</v>
      </c>
      <c r="Q2097" s="7">
        <f t="shared" si="196"/>
        <v>5057.8</v>
      </c>
      <c r="R2097">
        <f t="shared" si="197"/>
        <v>2.7329291464847825</v>
      </c>
    </row>
    <row r="2098" spans="1:18" x14ac:dyDescent="0.25">
      <c r="A2098" t="s">
        <v>1193</v>
      </c>
      <c r="B2098" t="s">
        <v>1194</v>
      </c>
      <c r="C2098" t="s">
        <v>8</v>
      </c>
      <c r="D2098">
        <v>62611</v>
      </c>
      <c r="E2098" s="1">
        <v>44469</v>
      </c>
      <c r="F2098" s="2">
        <f t="shared" si="192"/>
        <v>2021</v>
      </c>
      <c r="G2098">
        <v>21</v>
      </c>
      <c r="H2098" s="3">
        <v>109838</v>
      </c>
      <c r="I2098">
        <v>22565</v>
      </c>
      <c r="J2098">
        <v>109838</v>
      </c>
      <c r="K2098">
        <v>99585</v>
      </c>
      <c r="L2098">
        <v>99254</v>
      </c>
      <c r="M2098" t="str">
        <f t="shared" si="193"/>
        <v>Medium</v>
      </c>
      <c r="N2098">
        <f>VLOOKUP(C2098,Lookup!$A$2:$D$5,MATCH(M2098,Lookup!$A$1:$D$1,0),FALSE)</f>
        <v>0.08</v>
      </c>
      <c r="O2098">
        <f t="shared" si="194"/>
        <v>7940.3200000000006</v>
      </c>
      <c r="P2098" s="7">
        <f t="shared" si="195"/>
        <v>0.90665343505890494</v>
      </c>
      <c r="Q2098" s="7">
        <f t="shared" si="196"/>
        <v>5230.3809523809523</v>
      </c>
      <c r="R2098">
        <f t="shared" si="197"/>
        <v>2.841825014608983</v>
      </c>
    </row>
    <row r="2099" spans="1:18" x14ac:dyDescent="0.25">
      <c r="A2099" t="s">
        <v>1195</v>
      </c>
      <c r="B2099" t="s">
        <v>1196</v>
      </c>
      <c r="C2099" t="s">
        <v>8</v>
      </c>
      <c r="D2099">
        <v>62510</v>
      </c>
      <c r="E2099" s="1">
        <v>43738</v>
      </c>
      <c r="F2099" s="2">
        <f t="shared" si="192"/>
        <v>2019</v>
      </c>
      <c r="G2099">
        <v>4</v>
      </c>
      <c r="H2099" s="3">
        <v>20868</v>
      </c>
      <c r="I2099">
        <v>6673</v>
      </c>
      <c r="J2099">
        <v>20868</v>
      </c>
      <c r="K2099">
        <v>18652</v>
      </c>
      <c r="L2099">
        <v>18579</v>
      </c>
      <c r="M2099" t="str">
        <f t="shared" si="193"/>
        <v>Small</v>
      </c>
      <c r="N2099">
        <f>VLOOKUP(C2099,Lookup!$A$2:$D$5,MATCH(M2099,Lookup!$A$1:$D$1,0),FALSE)</f>
        <v>0.09</v>
      </c>
      <c r="O2099">
        <f t="shared" si="194"/>
        <v>1672.11</v>
      </c>
      <c r="P2099" s="7">
        <f t="shared" si="195"/>
        <v>0.89380870231934062</v>
      </c>
      <c r="Q2099" s="7">
        <f t="shared" si="196"/>
        <v>5217</v>
      </c>
      <c r="R2099">
        <f t="shared" si="197"/>
        <v>3.9907661577288578</v>
      </c>
    </row>
    <row r="2100" spans="1:18" x14ac:dyDescent="0.25">
      <c r="A2100" t="s">
        <v>1195</v>
      </c>
      <c r="B2100" t="s">
        <v>1196</v>
      </c>
      <c r="C2100" t="s">
        <v>8</v>
      </c>
      <c r="D2100">
        <v>62510</v>
      </c>
      <c r="E2100" s="1">
        <v>44104</v>
      </c>
      <c r="F2100" s="2">
        <f t="shared" si="192"/>
        <v>2020</v>
      </c>
      <c r="G2100">
        <v>4</v>
      </c>
      <c r="H2100" s="3">
        <v>24080</v>
      </c>
      <c r="I2100">
        <v>7792</v>
      </c>
      <c r="J2100">
        <v>24080</v>
      </c>
      <c r="K2100">
        <v>21792</v>
      </c>
      <c r="L2100">
        <v>21735</v>
      </c>
      <c r="M2100" t="str">
        <f t="shared" si="193"/>
        <v>Small</v>
      </c>
      <c r="N2100">
        <f>VLOOKUP(C2100,Lookup!$A$2:$D$5,MATCH(M2100,Lookup!$A$1:$D$1,0),FALSE)</f>
        <v>0.09</v>
      </c>
      <c r="O2100">
        <f t="shared" si="194"/>
        <v>1956.1499999999999</v>
      </c>
      <c r="P2100" s="7">
        <f t="shared" si="195"/>
        <v>0.90498338870431894</v>
      </c>
      <c r="Q2100" s="7">
        <f t="shared" si="196"/>
        <v>6020</v>
      </c>
      <c r="R2100">
        <f t="shared" si="197"/>
        <v>3.9833346113539352</v>
      </c>
    </row>
    <row r="2101" spans="1:18" x14ac:dyDescent="0.25">
      <c r="A2101" t="s">
        <v>1195</v>
      </c>
      <c r="B2101" t="s">
        <v>1196</v>
      </c>
      <c r="C2101" t="s">
        <v>8</v>
      </c>
      <c r="D2101">
        <v>62510</v>
      </c>
      <c r="E2101" s="1">
        <v>44469</v>
      </c>
      <c r="F2101" s="2">
        <f t="shared" si="192"/>
        <v>2021</v>
      </c>
      <c r="G2101">
        <v>4</v>
      </c>
      <c r="H2101" s="3">
        <v>23212</v>
      </c>
      <c r="I2101">
        <v>6588</v>
      </c>
      <c r="J2101">
        <v>23212</v>
      </c>
      <c r="K2101">
        <v>20923</v>
      </c>
      <c r="L2101">
        <v>20872</v>
      </c>
      <c r="M2101" t="str">
        <f t="shared" si="193"/>
        <v>Small</v>
      </c>
      <c r="N2101">
        <f>VLOOKUP(C2101,Lookup!$A$2:$D$5,MATCH(M2101,Lookup!$A$1:$D$1,0),FALSE)</f>
        <v>0.09</v>
      </c>
      <c r="O2101">
        <f t="shared" si="194"/>
        <v>1878.48</v>
      </c>
      <c r="P2101" s="7">
        <f t="shared" si="195"/>
        <v>0.9013872135102533</v>
      </c>
      <c r="Q2101" s="7">
        <f t="shared" si="196"/>
        <v>5803</v>
      </c>
      <c r="R2101">
        <f t="shared" si="197"/>
        <v>3.5070908394020699</v>
      </c>
    </row>
    <row r="2102" spans="1:18" x14ac:dyDescent="0.25">
      <c r="A2102" t="s">
        <v>1197</v>
      </c>
      <c r="B2102" t="s">
        <v>1198</v>
      </c>
      <c r="C2102" t="s">
        <v>8</v>
      </c>
      <c r="D2102">
        <v>62907</v>
      </c>
      <c r="E2102" s="1">
        <v>43738</v>
      </c>
      <c r="F2102" s="2">
        <f t="shared" si="192"/>
        <v>2019</v>
      </c>
      <c r="G2102">
        <v>18</v>
      </c>
      <c r="H2102" s="3">
        <v>63576</v>
      </c>
      <c r="I2102">
        <v>1814</v>
      </c>
      <c r="J2102">
        <v>63576</v>
      </c>
      <c r="K2102">
        <v>54631</v>
      </c>
      <c r="L2102">
        <v>54231</v>
      </c>
      <c r="M2102" t="str">
        <f t="shared" si="193"/>
        <v>Small</v>
      </c>
      <c r="N2102">
        <f>VLOOKUP(C2102,Lookup!$A$2:$D$5,MATCH(M2102,Lookup!$A$1:$D$1,0),FALSE)</f>
        <v>0.09</v>
      </c>
      <c r="O2102">
        <f t="shared" si="194"/>
        <v>4880.79</v>
      </c>
      <c r="P2102" s="7">
        <f t="shared" si="195"/>
        <v>0.85930225242229774</v>
      </c>
      <c r="Q2102" s="7">
        <f t="shared" si="196"/>
        <v>3532</v>
      </c>
      <c r="R2102">
        <f t="shared" si="197"/>
        <v>0.37166114501955627</v>
      </c>
    </row>
    <row r="2103" spans="1:18" x14ac:dyDescent="0.25">
      <c r="A2103" t="s">
        <v>1197</v>
      </c>
      <c r="B2103" t="s">
        <v>1198</v>
      </c>
      <c r="C2103" t="s">
        <v>8</v>
      </c>
      <c r="D2103">
        <v>62907</v>
      </c>
      <c r="E2103" s="1">
        <v>44104</v>
      </c>
      <c r="F2103" s="2">
        <f t="shared" si="192"/>
        <v>2020</v>
      </c>
      <c r="G2103">
        <v>18</v>
      </c>
      <c r="H2103" s="3">
        <v>72862</v>
      </c>
      <c r="I2103">
        <v>2525</v>
      </c>
      <c r="J2103">
        <v>72862</v>
      </c>
      <c r="K2103">
        <v>63332</v>
      </c>
      <c r="L2103">
        <v>58790</v>
      </c>
      <c r="M2103" t="str">
        <f t="shared" si="193"/>
        <v>Small</v>
      </c>
      <c r="N2103">
        <f>VLOOKUP(C2103,Lookup!$A$2:$D$5,MATCH(M2103,Lookup!$A$1:$D$1,0),FALSE)</f>
        <v>0.09</v>
      </c>
      <c r="O2103">
        <f t="shared" si="194"/>
        <v>5291.0999999999995</v>
      </c>
      <c r="P2103" s="7">
        <f t="shared" si="195"/>
        <v>0.86920479811149842</v>
      </c>
      <c r="Q2103" s="7">
        <f t="shared" si="196"/>
        <v>4047.8888888888887</v>
      </c>
      <c r="R2103">
        <f t="shared" si="197"/>
        <v>0.47721645782540495</v>
      </c>
    </row>
    <row r="2104" spans="1:18" x14ac:dyDescent="0.25">
      <c r="A2104" t="s">
        <v>1197</v>
      </c>
      <c r="B2104" t="s">
        <v>1198</v>
      </c>
      <c r="C2104" t="s">
        <v>8</v>
      </c>
      <c r="D2104">
        <v>62907</v>
      </c>
      <c r="E2104" s="1">
        <v>44469</v>
      </c>
      <c r="F2104" s="2">
        <f t="shared" si="192"/>
        <v>2021</v>
      </c>
      <c r="G2104">
        <v>16</v>
      </c>
      <c r="H2104" s="3">
        <v>79624</v>
      </c>
      <c r="I2104">
        <v>2799</v>
      </c>
      <c r="J2104">
        <v>79624</v>
      </c>
      <c r="K2104">
        <v>69571</v>
      </c>
      <c r="L2104">
        <v>64081</v>
      </c>
      <c r="M2104" t="str">
        <f t="shared" si="193"/>
        <v>Small</v>
      </c>
      <c r="N2104">
        <f>VLOOKUP(C2104,Lookup!$A$2:$D$5,MATCH(M2104,Lookup!$A$1:$D$1,0),FALSE)</f>
        <v>0.09</v>
      </c>
      <c r="O2104">
        <f t="shared" si="194"/>
        <v>5767.29</v>
      </c>
      <c r="P2104" s="7">
        <f t="shared" si="195"/>
        <v>0.87374409725710844</v>
      </c>
      <c r="Q2104" s="7">
        <f t="shared" si="196"/>
        <v>4976.5</v>
      </c>
      <c r="R2104">
        <f t="shared" si="197"/>
        <v>0.48532326274558762</v>
      </c>
    </row>
    <row r="2105" spans="1:18" x14ac:dyDescent="0.25">
      <c r="A2105" t="s">
        <v>1199</v>
      </c>
      <c r="B2105" t="s">
        <v>180</v>
      </c>
      <c r="C2105" t="s">
        <v>8</v>
      </c>
      <c r="D2105">
        <v>62618</v>
      </c>
      <c r="E2105" s="1">
        <v>43738</v>
      </c>
      <c r="F2105" s="2">
        <f t="shared" si="192"/>
        <v>2019</v>
      </c>
      <c r="G2105">
        <v>32</v>
      </c>
      <c r="H2105" s="3">
        <v>128799</v>
      </c>
      <c r="I2105">
        <v>20769</v>
      </c>
      <c r="J2105">
        <v>128799</v>
      </c>
      <c r="K2105">
        <v>113067</v>
      </c>
      <c r="L2105">
        <v>112806</v>
      </c>
      <c r="M2105" t="str">
        <f t="shared" si="193"/>
        <v>Medium</v>
      </c>
      <c r="N2105">
        <f>VLOOKUP(C2105,Lookup!$A$2:$D$5,MATCH(M2105,Lookup!$A$1:$D$1,0),FALSE)</f>
        <v>0.08</v>
      </c>
      <c r="O2105">
        <f t="shared" si="194"/>
        <v>9024.48</v>
      </c>
      <c r="P2105" s="7">
        <f t="shared" si="195"/>
        <v>0.87785619453567187</v>
      </c>
      <c r="Q2105" s="7">
        <f t="shared" si="196"/>
        <v>4024.96875</v>
      </c>
      <c r="R2105">
        <f t="shared" si="197"/>
        <v>2.3014068400616989</v>
      </c>
    </row>
    <row r="2106" spans="1:18" x14ac:dyDescent="0.25">
      <c r="A2106" t="s">
        <v>1199</v>
      </c>
      <c r="B2106" t="s">
        <v>180</v>
      </c>
      <c r="C2106" t="s">
        <v>8</v>
      </c>
      <c r="D2106">
        <v>62618</v>
      </c>
      <c r="E2106" s="1">
        <v>44104</v>
      </c>
      <c r="F2106" s="2">
        <f t="shared" si="192"/>
        <v>2020</v>
      </c>
      <c r="G2106">
        <v>37</v>
      </c>
      <c r="H2106" s="3">
        <v>141253</v>
      </c>
      <c r="I2106">
        <v>26831</v>
      </c>
      <c r="J2106">
        <v>141253</v>
      </c>
      <c r="K2106">
        <v>124359</v>
      </c>
      <c r="L2106">
        <v>124135</v>
      </c>
      <c r="M2106" t="str">
        <f t="shared" si="193"/>
        <v>Medium</v>
      </c>
      <c r="N2106">
        <f>VLOOKUP(C2106,Lookup!$A$2:$D$5,MATCH(M2106,Lookup!$A$1:$D$1,0),FALSE)</f>
        <v>0.08</v>
      </c>
      <c r="O2106">
        <f t="shared" si="194"/>
        <v>9930.8000000000011</v>
      </c>
      <c r="P2106" s="7">
        <f t="shared" si="195"/>
        <v>0.88039900037521324</v>
      </c>
      <c r="Q2106" s="7">
        <f t="shared" si="196"/>
        <v>3817.6486486486488</v>
      </c>
      <c r="R2106">
        <f t="shared" si="197"/>
        <v>2.7017964313046279</v>
      </c>
    </row>
    <row r="2107" spans="1:18" x14ac:dyDescent="0.25">
      <c r="A2107" t="s">
        <v>1199</v>
      </c>
      <c r="B2107" t="s">
        <v>180</v>
      </c>
      <c r="C2107" t="s">
        <v>8</v>
      </c>
      <c r="D2107">
        <v>62618</v>
      </c>
      <c r="E2107" s="1">
        <v>44469</v>
      </c>
      <c r="F2107" s="2">
        <f t="shared" si="192"/>
        <v>2021</v>
      </c>
      <c r="G2107">
        <v>37</v>
      </c>
      <c r="H2107" s="3">
        <v>156379</v>
      </c>
      <c r="I2107">
        <v>35358</v>
      </c>
      <c r="J2107">
        <v>156379</v>
      </c>
      <c r="K2107">
        <v>138796</v>
      </c>
      <c r="L2107">
        <v>138599</v>
      </c>
      <c r="M2107" t="str">
        <f t="shared" si="193"/>
        <v>Medium</v>
      </c>
      <c r="N2107">
        <f>VLOOKUP(C2107,Lookup!$A$2:$D$5,MATCH(M2107,Lookup!$A$1:$D$1,0),FALSE)</f>
        <v>0.08</v>
      </c>
      <c r="O2107">
        <f t="shared" si="194"/>
        <v>11087.92</v>
      </c>
      <c r="P2107" s="7">
        <f t="shared" si="195"/>
        <v>0.88756162911899938</v>
      </c>
      <c r="Q2107" s="7">
        <f t="shared" si="196"/>
        <v>4226.4594594594591</v>
      </c>
      <c r="R2107">
        <f t="shared" si="197"/>
        <v>3.1888758216148747</v>
      </c>
    </row>
    <row r="2108" spans="1:18" x14ac:dyDescent="0.25">
      <c r="A2108" t="s">
        <v>1200</v>
      </c>
      <c r="B2108" t="s">
        <v>1201</v>
      </c>
      <c r="C2108" t="s">
        <v>8</v>
      </c>
      <c r="D2108">
        <v>62418</v>
      </c>
      <c r="E2108" s="1">
        <v>43738</v>
      </c>
      <c r="F2108" s="2">
        <f t="shared" si="192"/>
        <v>2019</v>
      </c>
      <c r="G2108">
        <v>8</v>
      </c>
      <c r="H2108" s="3">
        <v>39184</v>
      </c>
      <c r="I2108">
        <v>7661</v>
      </c>
      <c r="J2108">
        <v>39184</v>
      </c>
      <c r="K2108">
        <v>34634</v>
      </c>
      <c r="L2108">
        <v>34258</v>
      </c>
      <c r="M2108" t="str">
        <f t="shared" si="193"/>
        <v>Small</v>
      </c>
      <c r="N2108">
        <f>VLOOKUP(C2108,Lookup!$A$2:$D$5,MATCH(M2108,Lookup!$A$1:$D$1,0),FALSE)</f>
        <v>0.09</v>
      </c>
      <c r="O2108">
        <f t="shared" si="194"/>
        <v>3083.22</v>
      </c>
      <c r="P2108" s="7">
        <f t="shared" si="195"/>
        <v>0.88388117599020011</v>
      </c>
      <c r="Q2108" s="7">
        <f t="shared" si="196"/>
        <v>4898</v>
      </c>
      <c r="R2108">
        <f t="shared" si="197"/>
        <v>2.484739979631684</v>
      </c>
    </row>
    <row r="2109" spans="1:18" x14ac:dyDescent="0.25">
      <c r="A2109" t="s">
        <v>1200</v>
      </c>
      <c r="B2109" t="s">
        <v>1201</v>
      </c>
      <c r="C2109" t="s">
        <v>8</v>
      </c>
      <c r="D2109">
        <v>62418</v>
      </c>
      <c r="E2109" s="1">
        <v>44104</v>
      </c>
      <c r="F2109" s="2">
        <f t="shared" si="192"/>
        <v>2020</v>
      </c>
      <c r="G2109">
        <v>8</v>
      </c>
      <c r="H2109" s="3">
        <v>43738</v>
      </c>
      <c r="I2109">
        <v>7827</v>
      </c>
      <c r="J2109">
        <v>43738</v>
      </c>
      <c r="K2109">
        <v>38752</v>
      </c>
      <c r="L2109">
        <v>38301</v>
      </c>
      <c r="M2109" t="str">
        <f t="shared" si="193"/>
        <v>Small</v>
      </c>
      <c r="N2109">
        <f>VLOOKUP(C2109,Lookup!$A$2:$D$5,MATCH(M2109,Lookup!$A$1:$D$1,0),FALSE)</f>
        <v>0.09</v>
      </c>
      <c r="O2109">
        <f t="shared" si="194"/>
        <v>3447.0899999999997</v>
      </c>
      <c r="P2109" s="7">
        <f t="shared" si="195"/>
        <v>0.8860030179706434</v>
      </c>
      <c r="Q2109" s="7">
        <f t="shared" si="196"/>
        <v>5467.25</v>
      </c>
      <c r="R2109">
        <f t="shared" si="197"/>
        <v>2.2706108630758122</v>
      </c>
    </row>
    <row r="2110" spans="1:18" x14ac:dyDescent="0.25">
      <c r="A2110" t="s">
        <v>1200</v>
      </c>
      <c r="B2110" t="s">
        <v>1201</v>
      </c>
      <c r="C2110" t="s">
        <v>8</v>
      </c>
      <c r="D2110">
        <v>62418</v>
      </c>
      <c r="E2110" s="1">
        <v>44469</v>
      </c>
      <c r="F2110" s="2">
        <f t="shared" si="192"/>
        <v>2021</v>
      </c>
      <c r="G2110">
        <v>8</v>
      </c>
      <c r="H2110" s="3">
        <v>45835</v>
      </c>
      <c r="I2110">
        <v>6594</v>
      </c>
      <c r="J2110">
        <v>45835</v>
      </c>
      <c r="K2110">
        <v>40673</v>
      </c>
      <c r="L2110">
        <v>40364</v>
      </c>
      <c r="M2110" t="str">
        <f t="shared" si="193"/>
        <v>Small</v>
      </c>
      <c r="N2110">
        <f>VLOOKUP(C2110,Lookup!$A$2:$D$5,MATCH(M2110,Lookup!$A$1:$D$1,0),FALSE)</f>
        <v>0.09</v>
      </c>
      <c r="O2110">
        <f t="shared" si="194"/>
        <v>3632.7599999999998</v>
      </c>
      <c r="P2110" s="7">
        <f t="shared" si="195"/>
        <v>0.88737864077669903</v>
      </c>
      <c r="Q2110" s="7">
        <f t="shared" si="196"/>
        <v>5729.375</v>
      </c>
      <c r="R2110">
        <f t="shared" si="197"/>
        <v>1.815148812473161</v>
      </c>
    </row>
    <row r="2111" spans="1:18" x14ac:dyDescent="0.25">
      <c r="A2111" t="s">
        <v>1202</v>
      </c>
      <c r="B2111" t="s">
        <v>1203</v>
      </c>
      <c r="C2111" t="s">
        <v>8</v>
      </c>
      <c r="D2111">
        <v>62821</v>
      </c>
      <c r="E2111" s="1">
        <v>43738</v>
      </c>
      <c r="F2111" s="2">
        <f t="shared" si="192"/>
        <v>2019</v>
      </c>
      <c r="G2111">
        <v>97</v>
      </c>
      <c r="H2111" s="3">
        <v>414962</v>
      </c>
      <c r="I2111">
        <v>66389</v>
      </c>
      <c r="J2111">
        <v>414963</v>
      </c>
      <c r="K2111">
        <v>373772</v>
      </c>
      <c r="L2111">
        <v>371661</v>
      </c>
      <c r="M2111" t="str">
        <f t="shared" si="193"/>
        <v>Medium</v>
      </c>
      <c r="N2111">
        <f>VLOOKUP(C2111,Lookup!$A$2:$D$5,MATCH(M2111,Lookup!$A$1:$D$1,0),FALSE)</f>
        <v>0.08</v>
      </c>
      <c r="O2111">
        <f t="shared" si="194"/>
        <v>29732.880000000001</v>
      </c>
      <c r="P2111" s="7">
        <f t="shared" si="195"/>
        <v>0.90073789889194678</v>
      </c>
      <c r="Q2111" s="7">
        <f t="shared" si="196"/>
        <v>4277.9587628865984</v>
      </c>
      <c r="R2111">
        <f t="shared" si="197"/>
        <v>2.232847944766871</v>
      </c>
    </row>
    <row r="2112" spans="1:18" x14ac:dyDescent="0.25">
      <c r="A2112" t="s">
        <v>1202</v>
      </c>
      <c r="B2112" t="s">
        <v>1203</v>
      </c>
      <c r="C2112" t="s">
        <v>8</v>
      </c>
      <c r="D2112">
        <v>62821</v>
      </c>
      <c r="E2112" s="1">
        <v>44104</v>
      </c>
      <c r="F2112" s="2">
        <f t="shared" si="192"/>
        <v>2020</v>
      </c>
      <c r="G2112">
        <v>97</v>
      </c>
      <c r="H2112" s="3">
        <v>467381</v>
      </c>
      <c r="I2112">
        <v>83170</v>
      </c>
      <c r="J2112">
        <v>467381</v>
      </c>
      <c r="K2112">
        <v>424239</v>
      </c>
      <c r="L2112">
        <v>420872</v>
      </c>
      <c r="M2112" t="str">
        <f t="shared" si="193"/>
        <v>Medium</v>
      </c>
      <c r="N2112">
        <f>VLOOKUP(C2112,Lookup!$A$2:$D$5,MATCH(M2112,Lookup!$A$1:$D$1,0),FALSE)</f>
        <v>0.08</v>
      </c>
      <c r="O2112">
        <f t="shared" si="194"/>
        <v>33669.760000000002</v>
      </c>
      <c r="P2112" s="7">
        <f t="shared" si="195"/>
        <v>0.90769415102453888</v>
      </c>
      <c r="Q2112" s="7">
        <f t="shared" si="196"/>
        <v>4818.3608247422681</v>
      </c>
      <c r="R2112">
        <f t="shared" si="197"/>
        <v>2.470169077534262</v>
      </c>
    </row>
    <row r="2113" spans="1:18" x14ac:dyDescent="0.25">
      <c r="A2113" t="s">
        <v>1202</v>
      </c>
      <c r="B2113" t="s">
        <v>1203</v>
      </c>
      <c r="C2113" t="s">
        <v>8</v>
      </c>
      <c r="D2113">
        <v>62821</v>
      </c>
      <c r="E2113" s="1">
        <v>44469</v>
      </c>
      <c r="F2113" s="2">
        <f t="shared" si="192"/>
        <v>2021</v>
      </c>
      <c r="G2113">
        <v>104</v>
      </c>
      <c r="H2113" s="3">
        <v>610373</v>
      </c>
      <c r="I2113">
        <v>162910</v>
      </c>
      <c r="J2113">
        <v>610373</v>
      </c>
      <c r="K2113">
        <v>552879</v>
      </c>
      <c r="L2113">
        <v>550337</v>
      </c>
      <c r="M2113" t="str">
        <f t="shared" si="193"/>
        <v>Medium</v>
      </c>
      <c r="N2113">
        <f>VLOOKUP(C2113,Lookup!$A$2:$D$5,MATCH(M2113,Lookup!$A$1:$D$1,0),FALSE)</f>
        <v>0.08</v>
      </c>
      <c r="O2113">
        <f t="shared" si="194"/>
        <v>44026.96</v>
      </c>
      <c r="P2113" s="7">
        <f t="shared" si="195"/>
        <v>0.90580513882494806</v>
      </c>
      <c r="Q2113" s="7">
        <f t="shared" si="196"/>
        <v>5868.9711538461543</v>
      </c>
      <c r="R2113">
        <f t="shared" si="197"/>
        <v>3.7002327664685457</v>
      </c>
    </row>
    <row r="2114" spans="1:18" x14ac:dyDescent="0.25">
      <c r="A2114" t="s">
        <v>1204</v>
      </c>
      <c r="B2114" t="s">
        <v>1205</v>
      </c>
      <c r="C2114" t="s">
        <v>17</v>
      </c>
      <c r="D2114">
        <v>13053</v>
      </c>
      <c r="E2114" s="1">
        <v>43738</v>
      </c>
      <c r="F2114" s="2">
        <f t="shared" ref="F2114:F2177" si="198">YEAR(E2114)</f>
        <v>2019</v>
      </c>
      <c r="G2114">
        <v>36</v>
      </c>
      <c r="H2114" s="3">
        <v>187098</v>
      </c>
      <c r="I2114">
        <v>43955</v>
      </c>
      <c r="J2114">
        <v>187098</v>
      </c>
      <c r="K2114">
        <v>167460</v>
      </c>
      <c r="L2114">
        <v>167156</v>
      </c>
      <c r="M2114" t="str">
        <f t="shared" ref="M2114:M2177" si="199">IF(H2114&gt;1000000,"Large",IF(H2114&lt;100000,"Small","Medium"))</f>
        <v>Medium</v>
      </c>
      <c r="N2114">
        <f>VLOOKUP(C2114,Lookup!$A$2:$D$5,MATCH(M2114,Lookup!$A$1:$D$1,0),FALSE)</f>
        <v>8.5000000000000006E-2</v>
      </c>
      <c r="O2114">
        <f t="shared" ref="O2114:O2177" si="200">L2114*N2114</f>
        <v>14208.26</v>
      </c>
      <c r="P2114" s="7">
        <f t="shared" ref="P2114:P2177" si="201">K2114/H2114</f>
        <v>0.89503896353782508</v>
      </c>
      <c r="Q2114" s="7">
        <f t="shared" ref="Q2114:Q2177" si="202">H2114/G2114</f>
        <v>5197.166666666667</v>
      </c>
      <c r="R2114">
        <f t="shared" ref="R2114:R2177" si="203">I2114/O2114</f>
        <v>3.0936230052096456</v>
      </c>
    </row>
    <row r="2115" spans="1:18" x14ac:dyDescent="0.25">
      <c r="A2115" t="s">
        <v>1204</v>
      </c>
      <c r="B2115" t="s">
        <v>1205</v>
      </c>
      <c r="C2115" t="s">
        <v>17</v>
      </c>
      <c r="D2115">
        <v>13053</v>
      </c>
      <c r="E2115" s="1">
        <v>44104</v>
      </c>
      <c r="F2115" s="2">
        <f t="shared" si="198"/>
        <v>2020</v>
      </c>
      <c r="G2115">
        <v>35</v>
      </c>
      <c r="H2115" s="3">
        <v>201670</v>
      </c>
      <c r="I2115">
        <v>54724</v>
      </c>
      <c r="J2115">
        <v>201670</v>
      </c>
      <c r="K2115">
        <v>180962</v>
      </c>
      <c r="L2115">
        <v>180309</v>
      </c>
      <c r="M2115" t="str">
        <f t="shared" si="199"/>
        <v>Medium</v>
      </c>
      <c r="N2115">
        <f>VLOOKUP(C2115,Lookup!$A$2:$D$5,MATCH(M2115,Lookup!$A$1:$D$1,0),FALSE)</f>
        <v>8.5000000000000006E-2</v>
      </c>
      <c r="O2115">
        <f t="shared" si="200"/>
        <v>15326.265000000001</v>
      </c>
      <c r="P2115" s="7">
        <f t="shared" si="201"/>
        <v>0.89731739971240143</v>
      </c>
      <c r="Q2115" s="7">
        <f t="shared" si="202"/>
        <v>5762</v>
      </c>
      <c r="R2115">
        <f t="shared" si="203"/>
        <v>3.570602491866087</v>
      </c>
    </row>
    <row r="2116" spans="1:18" x14ac:dyDescent="0.25">
      <c r="A2116" t="s">
        <v>1204</v>
      </c>
      <c r="B2116" t="s">
        <v>1205</v>
      </c>
      <c r="C2116" t="s">
        <v>17</v>
      </c>
      <c r="D2116">
        <v>13053</v>
      </c>
      <c r="E2116" s="1">
        <v>44469</v>
      </c>
      <c r="F2116" s="2">
        <f t="shared" si="198"/>
        <v>2021</v>
      </c>
      <c r="G2116">
        <v>34</v>
      </c>
      <c r="H2116" s="3">
        <v>224329</v>
      </c>
      <c r="I2116">
        <v>72070</v>
      </c>
      <c r="J2116">
        <v>224329</v>
      </c>
      <c r="K2116">
        <v>203039</v>
      </c>
      <c r="L2116">
        <v>202773</v>
      </c>
      <c r="M2116" t="str">
        <f t="shared" si="199"/>
        <v>Medium</v>
      </c>
      <c r="N2116">
        <f>VLOOKUP(C2116,Lookup!$A$2:$D$5,MATCH(M2116,Lookup!$A$1:$D$1,0),FALSE)</f>
        <v>8.5000000000000006E-2</v>
      </c>
      <c r="O2116">
        <f t="shared" si="200"/>
        <v>17235.705000000002</v>
      </c>
      <c r="P2116" s="7">
        <f t="shared" si="201"/>
        <v>0.90509474922992572</v>
      </c>
      <c r="Q2116" s="7">
        <f t="shared" si="202"/>
        <v>6597.911764705882</v>
      </c>
      <c r="R2116">
        <f t="shared" si="203"/>
        <v>4.1814361524521333</v>
      </c>
    </row>
    <row r="2117" spans="1:18" x14ac:dyDescent="0.25">
      <c r="A2117" t="s">
        <v>1206</v>
      </c>
      <c r="B2117" t="s">
        <v>1207</v>
      </c>
      <c r="C2117" t="s">
        <v>17</v>
      </c>
      <c r="D2117">
        <v>13073</v>
      </c>
      <c r="E2117" s="1">
        <v>43738</v>
      </c>
      <c r="F2117" s="2">
        <f t="shared" si="198"/>
        <v>2019</v>
      </c>
      <c r="G2117">
        <v>37</v>
      </c>
      <c r="H2117" s="3">
        <v>180813</v>
      </c>
      <c r="I2117">
        <v>6255</v>
      </c>
      <c r="J2117">
        <v>180813</v>
      </c>
      <c r="K2117">
        <v>153424</v>
      </c>
      <c r="L2117">
        <v>152775</v>
      </c>
      <c r="M2117" t="str">
        <f t="shared" si="199"/>
        <v>Medium</v>
      </c>
      <c r="N2117">
        <f>VLOOKUP(C2117,Lookup!$A$2:$D$5,MATCH(M2117,Lookup!$A$1:$D$1,0),FALSE)</f>
        <v>8.5000000000000006E-2</v>
      </c>
      <c r="O2117">
        <f t="shared" si="200"/>
        <v>12985.875000000002</v>
      </c>
      <c r="P2117" s="7">
        <f t="shared" si="201"/>
        <v>0.84852305973574904</v>
      </c>
      <c r="Q2117" s="7">
        <f t="shared" si="202"/>
        <v>4886.8378378378375</v>
      </c>
      <c r="R2117">
        <f t="shared" si="203"/>
        <v>0.48167720696526029</v>
      </c>
    </row>
    <row r="2118" spans="1:18" x14ac:dyDescent="0.25">
      <c r="A2118" t="s">
        <v>1206</v>
      </c>
      <c r="B2118" t="s">
        <v>1207</v>
      </c>
      <c r="C2118" t="s">
        <v>17</v>
      </c>
      <c r="D2118">
        <v>13073</v>
      </c>
      <c r="E2118" s="1">
        <v>44104</v>
      </c>
      <c r="F2118" s="2">
        <f t="shared" si="198"/>
        <v>2020</v>
      </c>
      <c r="G2118">
        <v>36</v>
      </c>
      <c r="H2118" s="3">
        <v>195736</v>
      </c>
      <c r="I2118">
        <v>8823</v>
      </c>
      <c r="J2118">
        <v>195736</v>
      </c>
      <c r="K2118">
        <v>166435</v>
      </c>
      <c r="L2118">
        <v>165483</v>
      </c>
      <c r="M2118" t="str">
        <f t="shared" si="199"/>
        <v>Medium</v>
      </c>
      <c r="N2118">
        <f>VLOOKUP(C2118,Lookup!$A$2:$D$5,MATCH(M2118,Lookup!$A$1:$D$1,0),FALSE)</f>
        <v>8.5000000000000006E-2</v>
      </c>
      <c r="O2118">
        <f t="shared" si="200"/>
        <v>14066.055</v>
      </c>
      <c r="P2118" s="7">
        <f t="shared" si="201"/>
        <v>0.85030346997997297</v>
      </c>
      <c r="Q2118" s="7">
        <f t="shared" si="202"/>
        <v>5437.1111111111113</v>
      </c>
      <c r="R2118">
        <f t="shared" si="203"/>
        <v>0.62725476332916374</v>
      </c>
    </row>
    <row r="2119" spans="1:18" x14ac:dyDescent="0.25">
      <c r="A2119" t="s">
        <v>1206</v>
      </c>
      <c r="B2119" t="s">
        <v>1207</v>
      </c>
      <c r="C2119" t="s">
        <v>17</v>
      </c>
      <c r="D2119">
        <v>13073</v>
      </c>
      <c r="E2119" s="1">
        <v>44469</v>
      </c>
      <c r="F2119" s="2">
        <f t="shared" si="198"/>
        <v>2021</v>
      </c>
      <c r="G2119">
        <v>36</v>
      </c>
      <c r="H2119" s="3">
        <v>216285</v>
      </c>
      <c r="I2119">
        <v>12209</v>
      </c>
      <c r="J2119">
        <v>216285</v>
      </c>
      <c r="K2119">
        <v>186420</v>
      </c>
      <c r="L2119">
        <v>185755</v>
      </c>
      <c r="M2119" t="str">
        <f t="shared" si="199"/>
        <v>Medium</v>
      </c>
      <c r="N2119">
        <f>VLOOKUP(C2119,Lookup!$A$2:$D$5,MATCH(M2119,Lookup!$A$1:$D$1,0),FALSE)</f>
        <v>8.5000000000000006E-2</v>
      </c>
      <c r="O2119">
        <f t="shared" si="200"/>
        <v>15789.175000000001</v>
      </c>
      <c r="P2119" s="7">
        <f t="shared" si="201"/>
        <v>0.86191830224009991</v>
      </c>
      <c r="Q2119" s="7">
        <f t="shared" si="202"/>
        <v>6007.916666666667</v>
      </c>
      <c r="R2119">
        <f t="shared" si="203"/>
        <v>0.7732512940036449</v>
      </c>
    </row>
    <row r="2120" spans="1:18" x14ac:dyDescent="0.25">
      <c r="A2120" t="s">
        <v>1208</v>
      </c>
      <c r="B2120" t="s">
        <v>1209</v>
      </c>
      <c r="C2120" t="s">
        <v>8</v>
      </c>
      <c r="D2120">
        <v>61540</v>
      </c>
      <c r="E2120" s="1">
        <v>43738</v>
      </c>
      <c r="F2120" s="2">
        <f t="shared" si="198"/>
        <v>2019</v>
      </c>
      <c r="G2120">
        <v>12</v>
      </c>
      <c r="H2120" s="3">
        <v>59916</v>
      </c>
      <c r="I2120">
        <v>6407</v>
      </c>
      <c r="J2120">
        <v>59916</v>
      </c>
      <c r="K2120">
        <v>54011</v>
      </c>
      <c r="L2120">
        <v>52852</v>
      </c>
      <c r="M2120" t="str">
        <f t="shared" si="199"/>
        <v>Small</v>
      </c>
      <c r="N2120">
        <f>VLOOKUP(C2120,Lookup!$A$2:$D$5,MATCH(M2120,Lookup!$A$1:$D$1,0),FALSE)</f>
        <v>0.09</v>
      </c>
      <c r="O2120">
        <f t="shared" si="200"/>
        <v>4756.6799999999994</v>
      </c>
      <c r="P2120" s="7">
        <f t="shared" si="201"/>
        <v>0.90144535683289939</v>
      </c>
      <c r="Q2120" s="7">
        <f t="shared" si="202"/>
        <v>4993</v>
      </c>
      <c r="R2120">
        <f t="shared" si="203"/>
        <v>1.3469478712042855</v>
      </c>
    </row>
    <row r="2121" spans="1:18" x14ac:dyDescent="0.25">
      <c r="A2121" t="s">
        <v>1208</v>
      </c>
      <c r="B2121" t="s">
        <v>1209</v>
      </c>
      <c r="C2121" t="s">
        <v>8</v>
      </c>
      <c r="D2121">
        <v>61540</v>
      </c>
      <c r="E2121" s="1">
        <v>44104</v>
      </c>
      <c r="F2121" s="2">
        <f t="shared" si="198"/>
        <v>2020</v>
      </c>
      <c r="G2121">
        <v>12</v>
      </c>
      <c r="H2121" s="3">
        <v>65298</v>
      </c>
      <c r="I2121">
        <v>12350</v>
      </c>
      <c r="J2121">
        <v>65298</v>
      </c>
      <c r="K2121">
        <v>59277</v>
      </c>
      <c r="L2121">
        <v>58133</v>
      </c>
      <c r="M2121" t="str">
        <f t="shared" si="199"/>
        <v>Small</v>
      </c>
      <c r="N2121">
        <f>VLOOKUP(C2121,Lookup!$A$2:$D$5,MATCH(M2121,Lookup!$A$1:$D$1,0),FALSE)</f>
        <v>0.09</v>
      </c>
      <c r="O2121">
        <f t="shared" si="200"/>
        <v>5231.97</v>
      </c>
      <c r="P2121" s="7">
        <f t="shared" si="201"/>
        <v>0.90779196912616011</v>
      </c>
      <c r="Q2121" s="7">
        <f t="shared" si="202"/>
        <v>5441.5</v>
      </c>
      <c r="R2121">
        <f t="shared" si="203"/>
        <v>2.3604875410218331</v>
      </c>
    </row>
    <row r="2122" spans="1:18" x14ac:dyDescent="0.25">
      <c r="A2122" t="s">
        <v>1208</v>
      </c>
      <c r="B2122" t="s">
        <v>1209</v>
      </c>
      <c r="C2122" t="s">
        <v>8</v>
      </c>
      <c r="D2122">
        <v>61540</v>
      </c>
      <c r="E2122" s="1">
        <v>44469</v>
      </c>
      <c r="F2122" s="2">
        <f t="shared" si="198"/>
        <v>2021</v>
      </c>
      <c r="G2122">
        <v>13</v>
      </c>
      <c r="H2122" s="3">
        <v>80256</v>
      </c>
      <c r="I2122">
        <v>16777</v>
      </c>
      <c r="J2122">
        <v>80256</v>
      </c>
      <c r="K2122">
        <v>74205</v>
      </c>
      <c r="L2122">
        <v>73022</v>
      </c>
      <c r="M2122" t="str">
        <f t="shared" si="199"/>
        <v>Small</v>
      </c>
      <c r="N2122">
        <f>VLOOKUP(C2122,Lookup!$A$2:$D$5,MATCH(M2122,Lookup!$A$1:$D$1,0),FALSE)</f>
        <v>0.09</v>
      </c>
      <c r="O2122">
        <f t="shared" si="200"/>
        <v>6571.98</v>
      </c>
      <c r="P2122" s="7">
        <f t="shared" si="201"/>
        <v>0.9246037679425837</v>
      </c>
      <c r="Q2122" s="7">
        <f t="shared" si="202"/>
        <v>6173.5384615384619</v>
      </c>
      <c r="R2122">
        <f t="shared" si="203"/>
        <v>2.5528075252815743</v>
      </c>
    </row>
    <row r="2123" spans="1:18" x14ac:dyDescent="0.25">
      <c r="A2123" t="s">
        <v>1210</v>
      </c>
      <c r="B2123" t="s">
        <v>95</v>
      </c>
      <c r="C2123" t="s">
        <v>8</v>
      </c>
      <c r="D2123">
        <v>62056</v>
      </c>
      <c r="E2123" s="1">
        <v>43738</v>
      </c>
      <c r="F2123" s="2">
        <f t="shared" si="198"/>
        <v>2019</v>
      </c>
      <c r="G2123">
        <v>25</v>
      </c>
      <c r="H2123" s="3">
        <v>96696</v>
      </c>
      <c r="I2123">
        <v>1764</v>
      </c>
      <c r="J2123">
        <v>96696</v>
      </c>
      <c r="K2123">
        <v>83805</v>
      </c>
      <c r="L2123">
        <v>75066</v>
      </c>
      <c r="M2123" t="str">
        <f t="shared" si="199"/>
        <v>Small</v>
      </c>
      <c r="N2123">
        <f>VLOOKUP(C2123,Lookup!$A$2:$D$5,MATCH(M2123,Lookup!$A$1:$D$1,0),FALSE)</f>
        <v>0.09</v>
      </c>
      <c r="O2123">
        <f t="shared" si="200"/>
        <v>6755.94</v>
      </c>
      <c r="P2123" s="7">
        <f t="shared" si="201"/>
        <v>0.86668528170761971</v>
      </c>
      <c r="Q2123" s="7">
        <f t="shared" si="202"/>
        <v>3867.84</v>
      </c>
      <c r="R2123">
        <f t="shared" si="203"/>
        <v>0.26110356219859859</v>
      </c>
    </row>
    <row r="2124" spans="1:18" x14ac:dyDescent="0.25">
      <c r="A2124" t="s">
        <v>1210</v>
      </c>
      <c r="B2124" t="s">
        <v>95</v>
      </c>
      <c r="C2124" t="s">
        <v>8</v>
      </c>
      <c r="D2124">
        <v>62056</v>
      </c>
      <c r="E2124" s="1">
        <v>44104</v>
      </c>
      <c r="F2124" s="2">
        <f t="shared" si="198"/>
        <v>2020</v>
      </c>
      <c r="G2124">
        <v>26</v>
      </c>
      <c r="H2124" s="3">
        <v>106581</v>
      </c>
      <c r="I2124">
        <v>3653</v>
      </c>
      <c r="J2124">
        <v>106582</v>
      </c>
      <c r="K2124">
        <v>92854</v>
      </c>
      <c r="L2124">
        <v>88498</v>
      </c>
      <c r="M2124" t="str">
        <f t="shared" si="199"/>
        <v>Medium</v>
      </c>
      <c r="N2124">
        <f>VLOOKUP(C2124,Lookup!$A$2:$D$5,MATCH(M2124,Lookup!$A$1:$D$1,0),FALSE)</f>
        <v>0.08</v>
      </c>
      <c r="O2124">
        <f t="shared" si="200"/>
        <v>7079.84</v>
      </c>
      <c r="P2124" s="7">
        <f t="shared" si="201"/>
        <v>0.8712059372683687</v>
      </c>
      <c r="Q2124" s="7">
        <f t="shared" si="202"/>
        <v>4099.2692307692305</v>
      </c>
      <c r="R2124">
        <f t="shared" si="203"/>
        <v>0.51597211236412122</v>
      </c>
    </row>
    <row r="2125" spans="1:18" x14ac:dyDescent="0.25">
      <c r="A2125" t="s">
        <v>1210</v>
      </c>
      <c r="B2125" t="s">
        <v>95</v>
      </c>
      <c r="C2125" t="s">
        <v>8</v>
      </c>
      <c r="D2125">
        <v>62056</v>
      </c>
      <c r="E2125" s="1">
        <v>44469</v>
      </c>
      <c r="F2125" s="2">
        <f t="shared" si="198"/>
        <v>2021</v>
      </c>
      <c r="G2125">
        <v>26</v>
      </c>
      <c r="H2125" s="3">
        <v>122501</v>
      </c>
      <c r="I2125">
        <v>2157</v>
      </c>
      <c r="J2125">
        <v>122501</v>
      </c>
      <c r="K2125">
        <v>108131</v>
      </c>
      <c r="L2125">
        <v>104868</v>
      </c>
      <c r="M2125" t="str">
        <f t="shared" si="199"/>
        <v>Medium</v>
      </c>
      <c r="N2125">
        <f>VLOOKUP(C2125,Lookup!$A$2:$D$5,MATCH(M2125,Lookup!$A$1:$D$1,0),FALSE)</f>
        <v>0.08</v>
      </c>
      <c r="O2125">
        <f t="shared" si="200"/>
        <v>8389.44</v>
      </c>
      <c r="P2125" s="7">
        <f t="shared" si="201"/>
        <v>0.88269483514420288</v>
      </c>
      <c r="Q2125" s="7">
        <f t="shared" si="202"/>
        <v>4711.5769230769229</v>
      </c>
      <c r="R2125">
        <f t="shared" si="203"/>
        <v>0.2571089369493077</v>
      </c>
    </row>
    <row r="2126" spans="1:18" x14ac:dyDescent="0.25">
      <c r="A2126" t="s">
        <v>1211</v>
      </c>
      <c r="B2126" t="s">
        <v>1212</v>
      </c>
      <c r="C2126" t="s">
        <v>17</v>
      </c>
      <c r="D2126">
        <v>11545</v>
      </c>
      <c r="E2126" s="1">
        <v>43738</v>
      </c>
      <c r="F2126" s="2">
        <f t="shared" si="198"/>
        <v>2019</v>
      </c>
      <c r="G2126">
        <v>344</v>
      </c>
      <c r="H2126" s="3">
        <v>4160695</v>
      </c>
      <c r="I2126">
        <v>62870</v>
      </c>
      <c r="J2126">
        <v>4160695</v>
      </c>
      <c r="K2126">
        <v>3772643</v>
      </c>
      <c r="L2126">
        <v>3227698</v>
      </c>
      <c r="M2126" t="str">
        <f t="shared" si="199"/>
        <v>Large</v>
      </c>
      <c r="N2126">
        <f>VLOOKUP(C2126,Lookup!$A$2:$D$5,MATCH(M2126,Lookup!$A$1:$D$1,0),FALSE)</f>
        <v>0.08</v>
      </c>
      <c r="O2126">
        <f t="shared" si="200"/>
        <v>258215.84</v>
      </c>
      <c r="P2126" s="7">
        <f t="shared" si="201"/>
        <v>0.90673385095518899</v>
      </c>
      <c r="Q2126" s="7">
        <f t="shared" si="202"/>
        <v>12095.043604651162</v>
      </c>
      <c r="R2126">
        <f t="shared" si="203"/>
        <v>0.24347847908943154</v>
      </c>
    </row>
    <row r="2127" spans="1:18" x14ac:dyDescent="0.25">
      <c r="A2127" t="s">
        <v>1211</v>
      </c>
      <c r="B2127" t="s">
        <v>1212</v>
      </c>
      <c r="C2127" t="s">
        <v>17</v>
      </c>
      <c r="D2127">
        <v>11545</v>
      </c>
      <c r="E2127" s="1">
        <v>44104</v>
      </c>
      <c r="F2127" s="2">
        <f t="shared" si="198"/>
        <v>2020</v>
      </c>
      <c r="G2127">
        <v>350</v>
      </c>
      <c r="H2127" s="3">
        <v>4009635</v>
      </c>
      <c r="I2127">
        <v>163768</v>
      </c>
      <c r="J2127">
        <v>4009635</v>
      </c>
      <c r="K2127">
        <v>3611649</v>
      </c>
      <c r="L2127">
        <v>3249974</v>
      </c>
      <c r="M2127" t="str">
        <f t="shared" si="199"/>
        <v>Large</v>
      </c>
      <c r="N2127">
        <f>VLOOKUP(C2127,Lookup!$A$2:$D$5,MATCH(M2127,Lookup!$A$1:$D$1,0),FALSE)</f>
        <v>0.08</v>
      </c>
      <c r="O2127">
        <f t="shared" si="200"/>
        <v>259997.92</v>
      </c>
      <c r="P2127" s="7">
        <f t="shared" si="201"/>
        <v>0.90074258629526127</v>
      </c>
      <c r="Q2127" s="7">
        <f t="shared" si="202"/>
        <v>11456.1</v>
      </c>
      <c r="R2127">
        <f t="shared" si="203"/>
        <v>0.62988196213262015</v>
      </c>
    </row>
    <row r="2128" spans="1:18" x14ac:dyDescent="0.25">
      <c r="A2128" t="s">
        <v>1211</v>
      </c>
      <c r="B2128" t="s">
        <v>1212</v>
      </c>
      <c r="C2128" t="s">
        <v>17</v>
      </c>
      <c r="D2128">
        <v>11545</v>
      </c>
      <c r="E2128" s="1">
        <v>44469</v>
      </c>
      <c r="F2128" s="2">
        <f t="shared" si="198"/>
        <v>2021</v>
      </c>
      <c r="G2128">
        <v>323</v>
      </c>
      <c r="H2128" s="3">
        <v>4095377</v>
      </c>
      <c r="I2128">
        <v>258980</v>
      </c>
      <c r="J2128">
        <v>4095377</v>
      </c>
      <c r="K2128">
        <v>3675351</v>
      </c>
      <c r="L2128">
        <v>3371672</v>
      </c>
      <c r="M2128" t="str">
        <f t="shared" si="199"/>
        <v>Large</v>
      </c>
      <c r="N2128">
        <f>VLOOKUP(C2128,Lookup!$A$2:$D$5,MATCH(M2128,Lookup!$A$1:$D$1,0),FALSE)</f>
        <v>0.08</v>
      </c>
      <c r="O2128">
        <f t="shared" si="200"/>
        <v>269733.76000000001</v>
      </c>
      <c r="P2128" s="7">
        <f t="shared" si="201"/>
        <v>0.89743899035424579</v>
      </c>
      <c r="Q2128" s="7">
        <f t="shared" si="202"/>
        <v>12679.185758513931</v>
      </c>
      <c r="R2128">
        <f t="shared" si="203"/>
        <v>0.96013194640522559</v>
      </c>
    </row>
    <row r="2129" spans="1:18" x14ac:dyDescent="0.25">
      <c r="A2129" t="s">
        <v>1213</v>
      </c>
      <c r="B2129" t="s">
        <v>1214</v>
      </c>
      <c r="C2129" t="s">
        <v>8</v>
      </c>
      <c r="D2129">
        <v>62271</v>
      </c>
      <c r="E2129" s="1">
        <v>43738</v>
      </c>
      <c r="F2129" s="2">
        <f t="shared" si="198"/>
        <v>2019</v>
      </c>
      <c r="G2129">
        <v>15</v>
      </c>
      <c r="H2129" s="3">
        <v>59846</v>
      </c>
      <c r="I2129">
        <v>8494</v>
      </c>
      <c r="J2129">
        <v>59846</v>
      </c>
      <c r="K2129">
        <v>51985</v>
      </c>
      <c r="L2129">
        <v>51473</v>
      </c>
      <c r="M2129" t="str">
        <f t="shared" si="199"/>
        <v>Small</v>
      </c>
      <c r="N2129">
        <f>VLOOKUP(C2129,Lookup!$A$2:$D$5,MATCH(M2129,Lookup!$A$1:$D$1,0),FALSE)</f>
        <v>0.09</v>
      </c>
      <c r="O2129">
        <f t="shared" si="200"/>
        <v>4632.57</v>
      </c>
      <c r="P2129" s="7">
        <f t="shared" si="201"/>
        <v>0.86864619189252412</v>
      </c>
      <c r="Q2129" s="7">
        <f t="shared" si="202"/>
        <v>3989.7333333333331</v>
      </c>
      <c r="R2129">
        <f t="shared" si="203"/>
        <v>1.8335394824039357</v>
      </c>
    </row>
    <row r="2130" spans="1:18" x14ac:dyDescent="0.25">
      <c r="A2130" t="s">
        <v>1213</v>
      </c>
      <c r="B2130" t="s">
        <v>1214</v>
      </c>
      <c r="C2130" t="s">
        <v>8</v>
      </c>
      <c r="D2130">
        <v>62271</v>
      </c>
      <c r="E2130" s="1">
        <v>44104</v>
      </c>
      <c r="F2130" s="2">
        <f t="shared" si="198"/>
        <v>2020</v>
      </c>
      <c r="G2130">
        <v>15</v>
      </c>
      <c r="H2130" s="3">
        <v>70693</v>
      </c>
      <c r="I2130">
        <v>7721</v>
      </c>
      <c r="J2130">
        <v>70693</v>
      </c>
      <c r="K2130">
        <v>62707</v>
      </c>
      <c r="L2130">
        <v>62502</v>
      </c>
      <c r="M2130" t="str">
        <f t="shared" si="199"/>
        <v>Small</v>
      </c>
      <c r="N2130">
        <f>VLOOKUP(C2130,Lookup!$A$2:$D$5,MATCH(M2130,Lookup!$A$1:$D$1,0),FALSE)</f>
        <v>0.09</v>
      </c>
      <c r="O2130">
        <f t="shared" si="200"/>
        <v>5625.1799999999994</v>
      </c>
      <c r="P2130" s="7">
        <f t="shared" si="201"/>
        <v>0.88703266235695188</v>
      </c>
      <c r="Q2130" s="7">
        <f t="shared" si="202"/>
        <v>4712.8666666666668</v>
      </c>
      <c r="R2130">
        <f t="shared" si="203"/>
        <v>1.3725782997166314</v>
      </c>
    </row>
    <row r="2131" spans="1:18" x14ac:dyDescent="0.25">
      <c r="A2131" t="s">
        <v>1213</v>
      </c>
      <c r="B2131" t="s">
        <v>1214</v>
      </c>
      <c r="C2131" t="s">
        <v>8</v>
      </c>
      <c r="D2131">
        <v>62271</v>
      </c>
      <c r="E2131" s="1">
        <v>44469</v>
      </c>
      <c r="F2131" s="2">
        <f t="shared" si="198"/>
        <v>2021</v>
      </c>
      <c r="G2131">
        <v>15</v>
      </c>
      <c r="H2131" s="3">
        <v>75121</v>
      </c>
      <c r="I2131">
        <v>6402</v>
      </c>
      <c r="J2131">
        <v>75121</v>
      </c>
      <c r="K2131">
        <v>67100</v>
      </c>
      <c r="L2131">
        <v>66949</v>
      </c>
      <c r="M2131" t="str">
        <f t="shared" si="199"/>
        <v>Small</v>
      </c>
      <c r="N2131">
        <f>VLOOKUP(C2131,Lookup!$A$2:$D$5,MATCH(M2131,Lookup!$A$1:$D$1,0),FALSE)</f>
        <v>0.09</v>
      </c>
      <c r="O2131">
        <f t="shared" si="200"/>
        <v>6025.41</v>
      </c>
      <c r="P2131" s="7">
        <f t="shared" si="201"/>
        <v>0.89322559603839136</v>
      </c>
      <c r="Q2131" s="7">
        <f t="shared" si="202"/>
        <v>5008.0666666666666</v>
      </c>
      <c r="R2131">
        <f t="shared" si="203"/>
        <v>1.0625003111821436</v>
      </c>
    </row>
    <row r="2132" spans="1:18" x14ac:dyDescent="0.25">
      <c r="A2132" t="s">
        <v>1215</v>
      </c>
      <c r="B2132" t="s">
        <v>517</v>
      </c>
      <c r="C2132" t="s">
        <v>8</v>
      </c>
      <c r="D2132">
        <v>61350</v>
      </c>
      <c r="E2132" s="1">
        <v>43738</v>
      </c>
      <c r="F2132" s="2">
        <f t="shared" si="198"/>
        <v>2019</v>
      </c>
      <c r="G2132">
        <v>109</v>
      </c>
      <c r="H2132" s="3">
        <v>378859</v>
      </c>
      <c r="I2132">
        <v>9577</v>
      </c>
      <c r="J2132">
        <v>378859</v>
      </c>
      <c r="K2132">
        <v>330504</v>
      </c>
      <c r="L2132">
        <v>312069</v>
      </c>
      <c r="M2132" t="str">
        <f t="shared" si="199"/>
        <v>Medium</v>
      </c>
      <c r="N2132">
        <f>VLOOKUP(C2132,Lookup!$A$2:$D$5,MATCH(M2132,Lookup!$A$1:$D$1,0),FALSE)</f>
        <v>0.08</v>
      </c>
      <c r="O2132">
        <f t="shared" si="200"/>
        <v>24965.52</v>
      </c>
      <c r="P2132" s="7">
        <f t="shared" si="201"/>
        <v>0.87236676441631322</v>
      </c>
      <c r="Q2132" s="7">
        <f t="shared" si="202"/>
        <v>3475.770642201835</v>
      </c>
      <c r="R2132">
        <f t="shared" si="203"/>
        <v>0.38360907363435648</v>
      </c>
    </row>
    <row r="2133" spans="1:18" x14ac:dyDescent="0.25">
      <c r="A2133" t="s">
        <v>1215</v>
      </c>
      <c r="B2133" t="s">
        <v>517</v>
      </c>
      <c r="C2133" t="s">
        <v>8</v>
      </c>
      <c r="D2133">
        <v>61350</v>
      </c>
      <c r="E2133" s="1">
        <v>44104</v>
      </c>
      <c r="F2133" s="2">
        <f t="shared" si="198"/>
        <v>2020</v>
      </c>
      <c r="G2133">
        <v>132</v>
      </c>
      <c r="H2133" s="3">
        <v>859412</v>
      </c>
      <c r="I2133">
        <v>34788</v>
      </c>
      <c r="J2133">
        <v>859412</v>
      </c>
      <c r="K2133">
        <v>781850</v>
      </c>
      <c r="L2133">
        <v>708290</v>
      </c>
      <c r="M2133" t="str">
        <f t="shared" si="199"/>
        <v>Medium</v>
      </c>
      <c r="N2133">
        <f>VLOOKUP(C2133,Lookup!$A$2:$D$5,MATCH(M2133,Lookup!$A$1:$D$1,0),FALSE)</f>
        <v>0.08</v>
      </c>
      <c r="O2133">
        <f t="shared" si="200"/>
        <v>56663.200000000004</v>
      </c>
      <c r="P2133" s="7">
        <f t="shared" si="201"/>
        <v>0.90974992203972016</v>
      </c>
      <c r="Q2133" s="7">
        <f t="shared" si="202"/>
        <v>6510.69696969697</v>
      </c>
      <c r="R2133">
        <f t="shared" si="203"/>
        <v>0.61394344124581735</v>
      </c>
    </row>
    <row r="2134" spans="1:18" x14ac:dyDescent="0.25">
      <c r="A2134" t="s">
        <v>1216</v>
      </c>
      <c r="B2134" t="s">
        <v>1217</v>
      </c>
      <c r="C2134" t="s">
        <v>8</v>
      </c>
      <c r="D2134">
        <v>62560</v>
      </c>
      <c r="E2134" s="1">
        <v>43738</v>
      </c>
      <c r="F2134" s="2">
        <f t="shared" si="198"/>
        <v>2019</v>
      </c>
      <c r="G2134">
        <v>40</v>
      </c>
      <c r="H2134" s="3">
        <v>149590</v>
      </c>
      <c r="I2134">
        <v>6494</v>
      </c>
      <c r="J2134">
        <v>149590</v>
      </c>
      <c r="K2134">
        <v>132716</v>
      </c>
      <c r="L2134">
        <v>132561</v>
      </c>
      <c r="M2134" t="str">
        <f t="shared" si="199"/>
        <v>Medium</v>
      </c>
      <c r="N2134">
        <f>VLOOKUP(C2134,Lookup!$A$2:$D$5,MATCH(M2134,Lookup!$A$1:$D$1,0),FALSE)</f>
        <v>0.08</v>
      </c>
      <c r="O2134">
        <f t="shared" si="200"/>
        <v>10604.880000000001</v>
      </c>
      <c r="P2134" s="7">
        <f t="shared" si="201"/>
        <v>0.88719834213516946</v>
      </c>
      <c r="Q2134" s="7">
        <f t="shared" si="202"/>
        <v>3739.75</v>
      </c>
      <c r="R2134">
        <f t="shared" si="203"/>
        <v>0.61235959294211717</v>
      </c>
    </row>
    <row r="2135" spans="1:18" x14ac:dyDescent="0.25">
      <c r="A2135" t="s">
        <v>1216</v>
      </c>
      <c r="B2135" t="s">
        <v>1217</v>
      </c>
      <c r="C2135" t="s">
        <v>8</v>
      </c>
      <c r="D2135">
        <v>62560</v>
      </c>
      <c r="E2135" s="1">
        <v>44104</v>
      </c>
      <c r="F2135" s="2">
        <f t="shared" si="198"/>
        <v>2020</v>
      </c>
      <c r="G2135">
        <v>35</v>
      </c>
      <c r="H2135" s="3">
        <v>166649</v>
      </c>
      <c r="I2135">
        <v>6357</v>
      </c>
      <c r="J2135">
        <v>166649</v>
      </c>
      <c r="K2135">
        <v>147799</v>
      </c>
      <c r="L2135">
        <v>143604</v>
      </c>
      <c r="M2135" t="str">
        <f t="shared" si="199"/>
        <v>Medium</v>
      </c>
      <c r="N2135">
        <f>VLOOKUP(C2135,Lookup!$A$2:$D$5,MATCH(M2135,Lookup!$A$1:$D$1,0),FALSE)</f>
        <v>0.08</v>
      </c>
      <c r="O2135">
        <f t="shared" si="200"/>
        <v>11488.32</v>
      </c>
      <c r="P2135" s="7">
        <f t="shared" si="201"/>
        <v>0.8868880101290737</v>
      </c>
      <c r="Q2135" s="7">
        <f t="shared" si="202"/>
        <v>4761.3999999999996</v>
      </c>
      <c r="R2135">
        <f t="shared" si="203"/>
        <v>0.55334461435614613</v>
      </c>
    </row>
    <row r="2136" spans="1:18" x14ac:dyDescent="0.25">
      <c r="A2136" t="s">
        <v>1216</v>
      </c>
      <c r="B2136" t="s">
        <v>1217</v>
      </c>
      <c r="C2136" t="s">
        <v>8</v>
      </c>
      <c r="D2136">
        <v>62560</v>
      </c>
      <c r="E2136" s="1">
        <v>44469</v>
      </c>
      <c r="F2136" s="2">
        <f t="shared" si="198"/>
        <v>2021</v>
      </c>
      <c r="G2136">
        <v>36</v>
      </c>
      <c r="H2136" s="3">
        <v>178937</v>
      </c>
      <c r="I2136">
        <v>3899</v>
      </c>
      <c r="J2136">
        <v>178937</v>
      </c>
      <c r="K2136">
        <v>159543</v>
      </c>
      <c r="L2136">
        <v>159363</v>
      </c>
      <c r="M2136" t="str">
        <f t="shared" si="199"/>
        <v>Medium</v>
      </c>
      <c r="N2136">
        <f>VLOOKUP(C2136,Lookup!$A$2:$D$5,MATCH(M2136,Lookup!$A$1:$D$1,0),FALSE)</f>
        <v>0.08</v>
      </c>
      <c r="O2136">
        <f t="shared" si="200"/>
        <v>12749.04</v>
      </c>
      <c r="P2136" s="7">
        <f t="shared" si="201"/>
        <v>0.89161548477955932</v>
      </c>
      <c r="Q2136" s="7">
        <f t="shared" si="202"/>
        <v>4970.4722222222226</v>
      </c>
      <c r="R2136">
        <f t="shared" si="203"/>
        <v>0.30582694853887038</v>
      </c>
    </row>
    <row r="2137" spans="1:18" x14ac:dyDescent="0.25">
      <c r="A2137" t="s">
        <v>1218</v>
      </c>
      <c r="B2137" t="s">
        <v>1219</v>
      </c>
      <c r="C2137" t="s">
        <v>8</v>
      </c>
      <c r="D2137">
        <v>62882</v>
      </c>
      <c r="E2137" s="1">
        <v>43738</v>
      </c>
      <c r="F2137" s="2">
        <f t="shared" si="198"/>
        <v>2019</v>
      </c>
      <c r="G2137">
        <v>14</v>
      </c>
      <c r="H2137" s="3">
        <v>53731</v>
      </c>
      <c r="I2137">
        <v>3448</v>
      </c>
      <c r="J2137">
        <v>53731</v>
      </c>
      <c r="K2137">
        <v>47346</v>
      </c>
      <c r="L2137">
        <v>46970</v>
      </c>
      <c r="M2137" t="str">
        <f t="shared" si="199"/>
        <v>Small</v>
      </c>
      <c r="N2137">
        <f>VLOOKUP(C2137,Lookup!$A$2:$D$5,MATCH(M2137,Lookup!$A$1:$D$1,0),FALSE)</f>
        <v>0.09</v>
      </c>
      <c r="O2137">
        <f t="shared" si="200"/>
        <v>4227.3</v>
      </c>
      <c r="P2137" s="7">
        <f t="shared" si="201"/>
        <v>0.8811672963466155</v>
      </c>
      <c r="Q2137" s="7">
        <f t="shared" si="202"/>
        <v>3837.9285714285716</v>
      </c>
      <c r="R2137">
        <f t="shared" si="203"/>
        <v>0.81565065171622542</v>
      </c>
    </row>
    <row r="2138" spans="1:18" x14ac:dyDescent="0.25">
      <c r="A2138" t="s">
        <v>1218</v>
      </c>
      <c r="B2138" t="s">
        <v>1219</v>
      </c>
      <c r="C2138" t="s">
        <v>8</v>
      </c>
      <c r="D2138">
        <v>62882</v>
      </c>
      <c r="E2138" s="1">
        <v>44104</v>
      </c>
      <c r="F2138" s="2">
        <f t="shared" si="198"/>
        <v>2020</v>
      </c>
      <c r="G2138">
        <v>14</v>
      </c>
      <c r="H2138" s="3">
        <v>64554</v>
      </c>
      <c r="I2138">
        <v>4665</v>
      </c>
      <c r="J2138">
        <v>64554</v>
      </c>
      <c r="K2138">
        <v>57084</v>
      </c>
      <c r="L2138">
        <v>52644</v>
      </c>
      <c r="M2138" t="str">
        <f t="shared" si="199"/>
        <v>Small</v>
      </c>
      <c r="N2138">
        <f>VLOOKUP(C2138,Lookup!$A$2:$D$5,MATCH(M2138,Lookup!$A$1:$D$1,0),FALSE)</f>
        <v>0.09</v>
      </c>
      <c r="O2138">
        <f t="shared" si="200"/>
        <v>4737.96</v>
      </c>
      <c r="P2138" s="7">
        <f t="shared" si="201"/>
        <v>0.88428292592248348</v>
      </c>
      <c r="Q2138" s="7">
        <f t="shared" si="202"/>
        <v>4611</v>
      </c>
      <c r="R2138">
        <f t="shared" si="203"/>
        <v>0.98460096750500214</v>
      </c>
    </row>
    <row r="2139" spans="1:18" x14ac:dyDescent="0.25">
      <c r="A2139" t="s">
        <v>1218</v>
      </c>
      <c r="B2139" t="s">
        <v>1219</v>
      </c>
      <c r="C2139" t="s">
        <v>8</v>
      </c>
      <c r="D2139">
        <v>62882</v>
      </c>
      <c r="E2139" s="1">
        <v>44469</v>
      </c>
      <c r="F2139" s="2">
        <f t="shared" si="198"/>
        <v>2021</v>
      </c>
      <c r="G2139">
        <v>14</v>
      </c>
      <c r="H2139" s="3">
        <v>71265</v>
      </c>
      <c r="I2139">
        <v>3322</v>
      </c>
      <c r="J2139">
        <v>71265</v>
      </c>
      <c r="K2139">
        <v>63047</v>
      </c>
      <c r="L2139">
        <v>57650</v>
      </c>
      <c r="M2139" t="str">
        <f t="shared" si="199"/>
        <v>Small</v>
      </c>
      <c r="N2139">
        <f>VLOOKUP(C2139,Lookup!$A$2:$D$5,MATCH(M2139,Lookup!$A$1:$D$1,0),FALSE)</f>
        <v>0.09</v>
      </c>
      <c r="O2139">
        <f t="shared" si="200"/>
        <v>5188.5</v>
      </c>
      <c r="P2139" s="7">
        <f t="shared" si="201"/>
        <v>0.88468392619097735</v>
      </c>
      <c r="Q2139" s="7">
        <f t="shared" si="202"/>
        <v>5090.3571428571431</v>
      </c>
      <c r="R2139">
        <f t="shared" si="203"/>
        <v>0.64026211814589962</v>
      </c>
    </row>
    <row r="2140" spans="1:18" x14ac:dyDescent="0.25">
      <c r="A2140" t="s">
        <v>1220</v>
      </c>
      <c r="B2140" t="s">
        <v>1221</v>
      </c>
      <c r="C2140" t="s">
        <v>8</v>
      </c>
      <c r="D2140">
        <v>62286</v>
      </c>
      <c r="E2140" s="1">
        <v>43738</v>
      </c>
      <c r="F2140" s="2">
        <f t="shared" si="198"/>
        <v>2019</v>
      </c>
      <c r="G2140">
        <v>21</v>
      </c>
      <c r="H2140" s="3">
        <v>78758</v>
      </c>
      <c r="I2140">
        <v>6830</v>
      </c>
      <c r="J2140">
        <v>78758</v>
      </c>
      <c r="K2140">
        <v>67555</v>
      </c>
      <c r="L2140">
        <v>63236</v>
      </c>
      <c r="M2140" t="str">
        <f t="shared" si="199"/>
        <v>Small</v>
      </c>
      <c r="N2140">
        <f>VLOOKUP(C2140,Lookup!$A$2:$D$5,MATCH(M2140,Lookup!$A$1:$D$1,0),FALSE)</f>
        <v>0.09</v>
      </c>
      <c r="O2140">
        <f t="shared" si="200"/>
        <v>5691.24</v>
      </c>
      <c r="P2140" s="7">
        <f t="shared" si="201"/>
        <v>0.85775413291348179</v>
      </c>
      <c r="Q2140" s="7">
        <f t="shared" si="202"/>
        <v>3750.3809523809523</v>
      </c>
      <c r="R2140">
        <f t="shared" si="203"/>
        <v>1.2000899628200534</v>
      </c>
    </row>
    <row r="2141" spans="1:18" x14ac:dyDescent="0.25">
      <c r="A2141" t="s">
        <v>1220</v>
      </c>
      <c r="B2141" t="s">
        <v>1221</v>
      </c>
      <c r="C2141" t="s">
        <v>8</v>
      </c>
      <c r="D2141">
        <v>62286</v>
      </c>
      <c r="E2141" s="1">
        <v>44104</v>
      </c>
      <c r="F2141" s="2">
        <f t="shared" si="198"/>
        <v>2020</v>
      </c>
      <c r="G2141">
        <v>21</v>
      </c>
      <c r="H2141" s="3">
        <v>90684</v>
      </c>
      <c r="I2141">
        <v>8989</v>
      </c>
      <c r="J2141">
        <v>90684</v>
      </c>
      <c r="K2141">
        <v>78672</v>
      </c>
      <c r="L2141">
        <v>70101</v>
      </c>
      <c r="M2141" t="str">
        <f t="shared" si="199"/>
        <v>Small</v>
      </c>
      <c r="N2141">
        <f>VLOOKUP(C2141,Lookup!$A$2:$D$5,MATCH(M2141,Lookup!$A$1:$D$1,0),FALSE)</f>
        <v>0.09</v>
      </c>
      <c r="O2141">
        <f t="shared" si="200"/>
        <v>6309.09</v>
      </c>
      <c r="P2141" s="7">
        <f t="shared" si="201"/>
        <v>0.8675400291120815</v>
      </c>
      <c r="Q2141" s="7">
        <f t="shared" si="202"/>
        <v>4318.2857142857147</v>
      </c>
      <c r="R2141">
        <f t="shared" si="203"/>
        <v>1.4247696577477893</v>
      </c>
    </row>
    <row r="2142" spans="1:18" x14ac:dyDescent="0.25">
      <c r="A2142" t="s">
        <v>1220</v>
      </c>
      <c r="B2142" t="s">
        <v>1221</v>
      </c>
      <c r="C2142" t="s">
        <v>8</v>
      </c>
      <c r="D2142">
        <v>62286</v>
      </c>
      <c r="E2142" s="1">
        <v>44469</v>
      </c>
      <c r="F2142" s="2">
        <f t="shared" si="198"/>
        <v>2021</v>
      </c>
      <c r="G2142">
        <v>21</v>
      </c>
      <c r="H2142" s="3">
        <v>105041</v>
      </c>
      <c r="I2142">
        <v>8921</v>
      </c>
      <c r="J2142">
        <v>105041</v>
      </c>
      <c r="K2142">
        <v>93182</v>
      </c>
      <c r="L2142">
        <v>86875</v>
      </c>
      <c r="M2142" t="str">
        <f t="shared" si="199"/>
        <v>Medium</v>
      </c>
      <c r="N2142">
        <f>VLOOKUP(C2142,Lookup!$A$2:$D$5,MATCH(M2142,Lookup!$A$1:$D$1,0),FALSE)</f>
        <v>0.08</v>
      </c>
      <c r="O2142">
        <f t="shared" si="200"/>
        <v>6950</v>
      </c>
      <c r="P2142" s="7">
        <f t="shared" si="201"/>
        <v>0.88710122713987871</v>
      </c>
      <c r="Q2142" s="7">
        <f t="shared" si="202"/>
        <v>5001.9523809523807</v>
      </c>
      <c r="R2142">
        <f t="shared" si="203"/>
        <v>1.2835971223021583</v>
      </c>
    </row>
    <row r="2143" spans="1:18" x14ac:dyDescent="0.25">
      <c r="A2143" t="s">
        <v>1222</v>
      </c>
      <c r="B2143" t="s">
        <v>1223</v>
      </c>
      <c r="C2143" t="s">
        <v>8</v>
      </c>
      <c r="D2143">
        <v>62926</v>
      </c>
      <c r="E2143" s="1">
        <v>43738</v>
      </c>
      <c r="F2143" s="2">
        <f t="shared" si="198"/>
        <v>2019</v>
      </c>
      <c r="G2143">
        <v>8</v>
      </c>
      <c r="H2143" s="3">
        <v>25099</v>
      </c>
      <c r="I2143">
        <v>7199</v>
      </c>
      <c r="J2143">
        <v>25099</v>
      </c>
      <c r="K2143">
        <v>22288</v>
      </c>
      <c r="L2143">
        <v>22208</v>
      </c>
      <c r="M2143" t="str">
        <f t="shared" si="199"/>
        <v>Small</v>
      </c>
      <c r="N2143">
        <f>VLOOKUP(C2143,Lookup!$A$2:$D$5,MATCH(M2143,Lookup!$A$1:$D$1,0),FALSE)</f>
        <v>0.09</v>
      </c>
      <c r="O2143">
        <f t="shared" si="200"/>
        <v>1998.72</v>
      </c>
      <c r="P2143" s="7">
        <f t="shared" si="201"/>
        <v>0.88800350611578149</v>
      </c>
      <c r="Q2143" s="7">
        <f t="shared" si="202"/>
        <v>3137.375</v>
      </c>
      <c r="R2143">
        <f t="shared" si="203"/>
        <v>3.6018051552993917</v>
      </c>
    </row>
    <row r="2144" spans="1:18" x14ac:dyDescent="0.25">
      <c r="A2144" t="s">
        <v>1222</v>
      </c>
      <c r="B2144" t="s">
        <v>1223</v>
      </c>
      <c r="C2144" t="s">
        <v>8</v>
      </c>
      <c r="D2144">
        <v>62926</v>
      </c>
      <c r="E2144" s="1">
        <v>44104</v>
      </c>
      <c r="F2144" s="2">
        <f t="shared" si="198"/>
        <v>2020</v>
      </c>
      <c r="G2144">
        <v>9</v>
      </c>
      <c r="H2144" s="3">
        <v>28609</v>
      </c>
      <c r="I2144">
        <v>7508</v>
      </c>
      <c r="J2144">
        <v>28609</v>
      </c>
      <c r="K2144">
        <v>25641</v>
      </c>
      <c r="L2144">
        <v>24547</v>
      </c>
      <c r="M2144" t="str">
        <f t="shared" si="199"/>
        <v>Small</v>
      </c>
      <c r="N2144">
        <f>VLOOKUP(C2144,Lookup!$A$2:$D$5,MATCH(M2144,Lookup!$A$1:$D$1,0),FALSE)</f>
        <v>0.09</v>
      </c>
      <c r="O2144">
        <f t="shared" si="200"/>
        <v>2209.23</v>
      </c>
      <c r="P2144" s="7">
        <f t="shared" si="201"/>
        <v>0.89625642280401274</v>
      </c>
      <c r="Q2144" s="7">
        <f t="shared" si="202"/>
        <v>3178.7777777777778</v>
      </c>
      <c r="R2144">
        <f t="shared" si="203"/>
        <v>3.3984691498848014</v>
      </c>
    </row>
    <row r="2145" spans="1:18" x14ac:dyDescent="0.25">
      <c r="A2145" t="s">
        <v>1222</v>
      </c>
      <c r="B2145" t="s">
        <v>1223</v>
      </c>
      <c r="C2145" t="s">
        <v>8</v>
      </c>
      <c r="D2145">
        <v>62926</v>
      </c>
      <c r="E2145" s="1">
        <v>44469</v>
      </c>
      <c r="F2145" s="2">
        <f t="shared" si="198"/>
        <v>2021</v>
      </c>
      <c r="G2145">
        <v>8</v>
      </c>
      <c r="H2145" s="3">
        <v>30698</v>
      </c>
      <c r="I2145">
        <v>9358</v>
      </c>
      <c r="J2145">
        <v>30698</v>
      </c>
      <c r="K2145">
        <v>27565</v>
      </c>
      <c r="L2145">
        <v>25998</v>
      </c>
      <c r="M2145" t="str">
        <f t="shared" si="199"/>
        <v>Small</v>
      </c>
      <c r="N2145">
        <f>VLOOKUP(C2145,Lookup!$A$2:$D$5,MATCH(M2145,Lookup!$A$1:$D$1,0),FALSE)</f>
        <v>0.09</v>
      </c>
      <c r="O2145">
        <f t="shared" si="200"/>
        <v>2339.8199999999997</v>
      </c>
      <c r="P2145" s="7">
        <f t="shared" si="201"/>
        <v>0.89794123395660952</v>
      </c>
      <c r="Q2145" s="7">
        <f t="shared" si="202"/>
        <v>3837.25</v>
      </c>
      <c r="R2145">
        <f t="shared" si="203"/>
        <v>3.9994529493721744</v>
      </c>
    </row>
    <row r="2146" spans="1:18" x14ac:dyDescent="0.25">
      <c r="A2146" t="s">
        <v>1224</v>
      </c>
      <c r="B2146" t="s">
        <v>722</v>
      </c>
      <c r="C2146" t="s">
        <v>8</v>
      </c>
      <c r="D2146">
        <v>60970</v>
      </c>
      <c r="E2146" s="1">
        <v>43738</v>
      </c>
      <c r="F2146" s="2">
        <f t="shared" si="198"/>
        <v>2019</v>
      </c>
      <c r="G2146">
        <v>32</v>
      </c>
      <c r="H2146" s="3">
        <v>255964</v>
      </c>
      <c r="I2146">
        <v>48148</v>
      </c>
      <c r="J2146">
        <v>255964</v>
      </c>
      <c r="K2146">
        <v>215474</v>
      </c>
      <c r="L2146">
        <v>214567</v>
      </c>
      <c r="M2146" t="str">
        <f t="shared" si="199"/>
        <v>Medium</v>
      </c>
      <c r="N2146">
        <f>VLOOKUP(C2146,Lookup!$A$2:$D$5,MATCH(M2146,Lookup!$A$1:$D$1,0),FALSE)</f>
        <v>0.08</v>
      </c>
      <c r="O2146">
        <f t="shared" si="200"/>
        <v>17165.36</v>
      </c>
      <c r="P2146" s="7">
        <f t="shared" si="201"/>
        <v>0.84181369255051497</v>
      </c>
      <c r="Q2146" s="7">
        <f t="shared" si="202"/>
        <v>7998.875</v>
      </c>
      <c r="R2146">
        <f t="shared" si="203"/>
        <v>2.8049513671720256</v>
      </c>
    </row>
    <row r="2147" spans="1:18" x14ac:dyDescent="0.25">
      <c r="A2147" t="s">
        <v>1224</v>
      </c>
      <c r="B2147" t="s">
        <v>722</v>
      </c>
      <c r="C2147" t="s">
        <v>8</v>
      </c>
      <c r="D2147">
        <v>60970</v>
      </c>
      <c r="E2147" s="1">
        <v>44104</v>
      </c>
      <c r="F2147" s="2">
        <f t="shared" si="198"/>
        <v>2020</v>
      </c>
      <c r="G2147">
        <v>31</v>
      </c>
      <c r="H2147" s="3">
        <v>270860</v>
      </c>
      <c r="I2147">
        <v>46780</v>
      </c>
      <c r="J2147">
        <v>270860</v>
      </c>
      <c r="K2147">
        <v>228341</v>
      </c>
      <c r="L2147">
        <v>227130</v>
      </c>
      <c r="M2147" t="str">
        <f t="shared" si="199"/>
        <v>Medium</v>
      </c>
      <c r="N2147">
        <f>VLOOKUP(C2147,Lookup!$A$2:$D$5,MATCH(M2147,Lookup!$A$1:$D$1,0),FALSE)</f>
        <v>0.08</v>
      </c>
      <c r="O2147">
        <f t="shared" si="200"/>
        <v>18170.400000000001</v>
      </c>
      <c r="P2147" s="7">
        <f t="shared" si="201"/>
        <v>0.84302222550395034</v>
      </c>
      <c r="Q2147" s="7">
        <f t="shared" si="202"/>
        <v>8737.4193548387102</v>
      </c>
      <c r="R2147">
        <f t="shared" si="203"/>
        <v>2.5745167965482323</v>
      </c>
    </row>
    <row r="2148" spans="1:18" x14ac:dyDescent="0.25">
      <c r="A2148" t="s">
        <v>1224</v>
      </c>
      <c r="B2148" t="s">
        <v>722</v>
      </c>
      <c r="C2148" t="s">
        <v>8</v>
      </c>
      <c r="D2148">
        <v>60970</v>
      </c>
      <c r="E2148" s="1">
        <v>44469</v>
      </c>
      <c r="F2148" s="2">
        <f t="shared" si="198"/>
        <v>2021</v>
      </c>
      <c r="G2148">
        <v>33</v>
      </c>
      <c r="H2148" s="3">
        <v>296937</v>
      </c>
      <c r="I2148">
        <v>98618</v>
      </c>
      <c r="J2148">
        <v>296937</v>
      </c>
      <c r="K2148">
        <v>253365</v>
      </c>
      <c r="L2148">
        <v>252646</v>
      </c>
      <c r="M2148" t="str">
        <f t="shared" si="199"/>
        <v>Medium</v>
      </c>
      <c r="N2148">
        <f>VLOOKUP(C2148,Lookup!$A$2:$D$5,MATCH(M2148,Lookup!$A$1:$D$1,0),FALSE)</f>
        <v>0.08</v>
      </c>
      <c r="O2148">
        <f t="shared" si="200"/>
        <v>20211.68</v>
      </c>
      <c r="P2148" s="7">
        <f t="shared" si="201"/>
        <v>0.85326180300871901</v>
      </c>
      <c r="Q2148" s="7">
        <f t="shared" si="202"/>
        <v>8998.0909090909099</v>
      </c>
      <c r="R2148">
        <f t="shared" si="203"/>
        <v>4.8792579340262661</v>
      </c>
    </row>
    <row r="2149" spans="1:18" x14ac:dyDescent="0.25">
      <c r="A2149" t="s">
        <v>1225</v>
      </c>
      <c r="B2149" t="s">
        <v>1226</v>
      </c>
      <c r="C2149" t="s">
        <v>8</v>
      </c>
      <c r="D2149">
        <v>61843</v>
      </c>
      <c r="E2149" s="1">
        <v>43738</v>
      </c>
      <c r="F2149" s="2">
        <f t="shared" si="198"/>
        <v>2019</v>
      </c>
      <c r="G2149">
        <v>27</v>
      </c>
      <c r="H2149" s="3">
        <v>127820</v>
      </c>
      <c r="I2149">
        <v>5997</v>
      </c>
      <c r="J2149">
        <v>127820</v>
      </c>
      <c r="K2149">
        <v>110570</v>
      </c>
      <c r="L2149">
        <v>108416</v>
      </c>
      <c r="M2149" t="str">
        <f t="shared" si="199"/>
        <v>Medium</v>
      </c>
      <c r="N2149">
        <f>VLOOKUP(C2149,Lookup!$A$2:$D$5,MATCH(M2149,Lookup!$A$1:$D$1,0),FALSE)</f>
        <v>0.08</v>
      </c>
      <c r="O2149">
        <f t="shared" si="200"/>
        <v>8673.2800000000007</v>
      </c>
      <c r="P2149" s="7">
        <f t="shared" si="201"/>
        <v>0.86504459396025657</v>
      </c>
      <c r="Q2149" s="7">
        <f t="shared" si="202"/>
        <v>4734.0740740740739</v>
      </c>
      <c r="R2149">
        <f t="shared" si="203"/>
        <v>0.69143392119244385</v>
      </c>
    </row>
    <row r="2150" spans="1:18" x14ac:dyDescent="0.25">
      <c r="A2150" t="s">
        <v>1225</v>
      </c>
      <c r="B2150" t="s">
        <v>1226</v>
      </c>
      <c r="C2150" t="s">
        <v>8</v>
      </c>
      <c r="D2150">
        <v>61843</v>
      </c>
      <c r="E2150" s="1">
        <v>44104</v>
      </c>
      <c r="F2150" s="2">
        <f t="shared" si="198"/>
        <v>2020</v>
      </c>
      <c r="G2150">
        <v>30</v>
      </c>
      <c r="H2150" s="3">
        <v>149729</v>
      </c>
      <c r="I2150">
        <v>10623</v>
      </c>
      <c r="J2150">
        <v>149729</v>
      </c>
      <c r="K2150">
        <v>130168</v>
      </c>
      <c r="L2150">
        <v>128723</v>
      </c>
      <c r="M2150" t="str">
        <f t="shared" si="199"/>
        <v>Medium</v>
      </c>
      <c r="N2150">
        <f>VLOOKUP(C2150,Lookup!$A$2:$D$5,MATCH(M2150,Lookup!$A$1:$D$1,0),FALSE)</f>
        <v>0.08</v>
      </c>
      <c r="O2150">
        <f t="shared" si="200"/>
        <v>10297.84</v>
      </c>
      <c r="P2150" s="7">
        <f t="shared" si="201"/>
        <v>0.86935730553199442</v>
      </c>
      <c r="Q2150" s="7">
        <f t="shared" si="202"/>
        <v>4990.9666666666662</v>
      </c>
      <c r="R2150">
        <f t="shared" si="203"/>
        <v>1.0315755537083504</v>
      </c>
    </row>
    <row r="2151" spans="1:18" x14ac:dyDescent="0.25">
      <c r="A2151" t="s">
        <v>1225</v>
      </c>
      <c r="B2151" t="s">
        <v>1226</v>
      </c>
      <c r="C2151" t="s">
        <v>8</v>
      </c>
      <c r="D2151">
        <v>61843</v>
      </c>
      <c r="E2151" s="1">
        <v>44469</v>
      </c>
      <c r="F2151" s="2">
        <f t="shared" si="198"/>
        <v>2021</v>
      </c>
      <c r="G2151">
        <v>40</v>
      </c>
      <c r="H2151" s="3">
        <v>187307</v>
      </c>
      <c r="I2151">
        <v>3331</v>
      </c>
      <c r="J2151">
        <v>187307</v>
      </c>
      <c r="K2151">
        <v>166661</v>
      </c>
      <c r="L2151">
        <v>148327</v>
      </c>
      <c r="M2151" t="str">
        <f t="shared" si="199"/>
        <v>Medium</v>
      </c>
      <c r="N2151">
        <f>VLOOKUP(C2151,Lookup!$A$2:$D$5,MATCH(M2151,Lookup!$A$1:$D$1,0),FALSE)</f>
        <v>0.08</v>
      </c>
      <c r="O2151">
        <f t="shared" si="200"/>
        <v>11866.16</v>
      </c>
      <c r="P2151" s="7">
        <f t="shared" si="201"/>
        <v>0.88977454126113809</v>
      </c>
      <c r="Q2151" s="7">
        <f t="shared" si="202"/>
        <v>4682.6750000000002</v>
      </c>
      <c r="R2151">
        <f t="shared" si="203"/>
        <v>0.28071423274252161</v>
      </c>
    </row>
    <row r="2152" spans="1:18" x14ac:dyDescent="0.25">
      <c r="A2152" t="s">
        <v>1227</v>
      </c>
      <c r="B2152" t="s">
        <v>1228</v>
      </c>
      <c r="C2152" t="s">
        <v>8</v>
      </c>
      <c r="D2152">
        <v>62471</v>
      </c>
      <c r="E2152" s="1">
        <v>43738</v>
      </c>
      <c r="F2152" s="2">
        <f t="shared" si="198"/>
        <v>2019</v>
      </c>
      <c r="G2152">
        <v>86</v>
      </c>
      <c r="H2152" s="3">
        <v>351272</v>
      </c>
      <c r="I2152">
        <v>24197</v>
      </c>
      <c r="J2152">
        <v>351272</v>
      </c>
      <c r="K2152">
        <v>301693</v>
      </c>
      <c r="L2152">
        <v>293160</v>
      </c>
      <c r="M2152" t="str">
        <f t="shared" si="199"/>
        <v>Medium</v>
      </c>
      <c r="N2152">
        <f>VLOOKUP(C2152,Lookup!$A$2:$D$5,MATCH(M2152,Lookup!$A$1:$D$1,0),FALSE)</f>
        <v>0.08</v>
      </c>
      <c r="O2152">
        <f t="shared" si="200"/>
        <v>23452.799999999999</v>
      </c>
      <c r="P2152" s="7">
        <f t="shared" si="201"/>
        <v>0.85885866223325513</v>
      </c>
      <c r="Q2152" s="7">
        <f t="shared" si="202"/>
        <v>4084.5581395348836</v>
      </c>
      <c r="R2152">
        <f t="shared" si="203"/>
        <v>1.0317318188020195</v>
      </c>
    </row>
    <row r="2153" spans="1:18" x14ac:dyDescent="0.25">
      <c r="A2153" t="s">
        <v>1227</v>
      </c>
      <c r="B2153" t="s">
        <v>1228</v>
      </c>
      <c r="C2153" t="s">
        <v>8</v>
      </c>
      <c r="D2153">
        <v>62471</v>
      </c>
      <c r="E2153" s="1">
        <v>44104</v>
      </c>
      <c r="F2153" s="2">
        <f t="shared" si="198"/>
        <v>2020</v>
      </c>
      <c r="G2153">
        <v>82</v>
      </c>
      <c r="H2153" s="3">
        <v>395270</v>
      </c>
      <c r="I2153">
        <v>22816</v>
      </c>
      <c r="J2153">
        <v>395270</v>
      </c>
      <c r="K2153">
        <v>340293</v>
      </c>
      <c r="L2153">
        <v>325652</v>
      </c>
      <c r="M2153" t="str">
        <f t="shared" si="199"/>
        <v>Medium</v>
      </c>
      <c r="N2153">
        <f>VLOOKUP(C2153,Lookup!$A$2:$D$5,MATCH(M2153,Lookup!$A$1:$D$1,0),FALSE)</f>
        <v>0.08</v>
      </c>
      <c r="O2153">
        <f t="shared" si="200"/>
        <v>26052.16</v>
      </c>
      <c r="P2153" s="7">
        <f t="shared" si="201"/>
        <v>0.86091279378652563</v>
      </c>
      <c r="Q2153" s="7">
        <f t="shared" si="202"/>
        <v>4820.3658536585363</v>
      </c>
      <c r="R2153">
        <f t="shared" si="203"/>
        <v>0.87578150909559904</v>
      </c>
    </row>
    <row r="2154" spans="1:18" x14ac:dyDescent="0.25">
      <c r="A2154" t="s">
        <v>1227</v>
      </c>
      <c r="B2154" t="s">
        <v>1228</v>
      </c>
      <c r="C2154" t="s">
        <v>8</v>
      </c>
      <c r="D2154">
        <v>62471</v>
      </c>
      <c r="E2154" s="1">
        <v>44469</v>
      </c>
      <c r="F2154" s="2">
        <f t="shared" si="198"/>
        <v>2021</v>
      </c>
      <c r="G2154">
        <v>81</v>
      </c>
      <c r="H2154" s="3">
        <v>438020</v>
      </c>
      <c r="I2154">
        <v>12710</v>
      </c>
      <c r="J2154">
        <v>438020</v>
      </c>
      <c r="K2154">
        <v>380340</v>
      </c>
      <c r="L2154">
        <v>370925</v>
      </c>
      <c r="M2154" t="str">
        <f t="shared" si="199"/>
        <v>Medium</v>
      </c>
      <c r="N2154">
        <f>VLOOKUP(C2154,Lookup!$A$2:$D$5,MATCH(M2154,Lookup!$A$1:$D$1,0),FALSE)</f>
        <v>0.08</v>
      </c>
      <c r="O2154">
        <f t="shared" si="200"/>
        <v>29674</v>
      </c>
      <c r="P2154" s="7">
        <f t="shared" si="201"/>
        <v>0.86831651522761522</v>
      </c>
      <c r="Q2154" s="7">
        <f t="shared" si="202"/>
        <v>5407.6543209876545</v>
      </c>
      <c r="R2154">
        <f t="shared" si="203"/>
        <v>0.42832108916896949</v>
      </c>
    </row>
    <row r="2155" spans="1:18" x14ac:dyDescent="0.25">
      <c r="A2155" t="s">
        <v>1229</v>
      </c>
      <c r="B2155" t="s">
        <v>1230</v>
      </c>
      <c r="C2155" t="s">
        <v>8</v>
      </c>
      <c r="D2155">
        <v>62501</v>
      </c>
      <c r="E2155" s="1">
        <v>43738</v>
      </c>
      <c r="F2155" s="2">
        <f t="shared" si="198"/>
        <v>2019</v>
      </c>
      <c r="G2155">
        <v>19</v>
      </c>
      <c r="H2155" s="3">
        <v>77258</v>
      </c>
      <c r="I2155">
        <v>5610</v>
      </c>
      <c r="J2155">
        <v>77258</v>
      </c>
      <c r="K2155">
        <v>67528</v>
      </c>
      <c r="L2155">
        <v>66478</v>
      </c>
      <c r="M2155" t="str">
        <f t="shared" si="199"/>
        <v>Small</v>
      </c>
      <c r="N2155">
        <f>VLOOKUP(C2155,Lookup!$A$2:$D$5,MATCH(M2155,Lookup!$A$1:$D$1,0),FALSE)</f>
        <v>0.09</v>
      </c>
      <c r="O2155">
        <f t="shared" si="200"/>
        <v>5983.0199999999995</v>
      </c>
      <c r="P2155" s="7">
        <f t="shared" si="201"/>
        <v>0.87405834994434228</v>
      </c>
      <c r="Q2155" s="7">
        <f t="shared" si="202"/>
        <v>4066.2105263157896</v>
      </c>
      <c r="R2155">
        <f t="shared" si="203"/>
        <v>0.93765355957359331</v>
      </c>
    </row>
    <row r="2156" spans="1:18" x14ac:dyDescent="0.25">
      <c r="A2156" t="s">
        <v>1229</v>
      </c>
      <c r="B2156" t="s">
        <v>1230</v>
      </c>
      <c r="C2156" t="s">
        <v>8</v>
      </c>
      <c r="D2156">
        <v>62501</v>
      </c>
      <c r="E2156" s="1">
        <v>44104</v>
      </c>
      <c r="F2156" s="2">
        <f t="shared" si="198"/>
        <v>2020</v>
      </c>
      <c r="G2156">
        <v>17</v>
      </c>
      <c r="H2156" s="3">
        <v>84112</v>
      </c>
      <c r="I2156">
        <v>5585</v>
      </c>
      <c r="J2156">
        <v>84112</v>
      </c>
      <c r="K2156">
        <v>73075</v>
      </c>
      <c r="L2156">
        <v>68844</v>
      </c>
      <c r="M2156" t="str">
        <f t="shared" si="199"/>
        <v>Small</v>
      </c>
      <c r="N2156">
        <f>VLOOKUP(C2156,Lookup!$A$2:$D$5,MATCH(M2156,Lookup!$A$1:$D$1,0),FALSE)</f>
        <v>0.09</v>
      </c>
      <c r="O2156">
        <f t="shared" si="200"/>
        <v>6195.96</v>
      </c>
      <c r="P2156" s="7">
        <f t="shared" si="201"/>
        <v>0.8687821000570668</v>
      </c>
      <c r="Q2156" s="7">
        <f t="shared" si="202"/>
        <v>4947.7647058823532</v>
      </c>
      <c r="R2156">
        <f t="shared" si="203"/>
        <v>0.90139381145133279</v>
      </c>
    </row>
    <row r="2157" spans="1:18" x14ac:dyDescent="0.25">
      <c r="A2157" t="s">
        <v>1229</v>
      </c>
      <c r="B2157" t="s">
        <v>1230</v>
      </c>
      <c r="C2157" t="s">
        <v>8</v>
      </c>
      <c r="D2157">
        <v>62501</v>
      </c>
      <c r="E2157" s="1">
        <v>44469</v>
      </c>
      <c r="F2157" s="2">
        <f t="shared" si="198"/>
        <v>2021</v>
      </c>
      <c r="G2157">
        <v>16</v>
      </c>
      <c r="H2157" s="3">
        <v>94487</v>
      </c>
      <c r="I2157">
        <v>3683</v>
      </c>
      <c r="J2157">
        <v>94487</v>
      </c>
      <c r="K2157">
        <v>83300</v>
      </c>
      <c r="L2157">
        <v>83168</v>
      </c>
      <c r="M2157" t="str">
        <f t="shared" si="199"/>
        <v>Small</v>
      </c>
      <c r="N2157">
        <f>VLOOKUP(C2157,Lookup!$A$2:$D$5,MATCH(M2157,Lookup!$A$1:$D$1,0),FALSE)</f>
        <v>0.09</v>
      </c>
      <c r="O2157">
        <f t="shared" si="200"/>
        <v>7485.12</v>
      </c>
      <c r="P2157" s="7">
        <f t="shared" si="201"/>
        <v>0.88160276016806549</v>
      </c>
      <c r="Q2157" s="7">
        <f t="shared" si="202"/>
        <v>5905.4375</v>
      </c>
      <c r="R2157">
        <f t="shared" si="203"/>
        <v>0.49204287974007099</v>
      </c>
    </row>
    <row r="2158" spans="1:18" x14ac:dyDescent="0.25">
      <c r="A2158" t="s">
        <v>1231</v>
      </c>
      <c r="B2158" t="s">
        <v>1232</v>
      </c>
      <c r="C2158" t="s">
        <v>8</v>
      </c>
      <c r="D2158">
        <v>61847</v>
      </c>
      <c r="E2158" s="1">
        <v>43738</v>
      </c>
      <c r="F2158" s="2">
        <f t="shared" si="198"/>
        <v>2019</v>
      </c>
      <c r="G2158">
        <v>40</v>
      </c>
      <c r="H2158" s="3">
        <v>155119</v>
      </c>
      <c r="I2158">
        <v>3600</v>
      </c>
      <c r="J2158">
        <v>155119</v>
      </c>
      <c r="K2158">
        <v>139760</v>
      </c>
      <c r="L2158">
        <v>131222</v>
      </c>
      <c r="M2158" t="str">
        <f t="shared" si="199"/>
        <v>Medium</v>
      </c>
      <c r="N2158">
        <f>VLOOKUP(C2158,Lookup!$A$2:$D$5,MATCH(M2158,Lookup!$A$1:$D$1,0),FALSE)</f>
        <v>0.08</v>
      </c>
      <c r="O2158">
        <f t="shared" si="200"/>
        <v>10497.76</v>
      </c>
      <c r="P2158" s="7">
        <f t="shared" si="201"/>
        <v>0.90098569485362845</v>
      </c>
      <c r="Q2158" s="7">
        <f t="shared" si="202"/>
        <v>3877.9749999999999</v>
      </c>
      <c r="R2158">
        <f t="shared" si="203"/>
        <v>0.34293030132142477</v>
      </c>
    </row>
    <row r="2159" spans="1:18" x14ac:dyDescent="0.25">
      <c r="A2159" t="s">
        <v>1231</v>
      </c>
      <c r="B2159" t="s">
        <v>1232</v>
      </c>
      <c r="C2159" t="s">
        <v>8</v>
      </c>
      <c r="D2159">
        <v>61847</v>
      </c>
      <c r="E2159" s="1">
        <v>44104</v>
      </c>
      <c r="F2159" s="2">
        <f t="shared" si="198"/>
        <v>2020</v>
      </c>
      <c r="G2159">
        <v>40</v>
      </c>
      <c r="H2159" s="3">
        <v>166035</v>
      </c>
      <c r="I2159">
        <v>5673</v>
      </c>
      <c r="J2159">
        <v>166035</v>
      </c>
      <c r="K2159">
        <v>150542</v>
      </c>
      <c r="L2159">
        <v>149313</v>
      </c>
      <c r="M2159" t="str">
        <f t="shared" si="199"/>
        <v>Medium</v>
      </c>
      <c r="N2159">
        <f>VLOOKUP(C2159,Lookup!$A$2:$D$5,MATCH(M2159,Lookup!$A$1:$D$1,0),FALSE)</f>
        <v>0.08</v>
      </c>
      <c r="O2159">
        <f t="shared" si="200"/>
        <v>11945.04</v>
      </c>
      <c r="P2159" s="7">
        <f t="shared" si="201"/>
        <v>0.90668834884211158</v>
      </c>
      <c r="Q2159" s="7">
        <f t="shared" si="202"/>
        <v>4150.875</v>
      </c>
      <c r="R2159">
        <f t="shared" si="203"/>
        <v>0.4749251572200679</v>
      </c>
    </row>
    <row r="2160" spans="1:18" x14ac:dyDescent="0.25">
      <c r="A2160" t="s">
        <v>1231</v>
      </c>
      <c r="B2160" t="s">
        <v>1232</v>
      </c>
      <c r="C2160" t="s">
        <v>8</v>
      </c>
      <c r="D2160">
        <v>61847</v>
      </c>
      <c r="E2160" s="1">
        <v>44469</v>
      </c>
      <c r="F2160" s="2">
        <f t="shared" si="198"/>
        <v>2021</v>
      </c>
      <c r="G2160">
        <v>40</v>
      </c>
      <c r="H2160" s="3">
        <v>178767</v>
      </c>
      <c r="I2160">
        <v>53142</v>
      </c>
      <c r="J2160">
        <v>178767</v>
      </c>
      <c r="K2160">
        <v>163270</v>
      </c>
      <c r="L2160">
        <v>161899</v>
      </c>
      <c r="M2160" t="str">
        <f t="shared" si="199"/>
        <v>Medium</v>
      </c>
      <c r="N2160">
        <f>VLOOKUP(C2160,Lookup!$A$2:$D$5,MATCH(M2160,Lookup!$A$1:$D$1,0),FALSE)</f>
        <v>0.08</v>
      </c>
      <c r="O2160">
        <f t="shared" si="200"/>
        <v>12951.92</v>
      </c>
      <c r="P2160" s="7">
        <f t="shared" si="201"/>
        <v>0.91331174098127732</v>
      </c>
      <c r="Q2160" s="7">
        <f t="shared" si="202"/>
        <v>4469.1750000000002</v>
      </c>
      <c r="R2160">
        <f t="shared" si="203"/>
        <v>4.1030210192774508</v>
      </c>
    </row>
    <row r="2161" spans="1:18" x14ac:dyDescent="0.25">
      <c r="A2161" t="s">
        <v>1233</v>
      </c>
      <c r="B2161" t="s">
        <v>1234</v>
      </c>
      <c r="C2161" t="s">
        <v>8</v>
      </c>
      <c r="D2161">
        <v>61326</v>
      </c>
      <c r="E2161" s="1">
        <v>43738</v>
      </c>
      <c r="F2161" s="2">
        <f t="shared" si="198"/>
        <v>2019</v>
      </c>
      <c r="G2161">
        <v>15</v>
      </c>
      <c r="H2161" s="3">
        <v>88723</v>
      </c>
      <c r="I2161">
        <v>16321</v>
      </c>
      <c r="J2161">
        <v>88723</v>
      </c>
      <c r="K2161">
        <v>77956</v>
      </c>
      <c r="L2161">
        <v>77513</v>
      </c>
      <c r="M2161" t="str">
        <f t="shared" si="199"/>
        <v>Small</v>
      </c>
      <c r="N2161">
        <f>VLOOKUP(C2161,Lookup!$A$2:$D$5,MATCH(M2161,Lookup!$A$1:$D$1,0),FALSE)</f>
        <v>0.09</v>
      </c>
      <c r="O2161">
        <f t="shared" si="200"/>
        <v>6976.17</v>
      </c>
      <c r="P2161" s="7">
        <f t="shared" si="201"/>
        <v>0.87864477080351211</v>
      </c>
      <c r="Q2161" s="7">
        <f t="shared" si="202"/>
        <v>5914.8666666666668</v>
      </c>
      <c r="R2161">
        <f t="shared" si="203"/>
        <v>2.3395358771360217</v>
      </c>
    </row>
    <row r="2162" spans="1:18" x14ac:dyDescent="0.25">
      <c r="A2162" t="s">
        <v>1233</v>
      </c>
      <c r="B2162" t="s">
        <v>1234</v>
      </c>
      <c r="C2162" t="s">
        <v>8</v>
      </c>
      <c r="D2162">
        <v>61326</v>
      </c>
      <c r="E2162" s="1">
        <v>44104</v>
      </c>
      <c r="F2162" s="2">
        <f t="shared" si="198"/>
        <v>2020</v>
      </c>
      <c r="G2162">
        <v>13</v>
      </c>
      <c r="H2162" s="3">
        <v>101379</v>
      </c>
      <c r="I2162">
        <v>22520</v>
      </c>
      <c r="J2162">
        <v>101379</v>
      </c>
      <c r="K2162">
        <v>89276</v>
      </c>
      <c r="L2162">
        <v>88587</v>
      </c>
      <c r="M2162" t="str">
        <f t="shared" si="199"/>
        <v>Medium</v>
      </c>
      <c r="N2162">
        <f>VLOOKUP(C2162,Lookup!$A$2:$D$5,MATCH(M2162,Lookup!$A$1:$D$1,0),FALSE)</f>
        <v>0.08</v>
      </c>
      <c r="O2162">
        <f t="shared" si="200"/>
        <v>7086.96</v>
      </c>
      <c r="P2162" s="7">
        <f t="shared" si="201"/>
        <v>0.88061630120636425</v>
      </c>
      <c r="Q2162" s="7">
        <f t="shared" si="202"/>
        <v>7798.3846153846152</v>
      </c>
      <c r="R2162">
        <f t="shared" si="203"/>
        <v>3.1776671520652013</v>
      </c>
    </row>
    <row r="2163" spans="1:18" x14ac:dyDescent="0.25">
      <c r="A2163" t="s">
        <v>1233</v>
      </c>
      <c r="B2163" t="s">
        <v>1234</v>
      </c>
      <c r="C2163" t="s">
        <v>8</v>
      </c>
      <c r="D2163">
        <v>61326</v>
      </c>
      <c r="E2163" s="1">
        <v>44469</v>
      </c>
      <c r="F2163" s="2">
        <f t="shared" si="198"/>
        <v>2021</v>
      </c>
      <c r="G2163">
        <v>13</v>
      </c>
      <c r="H2163" s="3">
        <v>111813</v>
      </c>
      <c r="I2163">
        <v>20401</v>
      </c>
      <c r="J2163">
        <v>111813</v>
      </c>
      <c r="K2163">
        <v>99781</v>
      </c>
      <c r="L2163">
        <v>99162</v>
      </c>
      <c r="M2163" t="str">
        <f t="shared" si="199"/>
        <v>Medium</v>
      </c>
      <c r="N2163">
        <f>VLOOKUP(C2163,Lookup!$A$2:$D$5,MATCH(M2163,Lookup!$A$1:$D$1,0),FALSE)</f>
        <v>0.08</v>
      </c>
      <c r="O2163">
        <f t="shared" si="200"/>
        <v>7932.96</v>
      </c>
      <c r="P2163" s="7">
        <f t="shared" si="201"/>
        <v>0.89239176124422026</v>
      </c>
      <c r="Q2163" s="7">
        <f t="shared" si="202"/>
        <v>8601</v>
      </c>
      <c r="R2163">
        <f t="shared" si="203"/>
        <v>2.5716756418789455</v>
      </c>
    </row>
    <row r="2164" spans="1:18" x14ac:dyDescent="0.25">
      <c r="A2164" t="s">
        <v>1235</v>
      </c>
      <c r="B2164" t="s">
        <v>1236</v>
      </c>
      <c r="C2164" t="s">
        <v>8</v>
      </c>
      <c r="D2164">
        <v>60033</v>
      </c>
      <c r="E2164" s="1">
        <v>43738</v>
      </c>
      <c r="F2164" s="2">
        <f t="shared" si="198"/>
        <v>2019</v>
      </c>
      <c r="G2164">
        <v>54</v>
      </c>
      <c r="H2164" s="3">
        <v>254234</v>
      </c>
      <c r="I2164">
        <v>10551</v>
      </c>
      <c r="J2164">
        <v>254234</v>
      </c>
      <c r="K2164">
        <v>228063</v>
      </c>
      <c r="L2164">
        <v>224370</v>
      </c>
      <c r="M2164" t="str">
        <f t="shared" si="199"/>
        <v>Medium</v>
      </c>
      <c r="N2164">
        <f>VLOOKUP(C2164,Lookup!$A$2:$D$5,MATCH(M2164,Lookup!$A$1:$D$1,0),FALSE)</f>
        <v>0.08</v>
      </c>
      <c r="O2164">
        <f t="shared" si="200"/>
        <v>17949.600000000002</v>
      </c>
      <c r="P2164" s="7">
        <f t="shared" si="201"/>
        <v>0.8970594019682655</v>
      </c>
      <c r="Q2164" s="7">
        <f t="shared" si="202"/>
        <v>4708.0370370370374</v>
      </c>
      <c r="R2164">
        <f t="shared" si="203"/>
        <v>0.58781254178366082</v>
      </c>
    </row>
    <row r="2165" spans="1:18" x14ac:dyDescent="0.25">
      <c r="A2165" t="s">
        <v>1235</v>
      </c>
      <c r="B2165" t="s">
        <v>1236</v>
      </c>
      <c r="C2165" t="s">
        <v>8</v>
      </c>
      <c r="D2165">
        <v>60033</v>
      </c>
      <c r="E2165" s="1">
        <v>44104</v>
      </c>
      <c r="F2165" s="2">
        <f t="shared" si="198"/>
        <v>2020</v>
      </c>
      <c r="G2165">
        <v>54</v>
      </c>
      <c r="H2165" s="3">
        <v>296788</v>
      </c>
      <c r="I2165">
        <v>6548</v>
      </c>
      <c r="J2165">
        <v>296788</v>
      </c>
      <c r="K2165">
        <v>266371</v>
      </c>
      <c r="L2165">
        <v>262677</v>
      </c>
      <c r="M2165" t="str">
        <f t="shared" si="199"/>
        <v>Medium</v>
      </c>
      <c r="N2165">
        <f>VLOOKUP(C2165,Lookup!$A$2:$D$5,MATCH(M2165,Lookup!$A$1:$D$1,0),FALSE)</f>
        <v>0.08</v>
      </c>
      <c r="O2165">
        <f t="shared" si="200"/>
        <v>21014.16</v>
      </c>
      <c r="P2165" s="7">
        <f t="shared" si="201"/>
        <v>0.89751270266991923</v>
      </c>
      <c r="Q2165" s="7">
        <f t="shared" si="202"/>
        <v>5496.0740740740739</v>
      </c>
      <c r="R2165">
        <f t="shared" si="203"/>
        <v>0.31159941677421321</v>
      </c>
    </row>
    <row r="2166" spans="1:18" x14ac:dyDescent="0.25">
      <c r="A2166" t="s">
        <v>1235</v>
      </c>
      <c r="B2166" t="s">
        <v>1236</v>
      </c>
      <c r="C2166" t="s">
        <v>8</v>
      </c>
      <c r="D2166">
        <v>60033</v>
      </c>
      <c r="E2166" s="1">
        <v>44469</v>
      </c>
      <c r="F2166" s="2">
        <f t="shared" si="198"/>
        <v>2021</v>
      </c>
      <c r="G2166">
        <v>43</v>
      </c>
      <c r="H2166" s="3">
        <v>330211</v>
      </c>
      <c r="I2166">
        <v>7767</v>
      </c>
      <c r="J2166">
        <v>330211</v>
      </c>
      <c r="K2166">
        <v>299574</v>
      </c>
      <c r="L2166">
        <v>295451</v>
      </c>
      <c r="M2166" t="str">
        <f t="shared" si="199"/>
        <v>Medium</v>
      </c>
      <c r="N2166">
        <f>VLOOKUP(C2166,Lookup!$A$2:$D$5,MATCH(M2166,Lookup!$A$1:$D$1,0),FALSE)</f>
        <v>0.08</v>
      </c>
      <c r="O2166">
        <f t="shared" si="200"/>
        <v>23636.080000000002</v>
      </c>
      <c r="P2166" s="7">
        <f t="shared" si="201"/>
        <v>0.90721992907565163</v>
      </c>
      <c r="Q2166" s="7">
        <f t="shared" si="202"/>
        <v>7679.3255813953492</v>
      </c>
      <c r="R2166">
        <f t="shared" si="203"/>
        <v>0.3286077894473195</v>
      </c>
    </row>
    <row r="2167" spans="1:18" x14ac:dyDescent="0.25">
      <c r="A2167" t="s">
        <v>1237</v>
      </c>
      <c r="B2167" t="s">
        <v>1238</v>
      </c>
      <c r="C2167" t="s">
        <v>8</v>
      </c>
      <c r="D2167">
        <v>62644</v>
      </c>
      <c r="E2167" s="1">
        <v>43738</v>
      </c>
      <c r="F2167" s="2">
        <f t="shared" si="198"/>
        <v>2019</v>
      </c>
      <c r="G2167">
        <v>54</v>
      </c>
      <c r="H2167" s="3">
        <v>254207</v>
      </c>
      <c r="I2167">
        <v>8444</v>
      </c>
      <c r="J2167">
        <v>254207</v>
      </c>
      <c r="K2167">
        <v>225383</v>
      </c>
      <c r="L2167">
        <v>189335</v>
      </c>
      <c r="M2167" t="str">
        <f t="shared" si="199"/>
        <v>Medium</v>
      </c>
      <c r="N2167">
        <f>VLOOKUP(C2167,Lookup!$A$2:$D$5,MATCH(M2167,Lookup!$A$1:$D$1,0),FALSE)</f>
        <v>0.08</v>
      </c>
      <c r="O2167">
        <f t="shared" si="200"/>
        <v>15146.800000000001</v>
      </c>
      <c r="P2167" s="7">
        <f t="shared" si="201"/>
        <v>0.88661209172052702</v>
      </c>
      <c r="Q2167" s="7">
        <f t="shared" si="202"/>
        <v>4707.5370370370374</v>
      </c>
      <c r="R2167">
        <f t="shared" si="203"/>
        <v>0.5574774869939525</v>
      </c>
    </row>
    <row r="2168" spans="1:18" x14ac:dyDescent="0.25">
      <c r="A2168" t="s">
        <v>1237</v>
      </c>
      <c r="B2168" t="s">
        <v>1238</v>
      </c>
      <c r="C2168" t="s">
        <v>8</v>
      </c>
      <c r="D2168">
        <v>62644</v>
      </c>
      <c r="E2168" s="1">
        <v>44104</v>
      </c>
      <c r="F2168" s="2">
        <f t="shared" si="198"/>
        <v>2020</v>
      </c>
      <c r="G2168">
        <v>52</v>
      </c>
      <c r="H2168" s="3">
        <v>297931</v>
      </c>
      <c r="I2168">
        <v>54623</v>
      </c>
      <c r="J2168">
        <v>297931</v>
      </c>
      <c r="K2168">
        <v>267569</v>
      </c>
      <c r="L2168">
        <v>216973</v>
      </c>
      <c r="M2168" t="str">
        <f t="shared" si="199"/>
        <v>Medium</v>
      </c>
      <c r="N2168">
        <f>VLOOKUP(C2168,Lookup!$A$2:$D$5,MATCH(M2168,Lookup!$A$1:$D$1,0),FALSE)</f>
        <v>0.08</v>
      </c>
      <c r="O2168">
        <f t="shared" si="200"/>
        <v>17357.84</v>
      </c>
      <c r="P2168" s="7">
        <f t="shared" si="201"/>
        <v>0.89809049746417791</v>
      </c>
      <c r="Q2168" s="7">
        <f t="shared" si="202"/>
        <v>5729.4423076923076</v>
      </c>
      <c r="R2168">
        <f t="shared" si="203"/>
        <v>3.1468777221128894</v>
      </c>
    </row>
    <row r="2169" spans="1:18" x14ac:dyDescent="0.25">
      <c r="A2169" t="s">
        <v>1237</v>
      </c>
      <c r="B2169" t="s">
        <v>1238</v>
      </c>
      <c r="C2169" t="s">
        <v>8</v>
      </c>
      <c r="D2169">
        <v>62644</v>
      </c>
      <c r="E2169" s="1">
        <v>44469</v>
      </c>
      <c r="F2169" s="2">
        <f t="shared" si="198"/>
        <v>2021</v>
      </c>
      <c r="G2169">
        <v>53</v>
      </c>
      <c r="H2169" s="3">
        <v>322740</v>
      </c>
      <c r="I2169">
        <v>69623</v>
      </c>
      <c r="J2169">
        <v>322740</v>
      </c>
      <c r="K2169">
        <v>292128</v>
      </c>
      <c r="L2169">
        <v>246683</v>
      </c>
      <c r="M2169" t="str">
        <f t="shared" si="199"/>
        <v>Medium</v>
      </c>
      <c r="N2169">
        <f>VLOOKUP(C2169,Lookup!$A$2:$D$5,MATCH(M2169,Lookup!$A$1:$D$1,0),FALSE)</f>
        <v>0.08</v>
      </c>
      <c r="O2169">
        <f t="shared" si="200"/>
        <v>19734.64</v>
      </c>
      <c r="P2169" s="7">
        <f t="shared" si="201"/>
        <v>0.9051496560699015</v>
      </c>
      <c r="Q2169" s="7">
        <f t="shared" si="202"/>
        <v>6089.433962264151</v>
      </c>
      <c r="R2169">
        <f t="shared" si="203"/>
        <v>3.5279589594743053</v>
      </c>
    </row>
    <row r="2170" spans="1:18" x14ac:dyDescent="0.25">
      <c r="A2170" t="s">
        <v>1239</v>
      </c>
      <c r="B2170" t="s">
        <v>593</v>
      </c>
      <c r="C2170" t="s">
        <v>8</v>
      </c>
      <c r="D2170">
        <v>62379</v>
      </c>
      <c r="E2170" s="1">
        <v>43738</v>
      </c>
      <c r="F2170" s="2">
        <f t="shared" si="198"/>
        <v>2019</v>
      </c>
      <c r="G2170">
        <v>8</v>
      </c>
      <c r="H2170" s="3">
        <v>41506</v>
      </c>
      <c r="I2170">
        <v>14328</v>
      </c>
      <c r="J2170">
        <v>41506</v>
      </c>
      <c r="K2170">
        <v>35107</v>
      </c>
      <c r="L2170">
        <v>34974</v>
      </c>
      <c r="M2170" t="str">
        <f t="shared" si="199"/>
        <v>Small</v>
      </c>
      <c r="N2170">
        <f>VLOOKUP(C2170,Lookup!$A$2:$D$5,MATCH(M2170,Lookup!$A$1:$D$1,0),FALSE)</f>
        <v>0.09</v>
      </c>
      <c r="O2170">
        <f t="shared" si="200"/>
        <v>3147.66</v>
      </c>
      <c r="P2170" s="7">
        <f t="shared" si="201"/>
        <v>0.84582951862381339</v>
      </c>
      <c r="Q2170" s="7">
        <f t="shared" si="202"/>
        <v>5188.25</v>
      </c>
      <c r="R2170">
        <f t="shared" si="203"/>
        <v>4.5519528792817523</v>
      </c>
    </row>
    <row r="2171" spans="1:18" x14ac:dyDescent="0.25">
      <c r="A2171" t="s">
        <v>1239</v>
      </c>
      <c r="B2171" t="s">
        <v>593</v>
      </c>
      <c r="C2171" t="s">
        <v>8</v>
      </c>
      <c r="D2171">
        <v>62379</v>
      </c>
      <c r="E2171" s="1">
        <v>44104</v>
      </c>
      <c r="F2171" s="2">
        <f t="shared" si="198"/>
        <v>2020</v>
      </c>
      <c r="G2171">
        <v>6</v>
      </c>
      <c r="H2171" s="3">
        <v>44951</v>
      </c>
      <c r="I2171">
        <v>20122</v>
      </c>
      <c r="J2171">
        <v>44951</v>
      </c>
      <c r="K2171">
        <v>38923</v>
      </c>
      <c r="L2171">
        <v>38803</v>
      </c>
      <c r="M2171" t="str">
        <f t="shared" si="199"/>
        <v>Small</v>
      </c>
      <c r="N2171">
        <f>VLOOKUP(C2171,Lookup!$A$2:$D$5,MATCH(M2171,Lookup!$A$1:$D$1,0),FALSE)</f>
        <v>0.09</v>
      </c>
      <c r="O2171">
        <f t="shared" si="200"/>
        <v>3492.27</v>
      </c>
      <c r="P2171" s="7">
        <f t="shared" si="201"/>
        <v>0.86589842272696937</v>
      </c>
      <c r="Q2171" s="7">
        <f t="shared" si="202"/>
        <v>7491.833333333333</v>
      </c>
      <c r="R2171">
        <f t="shared" si="203"/>
        <v>5.7618683549668264</v>
      </c>
    </row>
    <row r="2172" spans="1:18" x14ac:dyDescent="0.25">
      <c r="A2172" t="s">
        <v>1239</v>
      </c>
      <c r="B2172" t="s">
        <v>593</v>
      </c>
      <c r="C2172" t="s">
        <v>8</v>
      </c>
      <c r="D2172">
        <v>62379</v>
      </c>
      <c r="E2172" s="1">
        <v>44469</v>
      </c>
      <c r="F2172" s="2">
        <f t="shared" si="198"/>
        <v>2021</v>
      </c>
      <c r="G2172">
        <v>6</v>
      </c>
      <c r="H2172" s="3">
        <v>51074</v>
      </c>
      <c r="I2172">
        <v>26780</v>
      </c>
      <c r="J2172">
        <v>51074</v>
      </c>
      <c r="K2172">
        <v>44483</v>
      </c>
      <c r="L2172">
        <v>44449</v>
      </c>
      <c r="M2172" t="str">
        <f t="shared" si="199"/>
        <v>Small</v>
      </c>
      <c r="N2172">
        <f>VLOOKUP(C2172,Lookup!$A$2:$D$5,MATCH(M2172,Lookup!$A$1:$D$1,0),FALSE)</f>
        <v>0.09</v>
      </c>
      <c r="O2172">
        <f t="shared" si="200"/>
        <v>4000.41</v>
      </c>
      <c r="P2172" s="7">
        <f t="shared" si="201"/>
        <v>0.87095195206954612</v>
      </c>
      <c r="Q2172" s="7">
        <f t="shared" si="202"/>
        <v>8512.3333333333339</v>
      </c>
      <c r="R2172">
        <f t="shared" si="203"/>
        <v>6.694313832832135</v>
      </c>
    </row>
    <row r="2173" spans="1:18" x14ac:dyDescent="0.25">
      <c r="A2173" t="s">
        <v>1240</v>
      </c>
      <c r="B2173" t="s">
        <v>356</v>
      </c>
      <c r="C2173" t="s">
        <v>8</v>
      </c>
      <c r="D2173">
        <v>62881</v>
      </c>
      <c r="E2173" s="1">
        <v>43738</v>
      </c>
      <c r="F2173" s="2">
        <f t="shared" si="198"/>
        <v>2019</v>
      </c>
      <c r="G2173">
        <v>20</v>
      </c>
      <c r="H2173" s="3">
        <v>97572</v>
      </c>
      <c r="I2173">
        <v>6372</v>
      </c>
      <c r="J2173">
        <v>97573</v>
      </c>
      <c r="K2173">
        <v>87918</v>
      </c>
      <c r="L2173">
        <v>83042</v>
      </c>
      <c r="M2173" t="str">
        <f t="shared" si="199"/>
        <v>Small</v>
      </c>
      <c r="N2173">
        <f>VLOOKUP(C2173,Lookup!$A$2:$D$5,MATCH(M2173,Lookup!$A$1:$D$1,0),FALSE)</f>
        <v>0.09</v>
      </c>
      <c r="O2173">
        <f t="shared" si="200"/>
        <v>7473.78</v>
      </c>
      <c r="P2173" s="7">
        <f t="shared" si="201"/>
        <v>0.90105768048210555</v>
      </c>
      <c r="Q2173" s="7">
        <f t="shared" si="202"/>
        <v>4878.6000000000004</v>
      </c>
      <c r="R2173">
        <f t="shared" si="203"/>
        <v>0.85258062185400163</v>
      </c>
    </row>
    <row r="2174" spans="1:18" x14ac:dyDescent="0.25">
      <c r="A2174" t="s">
        <v>1240</v>
      </c>
      <c r="B2174" t="s">
        <v>356</v>
      </c>
      <c r="C2174" t="s">
        <v>8</v>
      </c>
      <c r="D2174">
        <v>62881</v>
      </c>
      <c r="E2174" s="1">
        <v>44104</v>
      </c>
      <c r="F2174" s="2">
        <f t="shared" si="198"/>
        <v>2020</v>
      </c>
      <c r="G2174">
        <v>27</v>
      </c>
      <c r="H2174" s="3">
        <v>112427</v>
      </c>
      <c r="I2174">
        <v>18741</v>
      </c>
      <c r="J2174">
        <v>112428</v>
      </c>
      <c r="K2174">
        <v>102036</v>
      </c>
      <c r="L2174">
        <v>96487</v>
      </c>
      <c r="M2174" t="str">
        <f t="shared" si="199"/>
        <v>Medium</v>
      </c>
      <c r="N2174">
        <f>VLOOKUP(C2174,Lookup!$A$2:$D$5,MATCH(M2174,Lookup!$A$1:$D$1,0),FALSE)</f>
        <v>0.08</v>
      </c>
      <c r="O2174">
        <f t="shared" si="200"/>
        <v>7718.96</v>
      </c>
      <c r="P2174" s="7">
        <f t="shared" si="201"/>
        <v>0.90757558237789859</v>
      </c>
      <c r="Q2174" s="7">
        <f t="shared" si="202"/>
        <v>4163.9629629629626</v>
      </c>
      <c r="R2174">
        <f t="shared" si="203"/>
        <v>2.427917750577798</v>
      </c>
    </row>
    <row r="2175" spans="1:18" x14ac:dyDescent="0.25">
      <c r="A2175" t="s">
        <v>1240</v>
      </c>
      <c r="B2175" t="s">
        <v>356</v>
      </c>
      <c r="C2175" t="s">
        <v>8</v>
      </c>
      <c r="D2175">
        <v>62881</v>
      </c>
      <c r="E2175" s="1">
        <v>44469</v>
      </c>
      <c r="F2175" s="2">
        <f t="shared" si="198"/>
        <v>2021</v>
      </c>
      <c r="G2175">
        <v>25</v>
      </c>
      <c r="H2175" s="3">
        <v>117549</v>
      </c>
      <c r="I2175">
        <v>19524</v>
      </c>
      <c r="J2175">
        <v>117549</v>
      </c>
      <c r="K2175">
        <v>106731</v>
      </c>
      <c r="L2175">
        <v>101199</v>
      </c>
      <c r="M2175" t="str">
        <f t="shared" si="199"/>
        <v>Medium</v>
      </c>
      <c r="N2175">
        <f>VLOOKUP(C2175,Lookup!$A$2:$D$5,MATCH(M2175,Lookup!$A$1:$D$1,0),FALSE)</f>
        <v>0.08</v>
      </c>
      <c r="O2175">
        <f t="shared" si="200"/>
        <v>8095.92</v>
      </c>
      <c r="P2175" s="7">
        <f t="shared" si="201"/>
        <v>0.90797029323941503</v>
      </c>
      <c r="Q2175" s="7">
        <f t="shared" si="202"/>
        <v>4701.96</v>
      </c>
      <c r="R2175">
        <f t="shared" si="203"/>
        <v>2.4115850947143747</v>
      </c>
    </row>
    <row r="2176" spans="1:18" x14ac:dyDescent="0.25">
      <c r="A2176" t="s">
        <v>1241</v>
      </c>
      <c r="B2176" t="s">
        <v>439</v>
      </c>
      <c r="C2176" t="s">
        <v>8</v>
      </c>
      <c r="D2176">
        <v>60523</v>
      </c>
      <c r="E2176" s="1">
        <v>43738</v>
      </c>
      <c r="F2176" s="2">
        <f t="shared" si="198"/>
        <v>2019</v>
      </c>
      <c r="G2176">
        <v>37</v>
      </c>
      <c r="H2176" s="3">
        <v>335661</v>
      </c>
      <c r="I2176">
        <v>30800</v>
      </c>
      <c r="J2176">
        <v>335661</v>
      </c>
      <c r="K2176">
        <v>292519</v>
      </c>
      <c r="L2176">
        <v>272660</v>
      </c>
      <c r="M2176" t="str">
        <f t="shared" si="199"/>
        <v>Medium</v>
      </c>
      <c r="N2176">
        <f>VLOOKUP(C2176,Lookup!$A$2:$D$5,MATCH(M2176,Lookup!$A$1:$D$1,0),FALSE)</f>
        <v>0.08</v>
      </c>
      <c r="O2176">
        <f t="shared" si="200"/>
        <v>21812.799999999999</v>
      </c>
      <c r="P2176" s="7">
        <f t="shared" si="201"/>
        <v>0.87147151441484116</v>
      </c>
      <c r="Q2176" s="7">
        <f t="shared" si="202"/>
        <v>9071.9189189189183</v>
      </c>
      <c r="R2176">
        <f t="shared" si="203"/>
        <v>1.4120149636910437</v>
      </c>
    </row>
    <row r="2177" spans="1:18" x14ac:dyDescent="0.25">
      <c r="A2177" t="s">
        <v>1241</v>
      </c>
      <c r="B2177" t="s">
        <v>439</v>
      </c>
      <c r="C2177" t="s">
        <v>8</v>
      </c>
      <c r="D2177">
        <v>60523</v>
      </c>
      <c r="E2177" s="1">
        <v>44104</v>
      </c>
      <c r="F2177" s="2">
        <f t="shared" si="198"/>
        <v>2020</v>
      </c>
      <c r="G2177">
        <v>38</v>
      </c>
      <c r="H2177" s="3">
        <v>361726</v>
      </c>
      <c r="I2177">
        <v>49915</v>
      </c>
      <c r="J2177">
        <v>361726</v>
      </c>
      <c r="K2177">
        <v>316991</v>
      </c>
      <c r="L2177">
        <v>292856</v>
      </c>
      <c r="M2177" t="str">
        <f t="shared" si="199"/>
        <v>Medium</v>
      </c>
      <c r="N2177">
        <f>VLOOKUP(C2177,Lookup!$A$2:$D$5,MATCH(M2177,Lookup!$A$1:$D$1,0),FALSE)</f>
        <v>0.08</v>
      </c>
      <c r="O2177">
        <f t="shared" si="200"/>
        <v>23428.48</v>
      </c>
      <c r="P2177" s="7">
        <f t="shared" si="201"/>
        <v>0.87632904463599515</v>
      </c>
      <c r="Q2177" s="7">
        <f t="shared" si="202"/>
        <v>9519.105263157895</v>
      </c>
      <c r="R2177">
        <f t="shared" si="203"/>
        <v>2.1305266069331004</v>
      </c>
    </row>
    <row r="2178" spans="1:18" x14ac:dyDescent="0.25">
      <c r="A2178" t="s">
        <v>1241</v>
      </c>
      <c r="B2178" t="s">
        <v>439</v>
      </c>
      <c r="C2178" t="s">
        <v>8</v>
      </c>
      <c r="D2178">
        <v>60523</v>
      </c>
      <c r="E2178" s="1">
        <v>44469</v>
      </c>
      <c r="F2178" s="2">
        <f t="shared" ref="F2178:F2241" si="204">YEAR(E2178)</f>
        <v>2021</v>
      </c>
      <c r="G2178">
        <v>37</v>
      </c>
      <c r="H2178" s="3">
        <v>358771</v>
      </c>
      <c r="I2178">
        <v>96383</v>
      </c>
      <c r="J2178">
        <v>358771</v>
      </c>
      <c r="K2178">
        <v>313048</v>
      </c>
      <c r="L2178">
        <v>291743</v>
      </c>
      <c r="M2178" t="str">
        <f t="shared" ref="M2178:M2241" si="205">IF(H2178&gt;1000000,"Large",IF(H2178&lt;100000,"Small","Medium"))</f>
        <v>Medium</v>
      </c>
      <c r="N2178">
        <f>VLOOKUP(C2178,Lookup!$A$2:$D$5,MATCH(M2178,Lookup!$A$1:$D$1,0),FALSE)</f>
        <v>0.08</v>
      </c>
      <c r="O2178">
        <f t="shared" ref="O2178:O2241" si="206">L2178*N2178</f>
        <v>23339.439999999999</v>
      </c>
      <c r="P2178" s="7">
        <f t="shared" ref="P2178:P2241" si="207">K2178/H2178</f>
        <v>0.87255658902196664</v>
      </c>
      <c r="Q2178" s="7">
        <f t="shared" ref="Q2178:Q2241" si="208">H2178/G2178</f>
        <v>9696.5135135135133</v>
      </c>
      <c r="R2178">
        <f t="shared" ref="R2178:R2241" si="209">I2178/O2178</f>
        <v>4.1296192196556563</v>
      </c>
    </row>
    <row r="2179" spans="1:18" x14ac:dyDescent="0.25">
      <c r="A2179" t="s">
        <v>1242</v>
      </c>
      <c r="B2179" t="s">
        <v>1243</v>
      </c>
      <c r="C2179" t="s">
        <v>8</v>
      </c>
      <c r="D2179">
        <v>60439</v>
      </c>
      <c r="E2179" s="1">
        <v>43738</v>
      </c>
      <c r="F2179" s="2">
        <f t="shared" si="204"/>
        <v>2019</v>
      </c>
      <c r="G2179">
        <v>16</v>
      </c>
      <c r="H2179" s="3">
        <v>51892</v>
      </c>
      <c r="I2179">
        <v>8833</v>
      </c>
      <c r="J2179">
        <v>51892</v>
      </c>
      <c r="K2179">
        <v>48150</v>
      </c>
      <c r="L2179">
        <v>47791</v>
      </c>
      <c r="M2179" t="str">
        <f t="shared" si="205"/>
        <v>Small</v>
      </c>
      <c r="N2179">
        <f>VLOOKUP(C2179,Lookup!$A$2:$D$5,MATCH(M2179,Lookup!$A$1:$D$1,0),FALSE)</f>
        <v>0.09</v>
      </c>
      <c r="O2179">
        <f t="shared" si="206"/>
        <v>4301.1899999999996</v>
      </c>
      <c r="P2179" s="7">
        <f t="shared" si="207"/>
        <v>0.92788869189855849</v>
      </c>
      <c r="Q2179" s="7">
        <f t="shared" si="208"/>
        <v>3243.25</v>
      </c>
      <c r="R2179">
        <f t="shared" si="209"/>
        <v>2.0536177197473258</v>
      </c>
    </row>
    <row r="2180" spans="1:18" x14ac:dyDescent="0.25">
      <c r="A2180" t="s">
        <v>1242</v>
      </c>
      <c r="B2180" t="s">
        <v>1243</v>
      </c>
      <c r="C2180" t="s">
        <v>8</v>
      </c>
      <c r="D2180">
        <v>60439</v>
      </c>
      <c r="E2180" s="1">
        <v>44104</v>
      </c>
      <c r="F2180" s="2">
        <f t="shared" si="204"/>
        <v>2020</v>
      </c>
      <c r="G2180">
        <v>12</v>
      </c>
      <c r="H2180" s="3">
        <v>57773</v>
      </c>
      <c r="I2180">
        <v>23322</v>
      </c>
      <c r="J2180">
        <v>57773</v>
      </c>
      <c r="K2180">
        <v>54060</v>
      </c>
      <c r="L2180">
        <v>53752</v>
      </c>
      <c r="M2180" t="str">
        <f t="shared" si="205"/>
        <v>Small</v>
      </c>
      <c r="N2180">
        <f>VLOOKUP(C2180,Lookup!$A$2:$D$5,MATCH(M2180,Lookup!$A$1:$D$1,0),FALSE)</f>
        <v>0.09</v>
      </c>
      <c r="O2180">
        <f t="shared" si="206"/>
        <v>4837.6799999999994</v>
      </c>
      <c r="P2180" s="7">
        <f t="shared" si="207"/>
        <v>0.93573122392813257</v>
      </c>
      <c r="Q2180" s="7">
        <f t="shared" si="208"/>
        <v>4814.416666666667</v>
      </c>
      <c r="R2180">
        <f t="shared" si="209"/>
        <v>4.8209058887731313</v>
      </c>
    </row>
    <row r="2181" spans="1:18" x14ac:dyDescent="0.25">
      <c r="A2181" t="s">
        <v>1242</v>
      </c>
      <c r="B2181" t="s">
        <v>1243</v>
      </c>
      <c r="C2181" t="s">
        <v>8</v>
      </c>
      <c r="D2181">
        <v>60439</v>
      </c>
      <c r="E2181" s="1">
        <v>44469</v>
      </c>
      <c r="F2181" s="2">
        <f t="shared" si="204"/>
        <v>2021</v>
      </c>
      <c r="G2181">
        <v>12</v>
      </c>
      <c r="H2181" s="3">
        <v>59313</v>
      </c>
      <c r="I2181">
        <v>21350</v>
      </c>
      <c r="J2181">
        <v>59313</v>
      </c>
      <c r="K2181">
        <v>55796</v>
      </c>
      <c r="L2181">
        <v>55621</v>
      </c>
      <c r="M2181" t="str">
        <f t="shared" si="205"/>
        <v>Small</v>
      </c>
      <c r="N2181">
        <f>VLOOKUP(C2181,Lookup!$A$2:$D$5,MATCH(M2181,Lookup!$A$1:$D$1,0),FALSE)</f>
        <v>0.09</v>
      </c>
      <c r="O2181">
        <f t="shared" si="206"/>
        <v>5005.8899999999994</v>
      </c>
      <c r="P2181" s="7">
        <f t="shared" si="207"/>
        <v>0.94070439869843037</v>
      </c>
      <c r="Q2181" s="7">
        <f t="shared" si="208"/>
        <v>4942.75</v>
      </c>
      <c r="R2181">
        <f t="shared" si="209"/>
        <v>4.2649758584387598</v>
      </c>
    </row>
    <row r="2182" spans="1:18" x14ac:dyDescent="0.25">
      <c r="A2182" t="s">
        <v>1244</v>
      </c>
      <c r="B2182" t="s">
        <v>95</v>
      </c>
      <c r="C2182" t="s">
        <v>8</v>
      </c>
      <c r="D2182">
        <v>62056</v>
      </c>
      <c r="E2182" s="1">
        <v>43738</v>
      </c>
      <c r="F2182" s="2">
        <f t="shared" si="204"/>
        <v>2019</v>
      </c>
      <c r="G2182">
        <v>31</v>
      </c>
      <c r="H2182" s="3">
        <v>107303</v>
      </c>
      <c r="I2182">
        <v>12192</v>
      </c>
      <c r="J2182">
        <v>107303</v>
      </c>
      <c r="K2182">
        <v>97838</v>
      </c>
      <c r="L2182">
        <v>97304</v>
      </c>
      <c r="M2182" t="str">
        <f t="shared" si="205"/>
        <v>Medium</v>
      </c>
      <c r="N2182">
        <f>VLOOKUP(C2182,Lookup!$A$2:$D$5,MATCH(M2182,Lookup!$A$1:$D$1,0),FALSE)</f>
        <v>0.08</v>
      </c>
      <c r="O2182">
        <f t="shared" si="206"/>
        <v>7784.32</v>
      </c>
      <c r="P2182" s="7">
        <f t="shared" si="207"/>
        <v>0.91179184179379891</v>
      </c>
      <c r="Q2182" s="7">
        <f t="shared" si="208"/>
        <v>3461.3870967741937</v>
      </c>
      <c r="R2182">
        <f t="shared" si="209"/>
        <v>1.5662254378031737</v>
      </c>
    </row>
    <row r="2183" spans="1:18" x14ac:dyDescent="0.25">
      <c r="A2183" t="s">
        <v>1244</v>
      </c>
      <c r="B2183" t="s">
        <v>95</v>
      </c>
      <c r="C2183" t="s">
        <v>8</v>
      </c>
      <c r="D2183">
        <v>62056</v>
      </c>
      <c r="E2183" s="1">
        <v>44104</v>
      </c>
      <c r="F2183" s="2">
        <f t="shared" si="204"/>
        <v>2020</v>
      </c>
      <c r="G2183">
        <v>32</v>
      </c>
      <c r="H2183" s="3">
        <v>123564</v>
      </c>
      <c r="I2183">
        <v>23519</v>
      </c>
      <c r="J2183">
        <v>123564</v>
      </c>
      <c r="K2183">
        <v>113899</v>
      </c>
      <c r="L2183">
        <v>105598</v>
      </c>
      <c r="M2183" t="str">
        <f t="shared" si="205"/>
        <v>Medium</v>
      </c>
      <c r="N2183">
        <f>VLOOKUP(C2183,Lookup!$A$2:$D$5,MATCH(M2183,Lookup!$A$1:$D$1,0),FALSE)</f>
        <v>0.08</v>
      </c>
      <c r="O2183">
        <f t="shared" si="206"/>
        <v>8447.84</v>
      </c>
      <c r="P2183" s="7">
        <f t="shared" si="207"/>
        <v>0.92178142501052085</v>
      </c>
      <c r="Q2183" s="7">
        <f t="shared" si="208"/>
        <v>3861.375</v>
      </c>
      <c r="R2183">
        <f t="shared" si="209"/>
        <v>2.7840252656300306</v>
      </c>
    </row>
    <row r="2184" spans="1:18" x14ac:dyDescent="0.25">
      <c r="A2184" t="s">
        <v>1244</v>
      </c>
      <c r="B2184" t="s">
        <v>95</v>
      </c>
      <c r="C2184" t="s">
        <v>8</v>
      </c>
      <c r="D2184">
        <v>62056</v>
      </c>
      <c r="E2184" s="1">
        <v>44469</v>
      </c>
      <c r="F2184" s="2">
        <f t="shared" si="204"/>
        <v>2021</v>
      </c>
      <c r="G2184">
        <v>32</v>
      </c>
      <c r="H2184" s="3">
        <v>120504</v>
      </c>
      <c r="I2184">
        <v>7704</v>
      </c>
      <c r="J2184">
        <v>120504</v>
      </c>
      <c r="K2184">
        <v>110768</v>
      </c>
      <c r="L2184">
        <v>105302</v>
      </c>
      <c r="M2184" t="str">
        <f t="shared" si="205"/>
        <v>Medium</v>
      </c>
      <c r="N2184">
        <f>VLOOKUP(C2184,Lookup!$A$2:$D$5,MATCH(M2184,Lookup!$A$1:$D$1,0),FALSE)</f>
        <v>0.08</v>
      </c>
      <c r="O2184">
        <f t="shared" si="206"/>
        <v>8424.16</v>
      </c>
      <c r="P2184" s="7">
        <f t="shared" si="207"/>
        <v>0.91920600146053244</v>
      </c>
      <c r="Q2184" s="7">
        <f t="shared" si="208"/>
        <v>3765.75</v>
      </c>
      <c r="R2184">
        <f t="shared" si="209"/>
        <v>0.91451254487094269</v>
      </c>
    </row>
    <row r="2185" spans="1:18" x14ac:dyDescent="0.25">
      <c r="A2185" t="s">
        <v>1245</v>
      </c>
      <c r="B2185" t="s">
        <v>428</v>
      </c>
      <c r="C2185" t="s">
        <v>20</v>
      </c>
      <c r="D2185">
        <v>1852</v>
      </c>
      <c r="E2185" s="1">
        <v>43738</v>
      </c>
      <c r="F2185" s="2">
        <f t="shared" si="204"/>
        <v>2019</v>
      </c>
      <c r="G2185">
        <v>210</v>
      </c>
      <c r="H2185" s="3">
        <v>1181248</v>
      </c>
      <c r="I2185">
        <v>89279</v>
      </c>
      <c r="J2185">
        <v>1181248</v>
      </c>
      <c r="K2185">
        <v>1030653</v>
      </c>
      <c r="L2185">
        <v>1010091</v>
      </c>
      <c r="M2185" t="str">
        <f t="shared" si="205"/>
        <v>Large</v>
      </c>
      <c r="N2185">
        <f>VLOOKUP(C2185,Lookup!$A$2:$D$5,MATCH(M2185,Lookup!$A$1:$D$1,0),FALSE)</f>
        <v>0.08</v>
      </c>
      <c r="O2185">
        <f t="shared" si="206"/>
        <v>80807.28</v>
      </c>
      <c r="P2185" s="7">
        <f t="shared" si="207"/>
        <v>0.87251195345939214</v>
      </c>
      <c r="Q2185" s="7">
        <f t="shared" si="208"/>
        <v>5624.9904761904763</v>
      </c>
      <c r="R2185">
        <f t="shared" si="209"/>
        <v>1.104838573950268</v>
      </c>
    </row>
    <row r="2186" spans="1:18" x14ac:dyDescent="0.25">
      <c r="A2186" t="s">
        <v>1245</v>
      </c>
      <c r="B2186" t="s">
        <v>1382</v>
      </c>
      <c r="C2186" t="s">
        <v>20</v>
      </c>
      <c r="D2186">
        <v>1876</v>
      </c>
      <c r="E2186" s="1">
        <v>44104</v>
      </c>
      <c r="F2186" s="2">
        <f t="shared" si="204"/>
        <v>2020</v>
      </c>
      <c r="G2186">
        <v>215</v>
      </c>
      <c r="H2186" s="3">
        <v>1396566</v>
      </c>
      <c r="I2186">
        <v>171382</v>
      </c>
      <c r="J2186">
        <v>1396566</v>
      </c>
      <c r="K2186">
        <v>1237854</v>
      </c>
      <c r="L2186">
        <v>1219684</v>
      </c>
      <c r="M2186" t="str">
        <f t="shared" si="205"/>
        <v>Large</v>
      </c>
      <c r="N2186">
        <f>VLOOKUP(C2186,Lookup!$A$2:$D$5,MATCH(M2186,Lookup!$A$1:$D$1,0),FALSE)</f>
        <v>0.08</v>
      </c>
      <c r="O2186">
        <f t="shared" si="206"/>
        <v>97574.720000000001</v>
      </c>
      <c r="P2186" s="7">
        <f t="shared" si="207"/>
        <v>0.8863555320693759</v>
      </c>
      <c r="Q2186" s="7">
        <f t="shared" si="208"/>
        <v>6495.6558139534882</v>
      </c>
      <c r="R2186">
        <f t="shared" si="209"/>
        <v>1.7564180558242954</v>
      </c>
    </row>
    <row r="2187" spans="1:18" x14ac:dyDescent="0.25">
      <c r="A2187" t="s">
        <v>1245</v>
      </c>
      <c r="B2187" t="s">
        <v>1382</v>
      </c>
      <c r="C2187" t="s">
        <v>20</v>
      </c>
      <c r="D2187">
        <v>1876</v>
      </c>
      <c r="E2187" s="1">
        <v>44469</v>
      </c>
      <c r="F2187" s="2">
        <f t="shared" si="204"/>
        <v>2021</v>
      </c>
      <c r="G2187">
        <v>215</v>
      </c>
      <c r="H2187" s="3">
        <v>1554281</v>
      </c>
      <c r="I2187">
        <v>281118</v>
      </c>
      <c r="J2187">
        <v>1554281</v>
      </c>
      <c r="K2187">
        <v>1387182</v>
      </c>
      <c r="L2187">
        <v>1367829</v>
      </c>
      <c r="M2187" t="str">
        <f t="shared" si="205"/>
        <v>Large</v>
      </c>
      <c r="N2187">
        <f>VLOOKUP(C2187,Lookup!$A$2:$D$5,MATCH(M2187,Lookup!$A$1:$D$1,0),FALSE)</f>
        <v>0.08</v>
      </c>
      <c r="O2187">
        <f t="shared" si="206"/>
        <v>109426.32</v>
      </c>
      <c r="P2187" s="7">
        <f t="shared" si="207"/>
        <v>0.89249112612198178</v>
      </c>
      <c r="Q2187" s="7">
        <f t="shared" si="208"/>
        <v>7229.2139534883718</v>
      </c>
      <c r="R2187">
        <f t="shared" si="209"/>
        <v>2.5690163024764057</v>
      </c>
    </row>
    <row r="2188" spans="1:18" x14ac:dyDescent="0.25">
      <c r="A2188" t="s">
        <v>1246</v>
      </c>
      <c r="B2188" t="s">
        <v>1247</v>
      </c>
      <c r="C2188" t="s">
        <v>17</v>
      </c>
      <c r="D2188">
        <v>14489</v>
      </c>
      <c r="E2188" s="1">
        <v>43738</v>
      </c>
      <c r="F2188" s="2">
        <f t="shared" si="204"/>
        <v>2019</v>
      </c>
      <c r="G2188">
        <v>214</v>
      </c>
      <c r="H2188" s="3">
        <v>1152495</v>
      </c>
      <c r="I2188">
        <v>43989</v>
      </c>
      <c r="J2188">
        <v>1152495</v>
      </c>
      <c r="K2188">
        <v>1059642</v>
      </c>
      <c r="L2188">
        <v>1034895</v>
      </c>
      <c r="M2188" t="str">
        <f t="shared" si="205"/>
        <v>Large</v>
      </c>
      <c r="N2188">
        <f>VLOOKUP(C2188,Lookup!$A$2:$D$5,MATCH(M2188,Lookup!$A$1:$D$1,0),FALSE)</f>
        <v>0.08</v>
      </c>
      <c r="O2188">
        <f t="shared" si="206"/>
        <v>82791.600000000006</v>
      </c>
      <c r="P2188" s="7">
        <f t="shared" si="207"/>
        <v>0.91943305610870329</v>
      </c>
      <c r="Q2188" s="7">
        <f t="shared" si="208"/>
        <v>5385.4906542056078</v>
      </c>
      <c r="R2188">
        <f t="shared" si="209"/>
        <v>0.53132201817575697</v>
      </c>
    </row>
    <row r="2189" spans="1:18" x14ac:dyDescent="0.25">
      <c r="A2189" t="s">
        <v>1246</v>
      </c>
      <c r="B2189" t="s">
        <v>1247</v>
      </c>
      <c r="C2189" t="s">
        <v>17</v>
      </c>
      <c r="D2189">
        <v>14489</v>
      </c>
      <c r="E2189" s="1">
        <v>44104</v>
      </c>
      <c r="F2189" s="2">
        <f t="shared" si="204"/>
        <v>2020</v>
      </c>
      <c r="G2189">
        <v>224</v>
      </c>
      <c r="H2189" s="3">
        <v>1382958</v>
      </c>
      <c r="I2189">
        <v>103591</v>
      </c>
      <c r="J2189">
        <v>1382958</v>
      </c>
      <c r="K2189">
        <v>1281559</v>
      </c>
      <c r="L2189">
        <v>1263613</v>
      </c>
      <c r="M2189" t="str">
        <f t="shared" si="205"/>
        <v>Large</v>
      </c>
      <c r="N2189">
        <f>VLOOKUP(C2189,Lookup!$A$2:$D$5,MATCH(M2189,Lookup!$A$1:$D$1,0),FALSE)</f>
        <v>0.08</v>
      </c>
      <c r="O2189">
        <f t="shared" si="206"/>
        <v>101089.04000000001</v>
      </c>
      <c r="P2189" s="7">
        <f t="shared" si="207"/>
        <v>0.92667962439929485</v>
      </c>
      <c r="Q2189" s="7">
        <f t="shared" si="208"/>
        <v>6173.9196428571431</v>
      </c>
      <c r="R2189">
        <f t="shared" si="209"/>
        <v>1.0247500619256054</v>
      </c>
    </row>
    <row r="2190" spans="1:18" x14ac:dyDescent="0.25">
      <c r="A2190" t="s">
        <v>1246</v>
      </c>
      <c r="B2190" t="s">
        <v>1247</v>
      </c>
      <c r="C2190" t="s">
        <v>17</v>
      </c>
      <c r="D2190">
        <v>14489</v>
      </c>
      <c r="E2190" s="1">
        <v>44469</v>
      </c>
      <c r="F2190" s="2">
        <f t="shared" si="204"/>
        <v>2021</v>
      </c>
      <c r="G2190">
        <v>228</v>
      </c>
      <c r="H2190" s="3">
        <v>1641929</v>
      </c>
      <c r="I2190">
        <v>109267</v>
      </c>
      <c r="J2190">
        <v>1641929</v>
      </c>
      <c r="K2190">
        <v>1514039</v>
      </c>
      <c r="L2190">
        <v>1489693</v>
      </c>
      <c r="M2190" t="str">
        <f t="shared" si="205"/>
        <v>Large</v>
      </c>
      <c r="N2190">
        <f>VLOOKUP(C2190,Lookup!$A$2:$D$5,MATCH(M2190,Lookup!$A$1:$D$1,0),FALSE)</f>
        <v>0.08</v>
      </c>
      <c r="O2190">
        <f t="shared" si="206"/>
        <v>119175.44</v>
      </c>
      <c r="P2190" s="7">
        <f t="shared" si="207"/>
        <v>0.92210990852832253</v>
      </c>
      <c r="Q2190" s="7">
        <f t="shared" si="208"/>
        <v>7201.4429824561403</v>
      </c>
      <c r="R2190">
        <f t="shared" si="209"/>
        <v>0.91685837283252314</v>
      </c>
    </row>
    <row r="2191" spans="1:18" x14ac:dyDescent="0.25">
      <c r="A2191" t="s">
        <v>1248</v>
      </c>
      <c r="B2191" t="s">
        <v>1249</v>
      </c>
      <c r="C2191" t="s">
        <v>17</v>
      </c>
      <c r="D2191">
        <v>12051</v>
      </c>
      <c r="E2191" s="1">
        <v>43738</v>
      </c>
      <c r="F2191" s="2">
        <f t="shared" si="204"/>
        <v>2019</v>
      </c>
      <c r="G2191">
        <v>74</v>
      </c>
      <c r="H2191" s="3">
        <v>335472</v>
      </c>
      <c r="I2191">
        <v>22173</v>
      </c>
      <c r="J2191">
        <v>335472</v>
      </c>
      <c r="K2191">
        <v>306845</v>
      </c>
      <c r="L2191">
        <v>306052</v>
      </c>
      <c r="M2191" t="str">
        <f t="shared" si="205"/>
        <v>Medium</v>
      </c>
      <c r="N2191">
        <f>VLOOKUP(C2191,Lookup!$A$2:$D$5,MATCH(M2191,Lookup!$A$1:$D$1,0),FALSE)</f>
        <v>8.5000000000000006E-2</v>
      </c>
      <c r="O2191">
        <f t="shared" si="206"/>
        <v>26014.420000000002</v>
      </c>
      <c r="P2191" s="7">
        <f t="shared" si="207"/>
        <v>0.91466649973768299</v>
      </c>
      <c r="Q2191" s="7">
        <f t="shared" si="208"/>
        <v>4533.405405405405</v>
      </c>
      <c r="R2191">
        <f t="shared" si="209"/>
        <v>0.85233497421814508</v>
      </c>
    </row>
    <row r="2192" spans="1:18" x14ac:dyDescent="0.25">
      <c r="A2192" t="s">
        <v>1248</v>
      </c>
      <c r="B2192" t="s">
        <v>1249</v>
      </c>
      <c r="C2192" t="s">
        <v>17</v>
      </c>
      <c r="D2192">
        <v>12051</v>
      </c>
      <c r="E2192" s="1">
        <v>44104</v>
      </c>
      <c r="F2192" s="2">
        <f t="shared" si="204"/>
        <v>2020</v>
      </c>
      <c r="G2192">
        <v>73</v>
      </c>
      <c r="H2192" s="3">
        <v>408758</v>
      </c>
      <c r="I2192">
        <v>38717</v>
      </c>
      <c r="J2192">
        <v>408758</v>
      </c>
      <c r="K2192">
        <v>373990</v>
      </c>
      <c r="L2192">
        <v>358144</v>
      </c>
      <c r="M2192" t="str">
        <f t="shared" si="205"/>
        <v>Medium</v>
      </c>
      <c r="N2192">
        <f>VLOOKUP(C2192,Lookup!$A$2:$D$5,MATCH(M2192,Lookup!$A$1:$D$1,0),FALSE)</f>
        <v>8.5000000000000006E-2</v>
      </c>
      <c r="O2192">
        <f t="shared" si="206"/>
        <v>30442.240000000002</v>
      </c>
      <c r="P2192" s="7">
        <f t="shared" si="207"/>
        <v>0.91494233751999965</v>
      </c>
      <c r="Q2192" s="7">
        <f t="shared" si="208"/>
        <v>5599.4246575342468</v>
      </c>
      <c r="R2192">
        <f t="shared" si="209"/>
        <v>1.2718183681621325</v>
      </c>
    </row>
    <row r="2193" spans="1:18" x14ac:dyDescent="0.25">
      <c r="A2193" t="s">
        <v>1248</v>
      </c>
      <c r="B2193" t="s">
        <v>1249</v>
      </c>
      <c r="C2193" t="s">
        <v>17</v>
      </c>
      <c r="D2193">
        <v>12051</v>
      </c>
      <c r="E2193" s="1">
        <v>44469</v>
      </c>
      <c r="F2193" s="2">
        <f t="shared" si="204"/>
        <v>2021</v>
      </c>
      <c r="G2193">
        <v>74</v>
      </c>
      <c r="H2193" s="3">
        <v>474779</v>
      </c>
      <c r="I2193">
        <v>28767</v>
      </c>
      <c r="J2193">
        <v>474779</v>
      </c>
      <c r="K2193">
        <v>436166</v>
      </c>
      <c r="L2193">
        <v>419927</v>
      </c>
      <c r="M2193" t="str">
        <f t="shared" si="205"/>
        <v>Medium</v>
      </c>
      <c r="N2193">
        <f>VLOOKUP(C2193,Lookup!$A$2:$D$5,MATCH(M2193,Lookup!$A$1:$D$1,0),FALSE)</f>
        <v>8.5000000000000006E-2</v>
      </c>
      <c r="O2193">
        <f t="shared" si="206"/>
        <v>35693.795000000006</v>
      </c>
      <c r="P2193" s="7">
        <f t="shared" si="207"/>
        <v>0.91867163459209444</v>
      </c>
      <c r="Q2193" s="7">
        <f t="shared" si="208"/>
        <v>6415.9324324324325</v>
      </c>
      <c r="R2193">
        <f t="shared" si="209"/>
        <v>0.80593839909709786</v>
      </c>
    </row>
    <row r="2194" spans="1:18" x14ac:dyDescent="0.25">
      <c r="A2194" t="s">
        <v>1250</v>
      </c>
      <c r="B2194" t="s">
        <v>778</v>
      </c>
      <c r="C2194" t="s">
        <v>20</v>
      </c>
      <c r="D2194">
        <v>1945</v>
      </c>
      <c r="E2194" s="1">
        <v>43738</v>
      </c>
      <c r="F2194" s="2">
        <f t="shared" si="204"/>
        <v>2019</v>
      </c>
      <c r="G2194">
        <v>45</v>
      </c>
      <c r="H2194" s="3">
        <v>340145</v>
      </c>
      <c r="I2194">
        <v>6320</v>
      </c>
      <c r="J2194">
        <v>340145</v>
      </c>
      <c r="K2194">
        <v>299504</v>
      </c>
      <c r="L2194">
        <v>271923</v>
      </c>
      <c r="M2194" t="str">
        <f t="shared" si="205"/>
        <v>Medium</v>
      </c>
      <c r="N2194">
        <f>VLOOKUP(C2194,Lookup!$A$2:$D$5,MATCH(M2194,Lookup!$A$1:$D$1,0),FALSE)</f>
        <v>8.5000000000000006E-2</v>
      </c>
      <c r="O2194">
        <f t="shared" si="206"/>
        <v>23113.455000000002</v>
      </c>
      <c r="P2194" s="7">
        <f t="shared" si="207"/>
        <v>0.88051860236075796</v>
      </c>
      <c r="Q2194" s="7">
        <f t="shared" si="208"/>
        <v>7558.7777777777774</v>
      </c>
      <c r="R2194">
        <f t="shared" si="209"/>
        <v>0.27343380727805511</v>
      </c>
    </row>
    <row r="2195" spans="1:18" x14ac:dyDescent="0.25">
      <c r="A2195" t="s">
        <v>1250</v>
      </c>
      <c r="B2195" t="s">
        <v>778</v>
      </c>
      <c r="C2195" t="s">
        <v>20</v>
      </c>
      <c r="D2195">
        <v>1945</v>
      </c>
      <c r="E2195" s="1">
        <v>44104</v>
      </c>
      <c r="F2195" s="2">
        <f t="shared" si="204"/>
        <v>2020</v>
      </c>
      <c r="G2195">
        <v>41</v>
      </c>
      <c r="H2195" s="3">
        <v>408625</v>
      </c>
      <c r="I2195">
        <v>51585</v>
      </c>
      <c r="J2195">
        <v>408625</v>
      </c>
      <c r="K2195">
        <v>366687</v>
      </c>
      <c r="L2195">
        <v>345324</v>
      </c>
      <c r="M2195" t="str">
        <f t="shared" si="205"/>
        <v>Medium</v>
      </c>
      <c r="N2195">
        <f>VLOOKUP(C2195,Lookup!$A$2:$D$5,MATCH(M2195,Lookup!$A$1:$D$1,0),FALSE)</f>
        <v>8.5000000000000006E-2</v>
      </c>
      <c r="O2195">
        <f t="shared" si="206"/>
        <v>29352.54</v>
      </c>
      <c r="P2195" s="7">
        <f t="shared" si="207"/>
        <v>0.89736800244723158</v>
      </c>
      <c r="Q2195" s="7">
        <f t="shared" si="208"/>
        <v>9966.4634146341468</v>
      </c>
      <c r="R2195">
        <f t="shared" si="209"/>
        <v>1.7574288289872018</v>
      </c>
    </row>
    <row r="2196" spans="1:18" x14ac:dyDescent="0.25">
      <c r="A2196" t="s">
        <v>1250</v>
      </c>
      <c r="B2196" t="s">
        <v>778</v>
      </c>
      <c r="C2196" t="s">
        <v>20</v>
      </c>
      <c r="D2196">
        <v>1945</v>
      </c>
      <c r="E2196" s="1">
        <v>44469</v>
      </c>
      <c r="F2196" s="2">
        <f t="shared" si="204"/>
        <v>2021</v>
      </c>
      <c r="G2196">
        <v>47</v>
      </c>
      <c r="H2196" s="3">
        <v>417669</v>
      </c>
      <c r="I2196">
        <v>33559</v>
      </c>
      <c r="J2196">
        <v>417669</v>
      </c>
      <c r="K2196">
        <v>375066</v>
      </c>
      <c r="L2196">
        <v>365261</v>
      </c>
      <c r="M2196" t="str">
        <f t="shared" si="205"/>
        <v>Medium</v>
      </c>
      <c r="N2196">
        <f>VLOOKUP(C2196,Lookup!$A$2:$D$5,MATCH(M2196,Lookup!$A$1:$D$1,0),FALSE)</f>
        <v>8.5000000000000006E-2</v>
      </c>
      <c r="O2196">
        <f t="shared" si="206"/>
        <v>31047.185000000001</v>
      </c>
      <c r="P2196" s="7">
        <f t="shared" si="207"/>
        <v>0.89799817558880357</v>
      </c>
      <c r="Q2196" s="7">
        <f t="shared" si="208"/>
        <v>8886.5744680851058</v>
      </c>
      <c r="R2196">
        <f t="shared" si="209"/>
        <v>1.0809031479021367</v>
      </c>
    </row>
    <row r="2197" spans="1:18" x14ac:dyDescent="0.25">
      <c r="A2197" t="s">
        <v>1251</v>
      </c>
      <c r="B2197" t="s">
        <v>245</v>
      </c>
      <c r="C2197" t="s">
        <v>17</v>
      </c>
      <c r="D2197">
        <v>13617</v>
      </c>
      <c r="E2197" s="1">
        <v>43738</v>
      </c>
      <c r="F2197" s="2">
        <f t="shared" si="204"/>
        <v>2019</v>
      </c>
      <c r="G2197">
        <v>68</v>
      </c>
      <c r="H2197" s="3">
        <v>264829</v>
      </c>
      <c r="I2197">
        <v>14050</v>
      </c>
      <c r="J2197">
        <v>264829</v>
      </c>
      <c r="K2197">
        <v>230847</v>
      </c>
      <c r="L2197">
        <v>200997</v>
      </c>
      <c r="M2197" t="str">
        <f t="shared" si="205"/>
        <v>Medium</v>
      </c>
      <c r="N2197">
        <f>VLOOKUP(C2197,Lookup!$A$2:$D$5,MATCH(M2197,Lookup!$A$1:$D$1,0),FALSE)</f>
        <v>8.5000000000000006E-2</v>
      </c>
      <c r="O2197">
        <f t="shared" si="206"/>
        <v>17084.745000000003</v>
      </c>
      <c r="P2197" s="7">
        <f t="shared" si="207"/>
        <v>0.87168323710771856</v>
      </c>
      <c r="Q2197" s="7">
        <f t="shared" si="208"/>
        <v>3894.544117647059</v>
      </c>
      <c r="R2197">
        <f t="shared" si="209"/>
        <v>0.82237106845902574</v>
      </c>
    </row>
    <row r="2198" spans="1:18" x14ac:dyDescent="0.25">
      <c r="A2198" t="s">
        <v>1251</v>
      </c>
      <c r="B2198" t="s">
        <v>245</v>
      </c>
      <c r="C2198" t="s">
        <v>17</v>
      </c>
      <c r="D2198">
        <v>13617</v>
      </c>
      <c r="E2198" s="1">
        <v>44104</v>
      </c>
      <c r="F2198" s="2">
        <f t="shared" si="204"/>
        <v>2020</v>
      </c>
      <c r="G2198">
        <v>66</v>
      </c>
      <c r="H2198" s="3">
        <v>295774</v>
      </c>
      <c r="I2198">
        <v>38616</v>
      </c>
      <c r="J2198">
        <v>295774</v>
      </c>
      <c r="K2198">
        <v>260333</v>
      </c>
      <c r="L2198">
        <v>228100</v>
      </c>
      <c r="M2198" t="str">
        <f t="shared" si="205"/>
        <v>Medium</v>
      </c>
      <c r="N2198">
        <f>VLOOKUP(C2198,Lookup!$A$2:$D$5,MATCH(M2198,Lookup!$A$1:$D$1,0),FALSE)</f>
        <v>8.5000000000000006E-2</v>
      </c>
      <c r="O2198">
        <f t="shared" si="206"/>
        <v>19388.5</v>
      </c>
      <c r="P2198" s="7">
        <f t="shared" si="207"/>
        <v>0.88017540419374252</v>
      </c>
      <c r="Q2198" s="7">
        <f t="shared" si="208"/>
        <v>4481.424242424242</v>
      </c>
      <c r="R2198">
        <f t="shared" si="209"/>
        <v>1.9916961085179359</v>
      </c>
    </row>
    <row r="2199" spans="1:18" x14ac:dyDescent="0.25">
      <c r="A2199" t="s">
        <v>1251</v>
      </c>
      <c r="B2199" t="s">
        <v>245</v>
      </c>
      <c r="C2199" t="s">
        <v>17</v>
      </c>
      <c r="D2199">
        <v>13617</v>
      </c>
      <c r="E2199" s="1">
        <v>44469</v>
      </c>
      <c r="F2199" s="2">
        <f t="shared" si="204"/>
        <v>2021</v>
      </c>
      <c r="G2199">
        <v>68</v>
      </c>
      <c r="H2199" s="3">
        <v>327719</v>
      </c>
      <c r="I2199">
        <v>58323</v>
      </c>
      <c r="J2199">
        <v>327719</v>
      </c>
      <c r="K2199">
        <v>289158</v>
      </c>
      <c r="L2199">
        <v>267078</v>
      </c>
      <c r="M2199" t="str">
        <f t="shared" si="205"/>
        <v>Medium</v>
      </c>
      <c r="N2199">
        <f>VLOOKUP(C2199,Lookup!$A$2:$D$5,MATCH(M2199,Lookup!$A$1:$D$1,0),FALSE)</f>
        <v>8.5000000000000006E-2</v>
      </c>
      <c r="O2199">
        <f t="shared" si="206"/>
        <v>22701.63</v>
      </c>
      <c r="P2199" s="7">
        <f t="shared" si="207"/>
        <v>0.88233517129003813</v>
      </c>
      <c r="Q2199" s="7">
        <f t="shared" si="208"/>
        <v>4819.3970588235297</v>
      </c>
      <c r="R2199">
        <f t="shared" si="209"/>
        <v>2.5691106761937359</v>
      </c>
    </row>
    <row r="2200" spans="1:18" x14ac:dyDescent="0.25">
      <c r="A2200" t="s">
        <v>1252</v>
      </c>
      <c r="B2200" t="s">
        <v>28</v>
      </c>
      <c r="C2200" t="s">
        <v>8</v>
      </c>
      <c r="D2200">
        <v>60603</v>
      </c>
      <c r="E2200" s="1">
        <v>43738</v>
      </c>
      <c r="F2200" s="2">
        <f t="shared" si="204"/>
        <v>2019</v>
      </c>
      <c r="G2200">
        <v>19371</v>
      </c>
      <c r="H2200" s="3">
        <v>123824257</v>
      </c>
      <c r="I2200">
        <v>31618917</v>
      </c>
      <c r="J2200">
        <v>123824257</v>
      </c>
      <c r="K2200">
        <v>113822992</v>
      </c>
      <c r="L2200">
        <v>99393651</v>
      </c>
      <c r="M2200" t="str">
        <f t="shared" si="205"/>
        <v>Large</v>
      </c>
      <c r="N2200">
        <f>VLOOKUP(C2200,Lookup!$A$2:$D$5,MATCH(M2200,Lookup!$A$1:$D$1,0),FALSE)</f>
        <v>7.4999999999999997E-2</v>
      </c>
      <c r="O2200">
        <f t="shared" si="206"/>
        <v>7454523.8250000002</v>
      </c>
      <c r="P2200" s="7">
        <f t="shared" si="207"/>
        <v>0.91923016344043151</v>
      </c>
      <c r="Q2200" s="7">
        <f t="shared" si="208"/>
        <v>6392.2490836817924</v>
      </c>
      <c r="R2200">
        <f t="shared" si="209"/>
        <v>4.2415743436167768</v>
      </c>
    </row>
    <row r="2201" spans="1:18" x14ac:dyDescent="0.25">
      <c r="A2201" t="s">
        <v>1252</v>
      </c>
      <c r="B2201" t="s">
        <v>28</v>
      </c>
      <c r="C2201" t="s">
        <v>8</v>
      </c>
      <c r="D2201">
        <v>60603</v>
      </c>
      <c r="E2201" s="1">
        <v>44104</v>
      </c>
      <c r="F2201" s="2">
        <f t="shared" si="204"/>
        <v>2020</v>
      </c>
      <c r="G2201">
        <v>20511</v>
      </c>
      <c r="H2201" s="3">
        <v>151628924</v>
      </c>
      <c r="I2201">
        <v>47458911</v>
      </c>
      <c r="J2201">
        <v>151628924</v>
      </c>
      <c r="K2201">
        <v>140770325</v>
      </c>
      <c r="L2201">
        <v>125681969</v>
      </c>
      <c r="M2201" t="str">
        <f t="shared" si="205"/>
        <v>Large</v>
      </c>
      <c r="N2201">
        <f>VLOOKUP(C2201,Lookup!$A$2:$D$5,MATCH(M2201,Lookup!$A$1:$D$1,0),FALSE)</f>
        <v>7.4999999999999997E-2</v>
      </c>
      <c r="O2201">
        <f t="shared" si="206"/>
        <v>9426147.6749999989</v>
      </c>
      <c r="P2201" s="7">
        <f t="shared" si="207"/>
        <v>0.92838702067159695</v>
      </c>
      <c r="Q2201" s="7">
        <f t="shared" si="208"/>
        <v>7392.5661352445031</v>
      </c>
      <c r="R2201">
        <f t="shared" si="209"/>
        <v>5.034815137245344</v>
      </c>
    </row>
    <row r="2202" spans="1:18" x14ac:dyDescent="0.25">
      <c r="A2202" t="s">
        <v>1252</v>
      </c>
      <c r="B2202" t="s">
        <v>28</v>
      </c>
      <c r="C2202" t="s">
        <v>8</v>
      </c>
      <c r="D2202">
        <v>60603</v>
      </c>
      <c r="E2202" s="1">
        <v>44469</v>
      </c>
      <c r="F2202" s="2">
        <f t="shared" si="204"/>
        <v>2021</v>
      </c>
      <c r="G2202">
        <v>20612</v>
      </c>
      <c r="H2202" s="3">
        <v>168651038</v>
      </c>
      <c r="I2202">
        <v>57934667</v>
      </c>
      <c r="J2202">
        <v>168651038</v>
      </c>
      <c r="K2202">
        <v>157276873</v>
      </c>
      <c r="L2202">
        <v>142974592</v>
      </c>
      <c r="M2202" t="str">
        <f t="shared" si="205"/>
        <v>Large</v>
      </c>
      <c r="N2202">
        <f>VLOOKUP(C2202,Lookup!$A$2:$D$5,MATCH(M2202,Lookup!$A$1:$D$1,0),FALSE)</f>
        <v>7.4999999999999997E-2</v>
      </c>
      <c r="O2202">
        <f t="shared" si="206"/>
        <v>10723094.4</v>
      </c>
      <c r="P2202" s="7">
        <f t="shared" si="207"/>
        <v>0.93255798994845207</v>
      </c>
      <c r="Q2202" s="7">
        <f t="shared" si="208"/>
        <v>8182.1772753735686</v>
      </c>
      <c r="R2202">
        <f t="shared" si="209"/>
        <v>5.4027937122329162</v>
      </c>
    </row>
    <row r="2203" spans="1:18" x14ac:dyDescent="0.25">
      <c r="A2203" t="s">
        <v>1253</v>
      </c>
      <c r="B2203" t="s">
        <v>1214</v>
      </c>
      <c r="C2203" t="s">
        <v>8</v>
      </c>
      <c r="D2203">
        <v>62271</v>
      </c>
      <c r="E2203" s="1">
        <v>43738</v>
      </c>
      <c r="F2203" s="2">
        <f t="shared" si="204"/>
        <v>2019</v>
      </c>
      <c r="G2203">
        <v>13</v>
      </c>
      <c r="H2203" s="3">
        <v>68469</v>
      </c>
      <c r="I2203">
        <v>8227</v>
      </c>
      <c r="J2203">
        <v>68469</v>
      </c>
      <c r="K2203">
        <v>60277</v>
      </c>
      <c r="L2203">
        <v>59987</v>
      </c>
      <c r="M2203" t="str">
        <f t="shared" si="205"/>
        <v>Small</v>
      </c>
      <c r="N2203">
        <f>VLOOKUP(C2203,Lookup!$A$2:$D$5,MATCH(M2203,Lookup!$A$1:$D$1,0),FALSE)</f>
        <v>0.09</v>
      </c>
      <c r="O2203">
        <f t="shared" si="206"/>
        <v>5398.83</v>
      </c>
      <c r="P2203" s="7">
        <f t="shared" si="207"/>
        <v>0.88035461303655671</v>
      </c>
      <c r="Q2203" s="7">
        <f t="shared" si="208"/>
        <v>5266.8461538461543</v>
      </c>
      <c r="R2203">
        <f t="shared" si="209"/>
        <v>1.5238486857337608</v>
      </c>
    </row>
    <row r="2204" spans="1:18" x14ac:dyDescent="0.25">
      <c r="A2204" t="s">
        <v>1253</v>
      </c>
      <c r="B2204" t="s">
        <v>1214</v>
      </c>
      <c r="C2204" t="s">
        <v>8</v>
      </c>
      <c r="D2204">
        <v>62271</v>
      </c>
      <c r="E2204" s="1">
        <v>44104</v>
      </c>
      <c r="F2204" s="2">
        <f t="shared" si="204"/>
        <v>2020</v>
      </c>
      <c r="G2204">
        <v>12</v>
      </c>
      <c r="H2204" s="3">
        <v>83970</v>
      </c>
      <c r="I2204">
        <v>11680</v>
      </c>
      <c r="J2204">
        <v>83970</v>
      </c>
      <c r="K2204">
        <v>74635</v>
      </c>
      <c r="L2204">
        <v>70211</v>
      </c>
      <c r="M2204" t="str">
        <f t="shared" si="205"/>
        <v>Small</v>
      </c>
      <c r="N2204">
        <f>VLOOKUP(C2204,Lookup!$A$2:$D$5,MATCH(M2204,Lookup!$A$1:$D$1,0),FALSE)</f>
        <v>0.09</v>
      </c>
      <c r="O2204">
        <f t="shared" si="206"/>
        <v>6318.99</v>
      </c>
      <c r="P2204" s="7">
        <f t="shared" si="207"/>
        <v>0.88882934381326661</v>
      </c>
      <c r="Q2204" s="7">
        <f t="shared" si="208"/>
        <v>6997.5</v>
      </c>
      <c r="R2204">
        <f t="shared" si="209"/>
        <v>1.8483966583267264</v>
      </c>
    </row>
    <row r="2205" spans="1:18" x14ac:dyDescent="0.25">
      <c r="A2205" t="s">
        <v>1253</v>
      </c>
      <c r="B2205" t="s">
        <v>1214</v>
      </c>
      <c r="C2205" t="s">
        <v>8</v>
      </c>
      <c r="D2205">
        <v>62271</v>
      </c>
      <c r="E2205" s="1">
        <v>44469</v>
      </c>
      <c r="F2205" s="2">
        <f t="shared" si="204"/>
        <v>2021</v>
      </c>
      <c r="G2205">
        <v>12</v>
      </c>
      <c r="H2205" s="3">
        <v>85862</v>
      </c>
      <c r="I2205">
        <v>6862</v>
      </c>
      <c r="J2205">
        <v>85862</v>
      </c>
      <c r="K2205">
        <v>76089</v>
      </c>
      <c r="L2205">
        <v>75828</v>
      </c>
      <c r="M2205" t="str">
        <f t="shared" si="205"/>
        <v>Small</v>
      </c>
      <c r="N2205">
        <f>VLOOKUP(C2205,Lookup!$A$2:$D$5,MATCH(M2205,Lookup!$A$1:$D$1,0),FALSE)</f>
        <v>0.09</v>
      </c>
      <c r="O2205">
        <f t="shared" si="206"/>
        <v>6824.5199999999995</v>
      </c>
      <c r="P2205" s="7">
        <f t="shared" si="207"/>
        <v>0.88617782022314873</v>
      </c>
      <c r="Q2205" s="7">
        <f t="shared" si="208"/>
        <v>7155.166666666667</v>
      </c>
      <c r="R2205">
        <f t="shared" si="209"/>
        <v>1.0054919613394055</v>
      </c>
    </row>
    <row r="2206" spans="1:18" x14ac:dyDescent="0.25">
      <c r="A2206" t="s">
        <v>1254</v>
      </c>
      <c r="B2206" t="s">
        <v>1255</v>
      </c>
      <c r="C2206" t="s">
        <v>8</v>
      </c>
      <c r="D2206">
        <v>62448</v>
      </c>
      <c r="E2206" s="1">
        <v>43738</v>
      </c>
      <c r="F2206" s="2">
        <f t="shared" si="204"/>
        <v>2019</v>
      </c>
      <c r="G2206">
        <v>91</v>
      </c>
      <c r="H2206" s="3">
        <v>461907</v>
      </c>
      <c r="I2206">
        <v>9879</v>
      </c>
      <c r="J2206">
        <v>461907</v>
      </c>
      <c r="K2206">
        <v>409425</v>
      </c>
      <c r="L2206">
        <v>390357</v>
      </c>
      <c r="M2206" t="str">
        <f t="shared" si="205"/>
        <v>Medium</v>
      </c>
      <c r="N2206">
        <f>VLOOKUP(C2206,Lookup!$A$2:$D$5,MATCH(M2206,Lookup!$A$1:$D$1,0),FALSE)</f>
        <v>0.08</v>
      </c>
      <c r="O2206">
        <f t="shared" si="206"/>
        <v>31228.560000000001</v>
      </c>
      <c r="P2206" s="7">
        <f t="shared" si="207"/>
        <v>0.88637972578895752</v>
      </c>
      <c r="Q2206" s="7">
        <f t="shared" si="208"/>
        <v>5075.9010989010985</v>
      </c>
      <c r="R2206">
        <f t="shared" si="209"/>
        <v>0.31634503800367353</v>
      </c>
    </row>
    <row r="2207" spans="1:18" x14ac:dyDescent="0.25">
      <c r="A2207" t="s">
        <v>1254</v>
      </c>
      <c r="B2207" t="s">
        <v>1255</v>
      </c>
      <c r="C2207" t="s">
        <v>8</v>
      </c>
      <c r="D2207">
        <v>62448</v>
      </c>
      <c r="E2207" s="1">
        <v>44104</v>
      </c>
      <c r="F2207" s="2">
        <f t="shared" si="204"/>
        <v>2020</v>
      </c>
      <c r="G2207">
        <v>96</v>
      </c>
      <c r="H2207" s="3">
        <v>498199</v>
      </c>
      <c r="I2207">
        <v>12683</v>
      </c>
      <c r="J2207">
        <v>498199</v>
      </c>
      <c r="K2207">
        <v>440761</v>
      </c>
      <c r="L2207">
        <v>417692</v>
      </c>
      <c r="M2207" t="str">
        <f t="shared" si="205"/>
        <v>Medium</v>
      </c>
      <c r="N2207">
        <f>VLOOKUP(C2207,Lookup!$A$2:$D$5,MATCH(M2207,Lookup!$A$1:$D$1,0),FALSE)</f>
        <v>0.08</v>
      </c>
      <c r="O2207">
        <f t="shared" si="206"/>
        <v>33415.360000000001</v>
      </c>
      <c r="P2207" s="7">
        <f t="shared" si="207"/>
        <v>0.88470872081236618</v>
      </c>
      <c r="Q2207" s="7">
        <f t="shared" si="208"/>
        <v>5189.572916666667</v>
      </c>
      <c r="R2207">
        <f t="shared" si="209"/>
        <v>0.37955598862319601</v>
      </c>
    </row>
    <row r="2208" spans="1:18" x14ac:dyDescent="0.25">
      <c r="A2208" t="s">
        <v>1254</v>
      </c>
      <c r="B2208" t="s">
        <v>1255</v>
      </c>
      <c r="C2208" t="s">
        <v>8</v>
      </c>
      <c r="D2208">
        <v>62448</v>
      </c>
      <c r="E2208" s="1">
        <v>44469</v>
      </c>
      <c r="F2208" s="2">
        <f t="shared" si="204"/>
        <v>2021</v>
      </c>
      <c r="G2208">
        <v>97</v>
      </c>
      <c r="H2208" s="3">
        <v>578892</v>
      </c>
      <c r="I2208">
        <v>21229</v>
      </c>
      <c r="J2208">
        <v>578892</v>
      </c>
      <c r="K2208">
        <v>518148</v>
      </c>
      <c r="L2208">
        <v>490501</v>
      </c>
      <c r="M2208" t="str">
        <f t="shared" si="205"/>
        <v>Medium</v>
      </c>
      <c r="N2208">
        <f>VLOOKUP(C2208,Lookup!$A$2:$D$5,MATCH(M2208,Lookup!$A$1:$D$1,0),FALSE)</f>
        <v>0.08</v>
      </c>
      <c r="O2208">
        <f t="shared" si="206"/>
        <v>39240.080000000002</v>
      </c>
      <c r="P2208" s="7">
        <f t="shared" si="207"/>
        <v>0.89506851018842892</v>
      </c>
      <c r="Q2208" s="7">
        <f t="shared" si="208"/>
        <v>5967.9587628865984</v>
      </c>
      <c r="R2208">
        <f t="shared" si="209"/>
        <v>0.54100297450973589</v>
      </c>
    </row>
    <row r="2209" spans="1:18" x14ac:dyDescent="0.25">
      <c r="A2209" t="s">
        <v>1256</v>
      </c>
      <c r="B2209" t="s">
        <v>187</v>
      </c>
      <c r="C2209" t="s">
        <v>20</v>
      </c>
      <c r="D2209">
        <v>1201</v>
      </c>
      <c r="E2209" s="1">
        <v>43738</v>
      </c>
      <c r="F2209" s="2">
        <f t="shared" si="204"/>
        <v>2019</v>
      </c>
      <c r="G2209">
        <v>50</v>
      </c>
      <c r="H2209" s="3">
        <v>322619</v>
      </c>
      <c r="I2209">
        <v>23363</v>
      </c>
      <c r="J2209">
        <v>322619</v>
      </c>
      <c r="K2209">
        <v>271534</v>
      </c>
      <c r="L2209">
        <v>253787</v>
      </c>
      <c r="M2209" t="str">
        <f t="shared" si="205"/>
        <v>Medium</v>
      </c>
      <c r="N2209">
        <f>VLOOKUP(C2209,Lookup!$A$2:$D$5,MATCH(M2209,Lookup!$A$1:$D$1,0),FALSE)</f>
        <v>8.5000000000000006E-2</v>
      </c>
      <c r="O2209">
        <f t="shared" si="206"/>
        <v>21571.895</v>
      </c>
      <c r="P2209" s="7">
        <f t="shared" si="207"/>
        <v>0.84165532718159808</v>
      </c>
      <c r="Q2209" s="7">
        <f t="shared" si="208"/>
        <v>6452.38</v>
      </c>
      <c r="R2209">
        <f t="shared" si="209"/>
        <v>1.0830295623078083</v>
      </c>
    </row>
    <row r="2210" spans="1:18" x14ac:dyDescent="0.25">
      <c r="A2210" t="s">
        <v>1256</v>
      </c>
      <c r="B2210" t="s">
        <v>187</v>
      </c>
      <c r="C2210" t="s">
        <v>20</v>
      </c>
      <c r="D2210">
        <v>1201</v>
      </c>
      <c r="E2210" s="1">
        <v>44104</v>
      </c>
      <c r="F2210" s="2">
        <f t="shared" si="204"/>
        <v>2020</v>
      </c>
      <c r="G2210">
        <v>51</v>
      </c>
      <c r="H2210" s="3">
        <v>361280</v>
      </c>
      <c r="I2210">
        <v>33066</v>
      </c>
      <c r="J2210">
        <v>361280</v>
      </c>
      <c r="K2210">
        <v>307514</v>
      </c>
      <c r="L2210">
        <v>287469</v>
      </c>
      <c r="M2210" t="str">
        <f t="shared" si="205"/>
        <v>Medium</v>
      </c>
      <c r="N2210">
        <f>VLOOKUP(C2210,Lookup!$A$2:$D$5,MATCH(M2210,Lookup!$A$1:$D$1,0),FALSE)</f>
        <v>8.5000000000000006E-2</v>
      </c>
      <c r="O2210">
        <f t="shared" si="206"/>
        <v>24434.865000000002</v>
      </c>
      <c r="P2210" s="7">
        <f t="shared" si="207"/>
        <v>0.85117914083259527</v>
      </c>
      <c r="Q2210" s="7">
        <f t="shared" si="208"/>
        <v>7083.9215686274511</v>
      </c>
      <c r="R2210">
        <f t="shared" si="209"/>
        <v>1.3532303125063305</v>
      </c>
    </row>
    <row r="2211" spans="1:18" x14ac:dyDescent="0.25">
      <c r="A2211" t="s">
        <v>1256</v>
      </c>
      <c r="B2211" t="s">
        <v>187</v>
      </c>
      <c r="C2211" t="s">
        <v>20</v>
      </c>
      <c r="D2211">
        <v>1201</v>
      </c>
      <c r="E2211" s="1">
        <v>44469</v>
      </c>
      <c r="F2211" s="2">
        <f t="shared" si="204"/>
        <v>2021</v>
      </c>
      <c r="G2211">
        <v>50</v>
      </c>
      <c r="H2211" s="3">
        <v>386966</v>
      </c>
      <c r="I2211">
        <v>36901</v>
      </c>
      <c r="J2211">
        <v>386966</v>
      </c>
      <c r="K2211">
        <v>332237</v>
      </c>
      <c r="L2211">
        <v>320720</v>
      </c>
      <c r="M2211" t="str">
        <f t="shared" si="205"/>
        <v>Medium</v>
      </c>
      <c r="N2211">
        <f>VLOOKUP(C2211,Lookup!$A$2:$D$5,MATCH(M2211,Lookup!$A$1:$D$1,0),FALSE)</f>
        <v>8.5000000000000006E-2</v>
      </c>
      <c r="O2211">
        <f t="shared" si="206"/>
        <v>27261.200000000001</v>
      </c>
      <c r="P2211" s="7">
        <f t="shared" si="207"/>
        <v>0.85856896988365905</v>
      </c>
      <c r="Q2211" s="7">
        <f t="shared" si="208"/>
        <v>7739.32</v>
      </c>
      <c r="R2211">
        <f t="shared" si="209"/>
        <v>1.3536087919827446</v>
      </c>
    </row>
    <row r="2212" spans="1:18" x14ac:dyDescent="0.25">
      <c r="A2212" t="s">
        <v>1257</v>
      </c>
      <c r="B2212" t="s">
        <v>1258</v>
      </c>
      <c r="C2212" t="s">
        <v>8</v>
      </c>
      <c r="D2212">
        <v>61065</v>
      </c>
      <c r="E2212" s="1">
        <v>43738</v>
      </c>
      <c r="F2212" s="2">
        <f t="shared" si="204"/>
        <v>2019</v>
      </c>
      <c r="G2212">
        <v>12</v>
      </c>
      <c r="H2212" s="3">
        <v>86458</v>
      </c>
      <c r="I2212">
        <v>11979</v>
      </c>
      <c r="J2212">
        <v>86457</v>
      </c>
      <c r="K2212">
        <v>62751</v>
      </c>
      <c r="L2212">
        <v>61959</v>
      </c>
      <c r="M2212" t="str">
        <f t="shared" si="205"/>
        <v>Small</v>
      </c>
      <c r="N2212">
        <f>VLOOKUP(C2212,Lookup!$A$2:$D$5,MATCH(M2212,Lookup!$A$1:$D$1,0),FALSE)</f>
        <v>0.09</v>
      </c>
      <c r="O2212">
        <f t="shared" si="206"/>
        <v>5576.3099999999995</v>
      </c>
      <c r="P2212" s="7">
        <f t="shared" si="207"/>
        <v>0.72579749705059105</v>
      </c>
      <c r="Q2212" s="7">
        <f t="shared" si="208"/>
        <v>7204.833333333333</v>
      </c>
      <c r="R2212">
        <f t="shared" si="209"/>
        <v>2.1481947739634277</v>
      </c>
    </row>
    <row r="2213" spans="1:18" x14ac:dyDescent="0.25">
      <c r="A2213" t="s">
        <v>1259</v>
      </c>
      <c r="B2213" t="s">
        <v>1260</v>
      </c>
      <c r="C2213" t="s">
        <v>20</v>
      </c>
      <c r="D2213">
        <v>1913</v>
      </c>
      <c r="E2213" s="1">
        <v>43738</v>
      </c>
      <c r="F2213" s="2">
        <f t="shared" si="204"/>
        <v>2019</v>
      </c>
      <c r="G2213">
        <v>134</v>
      </c>
      <c r="H2213" s="3">
        <v>1077862</v>
      </c>
      <c r="I2213">
        <v>38405</v>
      </c>
      <c r="J2213">
        <v>1077862</v>
      </c>
      <c r="K2213">
        <v>950019</v>
      </c>
      <c r="L2213">
        <v>901896</v>
      </c>
      <c r="M2213" t="str">
        <f t="shared" si="205"/>
        <v>Large</v>
      </c>
      <c r="N2213">
        <f>VLOOKUP(C2213,Lookup!$A$2:$D$5,MATCH(M2213,Lookup!$A$1:$D$1,0),FALSE)</f>
        <v>0.08</v>
      </c>
      <c r="O2213">
        <f t="shared" si="206"/>
        <v>72151.680000000008</v>
      </c>
      <c r="P2213" s="7">
        <f t="shared" si="207"/>
        <v>0.88139205204376814</v>
      </c>
      <c r="Q2213" s="7">
        <f t="shared" si="208"/>
        <v>8043.746268656716</v>
      </c>
      <c r="R2213">
        <f t="shared" si="209"/>
        <v>0.53228143821460561</v>
      </c>
    </row>
    <row r="2214" spans="1:18" x14ac:dyDescent="0.25">
      <c r="A2214" t="s">
        <v>1259</v>
      </c>
      <c r="B2214" t="s">
        <v>1260</v>
      </c>
      <c r="C2214" t="s">
        <v>20</v>
      </c>
      <c r="D2214">
        <v>1913</v>
      </c>
      <c r="E2214" s="1">
        <v>44104</v>
      </c>
      <c r="F2214" s="2">
        <f t="shared" si="204"/>
        <v>2020</v>
      </c>
      <c r="G2214">
        <v>153</v>
      </c>
      <c r="H2214" s="3">
        <v>1497189</v>
      </c>
      <c r="I2214">
        <v>46877</v>
      </c>
      <c r="J2214">
        <v>1497189</v>
      </c>
      <c r="K2214">
        <v>1319005</v>
      </c>
      <c r="L2214">
        <v>1218065</v>
      </c>
      <c r="M2214" t="str">
        <f t="shared" si="205"/>
        <v>Large</v>
      </c>
      <c r="N2214">
        <f>VLOOKUP(C2214,Lookup!$A$2:$D$5,MATCH(M2214,Lookup!$A$1:$D$1,0),FALSE)</f>
        <v>0.08</v>
      </c>
      <c r="O2214">
        <f t="shared" si="206"/>
        <v>97445.2</v>
      </c>
      <c r="P2214" s="7">
        <f t="shared" si="207"/>
        <v>0.88098763749934039</v>
      </c>
      <c r="Q2214" s="7">
        <f t="shared" si="208"/>
        <v>9785.5490196078426</v>
      </c>
      <c r="R2214">
        <f t="shared" si="209"/>
        <v>0.48106012404920923</v>
      </c>
    </row>
    <row r="2215" spans="1:18" x14ac:dyDescent="0.25">
      <c r="A2215" t="s">
        <v>1259</v>
      </c>
      <c r="B2215" t="s">
        <v>1260</v>
      </c>
      <c r="C2215" t="s">
        <v>20</v>
      </c>
      <c r="D2215">
        <v>1913</v>
      </c>
      <c r="E2215" s="1">
        <v>44469</v>
      </c>
      <c r="F2215" s="2">
        <f t="shared" si="204"/>
        <v>2021</v>
      </c>
      <c r="G2215">
        <v>176</v>
      </c>
      <c r="H2215" s="3">
        <v>1624862</v>
      </c>
      <c r="I2215">
        <v>190787</v>
      </c>
      <c r="J2215">
        <v>1624862</v>
      </c>
      <c r="K2215">
        <v>1426114</v>
      </c>
      <c r="L2215">
        <v>1383524</v>
      </c>
      <c r="M2215" t="str">
        <f t="shared" si="205"/>
        <v>Large</v>
      </c>
      <c r="N2215">
        <f>VLOOKUP(C2215,Lookup!$A$2:$D$5,MATCH(M2215,Lookup!$A$1:$D$1,0),FALSE)</f>
        <v>0.08</v>
      </c>
      <c r="O2215">
        <f t="shared" si="206"/>
        <v>110681.92</v>
      </c>
      <c r="P2215" s="7">
        <f t="shared" si="207"/>
        <v>0.87768315093835658</v>
      </c>
      <c r="Q2215" s="7">
        <f t="shared" si="208"/>
        <v>9232.170454545454</v>
      </c>
      <c r="R2215">
        <f t="shared" si="209"/>
        <v>1.723741330110645</v>
      </c>
    </row>
    <row r="2216" spans="1:18" x14ac:dyDescent="0.25">
      <c r="A2216" t="s">
        <v>1261</v>
      </c>
      <c r="B2216" t="s">
        <v>1262</v>
      </c>
      <c r="C2216" t="s">
        <v>17</v>
      </c>
      <c r="D2216">
        <v>10512</v>
      </c>
      <c r="E2216" s="1">
        <v>43738</v>
      </c>
      <c r="F2216" s="2">
        <f t="shared" si="204"/>
        <v>2019</v>
      </c>
      <c r="G2216">
        <v>31</v>
      </c>
      <c r="H2216" s="3">
        <v>166707</v>
      </c>
      <c r="I2216">
        <v>56175</v>
      </c>
      <c r="J2216">
        <v>166707</v>
      </c>
      <c r="K2216">
        <v>131208</v>
      </c>
      <c r="L2216">
        <v>129201</v>
      </c>
      <c r="M2216" t="str">
        <f t="shared" si="205"/>
        <v>Medium</v>
      </c>
      <c r="N2216">
        <f>VLOOKUP(C2216,Lookup!$A$2:$D$5,MATCH(M2216,Lookup!$A$1:$D$1,0),FALSE)</f>
        <v>8.5000000000000006E-2</v>
      </c>
      <c r="O2216">
        <f t="shared" si="206"/>
        <v>10982.085000000001</v>
      </c>
      <c r="P2216" s="7">
        <f t="shared" si="207"/>
        <v>0.78705753207723728</v>
      </c>
      <c r="Q2216" s="7">
        <f t="shared" si="208"/>
        <v>5377.6451612903229</v>
      </c>
      <c r="R2216">
        <f t="shared" si="209"/>
        <v>5.1151488993210306</v>
      </c>
    </row>
    <row r="2217" spans="1:18" x14ac:dyDescent="0.25">
      <c r="A2217" t="s">
        <v>1261</v>
      </c>
      <c r="B2217" t="s">
        <v>1262</v>
      </c>
      <c r="C2217" t="s">
        <v>17</v>
      </c>
      <c r="D2217">
        <v>10512</v>
      </c>
      <c r="E2217" s="1">
        <v>44104</v>
      </c>
      <c r="F2217" s="2">
        <f t="shared" si="204"/>
        <v>2020</v>
      </c>
      <c r="G2217">
        <v>31</v>
      </c>
      <c r="H2217" s="3">
        <v>195232</v>
      </c>
      <c r="I2217">
        <v>84025</v>
      </c>
      <c r="J2217">
        <v>195232</v>
      </c>
      <c r="K2217">
        <v>158630</v>
      </c>
      <c r="L2217">
        <v>156696</v>
      </c>
      <c r="M2217" t="str">
        <f t="shared" si="205"/>
        <v>Medium</v>
      </c>
      <c r="N2217">
        <f>VLOOKUP(C2217,Lookup!$A$2:$D$5,MATCH(M2217,Lookup!$A$1:$D$1,0),FALSE)</f>
        <v>8.5000000000000006E-2</v>
      </c>
      <c r="O2217">
        <f t="shared" si="206"/>
        <v>13319.160000000002</v>
      </c>
      <c r="P2217" s="7">
        <f t="shared" si="207"/>
        <v>0.8125204884445173</v>
      </c>
      <c r="Q2217" s="7">
        <f t="shared" si="208"/>
        <v>6297.8064516129034</v>
      </c>
      <c r="R2217">
        <f t="shared" si="209"/>
        <v>6.3085810216259874</v>
      </c>
    </row>
    <row r="2218" spans="1:18" x14ac:dyDescent="0.25">
      <c r="A2218" t="s">
        <v>1261</v>
      </c>
      <c r="B2218" t="s">
        <v>1262</v>
      </c>
      <c r="C2218" t="s">
        <v>17</v>
      </c>
      <c r="D2218">
        <v>10512</v>
      </c>
      <c r="E2218" s="1">
        <v>44469</v>
      </c>
      <c r="F2218" s="2">
        <f t="shared" si="204"/>
        <v>2021</v>
      </c>
      <c r="G2218">
        <v>31</v>
      </c>
      <c r="H2218" s="3">
        <v>208586</v>
      </c>
      <c r="I2218">
        <v>74535</v>
      </c>
      <c r="J2218">
        <v>208586</v>
      </c>
      <c r="K2218">
        <v>171817</v>
      </c>
      <c r="L2218">
        <v>169714</v>
      </c>
      <c r="M2218" t="str">
        <f t="shared" si="205"/>
        <v>Medium</v>
      </c>
      <c r="N2218">
        <f>VLOOKUP(C2218,Lookup!$A$2:$D$5,MATCH(M2218,Lookup!$A$1:$D$1,0),FALSE)</f>
        <v>8.5000000000000006E-2</v>
      </c>
      <c r="O2218">
        <f t="shared" si="206"/>
        <v>14425.69</v>
      </c>
      <c r="P2218" s="7">
        <f t="shared" si="207"/>
        <v>0.82372258924376518</v>
      </c>
      <c r="Q2218" s="7">
        <f t="shared" si="208"/>
        <v>6728.5806451612907</v>
      </c>
      <c r="R2218">
        <f t="shared" si="209"/>
        <v>5.1668239092896071</v>
      </c>
    </row>
    <row r="2219" spans="1:18" x14ac:dyDescent="0.25">
      <c r="A2219" t="s">
        <v>1263</v>
      </c>
      <c r="B2219" t="s">
        <v>1264</v>
      </c>
      <c r="C2219" t="s">
        <v>20</v>
      </c>
      <c r="D2219">
        <v>1880</v>
      </c>
      <c r="E2219" s="1">
        <v>43738</v>
      </c>
      <c r="F2219" s="2">
        <f t="shared" si="204"/>
        <v>2019</v>
      </c>
      <c r="G2219">
        <v>109</v>
      </c>
      <c r="H2219" s="3">
        <v>615260</v>
      </c>
      <c r="I2219">
        <v>29328</v>
      </c>
      <c r="J2219">
        <v>615260</v>
      </c>
      <c r="K2219">
        <v>537397</v>
      </c>
      <c r="L2219">
        <v>520145</v>
      </c>
      <c r="M2219" t="str">
        <f t="shared" si="205"/>
        <v>Medium</v>
      </c>
      <c r="N2219">
        <f>VLOOKUP(C2219,Lookup!$A$2:$D$5,MATCH(M2219,Lookup!$A$1:$D$1,0),FALSE)</f>
        <v>8.5000000000000006E-2</v>
      </c>
      <c r="O2219">
        <f t="shared" si="206"/>
        <v>44212.325000000004</v>
      </c>
      <c r="P2219" s="7">
        <f t="shared" si="207"/>
        <v>0.87344699801709846</v>
      </c>
      <c r="Q2219" s="7">
        <f t="shared" si="208"/>
        <v>5644.5871559633024</v>
      </c>
      <c r="R2219">
        <f t="shared" si="209"/>
        <v>0.66334444071873622</v>
      </c>
    </row>
    <row r="2220" spans="1:18" x14ac:dyDescent="0.25">
      <c r="A2220" t="s">
        <v>1263</v>
      </c>
      <c r="B2220" t="s">
        <v>1264</v>
      </c>
      <c r="C2220" t="s">
        <v>20</v>
      </c>
      <c r="D2220">
        <v>1880</v>
      </c>
      <c r="E2220" s="1">
        <v>44104</v>
      </c>
      <c r="F2220" s="2">
        <f t="shared" si="204"/>
        <v>2020</v>
      </c>
      <c r="G2220">
        <v>108</v>
      </c>
      <c r="H2220" s="3">
        <v>655631</v>
      </c>
      <c r="I2220">
        <v>85396</v>
      </c>
      <c r="J2220">
        <v>655631</v>
      </c>
      <c r="K2220">
        <v>575343</v>
      </c>
      <c r="L2220">
        <v>569902</v>
      </c>
      <c r="M2220" t="str">
        <f t="shared" si="205"/>
        <v>Medium</v>
      </c>
      <c r="N2220">
        <f>VLOOKUP(C2220,Lookup!$A$2:$D$5,MATCH(M2220,Lookup!$A$1:$D$1,0),FALSE)</f>
        <v>8.5000000000000006E-2</v>
      </c>
      <c r="O2220">
        <f t="shared" si="206"/>
        <v>48441.670000000006</v>
      </c>
      <c r="P2220" s="7">
        <f t="shared" si="207"/>
        <v>0.87754087283853266</v>
      </c>
      <c r="Q2220" s="7">
        <f t="shared" si="208"/>
        <v>6070.6574074074078</v>
      </c>
      <c r="R2220">
        <f t="shared" si="209"/>
        <v>1.7628624281532819</v>
      </c>
    </row>
    <row r="2221" spans="1:18" x14ac:dyDescent="0.25">
      <c r="A2221" t="s">
        <v>1263</v>
      </c>
      <c r="B2221" t="s">
        <v>1264</v>
      </c>
      <c r="C2221" t="s">
        <v>20</v>
      </c>
      <c r="D2221">
        <v>1880</v>
      </c>
      <c r="E2221" s="1">
        <v>44469</v>
      </c>
      <c r="F2221" s="2">
        <f t="shared" si="204"/>
        <v>2021</v>
      </c>
      <c r="G2221">
        <v>107</v>
      </c>
      <c r="H2221" s="3">
        <v>707756</v>
      </c>
      <c r="I2221">
        <v>104501</v>
      </c>
      <c r="J2221">
        <v>707756</v>
      </c>
      <c r="K2221">
        <v>625074</v>
      </c>
      <c r="L2221">
        <v>621328</v>
      </c>
      <c r="M2221" t="str">
        <f t="shared" si="205"/>
        <v>Medium</v>
      </c>
      <c r="N2221">
        <f>VLOOKUP(C2221,Lookup!$A$2:$D$5,MATCH(M2221,Lookup!$A$1:$D$1,0),FALSE)</f>
        <v>8.5000000000000006E-2</v>
      </c>
      <c r="O2221">
        <f t="shared" si="206"/>
        <v>52812.880000000005</v>
      </c>
      <c r="P2221" s="7">
        <f t="shared" si="207"/>
        <v>0.88317725317764884</v>
      </c>
      <c r="Q2221" s="7">
        <f t="shared" si="208"/>
        <v>6614.5420560747662</v>
      </c>
      <c r="R2221">
        <f t="shared" si="209"/>
        <v>1.9787029224689128</v>
      </c>
    </row>
    <row r="2222" spans="1:18" x14ac:dyDescent="0.25">
      <c r="A2222" t="s">
        <v>1265</v>
      </c>
      <c r="B2222" t="s">
        <v>1266</v>
      </c>
      <c r="C2222" t="s">
        <v>8</v>
      </c>
      <c r="D2222">
        <v>60134</v>
      </c>
      <c r="E2222" s="1">
        <v>43738</v>
      </c>
      <c r="F2222" s="2">
        <f t="shared" si="204"/>
        <v>2019</v>
      </c>
      <c r="G2222">
        <v>24</v>
      </c>
      <c r="H2222" s="3">
        <v>80285</v>
      </c>
      <c r="I2222">
        <v>12140</v>
      </c>
      <c r="J2222">
        <v>80285</v>
      </c>
      <c r="K2222">
        <v>72247</v>
      </c>
      <c r="L2222">
        <v>72017</v>
      </c>
      <c r="M2222" t="str">
        <f t="shared" si="205"/>
        <v>Small</v>
      </c>
      <c r="N2222">
        <f>VLOOKUP(C2222,Lookup!$A$2:$D$5,MATCH(M2222,Lookup!$A$1:$D$1,0),FALSE)</f>
        <v>0.09</v>
      </c>
      <c r="O2222">
        <f t="shared" si="206"/>
        <v>6481.53</v>
      </c>
      <c r="P2222" s="7">
        <f t="shared" si="207"/>
        <v>0.89988167154512055</v>
      </c>
      <c r="Q2222" s="7">
        <f t="shared" si="208"/>
        <v>3345.2083333333335</v>
      </c>
      <c r="R2222">
        <f t="shared" si="209"/>
        <v>1.873014550576793</v>
      </c>
    </row>
    <row r="2223" spans="1:18" x14ac:dyDescent="0.25">
      <c r="A2223" t="s">
        <v>1265</v>
      </c>
      <c r="B2223" t="s">
        <v>1266</v>
      </c>
      <c r="C2223" t="s">
        <v>8</v>
      </c>
      <c r="D2223">
        <v>60134</v>
      </c>
      <c r="E2223" s="1">
        <v>44104</v>
      </c>
      <c r="F2223" s="2">
        <f t="shared" si="204"/>
        <v>2020</v>
      </c>
      <c r="G2223">
        <v>23</v>
      </c>
      <c r="H2223" s="3">
        <v>96592</v>
      </c>
      <c r="I2223">
        <v>21924</v>
      </c>
      <c r="J2223">
        <v>96592</v>
      </c>
      <c r="K2223">
        <v>87844</v>
      </c>
      <c r="L2223">
        <v>87446</v>
      </c>
      <c r="M2223" t="str">
        <f t="shared" si="205"/>
        <v>Small</v>
      </c>
      <c r="N2223">
        <f>VLOOKUP(C2223,Lookup!$A$2:$D$5,MATCH(M2223,Lookup!$A$1:$D$1,0),FALSE)</f>
        <v>0.09</v>
      </c>
      <c r="O2223">
        <f t="shared" si="206"/>
        <v>7870.1399999999994</v>
      </c>
      <c r="P2223" s="7">
        <f t="shared" si="207"/>
        <v>0.90943349345701507</v>
      </c>
      <c r="Q2223" s="7">
        <f t="shared" si="208"/>
        <v>4199.652173913043</v>
      </c>
      <c r="R2223">
        <f t="shared" si="209"/>
        <v>2.7857191866980768</v>
      </c>
    </row>
    <row r="2224" spans="1:18" x14ac:dyDescent="0.25">
      <c r="A2224" t="s">
        <v>1265</v>
      </c>
      <c r="B2224" t="s">
        <v>1266</v>
      </c>
      <c r="C2224" t="s">
        <v>8</v>
      </c>
      <c r="D2224">
        <v>60134</v>
      </c>
      <c r="E2224" s="1">
        <v>44469</v>
      </c>
      <c r="F2224" s="2">
        <f t="shared" si="204"/>
        <v>2021</v>
      </c>
      <c r="G2224">
        <v>23</v>
      </c>
      <c r="H2224" s="3">
        <v>110869</v>
      </c>
      <c r="I2224">
        <v>18247</v>
      </c>
      <c r="J2224">
        <v>110869</v>
      </c>
      <c r="K2224">
        <v>100675</v>
      </c>
      <c r="L2224">
        <v>97278</v>
      </c>
      <c r="M2224" t="str">
        <f t="shared" si="205"/>
        <v>Medium</v>
      </c>
      <c r="N2224">
        <f>VLOOKUP(C2224,Lookup!$A$2:$D$5,MATCH(M2224,Lookup!$A$1:$D$1,0),FALSE)</f>
        <v>0.08</v>
      </c>
      <c r="O2224">
        <f t="shared" si="206"/>
        <v>7782.24</v>
      </c>
      <c r="P2224" s="7">
        <f t="shared" si="207"/>
        <v>0.90805364890095519</v>
      </c>
      <c r="Q2224" s="7">
        <f t="shared" si="208"/>
        <v>4820.391304347826</v>
      </c>
      <c r="R2224">
        <f t="shared" si="209"/>
        <v>2.3446976705935567</v>
      </c>
    </row>
    <row r="2225" spans="1:18" x14ac:dyDescent="0.25">
      <c r="A2225" t="s">
        <v>1267</v>
      </c>
      <c r="B2225" t="s">
        <v>1268</v>
      </c>
      <c r="C2225" t="s">
        <v>8</v>
      </c>
      <c r="D2225">
        <v>61062</v>
      </c>
      <c r="E2225" s="1">
        <v>43738</v>
      </c>
      <c r="F2225" s="2">
        <f t="shared" si="204"/>
        <v>2019</v>
      </c>
      <c r="G2225">
        <v>18</v>
      </c>
      <c r="H2225" s="3">
        <v>58217</v>
      </c>
      <c r="I2225">
        <v>12807</v>
      </c>
      <c r="J2225">
        <v>58218</v>
      </c>
      <c r="K2225">
        <v>51320</v>
      </c>
      <c r="L2225">
        <v>51082</v>
      </c>
      <c r="M2225" t="str">
        <f t="shared" si="205"/>
        <v>Small</v>
      </c>
      <c r="N2225">
        <f>VLOOKUP(C2225,Lookup!$A$2:$D$5,MATCH(M2225,Lookup!$A$1:$D$1,0),FALSE)</f>
        <v>0.09</v>
      </c>
      <c r="O2225">
        <f t="shared" si="206"/>
        <v>4597.38</v>
      </c>
      <c r="P2225" s="7">
        <f t="shared" si="207"/>
        <v>0.88152945016060602</v>
      </c>
      <c r="Q2225" s="7">
        <f t="shared" si="208"/>
        <v>3234.2777777777778</v>
      </c>
      <c r="R2225">
        <f t="shared" si="209"/>
        <v>2.7857170823382011</v>
      </c>
    </row>
    <row r="2226" spans="1:18" x14ac:dyDescent="0.25">
      <c r="A2226" t="s">
        <v>1267</v>
      </c>
      <c r="B2226" t="s">
        <v>1268</v>
      </c>
      <c r="C2226" t="s">
        <v>8</v>
      </c>
      <c r="D2226">
        <v>61062</v>
      </c>
      <c r="E2226" s="1">
        <v>44104</v>
      </c>
      <c r="F2226" s="2">
        <f t="shared" si="204"/>
        <v>2020</v>
      </c>
      <c r="G2226">
        <v>18</v>
      </c>
      <c r="H2226" s="3">
        <v>63822</v>
      </c>
      <c r="I2226">
        <v>20517</v>
      </c>
      <c r="J2226">
        <v>63822</v>
      </c>
      <c r="K2226">
        <v>56684</v>
      </c>
      <c r="L2226">
        <v>55472</v>
      </c>
      <c r="M2226" t="str">
        <f t="shared" si="205"/>
        <v>Small</v>
      </c>
      <c r="N2226">
        <f>VLOOKUP(C2226,Lookup!$A$2:$D$5,MATCH(M2226,Lookup!$A$1:$D$1,0),FALSE)</f>
        <v>0.09</v>
      </c>
      <c r="O2226">
        <f t="shared" si="206"/>
        <v>4992.4799999999996</v>
      </c>
      <c r="P2226" s="7">
        <f t="shared" si="207"/>
        <v>0.88815768857133903</v>
      </c>
      <c r="Q2226" s="7">
        <f t="shared" si="208"/>
        <v>3545.6666666666665</v>
      </c>
      <c r="R2226">
        <f t="shared" si="209"/>
        <v>4.1095808095375448</v>
      </c>
    </row>
    <row r="2227" spans="1:18" x14ac:dyDescent="0.25">
      <c r="A2227" t="s">
        <v>1267</v>
      </c>
      <c r="B2227" t="s">
        <v>1268</v>
      </c>
      <c r="C2227" t="s">
        <v>8</v>
      </c>
      <c r="D2227">
        <v>61062</v>
      </c>
      <c r="E2227" s="1">
        <v>44469</v>
      </c>
      <c r="F2227" s="2">
        <f t="shared" si="204"/>
        <v>2021</v>
      </c>
      <c r="G2227">
        <v>15</v>
      </c>
      <c r="H2227" s="3">
        <v>69833</v>
      </c>
      <c r="I2227">
        <v>25086</v>
      </c>
      <c r="J2227">
        <v>69833</v>
      </c>
      <c r="K2227">
        <v>62447</v>
      </c>
      <c r="L2227">
        <v>62259</v>
      </c>
      <c r="M2227" t="str">
        <f t="shared" si="205"/>
        <v>Small</v>
      </c>
      <c r="N2227">
        <f>VLOOKUP(C2227,Lookup!$A$2:$D$5,MATCH(M2227,Lookup!$A$1:$D$1,0),FALSE)</f>
        <v>0.09</v>
      </c>
      <c r="O2227">
        <f t="shared" si="206"/>
        <v>5603.3099999999995</v>
      </c>
      <c r="P2227" s="7">
        <f t="shared" si="207"/>
        <v>0.8942333853622213</v>
      </c>
      <c r="Q2227" s="7">
        <f t="shared" si="208"/>
        <v>4655.5333333333338</v>
      </c>
      <c r="R2227">
        <f t="shared" si="209"/>
        <v>4.4769966323476664</v>
      </c>
    </row>
    <row r="2228" spans="1:18" x14ac:dyDescent="0.25">
      <c r="A2228" t="s">
        <v>1269</v>
      </c>
      <c r="B2228" t="s">
        <v>1270</v>
      </c>
      <c r="C2228" t="s">
        <v>17</v>
      </c>
      <c r="D2228">
        <v>13669</v>
      </c>
      <c r="E2228" s="1">
        <v>43738</v>
      </c>
      <c r="F2228" s="2">
        <f t="shared" si="204"/>
        <v>2019</v>
      </c>
      <c r="G2228">
        <v>21</v>
      </c>
      <c r="H2228" s="3">
        <v>156763</v>
      </c>
      <c r="I2228">
        <v>9905</v>
      </c>
      <c r="J2228">
        <v>156762</v>
      </c>
      <c r="K2228">
        <v>139653</v>
      </c>
      <c r="L2228">
        <v>111401</v>
      </c>
      <c r="M2228" t="str">
        <f t="shared" si="205"/>
        <v>Medium</v>
      </c>
      <c r="N2228">
        <f>VLOOKUP(C2228,Lookup!$A$2:$D$5,MATCH(M2228,Lookup!$A$1:$D$1,0),FALSE)</f>
        <v>8.5000000000000006E-2</v>
      </c>
      <c r="O2228">
        <f t="shared" si="206"/>
        <v>9469.0850000000009</v>
      </c>
      <c r="P2228" s="7">
        <f t="shared" si="207"/>
        <v>0.89085434700790367</v>
      </c>
      <c r="Q2228" s="7">
        <f t="shared" si="208"/>
        <v>7464.9047619047615</v>
      </c>
      <c r="R2228">
        <f t="shared" si="209"/>
        <v>1.04603559900455</v>
      </c>
    </row>
    <row r="2229" spans="1:18" x14ac:dyDescent="0.25">
      <c r="A2229" t="s">
        <v>1269</v>
      </c>
      <c r="B2229" t="s">
        <v>1270</v>
      </c>
      <c r="C2229" t="s">
        <v>17</v>
      </c>
      <c r="D2229">
        <v>13669</v>
      </c>
      <c r="E2229" s="1">
        <v>44104</v>
      </c>
      <c r="F2229" s="2">
        <f t="shared" si="204"/>
        <v>2020</v>
      </c>
      <c r="G2229">
        <v>22</v>
      </c>
      <c r="H2229" s="3">
        <v>192147</v>
      </c>
      <c r="I2229">
        <v>9433</v>
      </c>
      <c r="J2229">
        <v>192147</v>
      </c>
      <c r="K2229">
        <v>173100</v>
      </c>
      <c r="L2229">
        <v>149964</v>
      </c>
      <c r="M2229" t="str">
        <f t="shared" si="205"/>
        <v>Medium</v>
      </c>
      <c r="N2229">
        <f>VLOOKUP(C2229,Lookup!$A$2:$D$5,MATCH(M2229,Lookup!$A$1:$D$1,0),FALSE)</f>
        <v>8.5000000000000006E-2</v>
      </c>
      <c r="O2229">
        <f t="shared" si="206"/>
        <v>12746.94</v>
      </c>
      <c r="P2229" s="7">
        <f t="shared" si="207"/>
        <v>0.90087276928601534</v>
      </c>
      <c r="Q2229" s="7">
        <f t="shared" si="208"/>
        <v>8733.954545454546</v>
      </c>
      <c r="R2229">
        <f t="shared" si="209"/>
        <v>0.74002074223303782</v>
      </c>
    </row>
    <row r="2230" spans="1:18" x14ac:dyDescent="0.25">
      <c r="A2230" t="s">
        <v>1269</v>
      </c>
      <c r="B2230" t="s">
        <v>1270</v>
      </c>
      <c r="C2230" t="s">
        <v>17</v>
      </c>
      <c r="D2230">
        <v>13669</v>
      </c>
      <c r="E2230" s="1">
        <v>44469</v>
      </c>
      <c r="F2230" s="2">
        <f t="shared" si="204"/>
        <v>2021</v>
      </c>
      <c r="G2230">
        <v>20</v>
      </c>
      <c r="H2230" s="3">
        <v>244137</v>
      </c>
      <c r="I2230">
        <v>8419</v>
      </c>
      <c r="J2230">
        <v>244137</v>
      </c>
      <c r="K2230">
        <v>223202</v>
      </c>
      <c r="L2230">
        <v>203444</v>
      </c>
      <c r="M2230" t="str">
        <f t="shared" si="205"/>
        <v>Medium</v>
      </c>
      <c r="N2230">
        <f>VLOOKUP(C2230,Lookup!$A$2:$D$5,MATCH(M2230,Lookup!$A$1:$D$1,0),FALSE)</f>
        <v>8.5000000000000006E-2</v>
      </c>
      <c r="O2230">
        <f t="shared" si="206"/>
        <v>17292.740000000002</v>
      </c>
      <c r="P2230" s="7">
        <f t="shared" si="207"/>
        <v>0.91424896676865863</v>
      </c>
      <c r="Q2230" s="7">
        <f t="shared" si="208"/>
        <v>12206.85</v>
      </c>
      <c r="R2230">
        <f t="shared" si="209"/>
        <v>0.48685170771086589</v>
      </c>
    </row>
    <row r="2231" spans="1:18" x14ac:dyDescent="0.25">
      <c r="A2231" t="s">
        <v>1271</v>
      </c>
      <c r="B2231" t="s">
        <v>1272</v>
      </c>
      <c r="C2231" t="s">
        <v>8</v>
      </c>
      <c r="D2231">
        <v>62282</v>
      </c>
      <c r="E2231" s="1">
        <v>43738</v>
      </c>
      <c r="F2231" s="2">
        <f t="shared" si="204"/>
        <v>2019</v>
      </c>
      <c r="G2231">
        <v>14</v>
      </c>
      <c r="H2231" s="3">
        <v>89244</v>
      </c>
      <c r="I2231">
        <v>18650</v>
      </c>
      <c r="J2231">
        <v>89244</v>
      </c>
      <c r="K2231">
        <v>80648</v>
      </c>
      <c r="L2231">
        <v>79642</v>
      </c>
      <c r="M2231" t="str">
        <f t="shared" si="205"/>
        <v>Small</v>
      </c>
      <c r="N2231">
        <f>VLOOKUP(C2231,Lookup!$A$2:$D$5,MATCH(M2231,Lookup!$A$1:$D$1,0),FALSE)</f>
        <v>0.09</v>
      </c>
      <c r="O2231">
        <f t="shared" si="206"/>
        <v>7167.78</v>
      </c>
      <c r="P2231" s="7">
        <f t="shared" si="207"/>
        <v>0.90367979920218722</v>
      </c>
      <c r="Q2231" s="7">
        <f t="shared" si="208"/>
        <v>6374.5714285714284</v>
      </c>
      <c r="R2231">
        <f t="shared" si="209"/>
        <v>2.6019213759350874</v>
      </c>
    </row>
    <row r="2232" spans="1:18" x14ac:dyDescent="0.25">
      <c r="A2232" t="s">
        <v>1271</v>
      </c>
      <c r="B2232" t="s">
        <v>1273</v>
      </c>
      <c r="C2232" t="s">
        <v>20</v>
      </c>
      <c r="D2232">
        <v>2466</v>
      </c>
      <c r="E2232" s="1">
        <v>43738</v>
      </c>
      <c r="F2232" s="2">
        <f t="shared" si="204"/>
        <v>2019</v>
      </c>
      <c r="G2232">
        <v>130</v>
      </c>
      <c r="H2232" s="3">
        <v>1249472</v>
      </c>
      <c r="I2232">
        <v>11392</v>
      </c>
      <c r="J2232">
        <v>1249472</v>
      </c>
      <c r="K2232">
        <v>1113028</v>
      </c>
      <c r="L2232">
        <v>1045614</v>
      </c>
      <c r="M2232" t="str">
        <f t="shared" si="205"/>
        <v>Large</v>
      </c>
      <c r="N2232">
        <f>VLOOKUP(C2232,Lookup!$A$2:$D$5,MATCH(M2232,Lookup!$A$1:$D$1,0),FALSE)</f>
        <v>0.08</v>
      </c>
      <c r="O2232">
        <f t="shared" si="206"/>
        <v>83649.119999999995</v>
      </c>
      <c r="P2232" s="7">
        <f t="shared" si="207"/>
        <v>0.89079867335962715</v>
      </c>
      <c r="Q2232" s="7">
        <f t="shared" si="208"/>
        <v>9611.3230769230777</v>
      </c>
      <c r="R2232">
        <f t="shared" si="209"/>
        <v>0.13618792403315183</v>
      </c>
    </row>
    <row r="2233" spans="1:18" x14ac:dyDescent="0.25">
      <c r="A2233" t="s">
        <v>1271</v>
      </c>
      <c r="B2233" t="s">
        <v>1272</v>
      </c>
      <c r="C2233" t="s">
        <v>8</v>
      </c>
      <c r="D2233">
        <v>62282</v>
      </c>
      <c r="E2233" s="1">
        <v>44104</v>
      </c>
      <c r="F2233" s="2">
        <f t="shared" si="204"/>
        <v>2020</v>
      </c>
      <c r="G2233">
        <v>15</v>
      </c>
      <c r="H2233" s="3">
        <v>98402</v>
      </c>
      <c r="I2233">
        <v>7651</v>
      </c>
      <c r="J2233">
        <v>98402</v>
      </c>
      <c r="K2233">
        <v>89327</v>
      </c>
      <c r="L2233">
        <v>88314</v>
      </c>
      <c r="M2233" t="str">
        <f t="shared" si="205"/>
        <v>Small</v>
      </c>
      <c r="N2233">
        <f>VLOOKUP(C2233,Lookup!$A$2:$D$5,MATCH(M2233,Lookup!$A$1:$D$1,0),FALSE)</f>
        <v>0.09</v>
      </c>
      <c r="O2233">
        <f t="shared" si="206"/>
        <v>7948.2599999999993</v>
      </c>
      <c r="P2233" s="7">
        <f t="shared" si="207"/>
        <v>0.90777626471006689</v>
      </c>
      <c r="Q2233" s="7">
        <f t="shared" si="208"/>
        <v>6560.1333333333332</v>
      </c>
      <c r="R2233">
        <f t="shared" si="209"/>
        <v>0.96260061950665943</v>
      </c>
    </row>
    <row r="2234" spans="1:18" x14ac:dyDescent="0.25">
      <c r="A2234" t="s">
        <v>1271</v>
      </c>
      <c r="B2234" t="s">
        <v>1273</v>
      </c>
      <c r="C2234" t="s">
        <v>20</v>
      </c>
      <c r="D2234">
        <v>2466</v>
      </c>
      <c r="E2234" s="1">
        <v>44104</v>
      </c>
      <c r="F2234" s="2">
        <f t="shared" si="204"/>
        <v>2020</v>
      </c>
      <c r="G2234">
        <v>129</v>
      </c>
      <c r="H2234" s="3">
        <v>1455159</v>
      </c>
      <c r="I2234">
        <v>125165</v>
      </c>
      <c r="J2234">
        <v>1455159</v>
      </c>
      <c r="K2234">
        <v>1306562</v>
      </c>
      <c r="L2234">
        <v>1300110</v>
      </c>
      <c r="M2234" t="str">
        <f t="shared" si="205"/>
        <v>Large</v>
      </c>
      <c r="N2234">
        <f>VLOOKUP(C2234,Lookup!$A$2:$D$5,MATCH(M2234,Lookup!$A$1:$D$1,0),FALSE)</f>
        <v>0.08</v>
      </c>
      <c r="O2234">
        <f t="shared" si="206"/>
        <v>104008.8</v>
      </c>
      <c r="P2234" s="7">
        <f t="shared" si="207"/>
        <v>0.89788263688023096</v>
      </c>
      <c r="Q2234" s="7">
        <f t="shared" si="208"/>
        <v>11280.302325581395</v>
      </c>
      <c r="R2234">
        <f t="shared" si="209"/>
        <v>1.2034077885717362</v>
      </c>
    </row>
    <row r="2235" spans="1:18" x14ac:dyDescent="0.25">
      <c r="A2235" t="s">
        <v>1271</v>
      </c>
      <c r="B2235" t="s">
        <v>1272</v>
      </c>
      <c r="C2235" t="s">
        <v>8</v>
      </c>
      <c r="D2235">
        <v>62282</v>
      </c>
      <c r="E2235" s="1">
        <v>44469</v>
      </c>
      <c r="F2235" s="2">
        <f t="shared" si="204"/>
        <v>2021</v>
      </c>
      <c r="G2235">
        <v>16</v>
      </c>
      <c r="H2235" s="3">
        <v>105502</v>
      </c>
      <c r="I2235">
        <v>12140</v>
      </c>
      <c r="J2235">
        <v>105502</v>
      </c>
      <c r="K2235">
        <v>95209</v>
      </c>
      <c r="L2235">
        <v>94195</v>
      </c>
      <c r="M2235" t="str">
        <f t="shared" si="205"/>
        <v>Medium</v>
      </c>
      <c r="N2235">
        <f>VLOOKUP(C2235,Lookup!$A$2:$D$5,MATCH(M2235,Lookup!$A$1:$D$1,0),FALSE)</f>
        <v>0.08</v>
      </c>
      <c r="O2235">
        <f t="shared" si="206"/>
        <v>7535.6</v>
      </c>
      <c r="P2235" s="7">
        <f t="shared" si="207"/>
        <v>0.90243786847642704</v>
      </c>
      <c r="Q2235" s="7">
        <f t="shared" si="208"/>
        <v>6593.875</v>
      </c>
      <c r="R2235">
        <f t="shared" si="209"/>
        <v>1.6110196931896597</v>
      </c>
    </row>
    <row r="2236" spans="1:18" x14ac:dyDescent="0.25">
      <c r="A2236" t="s">
        <v>1271</v>
      </c>
      <c r="B2236" t="s">
        <v>1273</v>
      </c>
      <c r="C2236" t="s">
        <v>20</v>
      </c>
      <c r="D2236">
        <v>2466</v>
      </c>
      <c r="E2236" s="1">
        <v>44469</v>
      </c>
      <c r="F2236" s="2">
        <f t="shared" si="204"/>
        <v>2021</v>
      </c>
      <c r="G2236">
        <v>128</v>
      </c>
      <c r="H2236" s="3">
        <v>1653262</v>
      </c>
      <c r="I2236">
        <v>145938</v>
      </c>
      <c r="J2236">
        <v>1653262</v>
      </c>
      <c r="K2236">
        <v>1494900</v>
      </c>
      <c r="L2236">
        <v>1487678</v>
      </c>
      <c r="M2236" t="str">
        <f t="shared" si="205"/>
        <v>Large</v>
      </c>
      <c r="N2236">
        <f>VLOOKUP(C2236,Lookup!$A$2:$D$5,MATCH(M2236,Lookup!$A$1:$D$1,0),FALSE)</f>
        <v>0.08</v>
      </c>
      <c r="O2236">
        <f t="shared" si="206"/>
        <v>119014.24</v>
      </c>
      <c r="P2236" s="7">
        <f t="shared" si="207"/>
        <v>0.90421239948659071</v>
      </c>
      <c r="Q2236" s="7">
        <f t="shared" si="208"/>
        <v>12916.109375</v>
      </c>
      <c r="R2236">
        <f t="shared" si="209"/>
        <v>1.2262230133133647</v>
      </c>
    </row>
    <row r="2237" spans="1:18" x14ac:dyDescent="0.25">
      <c r="A2237" t="s">
        <v>1274</v>
      </c>
      <c r="B2237" t="s">
        <v>1275</v>
      </c>
      <c r="C2237" t="s">
        <v>17</v>
      </c>
      <c r="D2237">
        <v>10710</v>
      </c>
      <c r="E2237" s="1">
        <v>43738</v>
      </c>
      <c r="F2237" s="2">
        <f t="shared" si="204"/>
        <v>2019</v>
      </c>
      <c r="G2237">
        <v>68</v>
      </c>
      <c r="H2237" s="3">
        <v>886217</v>
      </c>
      <c r="I2237">
        <v>25773</v>
      </c>
      <c r="J2237">
        <v>886217</v>
      </c>
      <c r="K2237">
        <v>766682</v>
      </c>
      <c r="L2237">
        <v>692222</v>
      </c>
      <c r="M2237" t="str">
        <f t="shared" si="205"/>
        <v>Medium</v>
      </c>
      <c r="N2237">
        <f>VLOOKUP(C2237,Lookup!$A$2:$D$5,MATCH(M2237,Lookup!$A$1:$D$1,0),FALSE)</f>
        <v>8.5000000000000006E-2</v>
      </c>
      <c r="O2237">
        <f t="shared" si="206"/>
        <v>58838.87</v>
      </c>
      <c r="P2237" s="7">
        <f t="shared" si="207"/>
        <v>0.86511768562327285</v>
      </c>
      <c r="Q2237" s="7">
        <f t="shared" si="208"/>
        <v>13032.60294117647</v>
      </c>
      <c r="R2237">
        <f t="shared" si="209"/>
        <v>0.43802676699943421</v>
      </c>
    </row>
    <row r="2238" spans="1:18" x14ac:dyDescent="0.25">
      <c r="A2238" t="s">
        <v>1274</v>
      </c>
      <c r="B2238" t="s">
        <v>1275</v>
      </c>
      <c r="C2238" t="s">
        <v>17</v>
      </c>
      <c r="D2238">
        <v>10710</v>
      </c>
      <c r="E2238" s="1">
        <v>44104</v>
      </c>
      <c r="F2238" s="2">
        <f t="shared" si="204"/>
        <v>2020</v>
      </c>
      <c r="G2238">
        <v>70</v>
      </c>
      <c r="H2238" s="3">
        <v>1200899</v>
      </c>
      <c r="I2238">
        <v>220435</v>
      </c>
      <c r="J2238">
        <v>1200899</v>
      </c>
      <c r="K2238">
        <v>1075463</v>
      </c>
      <c r="L2238">
        <v>1005797</v>
      </c>
      <c r="M2238" t="str">
        <f t="shared" si="205"/>
        <v>Large</v>
      </c>
      <c r="N2238">
        <f>VLOOKUP(C2238,Lookup!$A$2:$D$5,MATCH(M2238,Lookup!$A$1:$D$1,0),FALSE)</f>
        <v>0.08</v>
      </c>
      <c r="O2238">
        <f t="shared" si="206"/>
        <v>80463.759999999995</v>
      </c>
      <c r="P2238" s="7">
        <f t="shared" si="207"/>
        <v>0.89554825176805042</v>
      </c>
      <c r="Q2238" s="7">
        <f t="shared" si="208"/>
        <v>17155.7</v>
      </c>
      <c r="R2238">
        <f t="shared" si="209"/>
        <v>2.739556292174266</v>
      </c>
    </row>
    <row r="2239" spans="1:18" x14ac:dyDescent="0.25">
      <c r="A2239" t="s">
        <v>1274</v>
      </c>
      <c r="B2239" t="s">
        <v>1275</v>
      </c>
      <c r="C2239" t="s">
        <v>17</v>
      </c>
      <c r="D2239">
        <v>10710</v>
      </c>
      <c r="E2239" s="1">
        <v>44469</v>
      </c>
      <c r="F2239" s="2">
        <f t="shared" si="204"/>
        <v>2021</v>
      </c>
      <c r="G2239">
        <v>67</v>
      </c>
      <c r="H2239" s="3">
        <v>1280654</v>
      </c>
      <c r="I2239">
        <v>230620</v>
      </c>
      <c r="J2239">
        <v>1280654</v>
      </c>
      <c r="K2239">
        <v>1139721</v>
      </c>
      <c r="L2239">
        <v>1082870</v>
      </c>
      <c r="M2239" t="str">
        <f t="shared" si="205"/>
        <v>Large</v>
      </c>
      <c r="N2239">
        <f>VLOOKUP(C2239,Lookup!$A$2:$D$5,MATCH(M2239,Lookup!$A$1:$D$1,0),FALSE)</f>
        <v>0.08</v>
      </c>
      <c r="O2239">
        <f t="shared" si="206"/>
        <v>86629.6</v>
      </c>
      <c r="P2239" s="7">
        <f t="shared" si="207"/>
        <v>0.88995232123586854</v>
      </c>
      <c r="Q2239" s="7">
        <f t="shared" si="208"/>
        <v>19114.238805970148</v>
      </c>
      <c r="R2239">
        <f t="shared" si="209"/>
        <v>2.6621385761910479</v>
      </c>
    </row>
    <row r="2240" spans="1:18" x14ac:dyDescent="0.25">
      <c r="A2240" t="s">
        <v>1276</v>
      </c>
      <c r="B2240" t="s">
        <v>369</v>
      </c>
      <c r="C2240" t="s">
        <v>17</v>
      </c>
      <c r="D2240">
        <v>14883</v>
      </c>
      <c r="E2240" s="1">
        <v>43738</v>
      </c>
      <c r="F2240" s="2">
        <f t="shared" si="204"/>
        <v>2019</v>
      </c>
      <c r="G2240">
        <v>99</v>
      </c>
      <c r="H2240" s="3">
        <v>481885</v>
      </c>
      <c r="I2240">
        <v>10639</v>
      </c>
      <c r="J2240">
        <v>481885</v>
      </c>
      <c r="K2240">
        <v>423101</v>
      </c>
      <c r="L2240">
        <v>401612</v>
      </c>
      <c r="M2240" t="str">
        <f t="shared" si="205"/>
        <v>Medium</v>
      </c>
      <c r="N2240">
        <f>VLOOKUP(C2240,Lookup!$A$2:$D$5,MATCH(M2240,Lookup!$A$1:$D$1,0),FALSE)</f>
        <v>8.5000000000000006E-2</v>
      </c>
      <c r="O2240">
        <f t="shared" si="206"/>
        <v>34137.020000000004</v>
      </c>
      <c r="P2240" s="7">
        <f t="shared" si="207"/>
        <v>0.87801238884796162</v>
      </c>
      <c r="Q2240" s="7">
        <f t="shared" si="208"/>
        <v>4867.5252525252527</v>
      </c>
      <c r="R2240">
        <f t="shared" si="209"/>
        <v>0.31165579186466769</v>
      </c>
    </row>
    <row r="2241" spans="1:18" x14ac:dyDescent="0.25">
      <c r="A2241" t="s">
        <v>1276</v>
      </c>
      <c r="B2241" t="s">
        <v>369</v>
      </c>
      <c r="C2241" t="s">
        <v>17</v>
      </c>
      <c r="D2241">
        <v>14883</v>
      </c>
      <c r="E2241" s="1">
        <v>44104</v>
      </c>
      <c r="F2241" s="2">
        <f t="shared" si="204"/>
        <v>2020</v>
      </c>
      <c r="G2241">
        <v>101</v>
      </c>
      <c r="H2241" s="3">
        <v>531113</v>
      </c>
      <c r="I2241">
        <v>9323</v>
      </c>
      <c r="J2241">
        <v>531113</v>
      </c>
      <c r="K2241">
        <v>464245</v>
      </c>
      <c r="L2241">
        <v>441228</v>
      </c>
      <c r="M2241" t="str">
        <f t="shared" si="205"/>
        <v>Medium</v>
      </c>
      <c r="N2241">
        <f>VLOOKUP(C2241,Lookup!$A$2:$D$5,MATCH(M2241,Lookup!$A$1:$D$1,0),FALSE)</f>
        <v>8.5000000000000006E-2</v>
      </c>
      <c r="O2241">
        <f t="shared" si="206"/>
        <v>37504.380000000005</v>
      </c>
      <c r="P2241" s="7">
        <f t="shared" si="207"/>
        <v>0.87409835571714489</v>
      </c>
      <c r="Q2241" s="7">
        <f t="shared" si="208"/>
        <v>5258.5445544554459</v>
      </c>
      <c r="R2241">
        <f t="shared" si="209"/>
        <v>0.24858429868724663</v>
      </c>
    </row>
    <row r="2242" spans="1:18" x14ac:dyDescent="0.25">
      <c r="A2242" t="s">
        <v>1397</v>
      </c>
      <c r="B2242" t="s">
        <v>369</v>
      </c>
      <c r="C2242" t="s">
        <v>17</v>
      </c>
      <c r="D2242">
        <v>14883</v>
      </c>
      <c r="E2242" s="1">
        <v>44469</v>
      </c>
      <c r="F2242" s="2">
        <f t="shared" ref="F2242:F2305" si="210">YEAR(E2242)</f>
        <v>2021</v>
      </c>
      <c r="G2242">
        <v>100</v>
      </c>
      <c r="H2242" s="3">
        <v>562945</v>
      </c>
      <c r="I2242">
        <v>41660</v>
      </c>
      <c r="J2242">
        <v>562945</v>
      </c>
      <c r="K2242">
        <v>492420</v>
      </c>
      <c r="L2242">
        <v>486773</v>
      </c>
      <c r="M2242" t="str">
        <f t="shared" ref="M2242:M2305" si="211">IF(H2242&gt;1000000,"Large",IF(H2242&lt;100000,"Small","Medium"))</f>
        <v>Medium</v>
      </c>
      <c r="N2242">
        <f>VLOOKUP(C2242,Lookup!$A$2:$D$5,MATCH(M2242,Lookup!$A$1:$D$1,0),FALSE)</f>
        <v>8.5000000000000006E-2</v>
      </c>
      <c r="O2242">
        <f t="shared" ref="O2242:O2305" si="212">L2242*N2242</f>
        <v>41375.705000000002</v>
      </c>
      <c r="P2242" s="7">
        <f t="shared" ref="P2242:P2305" si="213">K2242/H2242</f>
        <v>0.87472133156880338</v>
      </c>
      <c r="Q2242" s="7">
        <f t="shared" ref="Q2242:Q2305" si="214">H2242/G2242</f>
        <v>5629.45</v>
      </c>
      <c r="R2242">
        <f t="shared" ref="R2242:R2305" si="215">I2242/O2242</f>
        <v>1.0068710611698337</v>
      </c>
    </row>
    <row r="2243" spans="1:18" x14ac:dyDescent="0.25">
      <c r="A2243" t="s">
        <v>1277</v>
      </c>
      <c r="B2243" t="s">
        <v>1278</v>
      </c>
      <c r="C2243" t="s">
        <v>8</v>
      </c>
      <c r="D2243">
        <v>61953</v>
      </c>
      <c r="E2243" s="1">
        <v>43738</v>
      </c>
      <c r="F2243" s="2">
        <f t="shared" si="210"/>
        <v>2019</v>
      </c>
      <c r="G2243">
        <v>19</v>
      </c>
      <c r="H2243" s="3">
        <v>85899</v>
      </c>
      <c r="I2243">
        <v>18001</v>
      </c>
      <c r="J2243">
        <v>85898</v>
      </c>
      <c r="K2243">
        <v>74597</v>
      </c>
      <c r="L2243">
        <v>74332</v>
      </c>
      <c r="M2243" t="str">
        <f t="shared" si="211"/>
        <v>Small</v>
      </c>
      <c r="N2243">
        <f>VLOOKUP(C2243,Lookup!$A$2:$D$5,MATCH(M2243,Lookup!$A$1:$D$1,0),FALSE)</f>
        <v>0.09</v>
      </c>
      <c r="O2243">
        <f t="shared" si="212"/>
        <v>6689.88</v>
      </c>
      <c r="P2243" s="7">
        <f t="shared" si="213"/>
        <v>0.8684268734211108</v>
      </c>
      <c r="Q2243" s="7">
        <f t="shared" si="214"/>
        <v>4521</v>
      </c>
      <c r="R2243">
        <f t="shared" si="215"/>
        <v>2.6907807015970389</v>
      </c>
    </row>
    <row r="2244" spans="1:18" x14ac:dyDescent="0.25">
      <c r="A2244" t="s">
        <v>1277</v>
      </c>
      <c r="B2244" t="s">
        <v>1278</v>
      </c>
      <c r="C2244" t="s">
        <v>8</v>
      </c>
      <c r="D2244">
        <v>61953</v>
      </c>
      <c r="E2244" s="1">
        <v>44104</v>
      </c>
      <c r="F2244" s="2">
        <f t="shared" si="210"/>
        <v>2020</v>
      </c>
      <c r="G2244">
        <v>22</v>
      </c>
      <c r="H2244" s="3">
        <v>95236</v>
      </c>
      <c r="I2244">
        <v>29195</v>
      </c>
      <c r="J2244">
        <v>95236</v>
      </c>
      <c r="K2244">
        <v>84070</v>
      </c>
      <c r="L2244">
        <v>83772</v>
      </c>
      <c r="M2244" t="str">
        <f t="shared" si="211"/>
        <v>Small</v>
      </c>
      <c r="N2244">
        <f>VLOOKUP(C2244,Lookup!$A$2:$D$5,MATCH(M2244,Lookup!$A$1:$D$1,0),FALSE)</f>
        <v>0.09</v>
      </c>
      <c r="O2244">
        <f t="shared" si="212"/>
        <v>7539.48</v>
      </c>
      <c r="P2244" s="7">
        <f t="shared" si="213"/>
        <v>0.88275442059725318</v>
      </c>
      <c r="Q2244" s="7">
        <f t="shared" si="214"/>
        <v>4328.909090909091</v>
      </c>
      <c r="R2244">
        <f t="shared" si="215"/>
        <v>3.8722829691172338</v>
      </c>
    </row>
    <row r="2245" spans="1:18" x14ac:dyDescent="0.25">
      <c r="A2245" t="s">
        <v>1277</v>
      </c>
      <c r="B2245" t="s">
        <v>1278</v>
      </c>
      <c r="C2245" t="s">
        <v>8</v>
      </c>
      <c r="D2245">
        <v>61953</v>
      </c>
      <c r="E2245" s="1">
        <v>44469</v>
      </c>
      <c r="F2245" s="2">
        <f t="shared" si="210"/>
        <v>2021</v>
      </c>
      <c r="G2245">
        <v>18</v>
      </c>
      <c r="H2245" s="3">
        <v>96031</v>
      </c>
      <c r="I2245">
        <v>24759</v>
      </c>
      <c r="J2245">
        <v>96031</v>
      </c>
      <c r="K2245">
        <v>84952</v>
      </c>
      <c r="L2245">
        <v>84790</v>
      </c>
      <c r="M2245" t="str">
        <f t="shared" si="211"/>
        <v>Small</v>
      </c>
      <c r="N2245">
        <f>VLOOKUP(C2245,Lookup!$A$2:$D$5,MATCH(M2245,Lookup!$A$1:$D$1,0),FALSE)</f>
        <v>0.09</v>
      </c>
      <c r="O2245">
        <f t="shared" si="212"/>
        <v>7631.0999999999995</v>
      </c>
      <c r="P2245" s="7">
        <f t="shared" si="213"/>
        <v>0.8846310045714405</v>
      </c>
      <c r="Q2245" s="7">
        <f t="shared" si="214"/>
        <v>5335.0555555555557</v>
      </c>
      <c r="R2245">
        <f t="shared" si="215"/>
        <v>3.2444863781106266</v>
      </c>
    </row>
    <row r="2246" spans="1:18" x14ac:dyDescent="0.25">
      <c r="A2246" t="s">
        <v>1279</v>
      </c>
      <c r="B2246" t="s">
        <v>1280</v>
      </c>
      <c r="C2246" t="s">
        <v>8</v>
      </c>
      <c r="D2246">
        <v>61415</v>
      </c>
      <c r="E2246" s="1">
        <v>43738</v>
      </c>
      <c r="F2246" s="2">
        <f t="shared" si="210"/>
        <v>2019</v>
      </c>
      <c r="G2246">
        <v>45</v>
      </c>
      <c r="H2246" s="3">
        <v>217230</v>
      </c>
      <c r="I2246">
        <v>4372</v>
      </c>
      <c r="J2246">
        <v>217230</v>
      </c>
      <c r="K2246">
        <v>193510</v>
      </c>
      <c r="L2246">
        <v>183180</v>
      </c>
      <c r="M2246" t="str">
        <f t="shared" si="211"/>
        <v>Medium</v>
      </c>
      <c r="N2246">
        <f>VLOOKUP(C2246,Lookup!$A$2:$D$5,MATCH(M2246,Lookup!$A$1:$D$1,0),FALSE)</f>
        <v>0.08</v>
      </c>
      <c r="O2246">
        <f t="shared" si="212"/>
        <v>14654.4</v>
      </c>
      <c r="P2246" s="7">
        <f t="shared" si="213"/>
        <v>0.89080697877825343</v>
      </c>
      <c r="Q2246" s="7">
        <f t="shared" si="214"/>
        <v>4827.333333333333</v>
      </c>
      <c r="R2246">
        <f t="shared" si="215"/>
        <v>0.29834043017796702</v>
      </c>
    </row>
    <row r="2247" spans="1:18" x14ac:dyDescent="0.25">
      <c r="A2247" t="s">
        <v>1279</v>
      </c>
      <c r="B2247" t="s">
        <v>1280</v>
      </c>
      <c r="C2247" t="s">
        <v>8</v>
      </c>
      <c r="D2247">
        <v>61415</v>
      </c>
      <c r="E2247" s="1">
        <v>44104</v>
      </c>
      <c r="F2247" s="2">
        <f t="shared" si="210"/>
        <v>2020</v>
      </c>
      <c r="G2247">
        <v>48</v>
      </c>
      <c r="H2247" s="3">
        <v>252441</v>
      </c>
      <c r="I2247">
        <v>4058</v>
      </c>
      <c r="J2247">
        <v>252441</v>
      </c>
      <c r="K2247">
        <v>225536</v>
      </c>
      <c r="L2247">
        <v>211153</v>
      </c>
      <c r="M2247" t="str">
        <f t="shared" si="211"/>
        <v>Medium</v>
      </c>
      <c r="N2247">
        <f>VLOOKUP(C2247,Lookup!$A$2:$D$5,MATCH(M2247,Lookup!$A$1:$D$1,0),FALSE)</f>
        <v>0.08</v>
      </c>
      <c r="O2247">
        <f t="shared" si="212"/>
        <v>16892.240000000002</v>
      </c>
      <c r="P2247" s="7">
        <f t="shared" si="213"/>
        <v>0.89342064086261741</v>
      </c>
      <c r="Q2247" s="7">
        <f t="shared" si="214"/>
        <v>5259.1875</v>
      </c>
      <c r="R2247">
        <f t="shared" si="215"/>
        <v>0.24022864936799379</v>
      </c>
    </row>
    <row r="2248" spans="1:18" x14ac:dyDescent="0.25">
      <c r="A2248" t="s">
        <v>1279</v>
      </c>
      <c r="B2248" t="s">
        <v>1280</v>
      </c>
      <c r="C2248" t="s">
        <v>8</v>
      </c>
      <c r="D2248">
        <v>61415</v>
      </c>
      <c r="E2248" s="1">
        <v>44469</v>
      </c>
      <c r="F2248" s="2">
        <f t="shared" si="210"/>
        <v>2021</v>
      </c>
      <c r="G2248">
        <v>51</v>
      </c>
      <c r="H2248" s="3">
        <v>263634</v>
      </c>
      <c r="I2248">
        <v>16942</v>
      </c>
      <c r="J2248">
        <v>263634</v>
      </c>
      <c r="K2248">
        <v>235725</v>
      </c>
      <c r="L2248">
        <v>225289</v>
      </c>
      <c r="M2248" t="str">
        <f t="shared" si="211"/>
        <v>Medium</v>
      </c>
      <c r="N2248">
        <f>VLOOKUP(C2248,Lookup!$A$2:$D$5,MATCH(M2248,Lookup!$A$1:$D$1,0),FALSE)</f>
        <v>0.08</v>
      </c>
      <c r="O2248">
        <f t="shared" si="212"/>
        <v>18023.12</v>
      </c>
      <c r="P2248" s="7">
        <f t="shared" si="213"/>
        <v>0.8941373267484467</v>
      </c>
      <c r="Q2248" s="7">
        <f t="shared" si="214"/>
        <v>5169.2941176470586</v>
      </c>
      <c r="R2248">
        <f t="shared" si="215"/>
        <v>0.94001482540203918</v>
      </c>
    </row>
    <row r="2249" spans="1:18" x14ac:dyDescent="0.25">
      <c r="A2249" t="s">
        <v>1281</v>
      </c>
      <c r="B2249" t="s">
        <v>1282</v>
      </c>
      <c r="C2249" t="s">
        <v>17</v>
      </c>
      <c r="D2249">
        <v>14850</v>
      </c>
      <c r="E2249" s="1">
        <v>43738</v>
      </c>
      <c r="F2249" s="2">
        <f t="shared" si="210"/>
        <v>2019</v>
      </c>
      <c r="G2249">
        <v>476</v>
      </c>
      <c r="H2249" s="3">
        <v>2048741</v>
      </c>
      <c r="I2249">
        <v>40264</v>
      </c>
      <c r="J2249">
        <v>2048741</v>
      </c>
      <c r="K2249">
        <v>1890972</v>
      </c>
      <c r="L2249">
        <v>1652306</v>
      </c>
      <c r="M2249" t="str">
        <f t="shared" si="211"/>
        <v>Large</v>
      </c>
      <c r="N2249">
        <f>VLOOKUP(C2249,Lookup!$A$2:$D$5,MATCH(M2249,Lookup!$A$1:$D$1,0),FALSE)</f>
        <v>0.08</v>
      </c>
      <c r="O2249">
        <f t="shared" si="212"/>
        <v>132184.48000000001</v>
      </c>
      <c r="P2249" s="7">
        <f t="shared" si="213"/>
        <v>0.9229922181476331</v>
      </c>
      <c r="Q2249" s="7">
        <f t="shared" si="214"/>
        <v>4304.0777310924368</v>
      </c>
      <c r="R2249">
        <f t="shared" si="215"/>
        <v>0.3046045950326392</v>
      </c>
    </row>
    <row r="2250" spans="1:18" x14ac:dyDescent="0.25">
      <c r="A2250" t="s">
        <v>1281</v>
      </c>
      <c r="B2250" t="s">
        <v>1282</v>
      </c>
      <c r="C2250" t="s">
        <v>17</v>
      </c>
      <c r="D2250">
        <v>14850</v>
      </c>
      <c r="E2250" s="1">
        <v>44104</v>
      </c>
      <c r="F2250" s="2">
        <f t="shared" si="210"/>
        <v>2020</v>
      </c>
      <c r="G2250">
        <v>495</v>
      </c>
      <c r="H2250" s="3">
        <v>2366849</v>
      </c>
      <c r="I2250">
        <v>64014</v>
      </c>
      <c r="J2250">
        <v>2366849</v>
      </c>
      <c r="K2250">
        <v>2197698</v>
      </c>
      <c r="L2250">
        <v>2014960</v>
      </c>
      <c r="M2250" t="str">
        <f t="shared" si="211"/>
        <v>Large</v>
      </c>
      <c r="N2250">
        <f>VLOOKUP(C2250,Lookup!$A$2:$D$5,MATCH(M2250,Lookup!$A$1:$D$1,0),FALSE)</f>
        <v>0.08</v>
      </c>
      <c r="O2250">
        <f t="shared" si="212"/>
        <v>161196.80000000002</v>
      </c>
      <c r="P2250" s="7">
        <f t="shared" si="213"/>
        <v>0.92853325243815721</v>
      </c>
      <c r="Q2250" s="7">
        <f t="shared" si="214"/>
        <v>4781.5131313131315</v>
      </c>
      <c r="R2250">
        <f t="shared" si="215"/>
        <v>0.39711706435859767</v>
      </c>
    </row>
    <row r="2251" spans="1:18" x14ac:dyDescent="0.25">
      <c r="A2251" t="s">
        <v>1281</v>
      </c>
      <c r="B2251" t="s">
        <v>1282</v>
      </c>
      <c r="C2251" t="s">
        <v>17</v>
      </c>
      <c r="D2251">
        <v>14850</v>
      </c>
      <c r="E2251" s="1">
        <v>44469</v>
      </c>
      <c r="F2251" s="2">
        <f t="shared" si="210"/>
        <v>2021</v>
      </c>
      <c r="G2251">
        <v>488</v>
      </c>
      <c r="H2251" s="3">
        <v>2478349</v>
      </c>
      <c r="I2251">
        <v>63808</v>
      </c>
      <c r="J2251">
        <v>2478349</v>
      </c>
      <c r="K2251">
        <v>2311529</v>
      </c>
      <c r="L2251">
        <v>2144402</v>
      </c>
      <c r="M2251" t="str">
        <f t="shared" si="211"/>
        <v>Large</v>
      </c>
      <c r="N2251">
        <f>VLOOKUP(C2251,Lookup!$A$2:$D$5,MATCH(M2251,Lookup!$A$1:$D$1,0),FALSE)</f>
        <v>0.08</v>
      </c>
      <c r="O2251">
        <f t="shared" si="212"/>
        <v>171552.16</v>
      </c>
      <c r="P2251" s="7">
        <f t="shared" si="213"/>
        <v>0.93268906033815258</v>
      </c>
      <c r="Q2251" s="7">
        <f t="shared" si="214"/>
        <v>5078.5840163934427</v>
      </c>
      <c r="R2251">
        <f t="shared" si="215"/>
        <v>0.37194518565082479</v>
      </c>
    </row>
    <row r="2252" spans="1:18" x14ac:dyDescent="0.25">
      <c r="A2252" t="s">
        <v>1283</v>
      </c>
      <c r="B2252" t="s">
        <v>325</v>
      </c>
      <c r="C2252" t="s">
        <v>8</v>
      </c>
      <c r="D2252">
        <v>62301</v>
      </c>
      <c r="E2252" s="1">
        <v>43738</v>
      </c>
      <c r="F2252" s="2">
        <f t="shared" si="210"/>
        <v>2019</v>
      </c>
      <c r="G2252">
        <v>45</v>
      </c>
      <c r="H2252" s="3">
        <v>188276</v>
      </c>
      <c r="I2252">
        <v>40796</v>
      </c>
      <c r="J2252">
        <v>188276</v>
      </c>
      <c r="K2252">
        <v>167074</v>
      </c>
      <c r="L2252">
        <v>166696</v>
      </c>
      <c r="M2252" t="str">
        <f t="shared" si="211"/>
        <v>Medium</v>
      </c>
      <c r="N2252">
        <f>VLOOKUP(C2252,Lookup!$A$2:$D$5,MATCH(M2252,Lookup!$A$1:$D$1,0),FALSE)</f>
        <v>0.08</v>
      </c>
      <c r="O2252">
        <f t="shared" si="212"/>
        <v>13335.68</v>
      </c>
      <c r="P2252" s="7">
        <f t="shared" si="213"/>
        <v>0.88738872718774564</v>
      </c>
      <c r="Q2252" s="7">
        <f t="shared" si="214"/>
        <v>4183.9111111111115</v>
      </c>
      <c r="R2252">
        <f t="shared" si="215"/>
        <v>3.0591615875605891</v>
      </c>
    </row>
    <row r="2253" spans="1:18" x14ac:dyDescent="0.25">
      <c r="A2253" t="s">
        <v>1283</v>
      </c>
      <c r="B2253" t="s">
        <v>325</v>
      </c>
      <c r="C2253" t="s">
        <v>8</v>
      </c>
      <c r="D2253">
        <v>62301</v>
      </c>
      <c r="E2253" s="1">
        <v>44104</v>
      </c>
      <c r="F2253" s="2">
        <f t="shared" si="210"/>
        <v>2020</v>
      </c>
      <c r="G2253">
        <v>42</v>
      </c>
      <c r="H2253" s="3">
        <v>191392</v>
      </c>
      <c r="I2253">
        <v>36014</v>
      </c>
      <c r="J2253">
        <v>191393</v>
      </c>
      <c r="K2253">
        <v>166734</v>
      </c>
      <c r="L2253">
        <v>162609</v>
      </c>
      <c r="M2253" t="str">
        <f t="shared" si="211"/>
        <v>Medium</v>
      </c>
      <c r="N2253">
        <f>VLOOKUP(C2253,Lookup!$A$2:$D$5,MATCH(M2253,Lookup!$A$1:$D$1,0),FALSE)</f>
        <v>0.08</v>
      </c>
      <c r="O2253">
        <f t="shared" si="212"/>
        <v>13008.720000000001</v>
      </c>
      <c r="P2253" s="7">
        <f t="shared" si="213"/>
        <v>0.87116493897341585</v>
      </c>
      <c r="Q2253" s="7">
        <f t="shared" si="214"/>
        <v>4556.9523809523807</v>
      </c>
      <c r="R2253">
        <f t="shared" si="215"/>
        <v>2.7684507007607202</v>
      </c>
    </row>
    <row r="2254" spans="1:18" x14ac:dyDescent="0.25">
      <c r="A2254" t="s">
        <v>1283</v>
      </c>
      <c r="B2254" t="s">
        <v>325</v>
      </c>
      <c r="C2254" t="s">
        <v>8</v>
      </c>
      <c r="D2254">
        <v>62301</v>
      </c>
      <c r="E2254" s="1">
        <v>44469</v>
      </c>
      <c r="F2254" s="2">
        <f t="shared" si="210"/>
        <v>2021</v>
      </c>
      <c r="G2254">
        <v>42</v>
      </c>
      <c r="H2254" s="3">
        <v>219335</v>
      </c>
      <c r="I2254">
        <v>80068</v>
      </c>
      <c r="J2254">
        <v>219335</v>
      </c>
      <c r="K2254">
        <v>195053</v>
      </c>
      <c r="L2254">
        <v>189648</v>
      </c>
      <c r="M2254" t="str">
        <f t="shared" si="211"/>
        <v>Medium</v>
      </c>
      <c r="N2254">
        <f>VLOOKUP(C2254,Lookup!$A$2:$D$5,MATCH(M2254,Lookup!$A$1:$D$1,0),FALSE)</f>
        <v>0.08</v>
      </c>
      <c r="O2254">
        <f t="shared" si="212"/>
        <v>15171.84</v>
      </c>
      <c r="P2254" s="7">
        <f t="shared" si="213"/>
        <v>0.88929263455444862</v>
      </c>
      <c r="Q2254" s="7">
        <f t="shared" si="214"/>
        <v>5222.2619047619046</v>
      </c>
      <c r="R2254">
        <f t="shared" si="215"/>
        <v>5.2774086729098117</v>
      </c>
    </row>
    <row r="2255" spans="1:18" x14ac:dyDescent="0.25">
      <c r="A2255" t="s">
        <v>1284</v>
      </c>
      <c r="B2255" t="s">
        <v>149</v>
      </c>
      <c r="C2255" t="s">
        <v>8</v>
      </c>
      <c r="D2255">
        <v>62704</v>
      </c>
      <c r="E2255" s="1">
        <v>43738</v>
      </c>
      <c r="F2255" s="2">
        <f t="shared" si="210"/>
        <v>2019</v>
      </c>
      <c r="G2255">
        <v>187</v>
      </c>
      <c r="H2255" s="3">
        <v>826124</v>
      </c>
      <c r="I2255">
        <v>27943</v>
      </c>
      <c r="J2255">
        <v>826124</v>
      </c>
      <c r="K2255">
        <v>742811</v>
      </c>
      <c r="L2255">
        <v>640651</v>
      </c>
      <c r="M2255" t="str">
        <f t="shared" si="211"/>
        <v>Medium</v>
      </c>
      <c r="N2255">
        <f>VLOOKUP(C2255,Lookup!$A$2:$D$5,MATCH(M2255,Lookup!$A$1:$D$1,0),FALSE)</f>
        <v>0.08</v>
      </c>
      <c r="O2255">
        <f t="shared" si="212"/>
        <v>51252.08</v>
      </c>
      <c r="P2255" s="7">
        <f t="shared" si="213"/>
        <v>0.89915194329180603</v>
      </c>
      <c r="Q2255" s="7">
        <f t="shared" si="214"/>
        <v>4417.7754010695189</v>
      </c>
      <c r="R2255">
        <f t="shared" si="215"/>
        <v>0.54520714086140498</v>
      </c>
    </row>
    <row r="2256" spans="1:18" x14ac:dyDescent="0.25">
      <c r="A2256" t="s">
        <v>1284</v>
      </c>
      <c r="B2256" t="s">
        <v>149</v>
      </c>
      <c r="C2256" t="s">
        <v>8</v>
      </c>
      <c r="D2256">
        <v>62704</v>
      </c>
      <c r="E2256" s="1">
        <v>44104</v>
      </c>
      <c r="F2256" s="2">
        <f t="shared" si="210"/>
        <v>2020</v>
      </c>
      <c r="G2256">
        <v>189</v>
      </c>
      <c r="H2256" s="3">
        <v>866812</v>
      </c>
      <c r="I2256">
        <v>17609</v>
      </c>
      <c r="J2256">
        <v>866812</v>
      </c>
      <c r="K2256">
        <v>777632</v>
      </c>
      <c r="L2256">
        <v>704329</v>
      </c>
      <c r="M2256" t="str">
        <f t="shared" si="211"/>
        <v>Medium</v>
      </c>
      <c r="N2256">
        <f>VLOOKUP(C2256,Lookup!$A$2:$D$5,MATCH(M2256,Lookup!$A$1:$D$1,0),FALSE)</f>
        <v>0.08</v>
      </c>
      <c r="O2256">
        <f t="shared" si="212"/>
        <v>56346.32</v>
      </c>
      <c r="P2256" s="7">
        <f t="shared" si="213"/>
        <v>0.8971172526453256</v>
      </c>
      <c r="Q2256" s="7">
        <f t="shared" si="214"/>
        <v>4586.3068783068784</v>
      </c>
      <c r="R2256">
        <f t="shared" si="215"/>
        <v>0.31251375422565308</v>
      </c>
    </row>
    <row r="2257" spans="1:18" x14ac:dyDescent="0.25">
      <c r="A2257" t="s">
        <v>1284</v>
      </c>
      <c r="B2257" t="s">
        <v>149</v>
      </c>
      <c r="C2257" t="s">
        <v>8</v>
      </c>
      <c r="D2257">
        <v>62704</v>
      </c>
      <c r="E2257" s="1">
        <v>44469</v>
      </c>
      <c r="F2257" s="2">
        <f t="shared" si="210"/>
        <v>2021</v>
      </c>
      <c r="G2257">
        <v>177</v>
      </c>
      <c r="H2257" s="3">
        <v>890685</v>
      </c>
      <c r="I2257">
        <v>105574</v>
      </c>
      <c r="J2257">
        <v>890685</v>
      </c>
      <c r="K2257">
        <v>792363</v>
      </c>
      <c r="L2257">
        <v>771547</v>
      </c>
      <c r="M2257" t="str">
        <f t="shared" si="211"/>
        <v>Medium</v>
      </c>
      <c r="N2257">
        <f>VLOOKUP(C2257,Lookup!$A$2:$D$5,MATCH(M2257,Lookup!$A$1:$D$1,0),FALSE)</f>
        <v>0.08</v>
      </c>
      <c r="O2257">
        <f t="shared" si="212"/>
        <v>61723.76</v>
      </c>
      <c r="P2257" s="7">
        <f t="shared" si="213"/>
        <v>0.88961080516680979</v>
      </c>
      <c r="Q2257" s="7">
        <f t="shared" si="214"/>
        <v>5032.1186440677966</v>
      </c>
      <c r="R2257">
        <f t="shared" si="215"/>
        <v>1.7104272325600385</v>
      </c>
    </row>
    <row r="2258" spans="1:18" x14ac:dyDescent="0.25">
      <c r="A2258" t="s">
        <v>1285</v>
      </c>
      <c r="B2258" t="s">
        <v>1286</v>
      </c>
      <c r="C2258" t="s">
        <v>8</v>
      </c>
      <c r="D2258">
        <v>60423</v>
      </c>
      <c r="E2258" s="1">
        <v>43738</v>
      </c>
      <c r="F2258" s="2">
        <f t="shared" si="210"/>
        <v>2019</v>
      </c>
      <c r="G2258">
        <v>26</v>
      </c>
      <c r="H2258" s="3">
        <v>101551</v>
      </c>
      <c r="I2258">
        <v>2353</v>
      </c>
      <c r="J2258">
        <v>101551</v>
      </c>
      <c r="K2258">
        <v>89307</v>
      </c>
      <c r="L2258">
        <v>85875</v>
      </c>
      <c r="M2258" t="str">
        <f t="shared" si="211"/>
        <v>Medium</v>
      </c>
      <c r="N2258">
        <f>VLOOKUP(C2258,Lookup!$A$2:$D$5,MATCH(M2258,Lookup!$A$1:$D$1,0),FALSE)</f>
        <v>0.08</v>
      </c>
      <c r="O2258">
        <f t="shared" si="212"/>
        <v>6870</v>
      </c>
      <c r="P2258" s="7">
        <f t="shared" si="213"/>
        <v>0.87943004007838421</v>
      </c>
      <c r="Q2258" s="7">
        <f t="shared" si="214"/>
        <v>3905.8076923076924</v>
      </c>
      <c r="R2258">
        <f t="shared" si="215"/>
        <v>0.34250363901018921</v>
      </c>
    </row>
    <row r="2259" spans="1:18" x14ac:dyDescent="0.25">
      <c r="A2259" t="s">
        <v>1285</v>
      </c>
      <c r="B2259" t="s">
        <v>1286</v>
      </c>
      <c r="C2259" t="s">
        <v>8</v>
      </c>
      <c r="D2259">
        <v>60423</v>
      </c>
      <c r="E2259" s="1">
        <v>44104</v>
      </c>
      <c r="F2259" s="2">
        <f t="shared" si="210"/>
        <v>2020</v>
      </c>
      <c r="G2259">
        <v>18</v>
      </c>
      <c r="H2259" s="3">
        <v>155697</v>
      </c>
      <c r="I2259">
        <v>14660</v>
      </c>
      <c r="J2259">
        <v>155697</v>
      </c>
      <c r="K2259">
        <v>140514</v>
      </c>
      <c r="L2259">
        <v>97436</v>
      </c>
      <c r="M2259" t="str">
        <f t="shared" si="211"/>
        <v>Medium</v>
      </c>
      <c r="N2259">
        <f>VLOOKUP(C2259,Lookup!$A$2:$D$5,MATCH(M2259,Lookup!$A$1:$D$1,0),FALSE)</f>
        <v>0.08</v>
      </c>
      <c r="O2259">
        <f t="shared" si="212"/>
        <v>7794.88</v>
      </c>
      <c r="P2259" s="7">
        <f t="shared" si="213"/>
        <v>0.90248367020559161</v>
      </c>
      <c r="Q2259" s="7">
        <f t="shared" si="214"/>
        <v>8649.8333333333339</v>
      </c>
      <c r="R2259">
        <f t="shared" si="215"/>
        <v>1.880721704503469</v>
      </c>
    </row>
    <row r="2260" spans="1:18" x14ac:dyDescent="0.25">
      <c r="A2260" t="s">
        <v>1285</v>
      </c>
      <c r="B2260" t="s">
        <v>1286</v>
      </c>
      <c r="C2260" t="s">
        <v>8</v>
      </c>
      <c r="D2260">
        <v>60423</v>
      </c>
      <c r="E2260" s="1">
        <v>44469</v>
      </c>
      <c r="F2260" s="2">
        <f t="shared" si="210"/>
        <v>2021</v>
      </c>
      <c r="G2260">
        <v>20</v>
      </c>
      <c r="H2260" s="3">
        <v>152832</v>
      </c>
      <c r="I2260">
        <v>19327</v>
      </c>
      <c r="J2260">
        <v>152832</v>
      </c>
      <c r="K2260">
        <v>136608</v>
      </c>
      <c r="L2260">
        <v>119490</v>
      </c>
      <c r="M2260" t="str">
        <f t="shared" si="211"/>
        <v>Medium</v>
      </c>
      <c r="N2260">
        <f>VLOOKUP(C2260,Lookup!$A$2:$D$5,MATCH(M2260,Lookup!$A$1:$D$1,0),FALSE)</f>
        <v>0.08</v>
      </c>
      <c r="O2260">
        <f t="shared" si="212"/>
        <v>9559.2000000000007</v>
      </c>
      <c r="P2260" s="7">
        <f t="shared" si="213"/>
        <v>0.89384422110552764</v>
      </c>
      <c r="Q2260" s="7">
        <f t="shared" si="214"/>
        <v>7641.6</v>
      </c>
      <c r="R2260">
        <f t="shared" si="215"/>
        <v>2.0218219097832453</v>
      </c>
    </row>
    <row r="2261" spans="1:18" x14ac:dyDescent="0.25">
      <c r="A2261" t="s">
        <v>1287</v>
      </c>
      <c r="B2261" t="s">
        <v>646</v>
      </c>
      <c r="C2261" t="s">
        <v>5</v>
      </c>
      <c r="D2261">
        <v>95973</v>
      </c>
      <c r="E2261" s="1">
        <v>43738</v>
      </c>
      <c r="F2261" s="2">
        <f t="shared" si="210"/>
        <v>2019</v>
      </c>
      <c r="G2261">
        <v>1159</v>
      </c>
      <c r="H2261" s="3">
        <v>6383135</v>
      </c>
      <c r="I2261">
        <v>259047</v>
      </c>
      <c r="J2261">
        <v>6383135</v>
      </c>
      <c r="K2261">
        <v>5435532</v>
      </c>
      <c r="L2261">
        <v>5300507</v>
      </c>
      <c r="M2261" t="str">
        <f t="shared" si="211"/>
        <v>Large</v>
      </c>
      <c r="N2261">
        <f>VLOOKUP(C2261,Lookup!$A$2:$D$5,MATCH(M2261,Lookup!$A$1:$D$1,0),FALSE)</f>
        <v>0.08</v>
      </c>
      <c r="O2261">
        <f t="shared" si="212"/>
        <v>424040.56</v>
      </c>
      <c r="P2261" s="7">
        <f t="shared" si="213"/>
        <v>0.85154583131956318</v>
      </c>
      <c r="Q2261" s="7">
        <f t="shared" si="214"/>
        <v>5507.4503882657464</v>
      </c>
      <c r="R2261">
        <f t="shared" si="215"/>
        <v>0.610901466595554</v>
      </c>
    </row>
    <row r="2262" spans="1:18" x14ac:dyDescent="0.25">
      <c r="A2262" t="s">
        <v>1287</v>
      </c>
      <c r="B2262" t="s">
        <v>646</v>
      </c>
      <c r="C2262" t="s">
        <v>5</v>
      </c>
      <c r="D2262">
        <v>95973</v>
      </c>
      <c r="E2262" s="1">
        <v>44104</v>
      </c>
      <c r="F2262" s="2">
        <f t="shared" si="210"/>
        <v>2020</v>
      </c>
      <c r="G2262">
        <v>1093</v>
      </c>
      <c r="H2262" s="3">
        <v>7447929</v>
      </c>
      <c r="I2262">
        <v>652583</v>
      </c>
      <c r="J2262">
        <v>7447929</v>
      </c>
      <c r="K2262">
        <v>6494390</v>
      </c>
      <c r="L2262">
        <v>6345298</v>
      </c>
      <c r="M2262" t="str">
        <f t="shared" si="211"/>
        <v>Large</v>
      </c>
      <c r="N2262">
        <f>VLOOKUP(C2262,Lookup!$A$2:$D$5,MATCH(M2262,Lookup!$A$1:$D$1,0),FALSE)</f>
        <v>0.08</v>
      </c>
      <c r="O2262">
        <f t="shared" si="212"/>
        <v>507623.84</v>
      </c>
      <c r="P2262" s="7">
        <f t="shared" si="213"/>
        <v>0.87197259802020133</v>
      </c>
      <c r="Q2262" s="7">
        <f t="shared" si="214"/>
        <v>6814.2076852698992</v>
      </c>
      <c r="R2262">
        <f t="shared" si="215"/>
        <v>1.2855641295333962</v>
      </c>
    </row>
    <row r="2263" spans="1:18" x14ac:dyDescent="0.25">
      <c r="A2263" t="s">
        <v>1287</v>
      </c>
      <c r="B2263" t="s">
        <v>646</v>
      </c>
      <c r="C2263" t="s">
        <v>5</v>
      </c>
      <c r="D2263">
        <v>95973</v>
      </c>
      <c r="E2263" s="1">
        <v>44469</v>
      </c>
      <c r="F2263" s="2">
        <f t="shared" si="210"/>
        <v>2021</v>
      </c>
      <c r="G2263">
        <v>1052</v>
      </c>
      <c r="H2263" s="3">
        <v>8451844</v>
      </c>
      <c r="I2263">
        <v>740235</v>
      </c>
      <c r="J2263">
        <v>8451844</v>
      </c>
      <c r="K2263">
        <v>7422623</v>
      </c>
      <c r="L2263">
        <v>7241738</v>
      </c>
      <c r="M2263" t="str">
        <f t="shared" si="211"/>
        <v>Large</v>
      </c>
      <c r="N2263">
        <f>VLOOKUP(C2263,Lookup!$A$2:$D$5,MATCH(M2263,Lookup!$A$1:$D$1,0),FALSE)</f>
        <v>0.08</v>
      </c>
      <c r="O2263">
        <f t="shared" si="212"/>
        <v>579339.04</v>
      </c>
      <c r="P2263" s="7">
        <f t="shared" si="213"/>
        <v>0.87822527249674742</v>
      </c>
      <c r="Q2263" s="7">
        <f t="shared" si="214"/>
        <v>8034.0722433460078</v>
      </c>
      <c r="R2263">
        <f t="shared" si="215"/>
        <v>1.2777233172478761</v>
      </c>
    </row>
    <row r="2264" spans="1:18" x14ac:dyDescent="0.25">
      <c r="A2264" t="s">
        <v>1288</v>
      </c>
      <c r="B2264" t="s">
        <v>532</v>
      </c>
      <c r="C2264" t="s">
        <v>8</v>
      </c>
      <c r="D2264">
        <v>62450</v>
      </c>
      <c r="E2264" s="1">
        <v>43738</v>
      </c>
      <c r="F2264" s="2">
        <f t="shared" si="210"/>
        <v>2019</v>
      </c>
      <c r="G2264">
        <v>67</v>
      </c>
      <c r="H2264" s="3">
        <v>234083</v>
      </c>
      <c r="I2264">
        <v>11977</v>
      </c>
      <c r="J2264">
        <v>234083</v>
      </c>
      <c r="K2264">
        <v>205815</v>
      </c>
      <c r="L2264">
        <v>201845</v>
      </c>
      <c r="M2264" t="str">
        <f t="shared" si="211"/>
        <v>Medium</v>
      </c>
      <c r="N2264">
        <f>VLOOKUP(C2264,Lookup!$A$2:$D$5,MATCH(M2264,Lookup!$A$1:$D$1,0),FALSE)</f>
        <v>0.08</v>
      </c>
      <c r="O2264">
        <f t="shared" si="212"/>
        <v>16147.6</v>
      </c>
      <c r="P2264" s="7">
        <f t="shared" si="213"/>
        <v>0.87923941507926673</v>
      </c>
      <c r="Q2264" s="7">
        <f t="shared" si="214"/>
        <v>3493.7761194029849</v>
      </c>
      <c r="R2264">
        <f t="shared" si="215"/>
        <v>0.74172013178428986</v>
      </c>
    </row>
    <row r="2265" spans="1:18" x14ac:dyDescent="0.25">
      <c r="A2265" t="s">
        <v>1288</v>
      </c>
      <c r="B2265" t="s">
        <v>532</v>
      </c>
      <c r="C2265" t="s">
        <v>8</v>
      </c>
      <c r="D2265">
        <v>62450</v>
      </c>
      <c r="E2265" s="1">
        <v>44104</v>
      </c>
      <c r="F2265" s="2">
        <f t="shared" si="210"/>
        <v>2020</v>
      </c>
      <c r="G2265">
        <v>71</v>
      </c>
      <c r="H2265" s="3">
        <v>279556</v>
      </c>
      <c r="I2265">
        <v>24626</v>
      </c>
      <c r="J2265">
        <v>279556</v>
      </c>
      <c r="K2265">
        <v>248561</v>
      </c>
      <c r="L2265">
        <v>241141</v>
      </c>
      <c r="M2265" t="str">
        <f t="shared" si="211"/>
        <v>Medium</v>
      </c>
      <c r="N2265">
        <f>VLOOKUP(C2265,Lookup!$A$2:$D$5,MATCH(M2265,Lookup!$A$1:$D$1,0),FALSE)</f>
        <v>0.08</v>
      </c>
      <c r="O2265">
        <f t="shared" si="212"/>
        <v>19291.28</v>
      </c>
      <c r="P2265" s="7">
        <f t="shared" si="213"/>
        <v>0.88912775973329139</v>
      </c>
      <c r="Q2265" s="7">
        <f t="shared" si="214"/>
        <v>3937.4084507042253</v>
      </c>
      <c r="R2265">
        <f t="shared" si="215"/>
        <v>1.2765353050704775</v>
      </c>
    </row>
    <row r="2266" spans="1:18" x14ac:dyDescent="0.25">
      <c r="A2266" t="s">
        <v>1288</v>
      </c>
      <c r="B2266" t="s">
        <v>532</v>
      </c>
      <c r="C2266" t="s">
        <v>8</v>
      </c>
      <c r="D2266">
        <v>62450</v>
      </c>
      <c r="E2266" s="1">
        <v>44469</v>
      </c>
      <c r="F2266" s="2">
        <f t="shared" si="210"/>
        <v>2021</v>
      </c>
      <c r="G2266">
        <v>72</v>
      </c>
      <c r="H2266" s="3">
        <v>295762</v>
      </c>
      <c r="I2266">
        <v>17979</v>
      </c>
      <c r="J2266">
        <v>295762</v>
      </c>
      <c r="K2266">
        <v>262655</v>
      </c>
      <c r="L2266">
        <v>259513</v>
      </c>
      <c r="M2266" t="str">
        <f t="shared" si="211"/>
        <v>Medium</v>
      </c>
      <c r="N2266">
        <f>VLOOKUP(C2266,Lookup!$A$2:$D$5,MATCH(M2266,Lookup!$A$1:$D$1,0),FALSE)</f>
        <v>0.08</v>
      </c>
      <c r="O2266">
        <f t="shared" si="212"/>
        <v>20761.04</v>
      </c>
      <c r="P2266" s="7">
        <f t="shared" si="213"/>
        <v>0.88806202284269109</v>
      </c>
      <c r="Q2266" s="7">
        <f t="shared" si="214"/>
        <v>4107.8055555555557</v>
      </c>
      <c r="R2266">
        <f t="shared" si="215"/>
        <v>0.86599707914439739</v>
      </c>
    </row>
    <row r="2267" spans="1:18" x14ac:dyDescent="0.25">
      <c r="A2267" t="s">
        <v>1289</v>
      </c>
      <c r="B2267" t="s">
        <v>1290</v>
      </c>
      <c r="C2267" t="s">
        <v>17</v>
      </c>
      <c r="D2267">
        <v>12302</v>
      </c>
      <c r="E2267" s="1">
        <v>43738</v>
      </c>
      <c r="F2267" s="2">
        <f t="shared" si="210"/>
        <v>2019</v>
      </c>
      <c r="G2267">
        <v>823</v>
      </c>
      <c r="H2267" s="3">
        <v>5222139</v>
      </c>
      <c r="I2267">
        <v>450934</v>
      </c>
      <c r="J2267">
        <v>5222139</v>
      </c>
      <c r="K2267">
        <v>4712126</v>
      </c>
      <c r="L2267">
        <v>4461180</v>
      </c>
      <c r="M2267" t="str">
        <f t="shared" si="211"/>
        <v>Large</v>
      </c>
      <c r="N2267">
        <f>VLOOKUP(C2267,Lookup!$A$2:$D$5,MATCH(M2267,Lookup!$A$1:$D$1,0),FALSE)</f>
        <v>0.08</v>
      </c>
      <c r="O2267">
        <f t="shared" si="212"/>
        <v>356894.4</v>
      </c>
      <c r="P2267" s="7">
        <f t="shared" si="213"/>
        <v>0.90233637978613745</v>
      </c>
      <c r="Q2267" s="7">
        <f t="shared" si="214"/>
        <v>6345.2478736330495</v>
      </c>
      <c r="R2267">
        <f t="shared" si="215"/>
        <v>1.2634941876364549</v>
      </c>
    </row>
    <row r="2268" spans="1:18" x14ac:dyDescent="0.25">
      <c r="A2268" t="s">
        <v>1289</v>
      </c>
      <c r="B2268" t="s">
        <v>1290</v>
      </c>
      <c r="C2268" t="s">
        <v>17</v>
      </c>
      <c r="D2268">
        <v>12302</v>
      </c>
      <c r="E2268" s="1">
        <v>44104</v>
      </c>
      <c r="F2268" s="2">
        <f t="shared" si="210"/>
        <v>2020</v>
      </c>
      <c r="G2268">
        <v>771</v>
      </c>
      <c r="H2268" s="3">
        <v>5735478</v>
      </c>
      <c r="I2268">
        <v>956399</v>
      </c>
      <c r="J2268">
        <v>5735477</v>
      </c>
      <c r="K2268">
        <v>5189513</v>
      </c>
      <c r="L2268">
        <v>4899064</v>
      </c>
      <c r="M2268" t="str">
        <f t="shared" si="211"/>
        <v>Large</v>
      </c>
      <c r="N2268">
        <f>VLOOKUP(C2268,Lookup!$A$2:$D$5,MATCH(M2268,Lookup!$A$1:$D$1,0),FALSE)</f>
        <v>0.08</v>
      </c>
      <c r="O2268">
        <f t="shared" si="212"/>
        <v>391925.12</v>
      </c>
      <c r="P2268" s="7">
        <f t="shared" si="213"/>
        <v>0.90480915452905586</v>
      </c>
      <c r="Q2268" s="7">
        <f t="shared" si="214"/>
        <v>7439.011673151751</v>
      </c>
      <c r="R2268">
        <f t="shared" si="215"/>
        <v>2.4402595067139354</v>
      </c>
    </row>
    <row r="2269" spans="1:18" x14ac:dyDescent="0.25">
      <c r="A2269" t="s">
        <v>1289</v>
      </c>
      <c r="B2269" t="s">
        <v>1290</v>
      </c>
      <c r="C2269" t="s">
        <v>17</v>
      </c>
      <c r="D2269">
        <v>12302</v>
      </c>
      <c r="E2269" s="1">
        <v>44469</v>
      </c>
      <c r="F2269" s="2">
        <f t="shared" si="210"/>
        <v>2021</v>
      </c>
      <c r="G2269">
        <v>744</v>
      </c>
      <c r="H2269" s="3">
        <v>6134106</v>
      </c>
      <c r="I2269">
        <v>1193358</v>
      </c>
      <c r="J2269">
        <v>6134106</v>
      </c>
      <c r="K2269">
        <v>5564279</v>
      </c>
      <c r="L2269">
        <v>5241031</v>
      </c>
      <c r="M2269" t="str">
        <f t="shared" si="211"/>
        <v>Large</v>
      </c>
      <c r="N2269">
        <f>VLOOKUP(C2269,Lookup!$A$2:$D$5,MATCH(M2269,Lookup!$A$1:$D$1,0),FALSE)</f>
        <v>0.08</v>
      </c>
      <c r="O2269">
        <f t="shared" si="212"/>
        <v>419282.48</v>
      </c>
      <c r="P2269" s="7">
        <f t="shared" si="213"/>
        <v>0.9071051266476321</v>
      </c>
      <c r="Q2269" s="7">
        <f t="shared" si="214"/>
        <v>8244.7661290322576</v>
      </c>
      <c r="R2269">
        <f t="shared" si="215"/>
        <v>2.8461909498341074</v>
      </c>
    </row>
    <row r="2270" spans="1:18" x14ac:dyDescent="0.25">
      <c r="A2270" t="s">
        <v>1291</v>
      </c>
      <c r="B2270" t="s">
        <v>1292</v>
      </c>
      <c r="C2270" t="s">
        <v>5</v>
      </c>
      <c r="D2270">
        <v>92780</v>
      </c>
      <c r="E2270" s="1">
        <v>43738</v>
      </c>
      <c r="F2270" s="2">
        <f t="shared" si="210"/>
        <v>2019</v>
      </c>
      <c r="G2270">
        <v>23</v>
      </c>
      <c r="H2270" s="3">
        <v>74181</v>
      </c>
      <c r="I2270">
        <v>8743</v>
      </c>
      <c r="J2270">
        <v>74181</v>
      </c>
      <c r="K2270">
        <v>63327</v>
      </c>
      <c r="L2270">
        <v>58346</v>
      </c>
      <c r="M2270" t="str">
        <f t="shared" si="211"/>
        <v>Small</v>
      </c>
      <c r="N2270">
        <f>VLOOKUP(C2270,Lookup!$A$2:$D$5,MATCH(M2270,Lookup!$A$1:$D$1,0),FALSE)</f>
        <v>0.1</v>
      </c>
      <c r="O2270">
        <f t="shared" si="212"/>
        <v>5834.6</v>
      </c>
      <c r="P2270" s="7">
        <f t="shared" si="213"/>
        <v>0.85368220973025433</v>
      </c>
      <c r="Q2270" s="7">
        <f t="shared" si="214"/>
        <v>3225.2608695652175</v>
      </c>
      <c r="R2270">
        <f t="shared" si="215"/>
        <v>1.4984746169403214</v>
      </c>
    </row>
    <row r="2271" spans="1:18" x14ac:dyDescent="0.25">
      <c r="A2271" t="s">
        <v>1291</v>
      </c>
      <c r="B2271" t="s">
        <v>1292</v>
      </c>
      <c r="C2271" t="s">
        <v>5</v>
      </c>
      <c r="D2271">
        <v>92780</v>
      </c>
      <c r="E2271" s="1">
        <v>44104</v>
      </c>
      <c r="F2271" s="2">
        <f t="shared" si="210"/>
        <v>2020</v>
      </c>
      <c r="G2271">
        <v>22</v>
      </c>
      <c r="H2271" s="3">
        <v>87582</v>
      </c>
      <c r="I2271">
        <v>18356</v>
      </c>
      <c r="J2271">
        <v>87582</v>
      </c>
      <c r="K2271">
        <v>76626</v>
      </c>
      <c r="L2271">
        <v>67725</v>
      </c>
      <c r="M2271" t="str">
        <f t="shared" si="211"/>
        <v>Small</v>
      </c>
      <c r="N2271">
        <f>VLOOKUP(C2271,Lookup!$A$2:$D$5,MATCH(M2271,Lookup!$A$1:$D$1,0),FALSE)</f>
        <v>0.1</v>
      </c>
      <c r="O2271">
        <f t="shared" si="212"/>
        <v>6772.5</v>
      </c>
      <c r="P2271" s="7">
        <f t="shared" si="213"/>
        <v>0.87490580256217032</v>
      </c>
      <c r="Q2271" s="7">
        <f t="shared" si="214"/>
        <v>3981</v>
      </c>
      <c r="R2271">
        <f t="shared" si="215"/>
        <v>2.7103728313030637</v>
      </c>
    </row>
    <row r="2272" spans="1:18" x14ac:dyDescent="0.25">
      <c r="A2272" t="s">
        <v>1291</v>
      </c>
      <c r="B2272" t="s">
        <v>1292</v>
      </c>
      <c r="C2272" t="s">
        <v>5</v>
      </c>
      <c r="D2272">
        <v>92780</v>
      </c>
      <c r="E2272" s="1">
        <v>44469</v>
      </c>
      <c r="F2272" s="2">
        <f t="shared" si="210"/>
        <v>2021</v>
      </c>
      <c r="G2272">
        <v>22</v>
      </c>
      <c r="H2272" s="3">
        <v>88127</v>
      </c>
      <c r="I2272">
        <v>23507</v>
      </c>
      <c r="J2272">
        <v>88127</v>
      </c>
      <c r="K2272">
        <v>76858</v>
      </c>
      <c r="L2272">
        <v>75617</v>
      </c>
      <c r="M2272" t="str">
        <f t="shared" si="211"/>
        <v>Small</v>
      </c>
      <c r="N2272">
        <f>VLOOKUP(C2272,Lookup!$A$2:$D$5,MATCH(M2272,Lookup!$A$1:$D$1,0),FALSE)</f>
        <v>0.1</v>
      </c>
      <c r="O2272">
        <f t="shared" si="212"/>
        <v>7561.7000000000007</v>
      </c>
      <c r="P2272" s="7">
        <f t="shared" si="213"/>
        <v>0.87212772476085654</v>
      </c>
      <c r="Q2272" s="7">
        <f t="shared" si="214"/>
        <v>4005.7727272727275</v>
      </c>
      <c r="R2272">
        <f t="shared" si="215"/>
        <v>3.1086924897840431</v>
      </c>
    </row>
    <row r="2273" spans="1:18" x14ac:dyDescent="0.25">
      <c r="A2273" t="s">
        <v>1293</v>
      </c>
      <c r="B2273" t="s">
        <v>1012</v>
      </c>
      <c r="C2273" t="s">
        <v>17</v>
      </c>
      <c r="D2273">
        <v>12401</v>
      </c>
      <c r="E2273" s="1">
        <v>43738</v>
      </c>
      <c r="F2273" s="2">
        <f t="shared" si="210"/>
        <v>2019</v>
      </c>
      <c r="G2273">
        <v>255</v>
      </c>
      <c r="H2273" s="3">
        <v>944797</v>
      </c>
      <c r="I2273">
        <v>26887</v>
      </c>
      <c r="J2273">
        <v>944797</v>
      </c>
      <c r="K2273">
        <v>841930</v>
      </c>
      <c r="L2273">
        <v>821011</v>
      </c>
      <c r="M2273" t="str">
        <f t="shared" si="211"/>
        <v>Medium</v>
      </c>
      <c r="N2273">
        <f>VLOOKUP(C2273,Lookup!$A$2:$D$5,MATCH(M2273,Lookup!$A$1:$D$1,0),FALSE)</f>
        <v>8.5000000000000006E-2</v>
      </c>
      <c r="O2273">
        <f t="shared" si="212"/>
        <v>69785.935000000012</v>
      </c>
      <c r="P2273" s="7">
        <f t="shared" si="213"/>
        <v>0.89112264327680968</v>
      </c>
      <c r="Q2273" s="7">
        <f t="shared" si="214"/>
        <v>3705.0862745098038</v>
      </c>
      <c r="R2273">
        <f t="shared" si="215"/>
        <v>0.38527820828079462</v>
      </c>
    </row>
    <row r="2274" spans="1:18" x14ac:dyDescent="0.25">
      <c r="A2274" t="s">
        <v>1293</v>
      </c>
      <c r="B2274" t="s">
        <v>1012</v>
      </c>
      <c r="C2274" t="s">
        <v>17</v>
      </c>
      <c r="D2274">
        <v>12401</v>
      </c>
      <c r="E2274" s="1">
        <v>44104</v>
      </c>
      <c r="F2274" s="2">
        <f t="shared" si="210"/>
        <v>2020</v>
      </c>
      <c r="G2274">
        <v>245</v>
      </c>
      <c r="H2274" s="3">
        <v>1133556</v>
      </c>
      <c r="I2274">
        <v>152897</v>
      </c>
      <c r="J2274">
        <v>1133556</v>
      </c>
      <c r="K2274">
        <v>1022374</v>
      </c>
      <c r="L2274">
        <v>1017303</v>
      </c>
      <c r="M2274" t="str">
        <f t="shared" si="211"/>
        <v>Large</v>
      </c>
      <c r="N2274">
        <f>VLOOKUP(C2274,Lookup!$A$2:$D$5,MATCH(M2274,Lookup!$A$1:$D$1,0),FALSE)</f>
        <v>0.08</v>
      </c>
      <c r="O2274">
        <f t="shared" si="212"/>
        <v>81384.240000000005</v>
      </c>
      <c r="P2274" s="7">
        <f t="shared" si="213"/>
        <v>0.90191750561948414</v>
      </c>
      <c r="Q2274" s="7">
        <f t="shared" si="214"/>
        <v>4626.7591836734691</v>
      </c>
      <c r="R2274">
        <f t="shared" si="215"/>
        <v>1.878705262837129</v>
      </c>
    </row>
    <row r="2275" spans="1:18" x14ac:dyDescent="0.25">
      <c r="A2275" t="s">
        <v>1293</v>
      </c>
      <c r="B2275" t="s">
        <v>1012</v>
      </c>
      <c r="C2275" t="s">
        <v>17</v>
      </c>
      <c r="D2275">
        <v>12401</v>
      </c>
      <c r="E2275" s="1">
        <v>44469</v>
      </c>
      <c r="F2275" s="2">
        <f t="shared" si="210"/>
        <v>2021</v>
      </c>
      <c r="G2275">
        <v>249</v>
      </c>
      <c r="H2275" s="3">
        <v>1279748</v>
      </c>
      <c r="I2275">
        <v>262147</v>
      </c>
      <c r="J2275">
        <v>1279748</v>
      </c>
      <c r="K2275">
        <v>1164256</v>
      </c>
      <c r="L2275">
        <v>1157817</v>
      </c>
      <c r="M2275" t="str">
        <f t="shared" si="211"/>
        <v>Large</v>
      </c>
      <c r="N2275">
        <f>VLOOKUP(C2275,Lookup!$A$2:$D$5,MATCH(M2275,Lookup!$A$1:$D$1,0),FALSE)</f>
        <v>0.08</v>
      </c>
      <c r="O2275">
        <f t="shared" si="212"/>
        <v>92625.36</v>
      </c>
      <c r="P2275" s="7">
        <f t="shared" si="213"/>
        <v>0.90975410783998101</v>
      </c>
      <c r="Q2275" s="7">
        <f t="shared" si="214"/>
        <v>5139.5502008032126</v>
      </c>
      <c r="R2275">
        <f t="shared" si="215"/>
        <v>2.8301860311258169</v>
      </c>
    </row>
    <row r="2276" spans="1:18" x14ac:dyDescent="0.25">
      <c r="A2276" t="s">
        <v>1294</v>
      </c>
      <c r="B2276" t="s">
        <v>1295</v>
      </c>
      <c r="C2276" t="s">
        <v>20</v>
      </c>
      <c r="D2276">
        <v>1588</v>
      </c>
      <c r="E2276" s="1">
        <v>43738</v>
      </c>
      <c r="F2276" s="2">
        <f t="shared" si="210"/>
        <v>2019</v>
      </c>
      <c r="G2276">
        <v>280</v>
      </c>
      <c r="H2276" s="3">
        <v>1763811</v>
      </c>
      <c r="I2276">
        <v>158242</v>
      </c>
      <c r="J2276">
        <v>1763811</v>
      </c>
      <c r="K2276">
        <v>1605610</v>
      </c>
      <c r="L2276">
        <v>1590356</v>
      </c>
      <c r="M2276" t="str">
        <f t="shared" si="211"/>
        <v>Large</v>
      </c>
      <c r="N2276">
        <f>VLOOKUP(C2276,Lookup!$A$2:$D$5,MATCH(M2276,Lookup!$A$1:$D$1,0),FALSE)</f>
        <v>0.08</v>
      </c>
      <c r="O2276">
        <f t="shared" si="212"/>
        <v>127228.48</v>
      </c>
      <c r="P2276" s="7">
        <f t="shared" si="213"/>
        <v>0.91030728349012446</v>
      </c>
      <c r="Q2276" s="7">
        <f t="shared" si="214"/>
        <v>6299.3249999999998</v>
      </c>
      <c r="R2276">
        <f t="shared" si="215"/>
        <v>1.2437624028833796</v>
      </c>
    </row>
    <row r="2277" spans="1:18" x14ac:dyDescent="0.25">
      <c r="A2277" t="s">
        <v>1294</v>
      </c>
      <c r="B2277" t="s">
        <v>1295</v>
      </c>
      <c r="C2277" t="s">
        <v>20</v>
      </c>
      <c r="D2277">
        <v>1588</v>
      </c>
      <c r="E2277" s="1">
        <v>44104</v>
      </c>
      <c r="F2277" s="2">
        <f t="shared" si="210"/>
        <v>2020</v>
      </c>
      <c r="G2277">
        <v>249</v>
      </c>
      <c r="H2277" s="3">
        <v>2098629</v>
      </c>
      <c r="I2277">
        <v>418909</v>
      </c>
      <c r="J2277">
        <v>2098629</v>
      </c>
      <c r="K2277">
        <v>1917242</v>
      </c>
      <c r="L2277">
        <v>1886406</v>
      </c>
      <c r="M2277" t="str">
        <f t="shared" si="211"/>
        <v>Large</v>
      </c>
      <c r="N2277">
        <f>VLOOKUP(C2277,Lookup!$A$2:$D$5,MATCH(M2277,Lookup!$A$1:$D$1,0),FALSE)</f>
        <v>0.08</v>
      </c>
      <c r="O2277">
        <f t="shared" si="212"/>
        <v>150912.48000000001</v>
      </c>
      <c r="P2277" s="7">
        <f t="shared" si="213"/>
        <v>0.91356881087605291</v>
      </c>
      <c r="Q2277" s="7">
        <f t="shared" si="214"/>
        <v>8428.2289156626503</v>
      </c>
      <c r="R2277">
        <f t="shared" si="215"/>
        <v>2.7758406726865794</v>
      </c>
    </row>
    <row r="2278" spans="1:18" x14ac:dyDescent="0.25">
      <c r="A2278" t="s">
        <v>1294</v>
      </c>
      <c r="B2278" t="s">
        <v>1295</v>
      </c>
      <c r="C2278" t="s">
        <v>20</v>
      </c>
      <c r="D2278">
        <v>1588</v>
      </c>
      <c r="E2278" s="1">
        <v>44469</v>
      </c>
      <c r="F2278" s="2">
        <f t="shared" si="210"/>
        <v>2021</v>
      </c>
      <c r="G2278">
        <v>263</v>
      </c>
      <c r="H2278" s="3">
        <v>2567352</v>
      </c>
      <c r="I2278">
        <v>305999</v>
      </c>
      <c r="J2278">
        <v>2567352</v>
      </c>
      <c r="K2278">
        <v>2381160</v>
      </c>
      <c r="L2278">
        <v>2053205</v>
      </c>
      <c r="M2278" t="str">
        <f t="shared" si="211"/>
        <v>Large</v>
      </c>
      <c r="N2278">
        <f>VLOOKUP(C2278,Lookup!$A$2:$D$5,MATCH(M2278,Lookup!$A$1:$D$1,0),FALSE)</f>
        <v>0.08</v>
      </c>
      <c r="O2278">
        <f t="shared" si="212"/>
        <v>164256.4</v>
      </c>
      <c r="P2278" s="7">
        <f t="shared" si="213"/>
        <v>0.92747702691333322</v>
      </c>
      <c r="Q2278" s="7">
        <f t="shared" si="214"/>
        <v>9761.7946768060829</v>
      </c>
      <c r="R2278">
        <f t="shared" si="215"/>
        <v>1.8629350211011566</v>
      </c>
    </row>
    <row r="2279" spans="1:18" x14ac:dyDescent="0.25">
      <c r="A2279" t="s">
        <v>1296</v>
      </c>
      <c r="B2279" t="s">
        <v>949</v>
      </c>
      <c r="C2279" t="s">
        <v>8</v>
      </c>
      <c r="D2279">
        <v>61443</v>
      </c>
      <c r="E2279" s="1">
        <v>43738</v>
      </c>
      <c r="F2279" s="2">
        <f t="shared" si="210"/>
        <v>2019</v>
      </c>
      <c r="G2279">
        <v>33</v>
      </c>
      <c r="H2279" s="3">
        <v>150107</v>
      </c>
      <c r="I2279">
        <v>14298</v>
      </c>
      <c r="J2279">
        <v>150107</v>
      </c>
      <c r="K2279">
        <v>127491</v>
      </c>
      <c r="L2279">
        <v>127143</v>
      </c>
      <c r="M2279" t="str">
        <f t="shared" si="211"/>
        <v>Medium</v>
      </c>
      <c r="N2279">
        <f>VLOOKUP(C2279,Lookup!$A$2:$D$5,MATCH(M2279,Lookup!$A$1:$D$1,0),FALSE)</f>
        <v>0.08</v>
      </c>
      <c r="O2279">
        <f t="shared" si="212"/>
        <v>10171.44</v>
      </c>
      <c r="P2279" s="7">
        <f t="shared" si="213"/>
        <v>0.84933414164562615</v>
      </c>
      <c r="Q2279" s="7">
        <f t="shared" si="214"/>
        <v>4548.69696969697</v>
      </c>
      <c r="R2279">
        <f t="shared" si="215"/>
        <v>1.4057006677520587</v>
      </c>
    </row>
    <row r="2280" spans="1:18" x14ac:dyDescent="0.25">
      <c r="A2280" t="s">
        <v>1296</v>
      </c>
      <c r="B2280" t="s">
        <v>949</v>
      </c>
      <c r="C2280" t="s">
        <v>8</v>
      </c>
      <c r="D2280">
        <v>61443</v>
      </c>
      <c r="E2280" s="1">
        <v>44104</v>
      </c>
      <c r="F2280" s="2">
        <f t="shared" si="210"/>
        <v>2020</v>
      </c>
      <c r="G2280">
        <v>33</v>
      </c>
      <c r="H2280" s="3">
        <v>159654</v>
      </c>
      <c r="I2280">
        <v>23551</v>
      </c>
      <c r="J2280">
        <v>159654</v>
      </c>
      <c r="K2280">
        <v>136450</v>
      </c>
      <c r="L2280">
        <v>132100</v>
      </c>
      <c r="M2280" t="str">
        <f t="shared" si="211"/>
        <v>Medium</v>
      </c>
      <c r="N2280">
        <f>VLOOKUP(C2280,Lookup!$A$2:$D$5,MATCH(M2280,Lookup!$A$1:$D$1,0),FALSE)</f>
        <v>0.08</v>
      </c>
      <c r="O2280">
        <f t="shared" si="212"/>
        <v>10568</v>
      </c>
      <c r="P2280" s="7">
        <f t="shared" si="213"/>
        <v>0.85466070377190673</v>
      </c>
      <c r="Q2280" s="7">
        <f t="shared" si="214"/>
        <v>4838</v>
      </c>
      <c r="R2280">
        <f t="shared" si="215"/>
        <v>2.2285200605601818</v>
      </c>
    </row>
    <row r="2281" spans="1:18" x14ac:dyDescent="0.25">
      <c r="A2281" t="s">
        <v>1296</v>
      </c>
      <c r="B2281" t="s">
        <v>949</v>
      </c>
      <c r="C2281" t="s">
        <v>8</v>
      </c>
      <c r="D2281">
        <v>61443</v>
      </c>
      <c r="E2281" s="1">
        <v>44469</v>
      </c>
      <c r="F2281" s="2">
        <f t="shared" si="210"/>
        <v>2021</v>
      </c>
      <c r="G2281">
        <v>32</v>
      </c>
      <c r="H2281" s="3">
        <v>164399</v>
      </c>
      <c r="I2281">
        <v>27885</v>
      </c>
      <c r="J2281">
        <v>164399</v>
      </c>
      <c r="K2281">
        <v>140335</v>
      </c>
      <c r="L2281">
        <v>139832</v>
      </c>
      <c r="M2281" t="str">
        <f t="shared" si="211"/>
        <v>Medium</v>
      </c>
      <c r="N2281">
        <f>VLOOKUP(C2281,Lookup!$A$2:$D$5,MATCH(M2281,Lookup!$A$1:$D$1,0),FALSE)</f>
        <v>0.08</v>
      </c>
      <c r="O2281">
        <f t="shared" si="212"/>
        <v>11186.56</v>
      </c>
      <c r="P2281" s="7">
        <f t="shared" si="213"/>
        <v>0.85362441377380638</v>
      </c>
      <c r="Q2281" s="7">
        <f t="shared" si="214"/>
        <v>5137.46875</v>
      </c>
      <c r="R2281">
        <f t="shared" si="215"/>
        <v>2.4927234109502834</v>
      </c>
    </row>
    <row r="2282" spans="1:18" x14ac:dyDescent="0.25">
      <c r="A2282" t="s">
        <v>1297</v>
      </c>
      <c r="B2282" t="s">
        <v>1298</v>
      </c>
      <c r="C2282" t="s">
        <v>8</v>
      </c>
      <c r="D2282">
        <v>60120</v>
      </c>
      <c r="E2282" s="1">
        <v>43738</v>
      </c>
      <c r="F2282" s="2">
        <f t="shared" si="210"/>
        <v>2019</v>
      </c>
      <c r="G2282">
        <v>26</v>
      </c>
      <c r="H2282" s="3">
        <v>314233</v>
      </c>
      <c r="I2282">
        <v>40774</v>
      </c>
      <c r="J2282">
        <v>314233</v>
      </c>
      <c r="K2282">
        <v>275641</v>
      </c>
      <c r="L2282">
        <v>274956</v>
      </c>
      <c r="M2282" t="str">
        <f t="shared" si="211"/>
        <v>Medium</v>
      </c>
      <c r="N2282">
        <f>VLOOKUP(C2282,Lookup!$A$2:$D$5,MATCH(M2282,Lookup!$A$1:$D$1,0),FALSE)</f>
        <v>0.08</v>
      </c>
      <c r="O2282">
        <f t="shared" si="212"/>
        <v>21996.48</v>
      </c>
      <c r="P2282" s="7">
        <f t="shared" si="213"/>
        <v>0.87718667358297819</v>
      </c>
      <c r="Q2282" s="7">
        <f t="shared" si="214"/>
        <v>12085.884615384615</v>
      </c>
      <c r="R2282">
        <f t="shared" si="215"/>
        <v>1.8536602219991563</v>
      </c>
    </row>
    <row r="2283" spans="1:18" x14ac:dyDescent="0.25">
      <c r="A2283" t="s">
        <v>1297</v>
      </c>
      <c r="B2283" t="s">
        <v>1298</v>
      </c>
      <c r="C2283" t="s">
        <v>8</v>
      </c>
      <c r="D2283">
        <v>60120</v>
      </c>
      <c r="E2283" s="1">
        <v>44104</v>
      </c>
      <c r="F2283" s="2">
        <f t="shared" si="210"/>
        <v>2020</v>
      </c>
      <c r="G2283">
        <v>25</v>
      </c>
      <c r="H2283" s="3">
        <v>444264</v>
      </c>
      <c r="I2283">
        <v>42077</v>
      </c>
      <c r="J2283">
        <v>444264</v>
      </c>
      <c r="K2283">
        <v>404832</v>
      </c>
      <c r="L2283">
        <v>364573</v>
      </c>
      <c r="M2283" t="str">
        <f t="shared" si="211"/>
        <v>Medium</v>
      </c>
      <c r="N2283">
        <f>VLOOKUP(C2283,Lookup!$A$2:$D$5,MATCH(M2283,Lookup!$A$1:$D$1,0),FALSE)</f>
        <v>0.08</v>
      </c>
      <c r="O2283">
        <f t="shared" si="212"/>
        <v>29165.84</v>
      </c>
      <c r="P2283" s="7">
        <f t="shared" si="213"/>
        <v>0.91124196423748038</v>
      </c>
      <c r="Q2283" s="7">
        <f t="shared" si="214"/>
        <v>17770.560000000001</v>
      </c>
      <c r="R2283">
        <f t="shared" si="215"/>
        <v>1.4426808896983594</v>
      </c>
    </row>
    <row r="2284" spans="1:18" x14ac:dyDescent="0.25">
      <c r="A2284" t="s">
        <v>1297</v>
      </c>
      <c r="B2284" t="s">
        <v>1298</v>
      </c>
      <c r="C2284" t="s">
        <v>8</v>
      </c>
      <c r="D2284">
        <v>60120</v>
      </c>
      <c r="E2284" s="1">
        <v>44469</v>
      </c>
      <c r="F2284" s="2">
        <f t="shared" si="210"/>
        <v>2021</v>
      </c>
      <c r="G2284">
        <v>25</v>
      </c>
      <c r="H2284" s="3">
        <v>433389</v>
      </c>
      <c r="I2284">
        <v>63363</v>
      </c>
      <c r="J2284">
        <v>433389</v>
      </c>
      <c r="K2284">
        <v>391676</v>
      </c>
      <c r="L2284">
        <v>336873</v>
      </c>
      <c r="M2284" t="str">
        <f t="shared" si="211"/>
        <v>Medium</v>
      </c>
      <c r="N2284">
        <f>VLOOKUP(C2284,Lookup!$A$2:$D$5,MATCH(M2284,Lookup!$A$1:$D$1,0),FALSE)</f>
        <v>0.08</v>
      </c>
      <c r="O2284">
        <f t="shared" si="212"/>
        <v>26949.84</v>
      </c>
      <c r="P2284" s="7">
        <f t="shared" si="213"/>
        <v>0.9037515949874132</v>
      </c>
      <c r="Q2284" s="7">
        <f t="shared" si="214"/>
        <v>17335.560000000001</v>
      </c>
      <c r="R2284">
        <f t="shared" si="215"/>
        <v>2.3511456839817972</v>
      </c>
    </row>
    <row r="2285" spans="1:18" x14ac:dyDescent="0.25">
      <c r="A2285" t="s">
        <v>1299</v>
      </c>
      <c r="B2285" t="s">
        <v>820</v>
      </c>
      <c r="C2285" t="s">
        <v>8</v>
      </c>
      <c r="D2285">
        <v>61032</v>
      </c>
      <c r="E2285" s="1">
        <v>43738</v>
      </c>
      <c r="F2285" s="2">
        <f t="shared" si="210"/>
        <v>2019</v>
      </c>
      <c r="G2285">
        <v>53</v>
      </c>
      <c r="H2285" s="3">
        <v>151825</v>
      </c>
      <c r="I2285">
        <v>6080</v>
      </c>
      <c r="J2285">
        <v>151825</v>
      </c>
      <c r="K2285">
        <v>135758</v>
      </c>
      <c r="L2285">
        <v>134557</v>
      </c>
      <c r="M2285" t="str">
        <f t="shared" si="211"/>
        <v>Medium</v>
      </c>
      <c r="N2285">
        <f>VLOOKUP(C2285,Lookup!$A$2:$D$5,MATCH(M2285,Lookup!$A$1:$D$1,0),FALSE)</f>
        <v>0.08</v>
      </c>
      <c r="O2285">
        <f t="shared" si="212"/>
        <v>10764.56</v>
      </c>
      <c r="P2285" s="7">
        <f t="shared" si="213"/>
        <v>0.89417421373291617</v>
      </c>
      <c r="Q2285" s="7">
        <f t="shared" si="214"/>
        <v>2864.6226415094338</v>
      </c>
      <c r="R2285">
        <f t="shared" si="215"/>
        <v>0.56481639751183521</v>
      </c>
    </row>
    <row r="2286" spans="1:18" x14ac:dyDescent="0.25">
      <c r="A2286" t="s">
        <v>1299</v>
      </c>
      <c r="B2286" t="s">
        <v>820</v>
      </c>
      <c r="C2286" t="s">
        <v>8</v>
      </c>
      <c r="D2286">
        <v>61032</v>
      </c>
      <c r="E2286" s="1">
        <v>44104</v>
      </c>
      <c r="F2286" s="2">
        <f t="shared" si="210"/>
        <v>2020</v>
      </c>
      <c r="G2286">
        <v>54</v>
      </c>
      <c r="H2286" s="3">
        <v>170728</v>
      </c>
      <c r="I2286">
        <v>12915</v>
      </c>
      <c r="J2286">
        <v>170728</v>
      </c>
      <c r="K2286">
        <v>153905</v>
      </c>
      <c r="L2286">
        <v>152499</v>
      </c>
      <c r="M2286" t="str">
        <f t="shared" si="211"/>
        <v>Medium</v>
      </c>
      <c r="N2286">
        <f>VLOOKUP(C2286,Lookup!$A$2:$D$5,MATCH(M2286,Lookup!$A$1:$D$1,0),FALSE)</f>
        <v>0.08</v>
      </c>
      <c r="O2286">
        <f t="shared" si="212"/>
        <v>12199.92</v>
      </c>
      <c r="P2286" s="7">
        <f t="shared" si="213"/>
        <v>0.90146314605688582</v>
      </c>
      <c r="Q2286" s="7">
        <f t="shared" si="214"/>
        <v>3161.6296296296296</v>
      </c>
      <c r="R2286">
        <f t="shared" si="215"/>
        <v>1.0586134991049121</v>
      </c>
    </row>
    <row r="2287" spans="1:18" x14ac:dyDescent="0.25">
      <c r="A2287" t="s">
        <v>1299</v>
      </c>
      <c r="B2287" t="s">
        <v>820</v>
      </c>
      <c r="C2287" t="s">
        <v>8</v>
      </c>
      <c r="D2287">
        <v>61032</v>
      </c>
      <c r="E2287" s="1">
        <v>44469</v>
      </c>
      <c r="F2287" s="2">
        <f t="shared" si="210"/>
        <v>2021</v>
      </c>
      <c r="G2287">
        <v>50</v>
      </c>
      <c r="H2287" s="3">
        <v>186847</v>
      </c>
      <c r="I2287">
        <v>14697</v>
      </c>
      <c r="J2287">
        <v>186847</v>
      </c>
      <c r="K2287">
        <v>170533</v>
      </c>
      <c r="L2287">
        <v>169352</v>
      </c>
      <c r="M2287" t="str">
        <f t="shared" si="211"/>
        <v>Medium</v>
      </c>
      <c r="N2287">
        <f>VLOOKUP(C2287,Lookup!$A$2:$D$5,MATCH(M2287,Lookup!$A$1:$D$1,0),FALSE)</f>
        <v>0.08</v>
      </c>
      <c r="O2287">
        <f t="shared" si="212"/>
        <v>13548.16</v>
      </c>
      <c r="P2287" s="7">
        <f t="shared" si="213"/>
        <v>0.91268792113333364</v>
      </c>
      <c r="Q2287" s="7">
        <f t="shared" si="214"/>
        <v>3736.94</v>
      </c>
      <c r="R2287">
        <f t="shared" si="215"/>
        <v>1.0847967546884596</v>
      </c>
    </row>
    <row r="2288" spans="1:18" x14ac:dyDescent="0.25">
      <c r="A2288" t="s">
        <v>1300</v>
      </c>
      <c r="B2288" t="s">
        <v>793</v>
      </c>
      <c r="C2288" t="s">
        <v>5</v>
      </c>
      <c r="D2288">
        <v>94596</v>
      </c>
      <c r="E2288" s="1">
        <v>43738</v>
      </c>
      <c r="F2288" s="2">
        <f t="shared" si="210"/>
        <v>2019</v>
      </c>
      <c r="G2288">
        <v>256</v>
      </c>
      <c r="H2288" s="3">
        <v>1769856</v>
      </c>
      <c r="I2288">
        <v>332216</v>
      </c>
      <c r="J2288">
        <v>1769856</v>
      </c>
      <c r="K2288">
        <v>1525269</v>
      </c>
      <c r="L2288">
        <v>1501903</v>
      </c>
      <c r="M2288" t="str">
        <f t="shared" si="211"/>
        <v>Large</v>
      </c>
      <c r="N2288">
        <f>VLOOKUP(C2288,Lookup!$A$2:$D$5,MATCH(M2288,Lookup!$A$1:$D$1,0),FALSE)</f>
        <v>0.08</v>
      </c>
      <c r="O2288">
        <f t="shared" si="212"/>
        <v>120152.24</v>
      </c>
      <c r="P2288" s="7">
        <f t="shared" si="213"/>
        <v>0.86180401117379046</v>
      </c>
      <c r="Q2288" s="7">
        <f t="shared" si="214"/>
        <v>6913.5</v>
      </c>
      <c r="R2288">
        <f t="shared" si="215"/>
        <v>2.7649588555319484</v>
      </c>
    </row>
    <row r="2289" spans="1:18" x14ac:dyDescent="0.25">
      <c r="A2289" t="s">
        <v>1300</v>
      </c>
      <c r="B2289" t="s">
        <v>793</v>
      </c>
      <c r="C2289" t="s">
        <v>5</v>
      </c>
      <c r="D2289">
        <v>94596</v>
      </c>
      <c r="E2289" s="1">
        <v>44104</v>
      </c>
      <c r="F2289" s="2">
        <f t="shared" si="210"/>
        <v>2020</v>
      </c>
      <c r="G2289">
        <v>312</v>
      </c>
      <c r="H2289" s="3">
        <v>2270142</v>
      </c>
      <c r="I2289">
        <v>328549</v>
      </c>
      <c r="J2289">
        <v>2270142</v>
      </c>
      <c r="K2289">
        <v>2000431</v>
      </c>
      <c r="L2289">
        <v>1964578</v>
      </c>
      <c r="M2289" t="str">
        <f t="shared" si="211"/>
        <v>Large</v>
      </c>
      <c r="N2289">
        <f>VLOOKUP(C2289,Lookup!$A$2:$D$5,MATCH(M2289,Lookup!$A$1:$D$1,0),FALSE)</f>
        <v>0.08</v>
      </c>
      <c r="O2289">
        <f t="shared" si="212"/>
        <v>157166.24</v>
      </c>
      <c r="P2289" s="7">
        <f t="shared" si="213"/>
        <v>0.88119201353924115</v>
      </c>
      <c r="Q2289" s="7">
        <f t="shared" si="214"/>
        <v>7276.0961538461543</v>
      </c>
      <c r="R2289">
        <f t="shared" si="215"/>
        <v>2.0904553038871452</v>
      </c>
    </row>
    <row r="2290" spans="1:18" x14ac:dyDescent="0.25">
      <c r="A2290" t="s">
        <v>1300</v>
      </c>
      <c r="B2290" t="s">
        <v>793</v>
      </c>
      <c r="C2290" t="s">
        <v>5</v>
      </c>
      <c r="D2290">
        <v>94596</v>
      </c>
      <c r="E2290" s="1">
        <v>44469</v>
      </c>
      <c r="F2290" s="2">
        <f t="shared" si="210"/>
        <v>2021</v>
      </c>
      <c r="G2290">
        <v>305</v>
      </c>
      <c r="H2290" s="3">
        <v>2347016</v>
      </c>
      <c r="I2290">
        <v>448133</v>
      </c>
      <c r="J2290">
        <v>2347016</v>
      </c>
      <c r="K2290">
        <v>2053898</v>
      </c>
      <c r="L2290">
        <v>2027200</v>
      </c>
      <c r="M2290" t="str">
        <f t="shared" si="211"/>
        <v>Large</v>
      </c>
      <c r="N2290">
        <f>VLOOKUP(C2290,Lookup!$A$2:$D$5,MATCH(M2290,Lookup!$A$1:$D$1,0),FALSE)</f>
        <v>0.08</v>
      </c>
      <c r="O2290">
        <f t="shared" si="212"/>
        <v>162176</v>
      </c>
      <c r="P2290" s="7">
        <f t="shared" si="213"/>
        <v>0.8751103528906492</v>
      </c>
      <c r="Q2290" s="7">
        <f t="shared" si="214"/>
        <v>7695.1344262295079</v>
      </c>
      <c r="R2290">
        <f t="shared" si="215"/>
        <v>2.763251035911602</v>
      </c>
    </row>
    <row r="2291" spans="1:18" x14ac:dyDescent="0.25">
      <c r="A2291" t="s">
        <v>1301</v>
      </c>
      <c r="B2291" t="s">
        <v>1302</v>
      </c>
      <c r="C2291" t="s">
        <v>8</v>
      </c>
      <c r="D2291">
        <v>62629</v>
      </c>
      <c r="E2291" s="1">
        <v>43738</v>
      </c>
      <c r="F2291" s="2">
        <f t="shared" si="210"/>
        <v>2019</v>
      </c>
      <c r="G2291">
        <v>602</v>
      </c>
      <c r="H2291" s="3">
        <v>2601097</v>
      </c>
      <c r="I2291">
        <v>279859</v>
      </c>
      <c r="J2291">
        <v>2601097</v>
      </c>
      <c r="K2291">
        <v>2351051</v>
      </c>
      <c r="L2291">
        <v>2144619</v>
      </c>
      <c r="M2291" t="str">
        <f t="shared" si="211"/>
        <v>Large</v>
      </c>
      <c r="N2291">
        <f>VLOOKUP(C2291,Lookup!$A$2:$D$5,MATCH(M2291,Lookup!$A$1:$D$1,0),FALSE)</f>
        <v>7.4999999999999997E-2</v>
      </c>
      <c r="O2291">
        <f t="shared" si="212"/>
        <v>160846.42499999999</v>
      </c>
      <c r="P2291" s="7">
        <f t="shared" si="213"/>
        <v>0.90386902141673298</v>
      </c>
      <c r="Q2291" s="7">
        <f t="shared" si="214"/>
        <v>4320.759136212625</v>
      </c>
      <c r="R2291">
        <f t="shared" si="215"/>
        <v>1.7399143313256731</v>
      </c>
    </row>
    <row r="2292" spans="1:18" x14ac:dyDescent="0.25">
      <c r="A2292" t="s">
        <v>1301</v>
      </c>
      <c r="B2292" t="s">
        <v>1302</v>
      </c>
      <c r="C2292" t="s">
        <v>8</v>
      </c>
      <c r="D2292">
        <v>62629</v>
      </c>
      <c r="E2292" s="1">
        <v>44104</v>
      </c>
      <c r="F2292" s="2">
        <f t="shared" si="210"/>
        <v>2020</v>
      </c>
      <c r="G2292">
        <v>590</v>
      </c>
      <c r="H2292" s="3">
        <v>2999572</v>
      </c>
      <c r="I2292">
        <v>294397</v>
      </c>
      <c r="J2292">
        <v>2999572</v>
      </c>
      <c r="K2292">
        <v>2700433</v>
      </c>
      <c r="L2292">
        <v>2491516</v>
      </c>
      <c r="M2292" t="str">
        <f t="shared" si="211"/>
        <v>Large</v>
      </c>
      <c r="N2292">
        <f>VLOOKUP(C2292,Lookup!$A$2:$D$5,MATCH(M2292,Lookup!$A$1:$D$1,0),FALSE)</f>
        <v>7.4999999999999997E-2</v>
      </c>
      <c r="O2292">
        <f t="shared" si="212"/>
        <v>186863.69999999998</v>
      </c>
      <c r="P2292" s="7">
        <f t="shared" si="213"/>
        <v>0.90027277224884084</v>
      </c>
      <c r="Q2292" s="7">
        <f t="shared" si="214"/>
        <v>5084.0203389830513</v>
      </c>
      <c r="R2292">
        <f t="shared" si="215"/>
        <v>1.5754638273779231</v>
      </c>
    </row>
    <row r="2293" spans="1:18" x14ac:dyDescent="0.25">
      <c r="A2293" t="s">
        <v>1301</v>
      </c>
      <c r="B2293" t="s">
        <v>1302</v>
      </c>
      <c r="C2293" t="s">
        <v>8</v>
      </c>
      <c r="D2293">
        <v>62629</v>
      </c>
      <c r="E2293" s="1">
        <v>44469</v>
      </c>
      <c r="F2293" s="2">
        <f t="shared" si="210"/>
        <v>2021</v>
      </c>
      <c r="G2293">
        <v>564</v>
      </c>
      <c r="H2293" s="3">
        <v>3437415</v>
      </c>
      <c r="I2293">
        <v>614292</v>
      </c>
      <c r="J2293">
        <v>3437415</v>
      </c>
      <c r="K2293">
        <v>3116448</v>
      </c>
      <c r="L2293">
        <v>2903164</v>
      </c>
      <c r="M2293" t="str">
        <f t="shared" si="211"/>
        <v>Large</v>
      </c>
      <c r="N2293">
        <f>VLOOKUP(C2293,Lookup!$A$2:$D$5,MATCH(M2293,Lookup!$A$1:$D$1,0),FALSE)</f>
        <v>7.4999999999999997E-2</v>
      </c>
      <c r="O2293">
        <f t="shared" si="212"/>
        <v>217737.3</v>
      </c>
      <c r="P2293" s="7">
        <f t="shared" si="213"/>
        <v>0.90662547292078499</v>
      </c>
      <c r="Q2293" s="7">
        <f t="shared" si="214"/>
        <v>6094.7074468085102</v>
      </c>
      <c r="R2293">
        <f t="shared" si="215"/>
        <v>2.8212529502294741</v>
      </c>
    </row>
    <row r="2294" spans="1:18" x14ac:dyDescent="0.25">
      <c r="A2294" t="s">
        <v>1303</v>
      </c>
      <c r="B2294" t="s">
        <v>16</v>
      </c>
      <c r="C2294" t="s">
        <v>17</v>
      </c>
      <c r="D2294">
        <v>10038</v>
      </c>
      <c r="E2294" s="1">
        <v>43738</v>
      </c>
      <c r="F2294" s="2">
        <f t="shared" si="210"/>
        <v>2019</v>
      </c>
      <c r="G2294">
        <v>33</v>
      </c>
      <c r="H2294" s="3">
        <v>86286</v>
      </c>
      <c r="I2294">
        <v>13126</v>
      </c>
      <c r="J2294">
        <v>86286</v>
      </c>
      <c r="K2294">
        <v>72524</v>
      </c>
      <c r="L2294">
        <v>67057</v>
      </c>
      <c r="M2294" t="str">
        <f t="shared" si="211"/>
        <v>Small</v>
      </c>
      <c r="N2294">
        <f>VLOOKUP(C2294,Lookup!$A$2:$D$5,MATCH(M2294,Lookup!$A$1:$D$1,0),FALSE)</f>
        <v>0.09</v>
      </c>
      <c r="O2294">
        <f t="shared" si="212"/>
        <v>6035.13</v>
      </c>
      <c r="P2294" s="7">
        <f t="shared" si="213"/>
        <v>0.84050715063857406</v>
      </c>
      <c r="Q2294" s="7">
        <f t="shared" si="214"/>
        <v>2614.7272727272725</v>
      </c>
      <c r="R2294">
        <f t="shared" si="215"/>
        <v>2.1749324372465879</v>
      </c>
    </row>
    <row r="2295" spans="1:18" x14ac:dyDescent="0.25">
      <c r="A2295" t="s">
        <v>1303</v>
      </c>
      <c r="B2295" t="s">
        <v>16</v>
      </c>
      <c r="C2295" t="s">
        <v>17</v>
      </c>
      <c r="D2295">
        <v>10038</v>
      </c>
      <c r="E2295" s="1">
        <v>44104</v>
      </c>
      <c r="F2295" s="2">
        <f t="shared" si="210"/>
        <v>2020</v>
      </c>
      <c r="G2295">
        <v>33</v>
      </c>
      <c r="H2295" s="3">
        <v>83752</v>
      </c>
      <c r="I2295">
        <v>11671</v>
      </c>
      <c r="J2295">
        <v>83752</v>
      </c>
      <c r="K2295">
        <v>70198</v>
      </c>
      <c r="L2295">
        <v>67855</v>
      </c>
      <c r="M2295" t="str">
        <f t="shared" si="211"/>
        <v>Small</v>
      </c>
      <c r="N2295">
        <f>VLOOKUP(C2295,Lookup!$A$2:$D$5,MATCH(M2295,Lookup!$A$1:$D$1,0),FALSE)</f>
        <v>0.09</v>
      </c>
      <c r="O2295">
        <f t="shared" si="212"/>
        <v>6106.95</v>
      </c>
      <c r="P2295" s="7">
        <f t="shared" si="213"/>
        <v>0.8381650587448658</v>
      </c>
      <c r="Q2295" s="7">
        <f t="shared" si="214"/>
        <v>2537.939393939394</v>
      </c>
      <c r="R2295">
        <f t="shared" si="215"/>
        <v>1.9111012862394485</v>
      </c>
    </row>
    <row r="2296" spans="1:18" x14ac:dyDescent="0.25">
      <c r="A2296" t="s">
        <v>1303</v>
      </c>
      <c r="B2296" t="s">
        <v>16</v>
      </c>
      <c r="C2296" t="s">
        <v>17</v>
      </c>
      <c r="D2296">
        <v>10038</v>
      </c>
      <c r="E2296" s="1">
        <v>44469</v>
      </c>
      <c r="F2296" s="2">
        <f t="shared" si="210"/>
        <v>2021</v>
      </c>
      <c r="G2296">
        <v>34</v>
      </c>
      <c r="H2296" s="3">
        <v>93645</v>
      </c>
      <c r="I2296">
        <v>14559</v>
      </c>
      <c r="J2296">
        <v>93645</v>
      </c>
      <c r="K2296">
        <v>80618</v>
      </c>
      <c r="L2296">
        <v>79334</v>
      </c>
      <c r="M2296" t="str">
        <f t="shared" si="211"/>
        <v>Small</v>
      </c>
      <c r="N2296">
        <f>VLOOKUP(C2296,Lookup!$A$2:$D$5,MATCH(M2296,Lookup!$A$1:$D$1,0),FALSE)</f>
        <v>0.09</v>
      </c>
      <c r="O2296">
        <f t="shared" si="212"/>
        <v>7140.0599999999995</v>
      </c>
      <c r="P2296" s="7">
        <f t="shared" si="213"/>
        <v>0.86088952960649257</v>
      </c>
      <c r="Q2296" s="7">
        <f t="shared" si="214"/>
        <v>2754.2647058823532</v>
      </c>
      <c r="R2296">
        <f t="shared" si="215"/>
        <v>2.0390584953067621</v>
      </c>
    </row>
    <row r="2297" spans="1:18" x14ac:dyDescent="0.25">
      <c r="A2297" t="s">
        <v>1304</v>
      </c>
      <c r="B2297" t="s">
        <v>53</v>
      </c>
      <c r="C2297" t="s">
        <v>5</v>
      </c>
      <c r="D2297">
        <v>91748</v>
      </c>
      <c r="E2297" s="1">
        <v>43738</v>
      </c>
      <c r="F2297" s="2">
        <f t="shared" si="210"/>
        <v>2019</v>
      </c>
      <c r="G2297">
        <v>29</v>
      </c>
      <c r="H2297" s="3">
        <v>143619</v>
      </c>
      <c r="I2297">
        <v>21606</v>
      </c>
      <c r="J2297">
        <v>143619</v>
      </c>
      <c r="K2297">
        <v>119070</v>
      </c>
      <c r="L2297">
        <v>104567</v>
      </c>
      <c r="M2297" t="str">
        <f t="shared" si="211"/>
        <v>Medium</v>
      </c>
      <c r="N2297">
        <f>VLOOKUP(C2297,Lookup!$A$2:$D$5,MATCH(M2297,Lookup!$A$1:$D$1,0),FALSE)</f>
        <v>0.09</v>
      </c>
      <c r="O2297">
        <f t="shared" si="212"/>
        <v>9411.0299999999988</v>
      </c>
      <c r="P2297" s="7">
        <f t="shared" si="213"/>
        <v>0.8290685772773797</v>
      </c>
      <c r="Q2297" s="7">
        <f t="shared" si="214"/>
        <v>4952.3793103448279</v>
      </c>
      <c r="R2297">
        <f t="shared" si="215"/>
        <v>2.2958167171924861</v>
      </c>
    </row>
    <row r="2298" spans="1:18" x14ac:dyDescent="0.25">
      <c r="A2298" t="s">
        <v>1304</v>
      </c>
      <c r="B2298" t="s">
        <v>53</v>
      </c>
      <c r="C2298" t="s">
        <v>5</v>
      </c>
      <c r="D2298">
        <v>91748</v>
      </c>
      <c r="E2298" s="1">
        <v>44104</v>
      </c>
      <c r="F2298" s="2">
        <f t="shared" si="210"/>
        <v>2020</v>
      </c>
      <c r="G2298">
        <v>28</v>
      </c>
      <c r="H2298" s="3">
        <v>173334</v>
      </c>
      <c r="I2298">
        <v>34790</v>
      </c>
      <c r="J2298">
        <v>173334</v>
      </c>
      <c r="K2298">
        <v>148002</v>
      </c>
      <c r="L2298">
        <v>130399</v>
      </c>
      <c r="M2298" t="str">
        <f t="shared" si="211"/>
        <v>Medium</v>
      </c>
      <c r="N2298">
        <f>VLOOKUP(C2298,Lookup!$A$2:$D$5,MATCH(M2298,Lookup!$A$1:$D$1,0),FALSE)</f>
        <v>0.09</v>
      </c>
      <c r="O2298">
        <f t="shared" si="212"/>
        <v>11735.91</v>
      </c>
      <c r="P2298" s="7">
        <f t="shared" si="213"/>
        <v>0.85385440825227599</v>
      </c>
      <c r="Q2298" s="7">
        <f t="shared" si="214"/>
        <v>6190.5</v>
      </c>
      <c r="R2298">
        <f t="shared" si="215"/>
        <v>2.9644058279247201</v>
      </c>
    </row>
    <row r="2299" spans="1:18" x14ac:dyDescent="0.25">
      <c r="A2299" t="s">
        <v>1304</v>
      </c>
      <c r="B2299" t="s">
        <v>53</v>
      </c>
      <c r="C2299" t="s">
        <v>5</v>
      </c>
      <c r="D2299">
        <v>91748</v>
      </c>
      <c r="E2299" s="1">
        <v>44469</v>
      </c>
      <c r="F2299" s="2">
        <f t="shared" si="210"/>
        <v>2021</v>
      </c>
      <c r="G2299">
        <v>28</v>
      </c>
      <c r="H2299" s="3">
        <v>175957</v>
      </c>
      <c r="I2299">
        <v>58013</v>
      </c>
      <c r="J2299">
        <v>175957</v>
      </c>
      <c r="K2299">
        <v>149207</v>
      </c>
      <c r="L2299">
        <v>138485</v>
      </c>
      <c r="M2299" t="str">
        <f t="shared" si="211"/>
        <v>Medium</v>
      </c>
      <c r="N2299">
        <f>VLOOKUP(C2299,Lookup!$A$2:$D$5,MATCH(M2299,Lookup!$A$1:$D$1,0),FALSE)</f>
        <v>0.09</v>
      </c>
      <c r="O2299">
        <f t="shared" si="212"/>
        <v>12463.65</v>
      </c>
      <c r="P2299" s="7">
        <f t="shared" si="213"/>
        <v>0.84797422097444264</v>
      </c>
      <c r="Q2299" s="7">
        <f t="shared" si="214"/>
        <v>6284.1785714285716</v>
      </c>
      <c r="R2299">
        <f t="shared" si="215"/>
        <v>4.6545755055701985</v>
      </c>
    </row>
    <row r="2300" spans="1:18" x14ac:dyDescent="0.25">
      <c r="A2300" t="s">
        <v>1305</v>
      </c>
      <c r="B2300" t="s">
        <v>274</v>
      </c>
      <c r="C2300" t="s">
        <v>5</v>
      </c>
      <c r="D2300">
        <v>93711</v>
      </c>
      <c r="E2300" s="1">
        <v>43738</v>
      </c>
      <c r="F2300" s="2">
        <f t="shared" si="210"/>
        <v>2019</v>
      </c>
      <c r="G2300">
        <v>116</v>
      </c>
      <c r="H2300" s="3">
        <v>956213</v>
      </c>
      <c r="I2300">
        <v>245943</v>
      </c>
      <c r="J2300">
        <v>956213</v>
      </c>
      <c r="K2300">
        <v>832673</v>
      </c>
      <c r="L2300">
        <v>822904</v>
      </c>
      <c r="M2300" t="str">
        <f t="shared" si="211"/>
        <v>Medium</v>
      </c>
      <c r="N2300">
        <f>VLOOKUP(C2300,Lookup!$A$2:$D$5,MATCH(M2300,Lookup!$A$1:$D$1,0),FALSE)</f>
        <v>0.09</v>
      </c>
      <c r="O2300">
        <f t="shared" si="212"/>
        <v>74061.36</v>
      </c>
      <c r="P2300" s="7">
        <f t="shared" si="213"/>
        <v>0.87080284413619147</v>
      </c>
      <c r="Q2300" s="7">
        <f t="shared" si="214"/>
        <v>8243.2155172413786</v>
      </c>
      <c r="R2300">
        <f t="shared" si="215"/>
        <v>3.3208004821947639</v>
      </c>
    </row>
    <row r="2301" spans="1:18" x14ac:dyDescent="0.25">
      <c r="A2301" t="s">
        <v>1305</v>
      </c>
      <c r="B2301" t="s">
        <v>274</v>
      </c>
      <c r="C2301" t="s">
        <v>5</v>
      </c>
      <c r="D2301">
        <v>93711</v>
      </c>
      <c r="E2301" s="1">
        <v>44104</v>
      </c>
      <c r="F2301" s="2">
        <f t="shared" si="210"/>
        <v>2020</v>
      </c>
      <c r="G2301">
        <v>121</v>
      </c>
      <c r="H2301" s="3">
        <v>1133063</v>
      </c>
      <c r="I2301">
        <v>323333</v>
      </c>
      <c r="J2301">
        <v>1133063</v>
      </c>
      <c r="K2301">
        <v>1006859</v>
      </c>
      <c r="L2301">
        <v>997702</v>
      </c>
      <c r="M2301" t="str">
        <f t="shared" si="211"/>
        <v>Large</v>
      </c>
      <c r="N2301">
        <f>VLOOKUP(C2301,Lookup!$A$2:$D$5,MATCH(M2301,Lookup!$A$1:$D$1,0),FALSE)</f>
        <v>0.08</v>
      </c>
      <c r="O2301">
        <f t="shared" si="212"/>
        <v>79816.160000000003</v>
      </c>
      <c r="P2301" s="7">
        <f t="shared" si="213"/>
        <v>0.88861696128105849</v>
      </c>
      <c r="Q2301" s="7">
        <f t="shared" si="214"/>
        <v>9364.1570247933887</v>
      </c>
      <c r="R2301">
        <f t="shared" si="215"/>
        <v>4.0509716328122023</v>
      </c>
    </row>
    <row r="2302" spans="1:18" x14ac:dyDescent="0.25">
      <c r="A2302" t="s">
        <v>1305</v>
      </c>
      <c r="B2302" t="s">
        <v>274</v>
      </c>
      <c r="C2302" t="s">
        <v>5</v>
      </c>
      <c r="D2302">
        <v>93711</v>
      </c>
      <c r="E2302" s="1">
        <v>44469</v>
      </c>
      <c r="F2302" s="2">
        <f t="shared" si="210"/>
        <v>2021</v>
      </c>
      <c r="G2302">
        <v>115</v>
      </c>
      <c r="H2302" s="3">
        <v>1291469</v>
      </c>
      <c r="I2302">
        <v>259428</v>
      </c>
      <c r="J2302">
        <v>1291469</v>
      </c>
      <c r="K2302">
        <v>1163422</v>
      </c>
      <c r="L2302">
        <v>1153652</v>
      </c>
      <c r="M2302" t="str">
        <f t="shared" si="211"/>
        <v>Large</v>
      </c>
      <c r="N2302">
        <f>VLOOKUP(C2302,Lookup!$A$2:$D$5,MATCH(M2302,Lookup!$A$1:$D$1,0),FALSE)</f>
        <v>0.08</v>
      </c>
      <c r="O2302">
        <f t="shared" si="212"/>
        <v>92292.160000000003</v>
      </c>
      <c r="P2302" s="7">
        <f t="shared" si="213"/>
        <v>0.9008516658162139</v>
      </c>
      <c r="Q2302" s="7">
        <f t="shared" si="214"/>
        <v>11230.165217391304</v>
      </c>
      <c r="R2302">
        <f t="shared" si="215"/>
        <v>2.810942988006782</v>
      </c>
    </row>
    <row r="2303" spans="1:18" x14ac:dyDescent="0.25">
      <c r="A2303" t="s">
        <v>1306</v>
      </c>
      <c r="B2303" t="s">
        <v>1307</v>
      </c>
      <c r="C2303" t="s">
        <v>8</v>
      </c>
      <c r="D2303">
        <v>60463</v>
      </c>
      <c r="E2303" s="1">
        <v>43738</v>
      </c>
      <c r="F2303" s="2">
        <f t="shared" si="210"/>
        <v>2019</v>
      </c>
      <c r="G2303">
        <v>13</v>
      </c>
      <c r="H2303" s="3">
        <v>26262</v>
      </c>
      <c r="I2303">
        <v>4815</v>
      </c>
      <c r="J2303">
        <v>26262</v>
      </c>
      <c r="K2303">
        <v>23276</v>
      </c>
      <c r="L2303">
        <v>20225</v>
      </c>
      <c r="M2303" t="str">
        <f t="shared" si="211"/>
        <v>Small</v>
      </c>
      <c r="N2303">
        <f>VLOOKUP(C2303,Lookup!$A$2:$D$5,MATCH(M2303,Lookup!$A$1:$D$1,0),FALSE)</f>
        <v>0.09</v>
      </c>
      <c r="O2303">
        <f t="shared" si="212"/>
        <v>1820.25</v>
      </c>
      <c r="P2303" s="7">
        <f t="shared" si="213"/>
        <v>0.88629959637499045</v>
      </c>
      <c r="Q2303" s="7">
        <f t="shared" si="214"/>
        <v>2020.1538461538462</v>
      </c>
      <c r="R2303">
        <f t="shared" si="215"/>
        <v>2.6452410383189124</v>
      </c>
    </row>
    <row r="2304" spans="1:18" x14ac:dyDescent="0.25">
      <c r="A2304" t="s">
        <v>1306</v>
      </c>
      <c r="B2304" t="s">
        <v>1307</v>
      </c>
      <c r="C2304" t="s">
        <v>8</v>
      </c>
      <c r="D2304">
        <v>60463</v>
      </c>
      <c r="E2304" s="1">
        <v>44104</v>
      </c>
      <c r="F2304" s="2">
        <f t="shared" si="210"/>
        <v>2020</v>
      </c>
      <c r="G2304">
        <v>13</v>
      </c>
      <c r="H2304" s="3">
        <v>34162</v>
      </c>
      <c r="I2304">
        <v>10248</v>
      </c>
      <c r="J2304">
        <v>34162</v>
      </c>
      <c r="K2304">
        <v>32288</v>
      </c>
      <c r="L2304">
        <v>30512</v>
      </c>
      <c r="M2304" t="str">
        <f t="shared" si="211"/>
        <v>Small</v>
      </c>
      <c r="N2304">
        <f>VLOOKUP(C2304,Lookup!$A$2:$D$5,MATCH(M2304,Lookup!$A$1:$D$1,0),FALSE)</f>
        <v>0.09</v>
      </c>
      <c r="O2304">
        <f t="shared" si="212"/>
        <v>2746.08</v>
      </c>
      <c r="P2304" s="7">
        <f t="shared" si="213"/>
        <v>0.94514372694807092</v>
      </c>
      <c r="Q2304" s="7">
        <f t="shared" si="214"/>
        <v>2627.8461538461538</v>
      </c>
      <c r="R2304">
        <f t="shared" si="215"/>
        <v>3.7318650585561968</v>
      </c>
    </row>
    <row r="2305" spans="1:18" x14ac:dyDescent="0.25">
      <c r="A2305" t="s">
        <v>1306</v>
      </c>
      <c r="B2305" t="s">
        <v>1307</v>
      </c>
      <c r="C2305" t="s">
        <v>8</v>
      </c>
      <c r="D2305">
        <v>60463</v>
      </c>
      <c r="E2305" s="1">
        <v>44469</v>
      </c>
      <c r="F2305" s="2">
        <f t="shared" si="210"/>
        <v>2021</v>
      </c>
      <c r="G2305">
        <v>131</v>
      </c>
      <c r="H2305" s="3">
        <v>79722</v>
      </c>
      <c r="I2305">
        <v>30136</v>
      </c>
      <c r="J2305">
        <v>79722</v>
      </c>
      <c r="K2305">
        <v>72616</v>
      </c>
      <c r="L2305">
        <v>67568</v>
      </c>
      <c r="M2305" t="str">
        <f t="shared" si="211"/>
        <v>Small</v>
      </c>
      <c r="N2305">
        <f>VLOOKUP(C2305,Lookup!$A$2:$D$5,MATCH(M2305,Lookup!$A$1:$D$1,0),FALSE)</f>
        <v>0.09</v>
      </c>
      <c r="O2305">
        <f t="shared" si="212"/>
        <v>6081.12</v>
      </c>
      <c r="P2305" s="7">
        <f t="shared" si="213"/>
        <v>0.91086525676726626</v>
      </c>
      <c r="Q2305" s="7">
        <f t="shared" si="214"/>
        <v>608.56488549618325</v>
      </c>
      <c r="R2305">
        <f t="shared" si="215"/>
        <v>4.9556660615149841</v>
      </c>
    </row>
    <row r="2306" spans="1:18" x14ac:dyDescent="0.25">
      <c r="A2306" t="s">
        <v>1308</v>
      </c>
      <c r="B2306" t="s">
        <v>1309</v>
      </c>
      <c r="C2306" t="s">
        <v>5</v>
      </c>
      <c r="D2306">
        <v>91792</v>
      </c>
      <c r="E2306" s="1">
        <v>43738</v>
      </c>
      <c r="F2306" s="2">
        <f t="shared" ref="F2306:F2369" si="216">YEAR(E2306)</f>
        <v>2019</v>
      </c>
      <c r="G2306">
        <v>74</v>
      </c>
      <c r="H2306" s="3">
        <v>406499</v>
      </c>
      <c r="I2306">
        <v>48584</v>
      </c>
      <c r="J2306">
        <v>406499</v>
      </c>
      <c r="K2306">
        <v>348601</v>
      </c>
      <c r="L2306">
        <v>342826</v>
      </c>
      <c r="M2306" t="str">
        <f t="shared" ref="M2306:M2369" si="217">IF(H2306&gt;1000000,"Large",IF(H2306&lt;100000,"Small","Medium"))</f>
        <v>Medium</v>
      </c>
      <c r="N2306">
        <f>VLOOKUP(C2306,Lookup!$A$2:$D$5,MATCH(M2306,Lookup!$A$1:$D$1,0),FALSE)</f>
        <v>0.09</v>
      </c>
      <c r="O2306">
        <f t="shared" ref="O2306:O2369" si="218">L2306*N2306</f>
        <v>30854.34</v>
      </c>
      <c r="P2306" s="7">
        <f t="shared" ref="P2306:P2369" si="219">K2306/H2306</f>
        <v>0.8575691453115506</v>
      </c>
      <c r="Q2306" s="7">
        <f t="shared" ref="Q2306:Q2369" si="220">H2306/G2306</f>
        <v>5493.22972972973</v>
      </c>
      <c r="R2306">
        <f t="shared" ref="R2306:R2369" si="221">I2306/O2306</f>
        <v>1.5746245098744618</v>
      </c>
    </row>
    <row r="2307" spans="1:18" x14ac:dyDescent="0.25">
      <c r="A2307" t="s">
        <v>1308</v>
      </c>
      <c r="B2307" t="s">
        <v>1309</v>
      </c>
      <c r="C2307" t="s">
        <v>5</v>
      </c>
      <c r="D2307">
        <v>91792</v>
      </c>
      <c r="E2307" s="1">
        <v>44104</v>
      </c>
      <c r="F2307" s="2">
        <f t="shared" si="216"/>
        <v>2020</v>
      </c>
      <c r="G2307">
        <v>67</v>
      </c>
      <c r="H2307" s="3">
        <v>423819</v>
      </c>
      <c r="I2307">
        <v>73347</v>
      </c>
      <c r="J2307">
        <v>423819</v>
      </c>
      <c r="K2307">
        <v>363056</v>
      </c>
      <c r="L2307">
        <v>307711</v>
      </c>
      <c r="M2307" t="str">
        <f t="shared" si="217"/>
        <v>Medium</v>
      </c>
      <c r="N2307">
        <f>VLOOKUP(C2307,Lookup!$A$2:$D$5,MATCH(M2307,Lookup!$A$1:$D$1,0),FALSE)</f>
        <v>0.09</v>
      </c>
      <c r="O2307">
        <f t="shared" si="218"/>
        <v>27693.989999999998</v>
      </c>
      <c r="P2307" s="7">
        <f t="shared" si="219"/>
        <v>0.85662983490593858</v>
      </c>
      <c r="Q2307" s="7">
        <f t="shared" si="220"/>
        <v>6325.6567164179105</v>
      </c>
      <c r="R2307">
        <f t="shared" si="221"/>
        <v>2.6484807714598007</v>
      </c>
    </row>
    <row r="2308" spans="1:18" x14ac:dyDescent="0.25">
      <c r="A2308" t="s">
        <v>1308</v>
      </c>
      <c r="B2308" t="s">
        <v>1309</v>
      </c>
      <c r="C2308" t="s">
        <v>5</v>
      </c>
      <c r="D2308">
        <v>91792</v>
      </c>
      <c r="E2308" s="1">
        <v>44469</v>
      </c>
      <c r="F2308" s="2">
        <f t="shared" si="216"/>
        <v>2021</v>
      </c>
      <c r="G2308">
        <v>58</v>
      </c>
      <c r="H2308" s="3">
        <v>383865</v>
      </c>
      <c r="I2308">
        <v>64670</v>
      </c>
      <c r="J2308">
        <v>383865</v>
      </c>
      <c r="K2308">
        <v>321787</v>
      </c>
      <c r="L2308">
        <v>280256</v>
      </c>
      <c r="M2308" t="str">
        <f t="shared" si="217"/>
        <v>Medium</v>
      </c>
      <c r="N2308">
        <f>VLOOKUP(C2308,Lookup!$A$2:$D$5,MATCH(M2308,Lookup!$A$1:$D$1,0),FALSE)</f>
        <v>0.09</v>
      </c>
      <c r="O2308">
        <f t="shared" si="218"/>
        <v>25223.040000000001</v>
      </c>
      <c r="P2308" s="7">
        <f t="shared" si="219"/>
        <v>0.8382816875724538</v>
      </c>
      <c r="Q2308" s="7">
        <f t="shared" si="220"/>
        <v>6618.3620689655172</v>
      </c>
      <c r="R2308">
        <f t="shared" si="221"/>
        <v>2.563925680647535</v>
      </c>
    </row>
    <row r="2309" spans="1:18" x14ac:dyDescent="0.25">
      <c r="A2309" t="s">
        <v>1310</v>
      </c>
      <c r="B2309" t="s">
        <v>1311</v>
      </c>
      <c r="C2309" t="s">
        <v>5</v>
      </c>
      <c r="D2309">
        <v>92844</v>
      </c>
      <c r="E2309" s="1">
        <v>43738</v>
      </c>
      <c r="F2309" s="2">
        <f t="shared" si="216"/>
        <v>2019</v>
      </c>
      <c r="G2309">
        <v>80</v>
      </c>
      <c r="H2309" s="3">
        <v>507248</v>
      </c>
      <c r="I2309">
        <v>115398</v>
      </c>
      <c r="J2309">
        <v>507248</v>
      </c>
      <c r="K2309">
        <v>450738</v>
      </c>
      <c r="L2309">
        <v>442098</v>
      </c>
      <c r="M2309" t="str">
        <f t="shared" si="217"/>
        <v>Medium</v>
      </c>
      <c r="N2309">
        <f>VLOOKUP(C2309,Lookup!$A$2:$D$5,MATCH(M2309,Lookup!$A$1:$D$1,0),FALSE)</f>
        <v>0.09</v>
      </c>
      <c r="O2309">
        <f t="shared" si="218"/>
        <v>39788.82</v>
      </c>
      <c r="P2309" s="7">
        <f t="shared" si="219"/>
        <v>0.8885949279248021</v>
      </c>
      <c r="Q2309" s="7">
        <f t="shared" si="220"/>
        <v>6340.6</v>
      </c>
      <c r="R2309">
        <f t="shared" si="221"/>
        <v>2.9002619328746113</v>
      </c>
    </row>
    <row r="2310" spans="1:18" x14ac:dyDescent="0.25">
      <c r="A2310" t="s">
        <v>1310</v>
      </c>
      <c r="B2310" t="s">
        <v>1311</v>
      </c>
      <c r="C2310" t="s">
        <v>5</v>
      </c>
      <c r="D2310">
        <v>92844</v>
      </c>
      <c r="E2310" s="1">
        <v>44104</v>
      </c>
      <c r="F2310" s="2">
        <f t="shared" si="216"/>
        <v>2020</v>
      </c>
      <c r="G2310">
        <v>89</v>
      </c>
      <c r="H2310" s="3">
        <v>733656</v>
      </c>
      <c r="I2310">
        <v>140026</v>
      </c>
      <c r="J2310">
        <v>733656</v>
      </c>
      <c r="K2310">
        <v>662755</v>
      </c>
      <c r="L2310">
        <v>641813</v>
      </c>
      <c r="M2310" t="str">
        <f t="shared" si="217"/>
        <v>Medium</v>
      </c>
      <c r="N2310">
        <f>VLOOKUP(C2310,Lookup!$A$2:$D$5,MATCH(M2310,Lookup!$A$1:$D$1,0),FALSE)</f>
        <v>0.09</v>
      </c>
      <c r="O2310">
        <f t="shared" si="218"/>
        <v>57763.17</v>
      </c>
      <c r="P2310" s="7">
        <f t="shared" si="219"/>
        <v>0.90335934007218643</v>
      </c>
      <c r="Q2310" s="7">
        <f t="shared" si="220"/>
        <v>8243.3258426966295</v>
      </c>
      <c r="R2310">
        <f t="shared" si="221"/>
        <v>2.4241398108864178</v>
      </c>
    </row>
    <row r="2311" spans="1:18" x14ac:dyDescent="0.25">
      <c r="A2311" t="s">
        <v>1310</v>
      </c>
      <c r="B2311" t="s">
        <v>1311</v>
      </c>
      <c r="C2311" t="s">
        <v>5</v>
      </c>
      <c r="D2311">
        <v>92844</v>
      </c>
      <c r="E2311" s="1">
        <v>44469</v>
      </c>
      <c r="F2311" s="2">
        <f t="shared" si="216"/>
        <v>2021</v>
      </c>
      <c r="G2311">
        <v>101</v>
      </c>
      <c r="H2311" s="3">
        <v>991473</v>
      </c>
      <c r="I2311">
        <v>206585</v>
      </c>
      <c r="J2311">
        <v>991473</v>
      </c>
      <c r="K2311">
        <v>893830</v>
      </c>
      <c r="L2311">
        <v>886629</v>
      </c>
      <c r="M2311" t="str">
        <f t="shared" si="217"/>
        <v>Medium</v>
      </c>
      <c r="N2311">
        <f>VLOOKUP(C2311,Lookup!$A$2:$D$5,MATCH(M2311,Lookup!$A$1:$D$1,0),FALSE)</f>
        <v>0.09</v>
      </c>
      <c r="O2311">
        <f t="shared" si="218"/>
        <v>79796.61</v>
      </c>
      <c r="P2311" s="7">
        <f t="shared" si="219"/>
        <v>0.90151723748402635</v>
      </c>
      <c r="Q2311" s="7">
        <f t="shared" si="220"/>
        <v>9816.5643564356433</v>
      </c>
      <c r="R2311">
        <f t="shared" si="221"/>
        <v>2.5888944405031742</v>
      </c>
    </row>
    <row r="2312" spans="1:18" x14ac:dyDescent="0.25">
      <c r="A2312" t="s">
        <v>1312</v>
      </c>
      <c r="B2312" t="s">
        <v>1266</v>
      </c>
      <c r="C2312" t="s">
        <v>17</v>
      </c>
      <c r="D2312">
        <v>14456</v>
      </c>
      <c r="E2312" s="1">
        <v>43738</v>
      </c>
      <c r="F2312" s="2">
        <f t="shared" si="216"/>
        <v>2019</v>
      </c>
      <c r="G2312">
        <v>49</v>
      </c>
      <c r="H2312" s="3">
        <v>435907</v>
      </c>
      <c r="I2312">
        <v>25651</v>
      </c>
      <c r="J2312">
        <v>435907</v>
      </c>
      <c r="K2312">
        <v>390637</v>
      </c>
      <c r="L2312">
        <v>387097</v>
      </c>
      <c r="M2312" t="str">
        <f t="shared" si="217"/>
        <v>Medium</v>
      </c>
      <c r="N2312">
        <f>VLOOKUP(C2312,Lookup!$A$2:$D$5,MATCH(M2312,Lookup!$A$1:$D$1,0),FALSE)</f>
        <v>8.5000000000000006E-2</v>
      </c>
      <c r="O2312">
        <f t="shared" si="218"/>
        <v>32903.245000000003</v>
      </c>
      <c r="P2312" s="7">
        <f t="shared" si="219"/>
        <v>0.89614757276208001</v>
      </c>
      <c r="Q2312" s="7">
        <f t="shared" si="220"/>
        <v>8896.0612244897966</v>
      </c>
      <c r="R2312">
        <f t="shared" si="221"/>
        <v>0.77958876092616392</v>
      </c>
    </row>
    <row r="2313" spans="1:18" x14ac:dyDescent="0.25">
      <c r="A2313" t="s">
        <v>1313</v>
      </c>
      <c r="B2313" t="s">
        <v>831</v>
      </c>
      <c r="C2313" t="s">
        <v>5</v>
      </c>
      <c r="D2313">
        <v>93309</v>
      </c>
      <c r="E2313" s="1">
        <v>43738</v>
      </c>
      <c r="F2313" s="2">
        <f t="shared" si="216"/>
        <v>2019</v>
      </c>
      <c r="G2313">
        <v>106</v>
      </c>
      <c r="H2313" s="3">
        <v>915006</v>
      </c>
      <c r="I2313">
        <v>147275</v>
      </c>
      <c r="J2313">
        <v>915006</v>
      </c>
      <c r="K2313">
        <v>821768</v>
      </c>
      <c r="L2313">
        <v>808567</v>
      </c>
      <c r="M2313" t="str">
        <f t="shared" si="217"/>
        <v>Medium</v>
      </c>
      <c r="N2313">
        <f>VLOOKUP(C2313,Lookup!$A$2:$D$5,MATCH(M2313,Lookup!$A$1:$D$1,0),FALSE)</f>
        <v>0.09</v>
      </c>
      <c r="O2313">
        <f t="shared" si="218"/>
        <v>72771.03</v>
      </c>
      <c r="P2313" s="7">
        <f t="shared" si="219"/>
        <v>0.89810121463684389</v>
      </c>
      <c r="Q2313" s="7">
        <f t="shared" si="220"/>
        <v>8632.132075471698</v>
      </c>
      <c r="R2313">
        <f t="shared" si="221"/>
        <v>2.0238135972515439</v>
      </c>
    </row>
    <row r="2314" spans="1:18" x14ac:dyDescent="0.25">
      <c r="A2314" t="s">
        <v>1313</v>
      </c>
      <c r="B2314" t="s">
        <v>831</v>
      </c>
      <c r="C2314" t="s">
        <v>5</v>
      </c>
      <c r="D2314">
        <v>93309</v>
      </c>
      <c r="E2314" s="1">
        <v>44104</v>
      </c>
      <c r="F2314" s="2">
        <f t="shared" si="216"/>
        <v>2020</v>
      </c>
      <c r="G2314">
        <v>110</v>
      </c>
      <c r="H2314" s="3">
        <v>1193970</v>
      </c>
      <c r="I2314">
        <v>87548</v>
      </c>
      <c r="J2314">
        <v>1193970</v>
      </c>
      <c r="K2314">
        <v>1067626</v>
      </c>
      <c r="L2314">
        <v>1045141</v>
      </c>
      <c r="M2314" t="str">
        <f t="shared" si="217"/>
        <v>Large</v>
      </c>
      <c r="N2314">
        <f>VLOOKUP(C2314,Lookup!$A$2:$D$5,MATCH(M2314,Lookup!$A$1:$D$1,0),FALSE)</f>
        <v>0.08</v>
      </c>
      <c r="O2314">
        <f t="shared" si="218"/>
        <v>83611.28</v>
      </c>
      <c r="P2314" s="7">
        <f t="shared" si="219"/>
        <v>0.89418159585249213</v>
      </c>
      <c r="Q2314" s="7">
        <f t="shared" si="220"/>
        <v>10854.272727272728</v>
      </c>
      <c r="R2314">
        <f t="shared" si="221"/>
        <v>1.0470835992464176</v>
      </c>
    </row>
    <row r="2315" spans="1:18" x14ac:dyDescent="0.25">
      <c r="A2315" t="s">
        <v>1313</v>
      </c>
      <c r="B2315" t="s">
        <v>831</v>
      </c>
      <c r="C2315" t="s">
        <v>5</v>
      </c>
      <c r="D2315">
        <v>93309</v>
      </c>
      <c r="E2315" s="1">
        <v>44469</v>
      </c>
      <c r="F2315" s="2">
        <f t="shared" si="216"/>
        <v>2021</v>
      </c>
      <c r="G2315">
        <v>122</v>
      </c>
      <c r="H2315" s="3">
        <v>1410288</v>
      </c>
      <c r="I2315">
        <v>258658</v>
      </c>
      <c r="J2315">
        <v>1410288</v>
      </c>
      <c r="K2315">
        <v>1266787</v>
      </c>
      <c r="L2315">
        <v>1254908</v>
      </c>
      <c r="M2315" t="str">
        <f t="shared" si="217"/>
        <v>Large</v>
      </c>
      <c r="N2315">
        <f>VLOOKUP(C2315,Lookup!$A$2:$D$5,MATCH(M2315,Lookup!$A$1:$D$1,0),FALSE)</f>
        <v>0.08</v>
      </c>
      <c r="O2315">
        <f t="shared" si="218"/>
        <v>100392.64</v>
      </c>
      <c r="P2315" s="7">
        <f t="shared" si="219"/>
        <v>0.89824702472119167</v>
      </c>
      <c r="Q2315" s="7">
        <f t="shared" si="220"/>
        <v>11559.737704918032</v>
      </c>
      <c r="R2315">
        <f t="shared" si="221"/>
        <v>2.5764637726430943</v>
      </c>
    </row>
    <row r="2316" spans="1:18" x14ac:dyDescent="0.25">
      <c r="A2316" t="s">
        <v>1314</v>
      </c>
      <c r="B2316" t="s">
        <v>1315</v>
      </c>
      <c r="C2316" t="s">
        <v>8</v>
      </c>
      <c r="D2316">
        <v>60959</v>
      </c>
      <c r="E2316" s="1">
        <v>43738</v>
      </c>
      <c r="F2316" s="2">
        <f t="shared" si="216"/>
        <v>2019</v>
      </c>
      <c r="G2316">
        <v>21</v>
      </c>
      <c r="H2316" s="3">
        <v>130693</v>
      </c>
      <c r="I2316">
        <v>9219</v>
      </c>
      <c r="J2316">
        <v>130692</v>
      </c>
      <c r="K2316">
        <v>108459</v>
      </c>
      <c r="L2316">
        <v>108169</v>
      </c>
      <c r="M2316" t="str">
        <f t="shared" si="217"/>
        <v>Medium</v>
      </c>
      <c r="N2316">
        <f>VLOOKUP(C2316,Lookup!$A$2:$D$5,MATCH(M2316,Lookup!$A$1:$D$1,0),FALSE)</f>
        <v>0.08</v>
      </c>
      <c r="O2316">
        <f t="shared" si="218"/>
        <v>8653.52</v>
      </c>
      <c r="P2316" s="7">
        <f t="shared" si="219"/>
        <v>0.82987612190400406</v>
      </c>
      <c r="Q2316" s="7">
        <f t="shared" si="220"/>
        <v>6223.4761904761908</v>
      </c>
      <c r="R2316">
        <f t="shared" si="221"/>
        <v>1.0653468184045336</v>
      </c>
    </row>
    <row r="2317" spans="1:18" x14ac:dyDescent="0.25">
      <c r="A2317" t="s">
        <v>1314</v>
      </c>
      <c r="B2317" t="s">
        <v>1315</v>
      </c>
      <c r="C2317" t="s">
        <v>8</v>
      </c>
      <c r="D2317">
        <v>60959</v>
      </c>
      <c r="E2317" s="1">
        <v>44104</v>
      </c>
      <c r="F2317" s="2">
        <f t="shared" si="216"/>
        <v>2020</v>
      </c>
      <c r="G2317">
        <v>19</v>
      </c>
      <c r="H2317" s="3">
        <v>147105</v>
      </c>
      <c r="I2317">
        <v>6730</v>
      </c>
      <c r="J2317">
        <v>147106</v>
      </c>
      <c r="K2317">
        <v>122840</v>
      </c>
      <c r="L2317">
        <v>118558</v>
      </c>
      <c r="M2317" t="str">
        <f t="shared" si="217"/>
        <v>Medium</v>
      </c>
      <c r="N2317">
        <f>VLOOKUP(C2317,Lookup!$A$2:$D$5,MATCH(M2317,Lookup!$A$1:$D$1,0),FALSE)</f>
        <v>0.08</v>
      </c>
      <c r="O2317">
        <f t="shared" si="218"/>
        <v>9484.64</v>
      </c>
      <c r="P2317" s="7">
        <f t="shared" si="219"/>
        <v>0.8350497943645695</v>
      </c>
      <c r="Q2317" s="7">
        <f t="shared" si="220"/>
        <v>7742.3684210526317</v>
      </c>
      <c r="R2317">
        <f t="shared" si="221"/>
        <v>0.70956831255587982</v>
      </c>
    </row>
    <row r="2318" spans="1:18" x14ac:dyDescent="0.25">
      <c r="A2318" t="s">
        <v>1314</v>
      </c>
      <c r="B2318" t="s">
        <v>1315</v>
      </c>
      <c r="C2318" t="s">
        <v>8</v>
      </c>
      <c r="D2318">
        <v>60959</v>
      </c>
      <c r="E2318" s="1">
        <v>44469</v>
      </c>
      <c r="F2318" s="2">
        <f t="shared" si="216"/>
        <v>2021</v>
      </c>
      <c r="G2318">
        <v>19</v>
      </c>
      <c r="H2318" s="3">
        <v>163730</v>
      </c>
      <c r="I2318">
        <v>4692</v>
      </c>
      <c r="J2318">
        <v>163730</v>
      </c>
      <c r="K2318">
        <v>138222</v>
      </c>
      <c r="L2318">
        <v>133218</v>
      </c>
      <c r="M2318" t="str">
        <f t="shared" si="217"/>
        <v>Medium</v>
      </c>
      <c r="N2318">
        <f>VLOOKUP(C2318,Lookup!$A$2:$D$5,MATCH(M2318,Lookup!$A$1:$D$1,0),FALSE)</f>
        <v>0.08</v>
      </c>
      <c r="O2318">
        <f t="shared" si="218"/>
        <v>10657.44</v>
      </c>
      <c r="P2318" s="7">
        <f t="shared" si="219"/>
        <v>0.84420692603676784</v>
      </c>
      <c r="Q2318" s="7">
        <f t="shared" si="220"/>
        <v>8617.3684210526317</v>
      </c>
      <c r="R2318">
        <f t="shared" si="221"/>
        <v>0.44025582128541185</v>
      </c>
    </row>
    <row r="2319" spans="1:18" x14ac:dyDescent="0.25">
      <c r="A2319" t="s">
        <v>1316</v>
      </c>
      <c r="B2319" t="s">
        <v>1317</v>
      </c>
      <c r="C2319" t="s">
        <v>8</v>
      </c>
      <c r="D2319">
        <v>61484</v>
      </c>
      <c r="E2319" s="1">
        <v>43738</v>
      </c>
      <c r="F2319" s="2">
        <f t="shared" si="216"/>
        <v>2019</v>
      </c>
      <c r="G2319">
        <v>10</v>
      </c>
      <c r="H2319" s="3">
        <v>29932</v>
      </c>
      <c r="I2319">
        <v>2147</v>
      </c>
      <c r="J2319">
        <v>29932</v>
      </c>
      <c r="K2319">
        <v>25849</v>
      </c>
      <c r="L2319">
        <v>25725</v>
      </c>
      <c r="M2319" t="str">
        <f t="shared" si="217"/>
        <v>Small</v>
      </c>
      <c r="N2319">
        <f>VLOOKUP(C2319,Lookup!$A$2:$D$5,MATCH(M2319,Lookup!$A$1:$D$1,0),FALSE)</f>
        <v>0.09</v>
      </c>
      <c r="O2319">
        <f t="shared" si="218"/>
        <v>2315.25</v>
      </c>
      <c r="P2319" s="7">
        <f t="shared" si="219"/>
        <v>0.86359080582654013</v>
      </c>
      <c r="Q2319" s="7">
        <f t="shared" si="220"/>
        <v>2993.2</v>
      </c>
      <c r="R2319">
        <f t="shared" si="221"/>
        <v>0.92732966202353961</v>
      </c>
    </row>
    <row r="2320" spans="1:18" x14ac:dyDescent="0.25">
      <c r="A2320" t="s">
        <v>1316</v>
      </c>
      <c r="B2320" t="s">
        <v>1317</v>
      </c>
      <c r="C2320" t="s">
        <v>8</v>
      </c>
      <c r="D2320">
        <v>61484</v>
      </c>
      <c r="E2320" s="1">
        <v>44104</v>
      </c>
      <c r="F2320" s="2">
        <f t="shared" si="216"/>
        <v>2020</v>
      </c>
      <c r="G2320">
        <v>7</v>
      </c>
      <c r="H2320" s="3">
        <v>29537</v>
      </c>
      <c r="I2320">
        <v>2889</v>
      </c>
      <c r="J2320">
        <v>29537</v>
      </c>
      <c r="K2320">
        <v>25624</v>
      </c>
      <c r="L2320">
        <v>25496</v>
      </c>
      <c r="M2320" t="str">
        <f t="shared" si="217"/>
        <v>Small</v>
      </c>
      <c r="N2320">
        <f>VLOOKUP(C2320,Lookup!$A$2:$D$5,MATCH(M2320,Lookup!$A$1:$D$1,0),FALSE)</f>
        <v>0.09</v>
      </c>
      <c r="O2320">
        <f t="shared" si="218"/>
        <v>2294.64</v>
      </c>
      <c r="P2320" s="7">
        <f t="shared" si="219"/>
        <v>0.86752209093679111</v>
      </c>
      <c r="Q2320" s="7">
        <f t="shared" si="220"/>
        <v>4219.5714285714284</v>
      </c>
      <c r="R2320">
        <f t="shared" si="221"/>
        <v>1.2590210229055538</v>
      </c>
    </row>
    <row r="2321" spans="1:18" x14ac:dyDescent="0.25">
      <c r="A2321" t="s">
        <v>1316</v>
      </c>
      <c r="B2321" t="s">
        <v>1317</v>
      </c>
      <c r="C2321" t="s">
        <v>8</v>
      </c>
      <c r="D2321">
        <v>61484</v>
      </c>
      <c r="E2321" s="1">
        <v>44469</v>
      </c>
      <c r="F2321" s="2">
        <f t="shared" si="216"/>
        <v>2021</v>
      </c>
      <c r="G2321">
        <v>9</v>
      </c>
      <c r="H2321" s="3">
        <v>28022</v>
      </c>
      <c r="I2321">
        <v>3151</v>
      </c>
      <c r="J2321">
        <v>28022</v>
      </c>
      <c r="K2321">
        <v>24546</v>
      </c>
      <c r="L2321">
        <v>24436</v>
      </c>
      <c r="M2321" t="str">
        <f t="shared" si="217"/>
        <v>Small</v>
      </c>
      <c r="N2321">
        <f>VLOOKUP(C2321,Lookup!$A$2:$D$5,MATCH(M2321,Lookup!$A$1:$D$1,0),FALSE)</f>
        <v>0.09</v>
      </c>
      <c r="O2321">
        <f t="shared" si="218"/>
        <v>2199.2399999999998</v>
      </c>
      <c r="P2321" s="7">
        <f t="shared" si="219"/>
        <v>0.87595460709442585</v>
      </c>
      <c r="Q2321" s="7">
        <f t="shared" si="220"/>
        <v>3113.5555555555557</v>
      </c>
      <c r="R2321">
        <f t="shared" si="221"/>
        <v>1.4327676833815319</v>
      </c>
    </row>
    <row r="2322" spans="1:18" x14ac:dyDescent="0.25">
      <c r="A2322" t="s">
        <v>1318</v>
      </c>
      <c r="B2322" t="s">
        <v>898</v>
      </c>
      <c r="C2322" t="s">
        <v>17</v>
      </c>
      <c r="D2322">
        <v>10308</v>
      </c>
      <c r="E2322" s="1">
        <v>43738</v>
      </c>
      <c r="F2322" s="2">
        <f t="shared" si="216"/>
        <v>2019</v>
      </c>
      <c r="G2322">
        <v>62</v>
      </c>
      <c r="H2322" s="3">
        <v>378014</v>
      </c>
      <c r="I2322">
        <v>40759</v>
      </c>
      <c r="J2322">
        <v>378014</v>
      </c>
      <c r="K2322">
        <v>340922</v>
      </c>
      <c r="L2322">
        <v>328554</v>
      </c>
      <c r="M2322" t="str">
        <f t="shared" si="217"/>
        <v>Medium</v>
      </c>
      <c r="N2322">
        <f>VLOOKUP(C2322,Lookup!$A$2:$D$5,MATCH(M2322,Lookup!$A$1:$D$1,0),FALSE)</f>
        <v>8.5000000000000006E-2</v>
      </c>
      <c r="O2322">
        <f t="shared" si="218"/>
        <v>27927.090000000004</v>
      </c>
      <c r="P2322" s="7">
        <f t="shared" si="219"/>
        <v>0.90187665007116136</v>
      </c>
      <c r="Q2322" s="7">
        <f t="shared" si="220"/>
        <v>6097</v>
      </c>
      <c r="R2322">
        <f t="shared" si="221"/>
        <v>1.45947895036683</v>
      </c>
    </row>
    <row r="2323" spans="1:18" x14ac:dyDescent="0.25">
      <c r="A2323" t="s">
        <v>1319</v>
      </c>
      <c r="B2323" t="s">
        <v>1320</v>
      </c>
      <c r="C2323" t="s">
        <v>8</v>
      </c>
      <c r="D2323">
        <v>61956</v>
      </c>
      <c r="E2323" s="1">
        <v>43738</v>
      </c>
      <c r="F2323" s="2">
        <f t="shared" si="216"/>
        <v>2019</v>
      </c>
      <c r="G2323">
        <v>18</v>
      </c>
      <c r="H2323" s="3">
        <v>72229</v>
      </c>
      <c r="I2323">
        <v>9276</v>
      </c>
      <c r="J2323">
        <v>72230</v>
      </c>
      <c r="K2323">
        <v>63594</v>
      </c>
      <c r="L2323">
        <v>63063</v>
      </c>
      <c r="M2323" t="str">
        <f t="shared" si="217"/>
        <v>Small</v>
      </c>
      <c r="N2323">
        <f>VLOOKUP(C2323,Lookup!$A$2:$D$5,MATCH(M2323,Lookup!$A$1:$D$1,0),FALSE)</f>
        <v>0.09</v>
      </c>
      <c r="O2323">
        <f t="shared" si="218"/>
        <v>5675.67</v>
      </c>
      <c r="P2323" s="7">
        <f t="shared" si="219"/>
        <v>0.88044968087610243</v>
      </c>
      <c r="Q2323" s="7">
        <f t="shared" si="220"/>
        <v>4012.7222222222222</v>
      </c>
      <c r="R2323">
        <f t="shared" si="221"/>
        <v>1.6343444914873486</v>
      </c>
    </row>
    <row r="2324" spans="1:18" x14ac:dyDescent="0.25">
      <c r="A2324" t="s">
        <v>1319</v>
      </c>
      <c r="B2324" t="s">
        <v>1320</v>
      </c>
      <c r="C2324" t="s">
        <v>8</v>
      </c>
      <c r="D2324">
        <v>61956</v>
      </c>
      <c r="E2324" s="1">
        <v>44104</v>
      </c>
      <c r="F2324" s="2">
        <f t="shared" si="216"/>
        <v>2020</v>
      </c>
      <c r="G2324">
        <v>18</v>
      </c>
      <c r="H2324" s="3">
        <v>73805</v>
      </c>
      <c r="I2324">
        <v>14649</v>
      </c>
      <c r="J2324">
        <v>73805</v>
      </c>
      <c r="K2324">
        <v>64967</v>
      </c>
      <c r="L2324">
        <v>64401</v>
      </c>
      <c r="M2324" t="str">
        <f t="shared" si="217"/>
        <v>Small</v>
      </c>
      <c r="N2324">
        <f>VLOOKUP(C2324,Lookup!$A$2:$D$5,MATCH(M2324,Lookup!$A$1:$D$1,0),FALSE)</f>
        <v>0.09</v>
      </c>
      <c r="O2324">
        <f t="shared" si="218"/>
        <v>5796.09</v>
      </c>
      <c r="P2324" s="7">
        <f t="shared" si="219"/>
        <v>0.88025201544610798</v>
      </c>
      <c r="Q2324" s="7">
        <f t="shared" si="220"/>
        <v>4100.2777777777774</v>
      </c>
      <c r="R2324">
        <f t="shared" si="221"/>
        <v>2.5273934669751505</v>
      </c>
    </row>
    <row r="2325" spans="1:18" x14ac:dyDescent="0.25">
      <c r="A2325" t="s">
        <v>1319</v>
      </c>
      <c r="B2325" t="s">
        <v>1320</v>
      </c>
      <c r="C2325" t="s">
        <v>8</v>
      </c>
      <c r="D2325">
        <v>61956</v>
      </c>
      <c r="E2325" s="1">
        <v>44469</v>
      </c>
      <c r="F2325" s="2">
        <f t="shared" si="216"/>
        <v>2021</v>
      </c>
      <c r="G2325">
        <v>18</v>
      </c>
      <c r="H2325" s="3">
        <v>79022</v>
      </c>
      <c r="I2325">
        <v>15166</v>
      </c>
      <c r="J2325">
        <v>79022</v>
      </c>
      <c r="K2325">
        <v>69963</v>
      </c>
      <c r="L2325">
        <v>69119</v>
      </c>
      <c r="M2325" t="str">
        <f t="shared" si="217"/>
        <v>Small</v>
      </c>
      <c r="N2325">
        <f>VLOOKUP(C2325,Lookup!$A$2:$D$5,MATCH(M2325,Lookup!$A$1:$D$1,0),FALSE)</f>
        <v>0.09</v>
      </c>
      <c r="O2325">
        <f t="shared" si="218"/>
        <v>6220.71</v>
      </c>
      <c r="P2325" s="7">
        <f t="shared" si="219"/>
        <v>0.88536103869808402</v>
      </c>
      <c r="Q2325" s="7">
        <f t="shared" si="220"/>
        <v>4390.1111111111113</v>
      </c>
      <c r="R2325">
        <f t="shared" si="221"/>
        <v>2.4379853746598057</v>
      </c>
    </row>
    <row r="2326" spans="1:18" x14ac:dyDescent="0.25">
      <c r="A2326" t="s">
        <v>1321</v>
      </c>
      <c r="B2326" t="s">
        <v>183</v>
      </c>
      <c r="C2326" t="s">
        <v>8</v>
      </c>
      <c r="D2326">
        <v>60004</v>
      </c>
      <c r="E2326" s="1">
        <v>43738</v>
      </c>
      <c r="F2326" s="2">
        <f t="shared" si="216"/>
        <v>2019</v>
      </c>
      <c r="G2326">
        <v>106</v>
      </c>
      <c r="H2326" s="3">
        <v>1754822</v>
      </c>
      <c r="I2326">
        <v>153020</v>
      </c>
      <c r="J2326">
        <v>1754822</v>
      </c>
      <c r="K2326">
        <v>1565867</v>
      </c>
      <c r="L2326">
        <v>1516081</v>
      </c>
      <c r="M2326" t="str">
        <f t="shared" si="217"/>
        <v>Large</v>
      </c>
      <c r="N2326">
        <f>VLOOKUP(C2326,Lookup!$A$2:$D$5,MATCH(M2326,Lookup!$A$1:$D$1,0),FALSE)</f>
        <v>7.4999999999999997E-2</v>
      </c>
      <c r="O2326">
        <f t="shared" si="218"/>
        <v>113706.075</v>
      </c>
      <c r="P2326" s="7">
        <f t="shared" si="219"/>
        <v>0.89232241218767483</v>
      </c>
      <c r="Q2326" s="7">
        <f t="shared" si="220"/>
        <v>16554.924528301886</v>
      </c>
      <c r="R2326">
        <f t="shared" si="221"/>
        <v>1.3457504359375698</v>
      </c>
    </row>
    <row r="2327" spans="1:18" x14ac:dyDescent="0.25">
      <c r="A2327" t="s">
        <v>1383</v>
      </c>
      <c r="B2327" t="s">
        <v>183</v>
      </c>
      <c r="C2327" t="s">
        <v>8</v>
      </c>
      <c r="D2327">
        <v>60004</v>
      </c>
      <c r="E2327" s="1">
        <v>44104</v>
      </c>
      <c r="F2327" s="2">
        <f t="shared" si="216"/>
        <v>2020</v>
      </c>
      <c r="G2327">
        <v>104</v>
      </c>
      <c r="H2327" s="3">
        <v>2087003</v>
      </c>
      <c r="I2327">
        <v>88250</v>
      </c>
      <c r="J2327">
        <v>2087003</v>
      </c>
      <c r="K2327">
        <v>1882377</v>
      </c>
      <c r="L2327">
        <v>1776416</v>
      </c>
      <c r="M2327" t="str">
        <f t="shared" si="217"/>
        <v>Large</v>
      </c>
      <c r="N2327">
        <f>VLOOKUP(C2327,Lookup!$A$2:$D$5,MATCH(M2327,Lookup!$A$1:$D$1,0),FALSE)</f>
        <v>7.4999999999999997E-2</v>
      </c>
      <c r="O2327">
        <f t="shared" si="218"/>
        <v>133231.19999999998</v>
      </c>
      <c r="P2327" s="7">
        <f t="shared" si="219"/>
        <v>0.90195222527231633</v>
      </c>
      <c r="Q2327" s="7">
        <f t="shared" si="220"/>
        <v>20067.336538461539</v>
      </c>
      <c r="R2327">
        <f t="shared" si="221"/>
        <v>0.66238238490683876</v>
      </c>
    </row>
    <row r="2328" spans="1:18" x14ac:dyDescent="0.25">
      <c r="A2328" t="s">
        <v>1383</v>
      </c>
      <c r="B2328" t="s">
        <v>183</v>
      </c>
      <c r="C2328" t="s">
        <v>8</v>
      </c>
      <c r="D2328">
        <v>60004</v>
      </c>
      <c r="E2328" s="1">
        <v>44469</v>
      </c>
      <c r="F2328" s="2">
        <f t="shared" si="216"/>
        <v>2021</v>
      </c>
      <c r="G2328">
        <v>89</v>
      </c>
      <c r="H2328" s="3">
        <v>2279843</v>
      </c>
      <c r="I2328">
        <v>279061</v>
      </c>
      <c r="J2328">
        <v>2279843</v>
      </c>
      <c r="K2328">
        <v>2046818</v>
      </c>
      <c r="L2328">
        <v>1949434</v>
      </c>
      <c r="M2328" t="str">
        <f t="shared" si="217"/>
        <v>Large</v>
      </c>
      <c r="N2328">
        <f>VLOOKUP(C2328,Lookup!$A$2:$D$5,MATCH(M2328,Lookup!$A$1:$D$1,0),FALSE)</f>
        <v>7.4999999999999997E-2</v>
      </c>
      <c r="O2328">
        <f t="shared" si="218"/>
        <v>146207.54999999999</v>
      </c>
      <c r="P2328" s="7">
        <f t="shared" si="219"/>
        <v>0.8977890144189753</v>
      </c>
      <c r="Q2328" s="7">
        <f t="shared" si="220"/>
        <v>25616.213483146068</v>
      </c>
      <c r="R2328">
        <f t="shared" si="221"/>
        <v>1.9086634034972887</v>
      </c>
    </row>
    <row r="2329" spans="1:18" x14ac:dyDescent="0.25">
      <c r="A2329" t="s">
        <v>1322</v>
      </c>
      <c r="B2329" t="s">
        <v>1323</v>
      </c>
      <c r="C2329" t="s">
        <v>8</v>
      </c>
      <c r="D2329">
        <v>62863</v>
      </c>
      <c r="E2329" s="1">
        <v>43738</v>
      </c>
      <c r="F2329" s="2">
        <f t="shared" si="216"/>
        <v>2019</v>
      </c>
      <c r="G2329">
        <v>3</v>
      </c>
      <c r="H2329" s="3">
        <v>9072</v>
      </c>
      <c r="I2329">
        <v>3964</v>
      </c>
      <c r="J2329">
        <v>9072</v>
      </c>
      <c r="K2329">
        <v>7910</v>
      </c>
      <c r="L2329">
        <v>7870</v>
      </c>
      <c r="M2329" t="str">
        <f t="shared" si="217"/>
        <v>Small</v>
      </c>
      <c r="N2329">
        <f>VLOOKUP(C2329,Lookup!$A$2:$D$5,MATCH(M2329,Lookup!$A$1:$D$1,0),FALSE)</f>
        <v>0.09</v>
      </c>
      <c r="O2329">
        <f t="shared" si="218"/>
        <v>708.3</v>
      </c>
      <c r="P2329" s="7">
        <f t="shared" si="219"/>
        <v>0.87191358024691357</v>
      </c>
      <c r="Q2329" s="7">
        <f t="shared" si="220"/>
        <v>3024</v>
      </c>
      <c r="R2329">
        <f t="shared" si="221"/>
        <v>5.5964986587604129</v>
      </c>
    </row>
    <row r="2330" spans="1:18" x14ac:dyDescent="0.25">
      <c r="A2330" t="s">
        <v>1322</v>
      </c>
      <c r="B2330" t="s">
        <v>1323</v>
      </c>
      <c r="C2330" t="s">
        <v>8</v>
      </c>
      <c r="D2330">
        <v>62863</v>
      </c>
      <c r="E2330" s="1">
        <v>44104</v>
      </c>
      <c r="F2330" s="2">
        <f t="shared" si="216"/>
        <v>2020</v>
      </c>
      <c r="G2330">
        <v>3</v>
      </c>
      <c r="H2330" s="3">
        <v>9267</v>
      </c>
      <c r="I2330">
        <v>4463</v>
      </c>
      <c r="J2330">
        <v>9267</v>
      </c>
      <c r="K2330">
        <v>8200</v>
      </c>
      <c r="L2330">
        <v>8147</v>
      </c>
      <c r="M2330" t="str">
        <f t="shared" si="217"/>
        <v>Small</v>
      </c>
      <c r="N2330">
        <f>VLOOKUP(C2330,Lookup!$A$2:$D$5,MATCH(M2330,Lookup!$A$1:$D$1,0),FALSE)</f>
        <v>0.09</v>
      </c>
      <c r="O2330">
        <f t="shared" si="218"/>
        <v>733.23</v>
      </c>
      <c r="P2330" s="7">
        <f t="shared" si="219"/>
        <v>0.88486025682529401</v>
      </c>
      <c r="Q2330" s="7">
        <f t="shared" si="220"/>
        <v>3089</v>
      </c>
      <c r="R2330">
        <f t="shared" si="221"/>
        <v>6.0867667716814644</v>
      </c>
    </row>
    <row r="2331" spans="1:18" x14ac:dyDescent="0.25">
      <c r="A2331" t="s">
        <v>1322</v>
      </c>
      <c r="B2331" t="s">
        <v>1323</v>
      </c>
      <c r="C2331" t="s">
        <v>8</v>
      </c>
      <c r="D2331">
        <v>62863</v>
      </c>
      <c r="E2331" s="1">
        <v>44469</v>
      </c>
      <c r="F2331" s="2">
        <f t="shared" si="216"/>
        <v>2021</v>
      </c>
      <c r="G2331">
        <v>2</v>
      </c>
      <c r="H2331" s="3">
        <v>10168</v>
      </c>
      <c r="I2331">
        <v>5266</v>
      </c>
      <c r="J2331">
        <v>10168</v>
      </c>
      <c r="K2331">
        <v>9210</v>
      </c>
      <c r="L2331">
        <v>9158</v>
      </c>
      <c r="M2331" t="str">
        <f t="shared" si="217"/>
        <v>Small</v>
      </c>
      <c r="N2331">
        <f>VLOOKUP(C2331,Lookup!$A$2:$D$5,MATCH(M2331,Lookup!$A$1:$D$1,0),FALSE)</f>
        <v>0.09</v>
      </c>
      <c r="O2331">
        <f t="shared" si="218"/>
        <v>824.21999999999991</v>
      </c>
      <c r="P2331" s="7">
        <f t="shared" si="219"/>
        <v>0.90578284815106214</v>
      </c>
      <c r="Q2331" s="7">
        <f t="shared" si="220"/>
        <v>5084</v>
      </c>
      <c r="R2331">
        <f t="shared" si="221"/>
        <v>6.3890708791342128</v>
      </c>
    </row>
    <row r="2332" spans="1:18" x14ac:dyDescent="0.25">
      <c r="A2332" t="s">
        <v>1324</v>
      </c>
      <c r="B2332" t="s">
        <v>1264</v>
      </c>
      <c r="C2332" t="s">
        <v>20</v>
      </c>
      <c r="D2332">
        <v>1880</v>
      </c>
      <c r="E2332" s="1">
        <v>43738</v>
      </c>
      <c r="F2332" s="2">
        <f t="shared" si="216"/>
        <v>2019</v>
      </c>
      <c r="G2332">
        <v>39</v>
      </c>
      <c r="H2332" s="3">
        <v>249145</v>
      </c>
      <c r="I2332">
        <v>4196</v>
      </c>
      <c r="J2332">
        <v>249145</v>
      </c>
      <c r="K2332">
        <v>230086</v>
      </c>
      <c r="L2332">
        <v>213829</v>
      </c>
      <c r="M2332" t="str">
        <f t="shared" si="217"/>
        <v>Medium</v>
      </c>
      <c r="N2332">
        <f>VLOOKUP(C2332,Lookup!$A$2:$D$5,MATCH(M2332,Lookup!$A$1:$D$1,0),FALSE)</f>
        <v>8.5000000000000006E-2</v>
      </c>
      <c r="O2332">
        <f t="shared" si="218"/>
        <v>18175.465</v>
      </c>
      <c r="P2332" s="7">
        <f t="shared" si="219"/>
        <v>0.92350237813321556</v>
      </c>
      <c r="Q2332" s="7">
        <f t="shared" si="220"/>
        <v>6388.333333333333</v>
      </c>
      <c r="R2332">
        <f t="shared" si="221"/>
        <v>0.23086066848908679</v>
      </c>
    </row>
    <row r="2333" spans="1:18" x14ac:dyDescent="0.25">
      <c r="A2333" t="s">
        <v>1324</v>
      </c>
      <c r="B2333" t="s">
        <v>1264</v>
      </c>
      <c r="C2333" t="s">
        <v>20</v>
      </c>
      <c r="D2333">
        <v>1880</v>
      </c>
      <c r="E2333" s="1">
        <v>44104</v>
      </c>
      <c r="F2333" s="2">
        <f t="shared" si="216"/>
        <v>2020</v>
      </c>
      <c r="G2333">
        <v>39</v>
      </c>
      <c r="H2333" s="3">
        <v>276088</v>
      </c>
      <c r="I2333">
        <v>20748</v>
      </c>
      <c r="J2333">
        <v>276088</v>
      </c>
      <c r="K2333">
        <v>255017</v>
      </c>
      <c r="L2333">
        <v>244284</v>
      </c>
      <c r="M2333" t="str">
        <f t="shared" si="217"/>
        <v>Medium</v>
      </c>
      <c r="N2333">
        <f>VLOOKUP(C2333,Lookup!$A$2:$D$5,MATCH(M2333,Lookup!$A$1:$D$1,0),FALSE)</f>
        <v>8.5000000000000006E-2</v>
      </c>
      <c r="O2333">
        <f t="shared" si="218"/>
        <v>20764.140000000003</v>
      </c>
      <c r="P2333" s="7">
        <f t="shared" si="219"/>
        <v>0.92368013097273338</v>
      </c>
      <c r="Q2333" s="7">
        <f t="shared" si="220"/>
        <v>7079.1794871794873</v>
      </c>
      <c r="R2333">
        <f t="shared" si="221"/>
        <v>0.99922269836362099</v>
      </c>
    </row>
    <row r="2334" spans="1:18" x14ac:dyDescent="0.25">
      <c r="A2334" t="s">
        <v>1324</v>
      </c>
      <c r="B2334" t="s">
        <v>1264</v>
      </c>
      <c r="C2334" t="s">
        <v>20</v>
      </c>
      <c r="D2334">
        <v>1880</v>
      </c>
      <c r="E2334" s="1">
        <v>44469</v>
      </c>
      <c r="F2334" s="2">
        <f t="shared" si="216"/>
        <v>2021</v>
      </c>
      <c r="G2334">
        <v>42</v>
      </c>
      <c r="H2334" s="3">
        <v>263738</v>
      </c>
      <c r="I2334">
        <v>18742</v>
      </c>
      <c r="J2334">
        <v>263738</v>
      </c>
      <c r="K2334">
        <v>241440</v>
      </c>
      <c r="L2334">
        <v>240850</v>
      </c>
      <c r="M2334" t="str">
        <f t="shared" si="217"/>
        <v>Medium</v>
      </c>
      <c r="N2334">
        <f>VLOOKUP(C2334,Lookup!$A$2:$D$5,MATCH(M2334,Lookup!$A$1:$D$1,0),FALSE)</f>
        <v>8.5000000000000006E-2</v>
      </c>
      <c r="O2334">
        <f t="shared" si="218"/>
        <v>20472.25</v>
      </c>
      <c r="P2334" s="7">
        <f t="shared" si="219"/>
        <v>0.9154539732613427</v>
      </c>
      <c r="Q2334" s="7">
        <f t="shared" si="220"/>
        <v>6279.4761904761908</v>
      </c>
      <c r="R2334">
        <f t="shared" si="221"/>
        <v>0.91548315402557123</v>
      </c>
    </row>
    <row r="2335" spans="1:18" x14ac:dyDescent="0.25">
      <c r="A2335" t="s">
        <v>1325</v>
      </c>
      <c r="B2335" t="s">
        <v>135</v>
      </c>
      <c r="C2335" t="s">
        <v>17</v>
      </c>
      <c r="D2335">
        <v>12549</v>
      </c>
      <c r="E2335" s="1">
        <v>43738</v>
      </c>
      <c r="F2335" s="2">
        <f t="shared" si="216"/>
        <v>2019</v>
      </c>
      <c r="G2335">
        <v>145</v>
      </c>
      <c r="H2335" s="3">
        <v>603357</v>
      </c>
      <c r="I2335">
        <v>39339</v>
      </c>
      <c r="J2335">
        <v>603357</v>
      </c>
      <c r="K2335">
        <v>543864</v>
      </c>
      <c r="L2335">
        <v>537564</v>
      </c>
      <c r="M2335" t="str">
        <f t="shared" si="217"/>
        <v>Medium</v>
      </c>
      <c r="N2335">
        <f>VLOOKUP(C2335,Lookup!$A$2:$D$5,MATCH(M2335,Lookup!$A$1:$D$1,0),FALSE)</f>
        <v>8.5000000000000006E-2</v>
      </c>
      <c r="O2335">
        <f t="shared" si="218"/>
        <v>45692.94</v>
      </c>
      <c r="P2335" s="7">
        <f t="shared" si="219"/>
        <v>0.90139668554437924</v>
      </c>
      <c r="Q2335" s="7">
        <f t="shared" si="220"/>
        <v>4161.0827586206897</v>
      </c>
      <c r="R2335">
        <f t="shared" si="221"/>
        <v>0.86094263139994931</v>
      </c>
    </row>
    <row r="2336" spans="1:18" x14ac:dyDescent="0.25">
      <c r="A2336" t="s">
        <v>1325</v>
      </c>
      <c r="B2336" t="s">
        <v>135</v>
      </c>
      <c r="C2336" t="s">
        <v>17</v>
      </c>
      <c r="D2336">
        <v>12549</v>
      </c>
      <c r="E2336" s="1">
        <v>44104</v>
      </c>
      <c r="F2336" s="2">
        <f t="shared" si="216"/>
        <v>2020</v>
      </c>
      <c r="G2336">
        <v>137</v>
      </c>
      <c r="H2336" s="3">
        <v>715447</v>
      </c>
      <c r="I2336">
        <v>85506</v>
      </c>
      <c r="J2336">
        <v>715447</v>
      </c>
      <c r="K2336">
        <v>650710</v>
      </c>
      <c r="L2336">
        <v>643599</v>
      </c>
      <c r="M2336" t="str">
        <f t="shared" si="217"/>
        <v>Medium</v>
      </c>
      <c r="N2336">
        <f>VLOOKUP(C2336,Lookup!$A$2:$D$5,MATCH(M2336,Lookup!$A$1:$D$1,0),FALSE)</f>
        <v>8.5000000000000006E-2</v>
      </c>
      <c r="O2336">
        <f t="shared" si="218"/>
        <v>54705.915000000001</v>
      </c>
      <c r="P2336" s="7">
        <f t="shared" si="219"/>
        <v>0.90951531000898744</v>
      </c>
      <c r="Q2336" s="7">
        <f t="shared" si="220"/>
        <v>5222.2408759124091</v>
      </c>
      <c r="R2336">
        <f t="shared" si="221"/>
        <v>1.5630119704605983</v>
      </c>
    </row>
    <row r="2337" spans="1:18" x14ac:dyDescent="0.25">
      <c r="A2337" t="s">
        <v>1325</v>
      </c>
      <c r="B2337" t="s">
        <v>135</v>
      </c>
      <c r="C2337" t="s">
        <v>17</v>
      </c>
      <c r="D2337">
        <v>12549</v>
      </c>
      <c r="E2337" s="1">
        <v>44469</v>
      </c>
      <c r="F2337" s="2">
        <f t="shared" si="216"/>
        <v>2021</v>
      </c>
      <c r="G2337">
        <v>147</v>
      </c>
      <c r="H2337" s="3">
        <v>812912</v>
      </c>
      <c r="I2337">
        <v>56801</v>
      </c>
      <c r="J2337">
        <v>812912</v>
      </c>
      <c r="K2337">
        <v>744862</v>
      </c>
      <c r="L2337">
        <v>737939</v>
      </c>
      <c r="M2337" t="str">
        <f t="shared" si="217"/>
        <v>Medium</v>
      </c>
      <c r="N2337">
        <f>VLOOKUP(C2337,Lookup!$A$2:$D$5,MATCH(M2337,Lookup!$A$1:$D$1,0),FALSE)</f>
        <v>8.5000000000000006E-2</v>
      </c>
      <c r="O2337">
        <f t="shared" si="218"/>
        <v>62724.815000000002</v>
      </c>
      <c r="P2337" s="7">
        <f t="shared" si="219"/>
        <v>0.91628860196429629</v>
      </c>
      <c r="Q2337" s="7">
        <f t="shared" si="220"/>
        <v>5530.0136054421773</v>
      </c>
      <c r="R2337">
        <f t="shared" si="221"/>
        <v>0.90555866924438111</v>
      </c>
    </row>
    <row r="2338" spans="1:18" x14ac:dyDescent="0.25">
      <c r="A2338" t="s">
        <v>1326</v>
      </c>
      <c r="B2338" t="s">
        <v>1327</v>
      </c>
      <c r="C2338" t="s">
        <v>17</v>
      </c>
      <c r="D2338">
        <v>12589</v>
      </c>
      <c r="E2338" s="1">
        <v>43738</v>
      </c>
      <c r="F2338" s="2">
        <f t="shared" si="216"/>
        <v>2019</v>
      </c>
      <c r="G2338">
        <v>74</v>
      </c>
      <c r="H2338" s="3">
        <v>329550</v>
      </c>
      <c r="I2338">
        <v>6680</v>
      </c>
      <c r="J2338">
        <v>329550</v>
      </c>
      <c r="K2338">
        <v>291653</v>
      </c>
      <c r="L2338">
        <v>267539</v>
      </c>
      <c r="M2338" t="str">
        <f t="shared" si="217"/>
        <v>Medium</v>
      </c>
      <c r="N2338">
        <f>VLOOKUP(C2338,Lookup!$A$2:$D$5,MATCH(M2338,Lookup!$A$1:$D$1,0),FALSE)</f>
        <v>8.5000000000000006E-2</v>
      </c>
      <c r="O2338">
        <f t="shared" si="218"/>
        <v>22740.815000000002</v>
      </c>
      <c r="P2338" s="7">
        <f t="shared" si="219"/>
        <v>0.88500379305113031</v>
      </c>
      <c r="Q2338" s="7">
        <f t="shared" si="220"/>
        <v>4453.3783783783783</v>
      </c>
      <c r="R2338">
        <f t="shared" si="221"/>
        <v>0.29374496912269854</v>
      </c>
    </row>
    <row r="2339" spans="1:18" x14ac:dyDescent="0.25">
      <c r="A2339" t="s">
        <v>1326</v>
      </c>
      <c r="B2339" t="s">
        <v>1327</v>
      </c>
      <c r="C2339" t="s">
        <v>17</v>
      </c>
      <c r="D2339">
        <v>12589</v>
      </c>
      <c r="E2339" s="1">
        <v>44104</v>
      </c>
      <c r="F2339" s="2">
        <f t="shared" si="216"/>
        <v>2020</v>
      </c>
      <c r="G2339">
        <v>72</v>
      </c>
      <c r="H2339" s="3">
        <v>351483</v>
      </c>
      <c r="I2339">
        <v>6473</v>
      </c>
      <c r="J2339">
        <v>351483</v>
      </c>
      <c r="K2339">
        <v>311855</v>
      </c>
      <c r="L2339">
        <v>290762</v>
      </c>
      <c r="M2339" t="str">
        <f t="shared" si="217"/>
        <v>Medium</v>
      </c>
      <c r="N2339">
        <f>VLOOKUP(C2339,Lookup!$A$2:$D$5,MATCH(M2339,Lookup!$A$1:$D$1,0),FALSE)</f>
        <v>8.5000000000000006E-2</v>
      </c>
      <c r="O2339">
        <f t="shared" si="218"/>
        <v>24714.77</v>
      </c>
      <c r="P2339" s="7">
        <f t="shared" si="219"/>
        <v>0.88725486012125765</v>
      </c>
      <c r="Q2339" s="7">
        <f t="shared" si="220"/>
        <v>4881.708333333333</v>
      </c>
      <c r="R2339">
        <f t="shared" si="221"/>
        <v>0.26190816260883676</v>
      </c>
    </row>
    <row r="2340" spans="1:18" x14ac:dyDescent="0.25">
      <c r="A2340" t="s">
        <v>1326</v>
      </c>
      <c r="B2340" t="s">
        <v>1327</v>
      </c>
      <c r="C2340" t="s">
        <v>17</v>
      </c>
      <c r="D2340">
        <v>12589</v>
      </c>
      <c r="E2340" s="1">
        <v>44469</v>
      </c>
      <c r="F2340" s="2">
        <f t="shared" si="216"/>
        <v>2021</v>
      </c>
      <c r="G2340">
        <v>72</v>
      </c>
      <c r="H2340" s="3">
        <v>384335</v>
      </c>
      <c r="I2340">
        <v>7259</v>
      </c>
      <c r="J2340">
        <v>384335</v>
      </c>
      <c r="K2340">
        <v>342604</v>
      </c>
      <c r="L2340">
        <v>327514</v>
      </c>
      <c r="M2340" t="str">
        <f t="shared" si="217"/>
        <v>Medium</v>
      </c>
      <c r="N2340">
        <f>VLOOKUP(C2340,Lookup!$A$2:$D$5,MATCH(M2340,Lookup!$A$1:$D$1,0),FALSE)</f>
        <v>8.5000000000000006E-2</v>
      </c>
      <c r="O2340">
        <f t="shared" si="218"/>
        <v>27838.690000000002</v>
      </c>
      <c r="P2340" s="7">
        <f t="shared" si="219"/>
        <v>0.89142024535886666</v>
      </c>
      <c r="Q2340" s="7">
        <f t="shared" si="220"/>
        <v>5337.9861111111113</v>
      </c>
      <c r="R2340">
        <f t="shared" si="221"/>
        <v>0.26075221211917654</v>
      </c>
    </row>
    <row r="2341" spans="1:18" x14ac:dyDescent="0.25">
      <c r="A2341" t="s">
        <v>1328</v>
      </c>
      <c r="B2341" t="s">
        <v>1329</v>
      </c>
      <c r="C2341" t="s">
        <v>20</v>
      </c>
      <c r="D2341">
        <v>2081</v>
      </c>
      <c r="E2341" s="1">
        <v>43738</v>
      </c>
      <c r="F2341" s="2">
        <f t="shared" si="216"/>
        <v>2019</v>
      </c>
      <c r="G2341">
        <v>46</v>
      </c>
      <c r="H2341" s="3">
        <v>510281</v>
      </c>
      <c r="I2341">
        <v>5349</v>
      </c>
      <c r="J2341">
        <v>510281</v>
      </c>
      <c r="K2341">
        <v>415384</v>
      </c>
      <c r="L2341">
        <v>366630</v>
      </c>
      <c r="M2341" t="str">
        <f t="shared" si="217"/>
        <v>Medium</v>
      </c>
      <c r="N2341">
        <f>VLOOKUP(C2341,Lookup!$A$2:$D$5,MATCH(M2341,Lookup!$A$1:$D$1,0),FALSE)</f>
        <v>8.5000000000000006E-2</v>
      </c>
      <c r="O2341">
        <f t="shared" si="218"/>
        <v>31163.550000000003</v>
      </c>
      <c r="P2341" s="7">
        <f t="shared" si="219"/>
        <v>0.81402991684973569</v>
      </c>
      <c r="Q2341" s="7">
        <f t="shared" si="220"/>
        <v>11093.065217391304</v>
      </c>
      <c r="R2341">
        <f t="shared" si="221"/>
        <v>0.17164283273247108</v>
      </c>
    </row>
    <row r="2342" spans="1:18" x14ac:dyDescent="0.25">
      <c r="A2342" t="s">
        <v>1328</v>
      </c>
      <c r="B2342" t="s">
        <v>1329</v>
      </c>
      <c r="C2342" t="s">
        <v>20</v>
      </c>
      <c r="D2342">
        <v>2081</v>
      </c>
      <c r="E2342" s="1">
        <v>44104</v>
      </c>
      <c r="F2342" s="2">
        <f t="shared" si="216"/>
        <v>2020</v>
      </c>
      <c r="G2342">
        <v>41</v>
      </c>
      <c r="H2342" s="3">
        <v>562093</v>
      </c>
      <c r="I2342">
        <v>9369</v>
      </c>
      <c r="J2342">
        <v>562093</v>
      </c>
      <c r="K2342">
        <v>463242</v>
      </c>
      <c r="L2342">
        <v>420418</v>
      </c>
      <c r="M2342" t="str">
        <f t="shared" si="217"/>
        <v>Medium</v>
      </c>
      <c r="N2342">
        <f>VLOOKUP(C2342,Lookup!$A$2:$D$5,MATCH(M2342,Lookup!$A$1:$D$1,0),FALSE)</f>
        <v>8.5000000000000006E-2</v>
      </c>
      <c r="O2342">
        <f t="shared" si="218"/>
        <v>35735.530000000006</v>
      </c>
      <c r="P2342" s="7">
        <f t="shared" si="219"/>
        <v>0.82413764270325374</v>
      </c>
      <c r="Q2342" s="7">
        <f t="shared" si="220"/>
        <v>13709.585365853658</v>
      </c>
      <c r="R2342">
        <f t="shared" si="221"/>
        <v>0.26217604720008347</v>
      </c>
    </row>
    <row r="2343" spans="1:18" x14ac:dyDescent="0.25">
      <c r="A2343" t="s">
        <v>1328</v>
      </c>
      <c r="B2343" t="s">
        <v>1329</v>
      </c>
      <c r="C2343" t="s">
        <v>20</v>
      </c>
      <c r="D2343">
        <v>2081</v>
      </c>
      <c r="E2343" s="1">
        <v>44469</v>
      </c>
      <c r="F2343" s="2">
        <f t="shared" si="216"/>
        <v>2021</v>
      </c>
      <c r="G2343">
        <v>36</v>
      </c>
      <c r="H2343" s="3">
        <v>571231</v>
      </c>
      <c r="I2343">
        <v>47576</v>
      </c>
      <c r="J2343">
        <v>571231</v>
      </c>
      <c r="K2343">
        <v>467607</v>
      </c>
      <c r="L2343">
        <v>455657</v>
      </c>
      <c r="M2343" t="str">
        <f t="shared" si="217"/>
        <v>Medium</v>
      </c>
      <c r="N2343">
        <f>VLOOKUP(C2343,Lookup!$A$2:$D$5,MATCH(M2343,Lookup!$A$1:$D$1,0),FALSE)</f>
        <v>8.5000000000000006E-2</v>
      </c>
      <c r="O2343">
        <f t="shared" si="218"/>
        <v>38730.845000000001</v>
      </c>
      <c r="P2343" s="7">
        <f t="shared" si="219"/>
        <v>0.81859527931782416</v>
      </c>
      <c r="Q2343" s="7">
        <f t="shared" si="220"/>
        <v>15867.527777777777</v>
      </c>
      <c r="R2343">
        <f t="shared" si="221"/>
        <v>1.2283749554134438</v>
      </c>
    </row>
    <row r="2344" spans="1:18" x14ac:dyDescent="0.25">
      <c r="A2344" t="s">
        <v>1330</v>
      </c>
      <c r="B2344" t="s">
        <v>1331</v>
      </c>
      <c r="C2344" t="s">
        <v>8</v>
      </c>
      <c r="D2344">
        <v>62670</v>
      </c>
      <c r="E2344" s="1">
        <v>43738</v>
      </c>
      <c r="F2344" s="2">
        <f t="shared" si="216"/>
        <v>2019</v>
      </c>
      <c r="G2344">
        <v>34</v>
      </c>
      <c r="H2344" s="3">
        <v>174206</v>
      </c>
      <c r="I2344">
        <v>8022</v>
      </c>
      <c r="J2344">
        <v>174205</v>
      </c>
      <c r="K2344">
        <v>149512</v>
      </c>
      <c r="L2344">
        <v>141894</v>
      </c>
      <c r="M2344" t="str">
        <f t="shared" si="217"/>
        <v>Medium</v>
      </c>
      <c r="N2344">
        <f>VLOOKUP(C2344,Lookup!$A$2:$D$5,MATCH(M2344,Lookup!$A$1:$D$1,0),FALSE)</f>
        <v>0.08</v>
      </c>
      <c r="O2344">
        <f t="shared" si="218"/>
        <v>11351.52</v>
      </c>
      <c r="P2344" s="7">
        <f t="shared" si="219"/>
        <v>0.85824828077104121</v>
      </c>
      <c r="Q2344" s="7">
        <f t="shared" si="220"/>
        <v>5123.7058823529414</v>
      </c>
      <c r="R2344">
        <f t="shared" si="221"/>
        <v>0.70668950061313374</v>
      </c>
    </row>
    <row r="2345" spans="1:18" x14ac:dyDescent="0.25">
      <c r="A2345" t="s">
        <v>1330</v>
      </c>
      <c r="B2345" t="s">
        <v>1331</v>
      </c>
      <c r="C2345" t="s">
        <v>8</v>
      </c>
      <c r="D2345">
        <v>62670</v>
      </c>
      <c r="E2345" s="1">
        <v>44104</v>
      </c>
      <c r="F2345" s="2">
        <f t="shared" si="216"/>
        <v>2020</v>
      </c>
      <c r="G2345">
        <v>34</v>
      </c>
      <c r="H2345" s="3">
        <v>183086</v>
      </c>
      <c r="I2345">
        <v>7661</v>
      </c>
      <c r="J2345">
        <v>183085</v>
      </c>
      <c r="K2345">
        <v>156486</v>
      </c>
      <c r="L2345">
        <v>146492</v>
      </c>
      <c r="M2345" t="str">
        <f t="shared" si="217"/>
        <v>Medium</v>
      </c>
      <c r="N2345">
        <f>VLOOKUP(C2345,Lookup!$A$2:$D$5,MATCH(M2345,Lookup!$A$1:$D$1,0),FALSE)</f>
        <v>0.08</v>
      </c>
      <c r="O2345">
        <f t="shared" si="218"/>
        <v>11719.36</v>
      </c>
      <c r="P2345" s="7">
        <f t="shared" si="219"/>
        <v>0.85471308565373649</v>
      </c>
      <c r="Q2345" s="7">
        <f t="shared" si="220"/>
        <v>5384.8823529411766</v>
      </c>
      <c r="R2345">
        <f t="shared" si="221"/>
        <v>0.65370463916118282</v>
      </c>
    </row>
    <row r="2346" spans="1:18" x14ac:dyDescent="0.25">
      <c r="A2346" t="s">
        <v>1330</v>
      </c>
      <c r="B2346" t="s">
        <v>1331</v>
      </c>
      <c r="C2346" t="s">
        <v>8</v>
      </c>
      <c r="D2346">
        <v>62670</v>
      </c>
      <c r="E2346" s="1">
        <v>44469</v>
      </c>
      <c r="F2346" s="2">
        <f t="shared" si="216"/>
        <v>2021</v>
      </c>
      <c r="G2346">
        <v>33</v>
      </c>
      <c r="H2346" s="3">
        <v>197992</v>
      </c>
      <c r="I2346">
        <v>12797</v>
      </c>
      <c r="J2346">
        <v>197992</v>
      </c>
      <c r="K2346">
        <v>170009</v>
      </c>
      <c r="L2346">
        <v>161477</v>
      </c>
      <c r="M2346" t="str">
        <f t="shared" si="217"/>
        <v>Medium</v>
      </c>
      <c r="N2346">
        <f>VLOOKUP(C2346,Lookup!$A$2:$D$5,MATCH(M2346,Lookup!$A$1:$D$1,0),FALSE)</f>
        <v>0.08</v>
      </c>
      <c r="O2346">
        <f t="shared" si="218"/>
        <v>12918.16</v>
      </c>
      <c r="P2346" s="7">
        <f t="shared" si="219"/>
        <v>0.85866600670734172</v>
      </c>
      <c r="Q2346" s="7">
        <f t="shared" si="220"/>
        <v>5999.757575757576</v>
      </c>
      <c r="R2346">
        <f t="shared" si="221"/>
        <v>0.99062095530632843</v>
      </c>
    </row>
    <row r="2347" spans="1:18" x14ac:dyDescent="0.25">
      <c r="A2347" t="s">
        <v>1332</v>
      </c>
      <c r="B2347" t="s">
        <v>384</v>
      </c>
      <c r="C2347" t="s">
        <v>8</v>
      </c>
      <c r="D2347">
        <v>62401</v>
      </c>
      <c r="E2347" s="1">
        <v>43738</v>
      </c>
      <c r="F2347" s="2">
        <f t="shared" si="216"/>
        <v>2019</v>
      </c>
      <c r="G2347">
        <v>61</v>
      </c>
      <c r="H2347" s="3">
        <v>398968</v>
      </c>
      <c r="I2347">
        <v>41457</v>
      </c>
      <c r="J2347">
        <v>398968</v>
      </c>
      <c r="K2347">
        <v>333435</v>
      </c>
      <c r="L2347">
        <v>322945</v>
      </c>
      <c r="M2347" t="str">
        <f t="shared" si="217"/>
        <v>Medium</v>
      </c>
      <c r="N2347">
        <f>VLOOKUP(C2347,Lookup!$A$2:$D$5,MATCH(M2347,Lookup!$A$1:$D$1,0),FALSE)</f>
        <v>0.08</v>
      </c>
      <c r="O2347">
        <f t="shared" si="218"/>
        <v>25835.600000000002</v>
      </c>
      <c r="P2347" s="7">
        <f t="shared" si="219"/>
        <v>0.83574371879448983</v>
      </c>
      <c r="Q2347" s="7">
        <f t="shared" si="220"/>
        <v>6540.4590163934427</v>
      </c>
      <c r="R2347">
        <f t="shared" si="221"/>
        <v>1.6046463020018886</v>
      </c>
    </row>
    <row r="2348" spans="1:18" x14ac:dyDescent="0.25">
      <c r="A2348" t="s">
        <v>1332</v>
      </c>
      <c r="B2348" t="s">
        <v>428</v>
      </c>
      <c r="C2348" t="s">
        <v>20</v>
      </c>
      <c r="D2348">
        <v>1852</v>
      </c>
      <c r="E2348" s="1">
        <v>43738</v>
      </c>
      <c r="F2348" s="2">
        <f t="shared" si="216"/>
        <v>2019</v>
      </c>
      <c r="G2348">
        <v>42</v>
      </c>
      <c r="H2348" s="3">
        <v>252085</v>
      </c>
      <c r="I2348">
        <v>9923</v>
      </c>
      <c r="J2348">
        <v>252085</v>
      </c>
      <c r="K2348">
        <v>229765</v>
      </c>
      <c r="L2348">
        <v>197211</v>
      </c>
      <c r="M2348" t="str">
        <f t="shared" si="217"/>
        <v>Medium</v>
      </c>
      <c r="N2348">
        <f>VLOOKUP(C2348,Lookup!$A$2:$D$5,MATCH(M2348,Lookup!$A$1:$D$1,0),FALSE)</f>
        <v>8.5000000000000006E-2</v>
      </c>
      <c r="O2348">
        <f t="shared" si="218"/>
        <v>16762.935000000001</v>
      </c>
      <c r="P2348" s="7">
        <f t="shared" si="219"/>
        <v>0.9114584366384354</v>
      </c>
      <c r="Q2348" s="7">
        <f t="shared" si="220"/>
        <v>6002.0238095238092</v>
      </c>
      <c r="R2348">
        <f t="shared" si="221"/>
        <v>0.59196077536541181</v>
      </c>
    </row>
    <row r="2349" spans="1:18" x14ac:dyDescent="0.25">
      <c r="A2349" t="s">
        <v>1332</v>
      </c>
      <c r="B2349" t="s">
        <v>384</v>
      </c>
      <c r="C2349" t="s">
        <v>8</v>
      </c>
      <c r="D2349">
        <v>62401</v>
      </c>
      <c r="E2349" s="1">
        <v>44104</v>
      </c>
      <c r="F2349" s="2">
        <f t="shared" si="216"/>
        <v>2020</v>
      </c>
      <c r="G2349">
        <v>62</v>
      </c>
      <c r="H2349" s="3">
        <v>433084</v>
      </c>
      <c r="I2349">
        <v>20487</v>
      </c>
      <c r="J2349">
        <v>433084</v>
      </c>
      <c r="K2349">
        <v>362696</v>
      </c>
      <c r="L2349">
        <v>349562</v>
      </c>
      <c r="M2349" t="str">
        <f t="shared" si="217"/>
        <v>Medium</v>
      </c>
      <c r="N2349">
        <f>VLOOKUP(C2349,Lookup!$A$2:$D$5,MATCH(M2349,Lookup!$A$1:$D$1,0),FALSE)</f>
        <v>0.08</v>
      </c>
      <c r="O2349">
        <f t="shared" si="218"/>
        <v>27964.959999999999</v>
      </c>
      <c r="P2349" s="7">
        <f t="shared" si="219"/>
        <v>0.83747263810253902</v>
      </c>
      <c r="Q2349" s="7">
        <f t="shared" si="220"/>
        <v>6985.2258064516127</v>
      </c>
      <c r="R2349">
        <f t="shared" si="221"/>
        <v>0.73259536219611976</v>
      </c>
    </row>
    <row r="2350" spans="1:18" x14ac:dyDescent="0.25">
      <c r="A2350" t="s">
        <v>1332</v>
      </c>
      <c r="B2350" t="s">
        <v>428</v>
      </c>
      <c r="C2350" t="s">
        <v>20</v>
      </c>
      <c r="D2350">
        <v>1852</v>
      </c>
      <c r="E2350" s="1">
        <v>44104</v>
      </c>
      <c r="F2350" s="2">
        <f t="shared" si="216"/>
        <v>2020</v>
      </c>
      <c r="G2350">
        <v>45</v>
      </c>
      <c r="H2350" s="3">
        <v>256281</v>
      </c>
      <c r="I2350">
        <v>16816</v>
      </c>
      <c r="J2350">
        <v>256281</v>
      </c>
      <c r="K2350">
        <v>233231</v>
      </c>
      <c r="L2350">
        <v>219334</v>
      </c>
      <c r="M2350" t="str">
        <f t="shared" si="217"/>
        <v>Medium</v>
      </c>
      <c r="N2350">
        <f>VLOOKUP(C2350,Lookup!$A$2:$D$5,MATCH(M2350,Lookup!$A$1:$D$1,0),FALSE)</f>
        <v>8.5000000000000006E-2</v>
      </c>
      <c r="O2350">
        <f t="shared" si="218"/>
        <v>18643.390000000003</v>
      </c>
      <c r="P2350" s="7">
        <f t="shared" si="219"/>
        <v>0.91005966107514802</v>
      </c>
      <c r="Q2350" s="7">
        <f t="shared" si="220"/>
        <v>5695.1333333333332</v>
      </c>
      <c r="R2350">
        <f t="shared" si="221"/>
        <v>0.90198188205042096</v>
      </c>
    </row>
    <row r="2351" spans="1:18" x14ac:dyDescent="0.25">
      <c r="A2351" t="s">
        <v>1332</v>
      </c>
      <c r="B2351" t="s">
        <v>384</v>
      </c>
      <c r="C2351" t="s">
        <v>8</v>
      </c>
      <c r="D2351">
        <v>62401</v>
      </c>
      <c r="E2351" s="1">
        <v>44469</v>
      </c>
      <c r="F2351" s="2">
        <f t="shared" si="216"/>
        <v>2021</v>
      </c>
      <c r="G2351">
        <v>75</v>
      </c>
      <c r="H2351" s="3">
        <v>571922</v>
      </c>
      <c r="I2351">
        <v>38702</v>
      </c>
      <c r="J2351">
        <v>571922</v>
      </c>
      <c r="K2351">
        <v>499747</v>
      </c>
      <c r="L2351">
        <v>481822</v>
      </c>
      <c r="M2351" t="str">
        <f t="shared" si="217"/>
        <v>Medium</v>
      </c>
      <c r="N2351">
        <f>VLOOKUP(C2351,Lookup!$A$2:$D$5,MATCH(M2351,Lookup!$A$1:$D$1,0),FALSE)</f>
        <v>0.08</v>
      </c>
      <c r="O2351">
        <f t="shared" si="218"/>
        <v>38545.760000000002</v>
      </c>
      <c r="P2351" s="7">
        <f t="shared" si="219"/>
        <v>0.87380272135011416</v>
      </c>
      <c r="Q2351" s="7">
        <f t="shared" si="220"/>
        <v>7625.626666666667</v>
      </c>
      <c r="R2351">
        <f t="shared" si="221"/>
        <v>1.0040533641054166</v>
      </c>
    </row>
    <row r="2352" spans="1:18" x14ac:dyDescent="0.25">
      <c r="A2352" t="s">
        <v>1332</v>
      </c>
      <c r="B2352" t="s">
        <v>428</v>
      </c>
      <c r="C2352" t="s">
        <v>20</v>
      </c>
      <c r="D2352">
        <v>1852</v>
      </c>
      <c r="E2352" s="1">
        <v>44469</v>
      </c>
      <c r="F2352" s="2">
        <f t="shared" si="216"/>
        <v>2021</v>
      </c>
      <c r="G2352">
        <v>38</v>
      </c>
      <c r="H2352" s="3">
        <v>269430</v>
      </c>
      <c r="I2352">
        <v>16361</v>
      </c>
      <c r="J2352">
        <v>269430</v>
      </c>
      <c r="K2352">
        <v>244490</v>
      </c>
      <c r="L2352">
        <v>232866</v>
      </c>
      <c r="M2352" t="str">
        <f t="shared" si="217"/>
        <v>Medium</v>
      </c>
      <c r="N2352">
        <f>VLOOKUP(C2352,Lookup!$A$2:$D$5,MATCH(M2352,Lookup!$A$1:$D$1,0),FALSE)</f>
        <v>8.5000000000000006E-2</v>
      </c>
      <c r="O2352">
        <f t="shared" si="218"/>
        <v>19793.61</v>
      </c>
      <c r="P2352" s="7">
        <f t="shared" si="219"/>
        <v>0.90743421296811788</v>
      </c>
      <c r="Q2352" s="7">
        <f t="shared" si="220"/>
        <v>7090.2631578947367</v>
      </c>
      <c r="R2352">
        <f t="shared" si="221"/>
        <v>0.82657989118710529</v>
      </c>
    </row>
    <row r="2353" spans="1:18" x14ac:dyDescent="0.25">
      <c r="A2353" t="s">
        <v>1333</v>
      </c>
      <c r="B2353" t="s">
        <v>1334</v>
      </c>
      <c r="C2353" t="s">
        <v>8</v>
      </c>
      <c r="D2353">
        <v>61571</v>
      </c>
      <c r="E2353" s="1">
        <v>43738</v>
      </c>
      <c r="F2353" s="2">
        <f t="shared" si="216"/>
        <v>2019</v>
      </c>
      <c r="G2353">
        <v>12</v>
      </c>
      <c r="H2353" s="3">
        <v>62278</v>
      </c>
      <c r="I2353">
        <v>4788</v>
      </c>
      <c r="J2353">
        <v>62278</v>
      </c>
      <c r="K2353">
        <v>55584</v>
      </c>
      <c r="L2353">
        <v>55393</v>
      </c>
      <c r="M2353" t="str">
        <f t="shared" si="217"/>
        <v>Small</v>
      </c>
      <c r="N2353">
        <f>VLOOKUP(C2353,Lookup!$A$2:$D$5,MATCH(M2353,Lookup!$A$1:$D$1,0),FALSE)</f>
        <v>0.09</v>
      </c>
      <c r="O2353">
        <f t="shared" si="218"/>
        <v>4985.37</v>
      </c>
      <c r="P2353" s="7">
        <f t="shared" si="219"/>
        <v>0.89251421047560942</v>
      </c>
      <c r="Q2353" s="7">
        <f t="shared" si="220"/>
        <v>5189.833333333333</v>
      </c>
      <c r="R2353">
        <f t="shared" si="221"/>
        <v>0.96041016012853608</v>
      </c>
    </row>
    <row r="2354" spans="1:18" x14ac:dyDescent="0.25">
      <c r="A2354" t="s">
        <v>1333</v>
      </c>
      <c r="B2354" t="s">
        <v>1334</v>
      </c>
      <c r="C2354" t="s">
        <v>8</v>
      </c>
      <c r="D2354">
        <v>61571</v>
      </c>
      <c r="E2354" s="1">
        <v>44104</v>
      </c>
      <c r="F2354" s="2">
        <f t="shared" si="216"/>
        <v>2020</v>
      </c>
      <c r="G2354">
        <v>11</v>
      </c>
      <c r="H2354" s="3">
        <v>64808</v>
      </c>
      <c r="I2354">
        <v>4272</v>
      </c>
      <c r="J2354">
        <v>64808</v>
      </c>
      <c r="K2354">
        <v>57575</v>
      </c>
      <c r="L2354">
        <v>57306</v>
      </c>
      <c r="M2354" t="str">
        <f t="shared" si="217"/>
        <v>Small</v>
      </c>
      <c r="N2354">
        <f>VLOOKUP(C2354,Lookup!$A$2:$D$5,MATCH(M2354,Lookup!$A$1:$D$1,0),FALSE)</f>
        <v>0.09</v>
      </c>
      <c r="O2354">
        <f t="shared" si="218"/>
        <v>5157.54</v>
      </c>
      <c r="P2354" s="7">
        <f t="shared" si="219"/>
        <v>0.88839340822120727</v>
      </c>
      <c r="Q2354" s="7">
        <f t="shared" si="220"/>
        <v>5891.636363636364</v>
      </c>
      <c r="R2354">
        <f t="shared" si="221"/>
        <v>0.8283018648425412</v>
      </c>
    </row>
    <row r="2355" spans="1:18" x14ac:dyDescent="0.25">
      <c r="A2355" t="s">
        <v>1333</v>
      </c>
      <c r="B2355" t="s">
        <v>1334</v>
      </c>
      <c r="C2355" t="s">
        <v>8</v>
      </c>
      <c r="D2355">
        <v>61571</v>
      </c>
      <c r="E2355" s="1">
        <v>44469</v>
      </c>
      <c r="F2355" s="2">
        <f t="shared" si="216"/>
        <v>2021</v>
      </c>
      <c r="G2355">
        <v>10</v>
      </c>
      <c r="H2355" s="3">
        <v>76352</v>
      </c>
      <c r="I2355">
        <v>4169</v>
      </c>
      <c r="J2355">
        <v>76352</v>
      </c>
      <c r="K2355">
        <v>69162</v>
      </c>
      <c r="L2355">
        <v>68948</v>
      </c>
      <c r="M2355" t="str">
        <f t="shared" si="217"/>
        <v>Small</v>
      </c>
      <c r="N2355">
        <f>VLOOKUP(C2355,Lookup!$A$2:$D$5,MATCH(M2355,Lookup!$A$1:$D$1,0),FALSE)</f>
        <v>0.09</v>
      </c>
      <c r="O2355">
        <f t="shared" si="218"/>
        <v>6205.32</v>
      </c>
      <c r="P2355" s="7">
        <f t="shared" si="219"/>
        <v>0.9058308885163453</v>
      </c>
      <c r="Q2355" s="7">
        <f t="shared" si="220"/>
        <v>7635.2</v>
      </c>
      <c r="R2355">
        <f t="shared" si="221"/>
        <v>0.67184287031128131</v>
      </c>
    </row>
    <row r="2356" spans="1:18" x14ac:dyDescent="0.25">
      <c r="A2356" t="s">
        <v>1398</v>
      </c>
      <c r="B2356" t="s">
        <v>1336</v>
      </c>
      <c r="C2356" t="s">
        <v>8</v>
      </c>
      <c r="D2356">
        <v>60556</v>
      </c>
      <c r="E2356" s="1">
        <v>44469</v>
      </c>
      <c r="F2356" s="2">
        <f t="shared" si="216"/>
        <v>2021</v>
      </c>
      <c r="G2356">
        <v>41</v>
      </c>
      <c r="H2356" s="3">
        <v>81301</v>
      </c>
      <c r="I2356">
        <v>1443</v>
      </c>
      <c r="J2356">
        <v>81301</v>
      </c>
      <c r="K2356">
        <v>65679</v>
      </c>
      <c r="L2356">
        <v>58127</v>
      </c>
      <c r="M2356" t="str">
        <f t="shared" si="217"/>
        <v>Small</v>
      </c>
      <c r="N2356">
        <f>VLOOKUP(C2356,Lookup!$A$2:$D$5,MATCH(M2356,Lookup!$A$1:$D$1,0),FALSE)</f>
        <v>0.09</v>
      </c>
      <c r="O2356">
        <f t="shared" si="218"/>
        <v>5231.4299999999994</v>
      </c>
      <c r="P2356" s="7">
        <f t="shared" si="219"/>
        <v>0.80784984194536358</v>
      </c>
      <c r="Q2356" s="7">
        <f t="shared" si="220"/>
        <v>1982.9512195121952</v>
      </c>
      <c r="R2356">
        <f t="shared" si="221"/>
        <v>0.2758328028856355</v>
      </c>
    </row>
    <row r="2357" spans="1:18" x14ac:dyDescent="0.25">
      <c r="A2357" t="s">
        <v>1335</v>
      </c>
      <c r="B2357" t="s">
        <v>1336</v>
      </c>
      <c r="C2357" t="s">
        <v>8</v>
      </c>
      <c r="D2357">
        <v>60556</v>
      </c>
      <c r="E2357" s="1">
        <v>43738</v>
      </c>
      <c r="F2357" s="2">
        <f t="shared" si="216"/>
        <v>2019</v>
      </c>
      <c r="G2357">
        <v>4</v>
      </c>
      <c r="H2357" s="3">
        <v>33551</v>
      </c>
      <c r="I2357">
        <v>1037</v>
      </c>
      <c r="J2357">
        <v>33551</v>
      </c>
      <c r="K2357">
        <v>29872</v>
      </c>
      <c r="L2357">
        <v>26333</v>
      </c>
      <c r="M2357" t="str">
        <f t="shared" si="217"/>
        <v>Small</v>
      </c>
      <c r="N2357">
        <f>VLOOKUP(C2357,Lookup!$A$2:$D$5,MATCH(M2357,Lookup!$A$1:$D$1,0),FALSE)</f>
        <v>0.09</v>
      </c>
      <c r="O2357">
        <f t="shared" si="218"/>
        <v>2369.9699999999998</v>
      </c>
      <c r="P2357" s="7">
        <f t="shared" si="219"/>
        <v>0.89034604035647225</v>
      </c>
      <c r="Q2357" s="7">
        <f t="shared" si="220"/>
        <v>8387.75</v>
      </c>
      <c r="R2357">
        <f t="shared" si="221"/>
        <v>0.43755828132845564</v>
      </c>
    </row>
    <row r="2358" spans="1:18" x14ac:dyDescent="0.25">
      <c r="A2358" t="s">
        <v>1335</v>
      </c>
      <c r="B2358" t="s">
        <v>1336</v>
      </c>
      <c r="C2358" t="s">
        <v>8</v>
      </c>
      <c r="D2358">
        <v>60556</v>
      </c>
      <c r="E2358" s="1">
        <v>44104</v>
      </c>
      <c r="F2358" s="2">
        <f t="shared" si="216"/>
        <v>2020</v>
      </c>
      <c r="G2358">
        <v>26</v>
      </c>
      <c r="H2358" s="3">
        <v>62332</v>
      </c>
      <c r="I2358">
        <v>352</v>
      </c>
      <c r="J2358">
        <v>62332</v>
      </c>
      <c r="K2358">
        <v>56021</v>
      </c>
      <c r="L2358">
        <v>37820</v>
      </c>
      <c r="M2358" t="str">
        <f t="shared" si="217"/>
        <v>Small</v>
      </c>
      <c r="N2358">
        <f>VLOOKUP(C2358,Lookup!$A$2:$D$5,MATCH(M2358,Lookup!$A$1:$D$1,0),FALSE)</f>
        <v>0.09</v>
      </c>
      <c r="O2358">
        <f t="shared" si="218"/>
        <v>3403.7999999999997</v>
      </c>
      <c r="P2358" s="7">
        <f t="shared" si="219"/>
        <v>0.89875184495925042</v>
      </c>
      <c r="Q2358" s="7">
        <f t="shared" si="220"/>
        <v>2397.3846153846152</v>
      </c>
      <c r="R2358">
        <f t="shared" si="221"/>
        <v>0.10341383159997651</v>
      </c>
    </row>
    <row r="2359" spans="1:18" x14ac:dyDescent="0.25">
      <c r="A2359" t="s">
        <v>1337</v>
      </c>
      <c r="B2359" t="s">
        <v>1338</v>
      </c>
      <c r="C2359" t="s">
        <v>17</v>
      </c>
      <c r="D2359">
        <v>13601</v>
      </c>
      <c r="E2359" s="1">
        <v>43738</v>
      </c>
      <c r="F2359" s="2">
        <f t="shared" si="216"/>
        <v>2019</v>
      </c>
      <c r="G2359">
        <v>119</v>
      </c>
      <c r="H2359" s="3">
        <v>690979</v>
      </c>
      <c r="I2359">
        <v>76632</v>
      </c>
      <c r="J2359">
        <v>690979</v>
      </c>
      <c r="K2359">
        <v>580978</v>
      </c>
      <c r="L2359">
        <v>575654</v>
      </c>
      <c r="M2359" t="str">
        <f t="shared" si="217"/>
        <v>Medium</v>
      </c>
      <c r="N2359">
        <f>VLOOKUP(C2359,Lookup!$A$2:$D$5,MATCH(M2359,Lookup!$A$1:$D$1,0),FALSE)</f>
        <v>8.5000000000000006E-2</v>
      </c>
      <c r="O2359">
        <f t="shared" si="218"/>
        <v>48930.590000000004</v>
      </c>
      <c r="P2359" s="7">
        <f t="shared" si="219"/>
        <v>0.84080413442376689</v>
      </c>
      <c r="Q2359" s="7">
        <f t="shared" si="220"/>
        <v>5806.546218487395</v>
      </c>
      <c r="R2359">
        <f t="shared" si="221"/>
        <v>1.5661368481352871</v>
      </c>
    </row>
    <row r="2360" spans="1:18" x14ac:dyDescent="0.25">
      <c r="A2360" t="s">
        <v>1337</v>
      </c>
      <c r="B2360" t="s">
        <v>1338</v>
      </c>
      <c r="C2360" t="s">
        <v>20</v>
      </c>
      <c r="D2360">
        <v>2472</v>
      </c>
      <c r="E2360" s="1">
        <v>43738</v>
      </c>
      <c r="F2360" s="2">
        <f t="shared" si="216"/>
        <v>2019</v>
      </c>
      <c r="G2360">
        <v>123</v>
      </c>
      <c r="H2360" s="3">
        <v>1258344</v>
      </c>
      <c r="I2360">
        <v>50995</v>
      </c>
      <c r="J2360">
        <v>1258344</v>
      </c>
      <c r="K2360">
        <v>1131383</v>
      </c>
      <c r="L2360">
        <v>1114555</v>
      </c>
      <c r="M2360" t="str">
        <f t="shared" si="217"/>
        <v>Large</v>
      </c>
      <c r="N2360">
        <f>VLOOKUP(C2360,Lookup!$A$2:$D$5,MATCH(M2360,Lookup!$A$1:$D$1,0),FALSE)</f>
        <v>0.08</v>
      </c>
      <c r="O2360">
        <f t="shared" si="218"/>
        <v>89164.400000000009</v>
      </c>
      <c r="P2360" s="7">
        <f t="shared" si="219"/>
        <v>0.89910469633105095</v>
      </c>
      <c r="Q2360" s="7">
        <f t="shared" si="220"/>
        <v>10230.439024390244</v>
      </c>
      <c r="R2360">
        <f t="shared" si="221"/>
        <v>0.57192108061064728</v>
      </c>
    </row>
    <row r="2361" spans="1:18" x14ac:dyDescent="0.25">
      <c r="A2361" t="s">
        <v>1337</v>
      </c>
      <c r="B2361" t="s">
        <v>1338</v>
      </c>
      <c r="C2361" t="s">
        <v>17</v>
      </c>
      <c r="D2361">
        <v>13601</v>
      </c>
      <c r="E2361" s="1">
        <v>44104</v>
      </c>
      <c r="F2361" s="2">
        <f t="shared" si="216"/>
        <v>2020</v>
      </c>
      <c r="G2361">
        <v>121</v>
      </c>
      <c r="H2361" s="3">
        <v>840628</v>
      </c>
      <c r="I2361">
        <v>127560</v>
      </c>
      <c r="J2361">
        <v>840628</v>
      </c>
      <c r="K2361">
        <v>723128</v>
      </c>
      <c r="L2361">
        <v>714483</v>
      </c>
      <c r="M2361" t="str">
        <f t="shared" si="217"/>
        <v>Medium</v>
      </c>
      <c r="N2361">
        <f>VLOOKUP(C2361,Lookup!$A$2:$D$5,MATCH(M2361,Lookup!$A$1:$D$1,0),FALSE)</f>
        <v>8.5000000000000006E-2</v>
      </c>
      <c r="O2361">
        <f t="shared" si="218"/>
        <v>60731.055000000008</v>
      </c>
      <c r="P2361" s="7">
        <f t="shared" si="219"/>
        <v>0.86022354715760119</v>
      </c>
      <c r="Q2361" s="7">
        <f t="shared" si="220"/>
        <v>6947.3388429752067</v>
      </c>
      <c r="R2361">
        <f t="shared" si="221"/>
        <v>2.100408102576186</v>
      </c>
    </row>
    <row r="2362" spans="1:18" x14ac:dyDescent="0.25">
      <c r="A2362" t="s">
        <v>1337</v>
      </c>
      <c r="B2362" t="s">
        <v>1338</v>
      </c>
      <c r="C2362" t="s">
        <v>20</v>
      </c>
      <c r="D2362">
        <v>2472</v>
      </c>
      <c r="E2362" s="1">
        <v>44104</v>
      </c>
      <c r="F2362" s="2">
        <f t="shared" si="216"/>
        <v>2020</v>
      </c>
      <c r="G2362">
        <v>112</v>
      </c>
      <c r="H2362" s="3">
        <v>1364038</v>
      </c>
      <c r="I2362">
        <v>153009</v>
      </c>
      <c r="J2362">
        <v>1364038</v>
      </c>
      <c r="K2362">
        <v>1232464</v>
      </c>
      <c r="L2362">
        <v>1212128</v>
      </c>
      <c r="M2362" t="str">
        <f t="shared" si="217"/>
        <v>Large</v>
      </c>
      <c r="N2362">
        <f>VLOOKUP(C2362,Lookup!$A$2:$D$5,MATCH(M2362,Lookup!$A$1:$D$1,0),FALSE)</f>
        <v>0.08</v>
      </c>
      <c r="O2362">
        <f t="shared" si="218"/>
        <v>96970.240000000005</v>
      </c>
      <c r="P2362" s="7">
        <f t="shared" si="219"/>
        <v>0.90354081044662982</v>
      </c>
      <c r="Q2362" s="7">
        <f t="shared" si="220"/>
        <v>12178.910714285714</v>
      </c>
      <c r="R2362">
        <f t="shared" si="221"/>
        <v>1.5778964762797327</v>
      </c>
    </row>
    <row r="2363" spans="1:18" x14ac:dyDescent="0.25">
      <c r="A2363" t="s">
        <v>1337</v>
      </c>
      <c r="B2363" t="s">
        <v>1338</v>
      </c>
      <c r="C2363" t="s">
        <v>17</v>
      </c>
      <c r="D2363">
        <v>13601</v>
      </c>
      <c r="E2363" s="1">
        <v>44469</v>
      </c>
      <c r="F2363" s="2">
        <f t="shared" si="216"/>
        <v>2021</v>
      </c>
      <c r="G2363">
        <v>126</v>
      </c>
      <c r="H2363" s="3">
        <v>978144</v>
      </c>
      <c r="I2363">
        <v>194221</v>
      </c>
      <c r="J2363">
        <v>978144</v>
      </c>
      <c r="K2363">
        <v>851939</v>
      </c>
      <c r="L2363">
        <v>846267</v>
      </c>
      <c r="M2363" t="str">
        <f t="shared" si="217"/>
        <v>Medium</v>
      </c>
      <c r="N2363">
        <f>VLOOKUP(C2363,Lookup!$A$2:$D$5,MATCH(M2363,Lookup!$A$1:$D$1,0),FALSE)</f>
        <v>8.5000000000000006E-2</v>
      </c>
      <c r="O2363">
        <f t="shared" si="218"/>
        <v>71932.695000000007</v>
      </c>
      <c r="P2363" s="7">
        <f t="shared" si="219"/>
        <v>0.870975030261393</v>
      </c>
      <c r="Q2363" s="7">
        <f t="shared" si="220"/>
        <v>7763.0476190476193</v>
      </c>
      <c r="R2363">
        <f t="shared" si="221"/>
        <v>2.7000378617817669</v>
      </c>
    </row>
    <row r="2364" spans="1:18" x14ac:dyDescent="0.25">
      <c r="A2364" t="s">
        <v>1337</v>
      </c>
      <c r="B2364" t="s">
        <v>1338</v>
      </c>
      <c r="C2364" t="s">
        <v>20</v>
      </c>
      <c r="D2364">
        <v>2472</v>
      </c>
      <c r="E2364" s="1">
        <v>44469</v>
      </c>
      <c r="F2364" s="2">
        <f t="shared" si="216"/>
        <v>2021</v>
      </c>
      <c r="G2364">
        <v>110</v>
      </c>
      <c r="H2364" s="3">
        <v>1464599</v>
      </c>
      <c r="I2364">
        <v>148461</v>
      </c>
      <c r="J2364">
        <v>1464599</v>
      </c>
      <c r="K2364">
        <v>1331443</v>
      </c>
      <c r="L2364">
        <v>1307103</v>
      </c>
      <c r="M2364" t="str">
        <f t="shared" si="217"/>
        <v>Large</v>
      </c>
      <c r="N2364">
        <f>VLOOKUP(C2364,Lookup!$A$2:$D$5,MATCH(M2364,Lookup!$A$1:$D$1,0),FALSE)</f>
        <v>0.08</v>
      </c>
      <c r="O2364">
        <f t="shared" si="218"/>
        <v>104568.24</v>
      </c>
      <c r="P2364" s="7">
        <f t="shared" si="219"/>
        <v>0.90908364678659481</v>
      </c>
      <c r="Q2364" s="7">
        <f t="shared" si="220"/>
        <v>13314.536363636364</v>
      </c>
      <c r="R2364">
        <f t="shared" si="221"/>
        <v>1.4197523072014981</v>
      </c>
    </row>
    <row r="2365" spans="1:18" x14ac:dyDescent="0.25">
      <c r="A2365" t="s">
        <v>1339</v>
      </c>
      <c r="B2365" t="s">
        <v>1340</v>
      </c>
      <c r="C2365" t="s">
        <v>20</v>
      </c>
      <c r="D2365">
        <v>1570</v>
      </c>
      <c r="E2365" s="1">
        <v>43738</v>
      </c>
      <c r="F2365" s="2">
        <f t="shared" si="216"/>
        <v>2019</v>
      </c>
      <c r="G2365">
        <v>153</v>
      </c>
      <c r="H2365" s="3">
        <v>882406</v>
      </c>
      <c r="I2365">
        <v>18563</v>
      </c>
      <c r="J2365">
        <v>882406</v>
      </c>
      <c r="K2365">
        <v>771573</v>
      </c>
      <c r="L2365">
        <v>689957</v>
      </c>
      <c r="M2365" t="str">
        <f t="shared" si="217"/>
        <v>Medium</v>
      </c>
      <c r="N2365">
        <f>VLOOKUP(C2365,Lookup!$A$2:$D$5,MATCH(M2365,Lookup!$A$1:$D$1,0),FALSE)</f>
        <v>8.5000000000000006E-2</v>
      </c>
      <c r="O2365">
        <f t="shared" si="218"/>
        <v>58646.345000000001</v>
      </c>
      <c r="P2365" s="7">
        <f t="shared" si="219"/>
        <v>0.87439681960458115</v>
      </c>
      <c r="Q2365" s="7">
        <f t="shared" si="220"/>
        <v>5767.3594771241833</v>
      </c>
      <c r="R2365">
        <f t="shared" si="221"/>
        <v>0.3165244142665668</v>
      </c>
    </row>
    <row r="2366" spans="1:18" x14ac:dyDescent="0.25">
      <c r="A2366" t="s">
        <v>1339</v>
      </c>
      <c r="B2366" t="s">
        <v>1340</v>
      </c>
      <c r="C2366" t="s">
        <v>20</v>
      </c>
      <c r="D2366">
        <v>1570</v>
      </c>
      <c r="E2366" s="1">
        <v>44104</v>
      </c>
      <c r="F2366" s="2">
        <f t="shared" si="216"/>
        <v>2020</v>
      </c>
      <c r="G2366">
        <v>145</v>
      </c>
      <c r="H2366" s="3">
        <v>982412</v>
      </c>
      <c r="I2366">
        <v>17693</v>
      </c>
      <c r="J2366">
        <v>982412</v>
      </c>
      <c r="K2366">
        <v>861644</v>
      </c>
      <c r="L2366">
        <v>775982</v>
      </c>
      <c r="M2366" t="str">
        <f t="shared" si="217"/>
        <v>Medium</v>
      </c>
      <c r="N2366">
        <f>VLOOKUP(C2366,Lookup!$A$2:$D$5,MATCH(M2366,Lookup!$A$1:$D$1,0),FALSE)</f>
        <v>8.5000000000000006E-2</v>
      </c>
      <c r="O2366">
        <f t="shared" si="218"/>
        <v>65958.47</v>
      </c>
      <c r="P2366" s="7">
        <f t="shared" si="219"/>
        <v>0.87706990549789698</v>
      </c>
      <c r="Q2366" s="7">
        <f t="shared" si="220"/>
        <v>6775.2551724137929</v>
      </c>
      <c r="R2366">
        <f t="shared" si="221"/>
        <v>0.26824454842569878</v>
      </c>
    </row>
    <row r="2367" spans="1:18" x14ac:dyDescent="0.25">
      <c r="A2367" t="s">
        <v>1339</v>
      </c>
      <c r="B2367" t="s">
        <v>1340</v>
      </c>
      <c r="C2367" t="s">
        <v>20</v>
      </c>
      <c r="D2367">
        <v>1570</v>
      </c>
      <c r="E2367" s="1">
        <v>44469</v>
      </c>
      <c r="F2367" s="2">
        <f t="shared" si="216"/>
        <v>2021</v>
      </c>
      <c r="G2367">
        <v>145</v>
      </c>
      <c r="H2367" s="3">
        <v>1035309</v>
      </c>
      <c r="I2367">
        <v>80001</v>
      </c>
      <c r="J2367">
        <v>1035309</v>
      </c>
      <c r="K2367">
        <v>909071</v>
      </c>
      <c r="L2367">
        <v>897906</v>
      </c>
      <c r="M2367" t="str">
        <f t="shared" si="217"/>
        <v>Large</v>
      </c>
      <c r="N2367">
        <f>VLOOKUP(C2367,Lookup!$A$2:$D$5,MATCH(M2367,Lookup!$A$1:$D$1,0),FALSE)</f>
        <v>0.08</v>
      </c>
      <c r="O2367">
        <f t="shared" si="218"/>
        <v>71832.479999999996</v>
      </c>
      <c r="P2367" s="7">
        <f t="shared" si="219"/>
        <v>0.87806732096407936</v>
      </c>
      <c r="Q2367" s="7">
        <f t="shared" si="220"/>
        <v>7140.062068965517</v>
      </c>
      <c r="R2367">
        <f t="shared" si="221"/>
        <v>1.1137162464667794</v>
      </c>
    </row>
    <row r="2368" spans="1:18" x14ac:dyDescent="0.25">
      <c r="A2368" t="s">
        <v>1341</v>
      </c>
      <c r="B2368" t="s">
        <v>1342</v>
      </c>
      <c r="C2368" t="s">
        <v>20</v>
      </c>
      <c r="D2368">
        <v>2482</v>
      </c>
      <c r="E2368" s="1">
        <v>43738</v>
      </c>
      <c r="F2368" s="2">
        <f t="shared" si="216"/>
        <v>2019</v>
      </c>
      <c r="G2368">
        <v>77</v>
      </c>
      <c r="H2368" s="3">
        <v>979235</v>
      </c>
      <c r="I2368">
        <v>81453</v>
      </c>
      <c r="J2368">
        <v>979235</v>
      </c>
      <c r="K2368">
        <v>900363</v>
      </c>
      <c r="L2368">
        <v>759212</v>
      </c>
      <c r="M2368" t="str">
        <f t="shared" si="217"/>
        <v>Medium</v>
      </c>
      <c r="N2368">
        <f>VLOOKUP(C2368,Lookup!$A$2:$D$5,MATCH(M2368,Lookup!$A$1:$D$1,0),FALSE)</f>
        <v>8.5000000000000006E-2</v>
      </c>
      <c r="O2368">
        <f t="shared" si="218"/>
        <v>64533.020000000004</v>
      </c>
      <c r="P2368" s="7">
        <f t="shared" si="219"/>
        <v>0.91945549331876408</v>
      </c>
      <c r="Q2368" s="7">
        <f t="shared" si="220"/>
        <v>12717.337662337663</v>
      </c>
      <c r="R2368">
        <f t="shared" si="221"/>
        <v>1.2621910457623089</v>
      </c>
    </row>
    <row r="2369" spans="1:18" x14ac:dyDescent="0.25">
      <c r="A2369" t="s">
        <v>1343</v>
      </c>
      <c r="B2369" t="s">
        <v>47</v>
      </c>
      <c r="C2369" t="s">
        <v>5</v>
      </c>
      <c r="D2369">
        <v>90017</v>
      </c>
      <c r="E2369" s="1">
        <v>43738</v>
      </c>
      <c r="F2369" s="2">
        <f t="shared" si="216"/>
        <v>2019</v>
      </c>
      <c r="G2369">
        <v>471</v>
      </c>
      <c r="H2369" s="3">
        <v>908919</v>
      </c>
      <c r="I2369">
        <v>182707</v>
      </c>
      <c r="J2369">
        <v>908919</v>
      </c>
      <c r="K2369">
        <v>199355</v>
      </c>
      <c r="L2369">
        <v>27439</v>
      </c>
      <c r="M2369" t="str">
        <f t="shared" si="217"/>
        <v>Medium</v>
      </c>
      <c r="N2369">
        <f>VLOOKUP(C2369,Lookup!$A$2:$D$5,MATCH(M2369,Lookup!$A$1:$D$1,0),FALSE)</f>
        <v>0.09</v>
      </c>
      <c r="O2369">
        <f t="shared" si="218"/>
        <v>2469.5099999999998</v>
      </c>
      <c r="P2369" s="7">
        <f t="shared" si="219"/>
        <v>0.21933197567660045</v>
      </c>
      <c r="Q2369" s="7">
        <f t="shared" si="220"/>
        <v>1929.7643312101911</v>
      </c>
      <c r="R2369">
        <f t="shared" si="221"/>
        <v>73.985122554676849</v>
      </c>
    </row>
    <row r="2370" spans="1:18" x14ac:dyDescent="0.25">
      <c r="A2370" t="s">
        <v>1344</v>
      </c>
      <c r="B2370" t="s">
        <v>1345</v>
      </c>
      <c r="C2370" t="s">
        <v>8</v>
      </c>
      <c r="D2370">
        <v>61377</v>
      </c>
      <c r="E2370" s="1">
        <v>43738</v>
      </c>
      <c r="F2370" s="2">
        <f t="shared" ref="F2370:F2413" si="222">YEAR(E2370)</f>
        <v>2019</v>
      </c>
      <c r="G2370">
        <v>6</v>
      </c>
      <c r="H2370" s="3">
        <v>34338</v>
      </c>
      <c r="I2370">
        <v>3760</v>
      </c>
      <c r="J2370">
        <v>34338</v>
      </c>
      <c r="K2370">
        <v>29487</v>
      </c>
      <c r="L2370">
        <v>28890</v>
      </c>
      <c r="M2370" t="str">
        <f t="shared" ref="M2370:M2413" si="223">IF(H2370&gt;1000000,"Large",IF(H2370&lt;100000,"Small","Medium"))</f>
        <v>Small</v>
      </c>
      <c r="N2370">
        <f>VLOOKUP(C2370,Lookup!$A$2:$D$5,MATCH(M2370,Lookup!$A$1:$D$1,0),FALSE)</f>
        <v>0.09</v>
      </c>
      <c r="O2370">
        <f t="shared" ref="O2370:O2413" si="224">L2370*N2370</f>
        <v>2600.1</v>
      </c>
      <c r="P2370" s="7">
        <f t="shared" ref="P2370:P2413" si="225">K2370/H2370</f>
        <v>0.85872793989166518</v>
      </c>
      <c r="Q2370" s="7">
        <f t="shared" ref="Q2370:Q2413" si="226">H2370/G2370</f>
        <v>5723</v>
      </c>
      <c r="R2370">
        <f t="shared" ref="R2370:R2413" si="227">I2370/O2370</f>
        <v>1.4460982269912697</v>
      </c>
    </row>
    <row r="2371" spans="1:18" x14ac:dyDescent="0.25">
      <c r="A2371" t="s">
        <v>1344</v>
      </c>
      <c r="B2371" t="s">
        <v>1345</v>
      </c>
      <c r="C2371" t="s">
        <v>8</v>
      </c>
      <c r="D2371">
        <v>61377</v>
      </c>
      <c r="E2371" s="1">
        <v>44104</v>
      </c>
      <c r="F2371" s="2">
        <f t="shared" si="222"/>
        <v>2020</v>
      </c>
      <c r="G2371">
        <v>6</v>
      </c>
      <c r="H2371" s="3">
        <v>39783</v>
      </c>
      <c r="I2371">
        <v>3752</v>
      </c>
      <c r="J2371">
        <v>39783</v>
      </c>
      <c r="K2371">
        <v>34464</v>
      </c>
      <c r="L2371">
        <v>30366</v>
      </c>
      <c r="M2371" t="str">
        <f t="shared" si="223"/>
        <v>Small</v>
      </c>
      <c r="N2371">
        <f>VLOOKUP(C2371,Lookup!$A$2:$D$5,MATCH(M2371,Lookup!$A$1:$D$1,0),FALSE)</f>
        <v>0.09</v>
      </c>
      <c r="O2371">
        <f t="shared" si="224"/>
        <v>2732.94</v>
      </c>
      <c r="P2371" s="7">
        <f t="shared" si="225"/>
        <v>0.86629967574089439</v>
      </c>
      <c r="Q2371" s="7">
        <f t="shared" si="226"/>
        <v>6630.5</v>
      </c>
      <c r="R2371">
        <f t="shared" si="227"/>
        <v>1.3728804876799343</v>
      </c>
    </row>
    <row r="2372" spans="1:18" x14ac:dyDescent="0.25">
      <c r="A2372" t="s">
        <v>1346</v>
      </c>
      <c r="B2372" t="s">
        <v>1347</v>
      </c>
      <c r="C2372" t="s">
        <v>8</v>
      </c>
      <c r="D2372">
        <v>62612</v>
      </c>
      <c r="E2372" s="1">
        <v>43738</v>
      </c>
      <c r="F2372" s="2">
        <f t="shared" si="222"/>
        <v>2019</v>
      </c>
      <c r="G2372">
        <v>53</v>
      </c>
      <c r="H2372" s="3">
        <v>182037</v>
      </c>
      <c r="I2372">
        <v>5980</v>
      </c>
      <c r="J2372">
        <v>182037</v>
      </c>
      <c r="K2372">
        <v>161901</v>
      </c>
      <c r="L2372">
        <v>155022</v>
      </c>
      <c r="M2372" t="str">
        <f t="shared" si="223"/>
        <v>Medium</v>
      </c>
      <c r="N2372">
        <f>VLOOKUP(C2372,Lookup!$A$2:$D$5,MATCH(M2372,Lookup!$A$1:$D$1,0),FALSE)</f>
        <v>0.08</v>
      </c>
      <c r="O2372">
        <f t="shared" si="224"/>
        <v>12401.76</v>
      </c>
      <c r="P2372" s="7">
        <f t="shared" si="225"/>
        <v>0.88938512500206002</v>
      </c>
      <c r="Q2372" s="7">
        <f t="shared" si="226"/>
        <v>3434.6603773584907</v>
      </c>
      <c r="R2372">
        <f t="shared" si="227"/>
        <v>0.48218962469842991</v>
      </c>
    </row>
    <row r="2373" spans="1:18" x14ac:dyDescent="0.25">
      <c r="A2373" t="s">
        <v>1346</v>
      </c>
      <c r="B2373" t="s">
        <v>1347</v>
      </c>
      <c r="C2373" t="s">
        <v>8</v>
      </c>
      <c r="D2373">
        <v>62612</v>
      </c>
      <c r="E2373" s="1">
        <v>44104</v>
      </c>
      <c r="F2373" s="2">
        <f t="shared" si="222"/>
        <v>2020</v>
      </c>
      <c r="G2373">
        <v>46</v>
      </c>
      <c r="H2373" s="3">
        <v>198500</v>
      </c>
      <c r="I2373">
        <v>10923</v>
      </c>
      <c r="J2373">
        <v>198500</v>
      </c>
      <c r="K2373">
        <v>176762</v>
      </c>
      <c r="L2373">
        <v>168258</v>
      </c>
      <c r="M2373" t="str">
        <f t="shared" si="223"/>
        <v>Medium</v>
      </c>
      <c r="N2373">
        <f>VLOOKUP(C2373,Lookup!$A$2:$D$5,MATCH(M2373,Lookup!$A$1:$D$1,0),FALSE)</f>
        <v>0.08</v>
      </c>
      <c r="O2373">
        <f t="shared" si="224"/>
        <v>13460.64</v>
      </c>
      <c r="P2373" s="7">
        <f t="shared" si="225"/>
        <v>0.89048866498740553</v>
      </c>
      <c r="Q2373" s="7">
        <f t="shared" si="226"/>
        <v>4315.217391304348</v>
      </c>
      <c r="R2373">
        <f t="shared" si="227"/>
        <v>0.81147701743750678</v>
      </c>
    </row>
    <row r="2374" spans="1:18" x14ac:dyDescent="0.25">
      <c r="A2374" t="s">
        <v>1346</v>
      </c>
      <c r="B2374" t="s">
        <v>1347</v>
      </c>
      <c r="C2374" t="s">
        <v>8</v>
      </c>
      <c r="D2374">
        <v>62612</v>
      </c>
      <c r="E2374" s="1">
        <v>44469</v>
      </c>
      <c r="F2374" s="2">
        <f t="shared" si="222"/>
        <v>2021</v>
      </c>
      <c r="G2374">
        <v>44</v>
      </c>
      <c r="H2374" s="3">
        <v>221685</v>
      </c>
      <c r="I2374">
        <v>9588</v>
      </c>
      <c r="J2374">
        <v>221685</v>
      </c>
      <c r="K2374">
        <v>198510</v>
      </c>
      <c r="L2374">
        <v>189250</v>
      </c>
      <c r="M2374" t="str">
        <f t="shared" si="223"/>
        <v>Medium</v>
      </c>
      <c r="N2374">
        <f>VLOOKUP(C2374,Lookup!$A$2:$D$5,MATCH(M2374,Lookup!$A$1:$D$1,0),FALSE)</f>
        <v>0.08</v>
      </c>
      <c r="O2374">
        <f t="shared" si="224"/>
        <v>15140</v>
      </c>
      <c r="P2374" s="7">
        <f t="shared" si="225"/>
        <v>0.89545977400365384</v>
      </c>
      <c r="Q2374" s="7">
        <f t="shared" si="226"/>
        <v>5038.295454545455</v>
      </c>
      <c r="R2374">
        <f t="shared" si="227"/>
        <v>0.63328929986789961</v>
      </c>
    </row>
    <row r="2375" spans="1:18" x14ac:dyDescent="0.25">
      <c r="A2375" t="s">
        <v>1348</v>
      </c>
      <c r="B2375" t="s">
        <v>1349</v>
      </c>
      <c r="C2375" t="s">
        <v>8</v>
      </c>
      <c r="D2375">
        <v>60148</v>
      </c>
      <c r="E2375" s="1">
        <v>43738</v>
      </c>
      <c r="F2375" s="2">
        <f t="shared" si="222"/>
        <v>2019</v>
      </c>
      <c r="G2375">
        <v>472</v>
      </c>
      <c r="H2375" s="3">
        <v>2263428</v>
      </c>
      <c r="I2375">
        <v>69962</v>
      </c>
      <c r="J2375">
        <v>2263428</v>
      </c>
      <c r="K2375">
        <v>2044640</v>
      </c>
      <c r="L2375">
        <v>2031133</v>
      </c>
      <c r="M2375" t="str">
        <f t="shared" si="223"/>
        <v>Large</v>
      </c>
      <c r="N2375">
        <f>VLOOKUP(C2375,Lookup!$A$2:$D$5,MATCH(M2375,Lookup!$A$1:$D$1,0),FALSE)</f>
        <v>7.4999999999999997E-2</v>
      </c>
      <c r="O2375">
        <f t="shared" si="224"/>
        <v>152334.97500000001</v>
      </c>
      <c r="P2375" s="7">
        <f t="shared" si="225"/>
        <v>0.90333776908300156</v>
      </c>
      <c r="Q2375" s="7">
        <f t="shared" si="226"/>
        <v>4795.3983050847455</v>
      </c>
      <c r="R2375">
        <f t="shared" si="227"/>
        <v>0.45926419720750272</v>
      </c>
    </row>
    <row r="2376" spans="1:18" x14ac:dyDescent="0.25">
      <c r="A2376" t="s">
        <v>1348</v>
      </c>
      <c r="B2376" t="s">
        <v>1349</v>
      </c>
      <c r="C2376" t="s">
        <v>8</v>
      </c>
      <c r="D2376">
        <v>60148</v>
      </c>
      <c r="E2376" s="1">
        <v>44104</v>
      </c>
      <c r="F2376" s="2">
        <f t="shared" si="222"/>
        <v>2020</v>
      </c>
      <c r="G2376">
        <v>445</v>
      </c>
      <c r="H2376" s="3">
        <v>2646028</v>
      </c>
      <c r="I2376">
        <v>94229</v>
      </c>
      <c r="J2376">
        <v>2646028</v>
      </c>
      <c r="K2376">
        <v>2415723</v>
      </c>
      <c r="L2376">
        <v>2398563</v>
      </c>
      <c r="M2376" t="str">
        <f t="shared" si="223"/>
        <v>Large</v>
      </c>
      <c r="N2376">
        <f>VLOOKUP(C2376,Lookup!$A$2:$D$5,MATCH(M2376,Lookup!$A$1:$D$1,0),FALSE)</f>
        <v>7.4999999999999997E-2</v>
      </c>
      <c r="O2376">
        <f t="shared" si="224"/>
        <v>179892.22500000001</v>
      </c>
      <c r="P2376" s="7">
        <f t="shared" si="225"/>
        <v>0.91296199435531289</v>
      </c>
      <c r="Q2376" s="7">
        <f t="shared" si="226"/>
        <v>5946.1303370786518</v>
      </c>
      <c r="R2376">
        <f t="shared" si="227"/>
        <v>0.52380807452906875</v>
      </c>
    </row>
    <row r="2377" spans="1:18" x14ac:dyDescent="0.25">
      <c r="A2377" t="s">
        <v>1348</v>
      </c>
      <c r="B2377" t="s">
        <v>1349</v>
      </c>
      <c r="C2377" t="s">
        <v>8</v>
      </c>
      <c r="D2377">
        <v>60148</v>
      </c>
      <c r="E2377" s="1">
        <v>44469</v>
      </c>
      <c r="F2377" s="2">
        <f t="shared" si="222"/>
        <v>2021</v>
      </c>
      <c r="G2377">
        <v>365</v>
      </c>
      <c r="H2377" s="3">
        <v>2901235</v>
      </c>
      <c r="I2377">
        <v>132807</v>
      </c>
      <c r="J2377">
        <v>2901235</v>
      </c>
      <c r="K2377">
        <v>2657580</v>
      </c>
      <c r="L2377">
        <v>2636081</v>
      </c>
      <c r="M2377" t="str">
        <f t="shared" si="223"/>
        <v>Large</v>
      </c>
      <c r="N2377">
        <f>VLOOKUP(C2377,Lookup!$A$2:$D$5,MATCH(M2377,Lookup!$A$1:$D$1,0),FALSE)</f>
        <v>7.4999999999999997E-2</v>
      </c>
      <c r="O2377">
        <f t="shared" si="224"/>
        <v>197706.07499999998</v>
      </c>
      <c r="P2377" s="7">
        <f t="shared" si="225"/>
        <v>0.91601679974217876</v>
      </c>
      <c r="Q2377" s="7">
        <f t="shared" si="226"/>
        <v>7948.58904109589</v>
      </c>
      <c r="R2377">
        <f t="shared" si="227"/>
        <v>0.67173960132484556</v>
      </c>
    </row>
    <row r="2378" spans="1:18" x14ac:dyDescent="0.25">
      <c r="A2378" t="s">
        <v>1350</v>
      </c>
      <c r="B2378" t="s">
        <v>1351</v>
      </c>
      <c r="C2378" t="s">
        <v>8</v>
      </c>
      <c r="D2378">
        <v>60546</v>
      </c>
      <c r="E2378" s="1">
        <v>43738</v>
      </c>
      <c r="F2378" s="2">
        <f t="shared" si="222"/>
        <v>2019</v>
      </c>
      <c r="G2378">
        <v>72</v>
      </c>
      <c r="H2378" s="3">
        <v>275241</v>
      </c>
      <c r="I2378">
        <v>22094</v>
      </c>
      <c r="J2378">
        <v>275241</v>
      </c>
      <c r="K2378">
        <v>239554</v>
      </c>
      <c r="L2378">
        <v>234610</v>
      </c>
      <c r="M2378" t="str">
        <f t="shared" si="223"/>
        <v>Medium</v>
      </c>
      <c r="N2378">
        <f>VLOOKUP(C2378,Lookup!$A$2:$D$5,MATCH(M2378,Lookup!$A$1:$D$1,0),FALSE)</f>
        <v>0.08</v>
      </c>
      <c r="O2378">
        <f t="shared" si="224"/>
        <v>18768.8</v>
      </c>
      <c r="P2378" s="7">
        <f t="shared" si="225"/>
        <v>0.87034271783636885</v>
      </c>
      <c r="Q2378" s="7">
        <f t="shared" si="226"/>
        <v>3822.7916666666665</v>
      </c>
      <c r="R2378">
        <f t="shared" si="227"/>
        <v>1.177166361195175</v>
      </c>
    </row>
    <row r="2379" spans="1:18" x14ac:dyDescent="0.25">
      <c r="A2379" t="s">
        <v>1350</v>
      </c>
      <c r="B2379" t="s">
        <v>1351</v>
      </c>
      <c r="C2379" t="s">
        <v>8</v>
      </c>
      <c r="D2379">
        <v>60546</v>
      </c>
      <c r="E2379" s="1">
        <v>44104</v>
      </c>
      <c r="F2379" s="2">
        <f t="shared" si="222"/>
        <v>2020</v>
      </c>
      <c r="G2379">
        <v>64</v>
      </c>
      <c r="H2379" s="3">
        <v>333823</v>
      </c>
      <c r="I2379">
        <v>21224</v>
      </c>
      <c r="J2379">
        <v>333823</v>
      </c>
      <c r="K2379">
        <v>298251</v>
      </c>
      <c r="L2379">
        <v>290034</v>
      </c>
      <c r="M2379" t="str">
        <f t="shared" si="223"/>
        <v>Medium</v>
      </c>
      <c r="N2379">
        <f>VLOOKUP(C2379,Lookup!$A$2:$D$5,MATCH(M2379,Lookup!$A$1:$D$1,0),FALSE)</f>
        <v>0.08</v>
      </c>
      <c r="O2379">
        <f t="shared" si="224"/>
        <v>23202.720000000001</v>
      </c>
      <c r="P2379" s="7">
        <f t="shared" si="225"/>
        <v>0.89344053585283223</v>
      </c>
      <c r="Q2379" s="7">
        <f t="shared" si="226"/>
        <v>5215.984375</v>
      </c>
      <c r="R2379">
        <f t="shared" si="227"/>
        <v>0.91472034313218442</v>
      </c>
    </row>
    <row r="2380" spans="1:18" x14ac:dyDescent="0.25">
      <c r="A2380" t="s">
        <v>1350</v>
      </c>
      <c r="B2380" t="s">
        <v>1351</v>
      </c>
      <c r="C2380" t="s">
        <v>8</v>
      </c>
      <c r="D2380">
        <v>60546</v>
      </c>
      <c r="E2380" s="1">
        <v>44469</v>
      </c>
      <c r="F2380" s="2">
        <f t="shared" si="222"/>
        <v>2021</v>
      </c>
      <c r="G2380">
        <v>88</v>
      </c>
      <c r="H2380" s="3">
        <v>402932</v>
      </c>
      <c r="I2380">
        <v>89257</v>
      </c>
      <c r="J2380">
        <v>402932</v>
      </c>
      <c r="K2380">
        <v>363023</v>
      </c>
      <c r="L2380">
        <v>351123</v>
      </c>
      <c r="M2380" t="str">
        <f t="shared" si="223"/>
        <v>Medium</v>
      </c>
      <c r="N2380">
        <f>VLOOKUP(C2380,Lookup!$A$2:$D$5,MATCH(M2380,Lookup!$A$1:$D$1,0),FALSE)</f>
        <v>0.08</v>
      </c>
      <c r="O2380">
        <f t="shared" si="224"/>
        <v>28089.84</v>
      </c>
      <c r="P2380" s="7">
        <f t="shared" si="225"/>
        <v>0.90095351076608465</v>
      </c>
      <c r="Q2380" s="7">
        <f t="shared" si="226"/>
        <v>4578.772727272727</v>
      </c>
      <c r="R2380">
        <f t="shared" si="227"/>
        <v>3.1775545891325834</v>
      </c>
    </row>
    <row r="2381" spans="1:18" x14ac:dyDescent="0.25">
      <c r="A2381" t="s">
        <v>1352</v>
      </c>
      <c r="B2381" t="s">
        <v>515</v>
      </c>
      <c r="C2381" t="s">
        <v>5</v>
      </c>
      <c r="D2381">
        <v>94901</v>
      </c>
      <c r="E2381" s="1">
        <v>43738</v>
      </c>
      <c r="F2381" s="2">
        <f t="shared" si="222"/>
        <v>2019</v>
      </c>
      <c r="G2381">
        <v>730</v>
      </c>
      <c r="H2381" s="3">
        <v>5589309</v>
      </c>
      <c r="I2381">
        <v>416194</v>
      </c>
      <c r="J2381">
        <v>5589309</v>
      </c>
      <c r="K2381">
        <v>5026637</v>
      </c>
      <c r="L2381">
        <v>4799327</v>
      </c>
      <c r="M2381" t="str">
        <f t="shared" si="223"/>
        <v>Large</v>
      </c>
      <c r="N2381">
        <f>VLOOKUP(C2381,Lookup!$A$2:$D$5,MATCH(M2381,Lookup!$A$1:$D$1,0),FALSE)</f>
        <v>0.08</v>
      </c>
      <c r="O2381">
        <f t="shared" si="224"/>
        <v>383946.16000000003</v>
      </c>
      <c r="P2381" s="7">
        <f t="shared" si="225"/>
        <v>0.89933066860322086</v>
      </c>
      <c r="Q2381" s="7">
        <f t="shared" si="226"/>
        <v>7656.5876712328763</v>
      </c>
      <c r="R2381">
        <f t="shared" si="227"/>
        <v>1.0839905261716902</v>
      </c>
    </row>
    <row r="2382" spans="1:18" x14ac:dyDescent="0.25">
      <c r="A2382" t="s">
        <v>1352</v>
      </c>
      <c r="B2382" t="s">
        <v>515</v>
      </c>
      <c r="C2382" t="s">
        <v>5</v>
      </c>
      <c r="D2382">
        <v>94901</v>
      </c>
      <c r="E2382" s="1">
        <v>44104</v>
      </c>
      <c r="F2382" s="2">
        <f t="shared" si="222"/>
        <v>2020</v>
      </c>
      <c r="G2382">
        <v>685</v>
      </c>
      <c r="H2382" s="3">
        <v>6517382</v>
      </c>
      <c r="I2382">
        <v>399153</v>
      </c>
      <c r="J2382">
        <v>6517382</v>
      </c>
      <c r="K2382">
        <v>5809403</v>
      </c>
      <c r="L2382">
        <v>5541531</v>
      </c>
      <c r="M2382" t="str">
        <f t="shared" si="223"/>
        <v>Large</v>
      </c>
      <c r="N2382">
        <f>VLOOKUP(C2382,Lookup!$A$2:$D$5,MATCH(M2382,Lookup!$A$1:$D$1,0),FALSE)</f>
        <v>0.08</v>
      </c>
      <c r="O2382">
        <f t="shared" si="224"/>
        <v>443322.48</v>
      </c>
      <c r="P2382" s="7">
        <f t="shared" si="225"/>
        <v>0.89137064545242251</v>
      </c>
      <c r="Q2382" s="7">
        <f t="shared" si="226"/>
        <v>9514.4262773722621</v>
      </c>
      <c r="R2382">
        <f t="shared" si="227"/>
        <v>0.90036715485305419</v>
      </c>
    </row>
    <row r="2383" spans="1:18" x14ac:dyDescent="0.25">
      <c r="A2383" t="s">
        <v>1352</v>
      </c>
      <c r="B2383" t="s">
        <v>515</v>
      </c>
      <c r="C2383" t="s">
        <v>5</v>
      </c>
      <c r="D2383">
        <v>94901</v>
      </c>
      <c r="E2383" s="1">
        <v>44469</v>
      </c>
      <c r="F2383" s="2">
        <f t="shared" si="222"/>
        <v>2021</v>
      </c>
      <c r="G2383">
        <v>624</v>
      </c>
      <c r="H2383" s="3">
        <v>7363293</v>
      </c>
      <c r="I2383">
        <v>1011365</v>
      </c>
      <c r="J2383">
        <v>7363293</v>
      </c>
      <c r="K2383">
        <v>6636580</v>
      </c>
      <c r="L2383">
        <v>6291418</v>
      </c>
      <c r="M2383" t="str">
        <f t="shared" si="223"/>
        <v>Large</v>
      </c>
      <c r="N2383">
        <f>VLOOKUP(C2383,Lookup!$A$2:$D$5,MATCH(M2383,Lookup!$A$1:$D$1,0),FALSE)</f>
        <v>0.08</v>
      </c>
      <c r="O2383">
        <f t="shared" si="224"/>
        <v>503313.44</v>
      </c>
      <c r="P2383" s="7">
        <f t="shared" si="225"/>
        <v>0.90130597818122948</v>
      </c>
      <c r="Q2383" s="7">
        <f t="shared" si="226"/>
        <v>11800.149038461539</v>
      </c>
      <c r="R2383">
        <f t="shared" si="227"/>
        <v>2.0094138555092034</v>
      </c>
    </row>
    <row r="2384" spans="1:18" x14ac:dyDescent="0.25">
      <c r="A2384" t="s">
        <v>1353</v>
      </c>
      <c r="B2384" t="s">
        <v>1354</v>
      </c>
      <c r="C2384" t="s">
        <v>20</v>
      </c>
      <c r="D2384">
        <v>1085</v>
      </c>
      <c r="E2384" s="1">
        <v>43738</v>
      </c>
      <c r="F2384" s="2">
        <f t="shared" si="222"/>
        <v>2019</v>
      </c>
      <c r="G2384">
        <v>300</v>
      </c>
      <c r="H2384" s="3">
        <v>2171146</v>
      </c>
      <c r="I2384">
        <v>37407</v>
      </c>
      <c r="J2384">
        <v>2171146</v>
      </c>
      <c r="K2384">
        <v>1951677</v>
      </c>
      <c r="L2384">
        <v>1678485</v>
      </c>
      <c r="M2384" t="str">
        <f t="shared" si="223"/>
        <v>Large</v>
      </c>
      <c r="N2384">
        <f>VLOOKUP(C2384,Lookup!$A$2:$D$5,MATCH(M2384,Lookup!$A$1:$D$1,0),FALSE)</f>
        <v>0.08</v>
      </c>
      <c r="O2384">
        <f t="shared" si="224"/>
        <v>134278.79999999999</v>
      </c>
      <c r="P2384" s="7">
        <f t="shared" si="225"/>
        <v>0.89891559572686497</v>
      </c>
      <c r="Q2384" s="7">
        <f t="shared" si="226"/>
        <v>7237.1533333333336</v>
      </c>
      <c r="R2384">
        <f t="shared" si="227"/>
        <v>0.27857710971501087</v>
      </c>
    </row>
    <row r="2385" spans="1:18" x14ac:dyDescent="0.25">
      <c r="A2385" t="s">
        <v>1353</v>
      </c>
      <c r="B2385" t="s">
        <v>1354</v>
      </c>
      <c r="C2385" t="s">
        <v>20</v>
      </c>
      <c r="D2385">
        <v>1085</v>
      </c>
      <c r="E2385" s="1">
        <v>44104</v>
      </c>
      <c r="F2385" s="2">
        <f t="shared" si="222"/>
        <v>2020</v>
      </c>
      <c r="G2385">
        <v>312</v>
      </c>
      <c r="H2385" s="3">
        <v>2480786</v>
      </c>
      <c r="I2385">
        <v>168769</v>
      </c>
      <c r="J2385">
        <v>2480786</v>
      </c>
      <c r="K2385">
        <v>2263388</v>
      </c>
      <c r="L2385">
        <v>2017980</v>
      </c>
      <c r="M2385" t="str">
        <f t="shared" si="223"/>
        <v>Large</v>
      </c>
      <c r="N2385">
        <f>VLOOKUP(C2385,Lookup!$A$2:$D$5,MATCH(M2385,Lookup!$A$1:$D$1,0),FALSE)</f>
        <v>0.08</v>
      </c>
      <c r="O2385">
        <f t="shared" si="224"/>
        <v>161438.39999999999</v>
      </c>
      <c r="P2385" s="7">
        <f t="shared" si="225"/>
        <v>0.91236729004436501</v>
      </c>
      <c r="Q2385" s="7">
        <f t="shared" si="226"/>
        <v>7951.2371794871797</v>
      </c>
      <c r="R2385">
        <f t="shared" si="227"/>
        <v>1.0454080317941705</v>
      </c>
    </row>
    <row r="2386" spans="1:18" x14ac:dyDescent="0.25">
      <c r="A2386" t="s">
        <v>1353</v>
      </c>
      <c r="B2386" t="s">
        <v>1354</v>
      </c>
      <c r="C2386" t="s">
        <v>20</v>
      </c>
      <c r="D2386">
        <v>1085</v>
      </c>
      <c r="E2386" s="1">
        <v>44469</v>
      </c>
      <c r="F2386" s="2">
        <f t="shared" si="222"/>
        <v>2021</v>
      </c>
      <c r="G2386">
        <v>309</v>
      </c>
      <c r="H2386" s="3">
        <v>2503631</v>
      </c>
      <c r="I2386">
        <v>134422</v>
      </c>
      <c r="J2386">
        <v>2503631</v>
      </c>
      <c r="K2386">
        <v>2284166</v>
      </c>
      <c r="L2386">
        <v>2232183</v>
      </c>
      <c r="M2386" t="str">
        <f t="shared" si="223"/>
        <v>Large</v>
      </c>
      <c r="N2386">
        <f>VLOOKUP(C2386,Lookup!$A$2:$D$5,MATCH(M2386,Lookup!$A$1:$D$1,0),FALSE)</f>
        <v>0.08</v>
      </c>
      <c r="O2386">
        <f t="shared" si="224"/>
        <v>178574.64</v>
      </c>
      <c r="P2386" s="7">
        <f t="shared" si="225"/>
        <v>0.91234131547340647</v>
      </c>
      <c r="Q2386" s="7">
        <f t="shared" si="226"/>
        <v>8102.3656957928806</v>
      </c>
      <c r="R2386">
        <f t="shared" si="227"/>
        <v>0.75274966255006859</v>
      </c>
    </row>
    <row r="2387" spans="1:18" x14ac:dyDescent="0.25">
      <c r="A2387" t="s">
        <v>1355</v>
      </c>
      <c r="B2387" t="s">
        <v>1356</v>
      </c>
      <c r="C2387" t="s">
        <v>8</v>
      </c>
      <c r="D2387">
        <v>60187</v>
      </c>
      <c r="E2387" s="1">
        <v>43738</v>
      </c>
      <c r="F2387" s="2">
        <f t="shared" si="222"/>
        <v>2019</v>
      </c>
      <c r="G2387">
        <v>99</v>
      </c>
      <c r="H2387" s="3">
        <v>1984708</v>
      </c>
      <c r="I2387">
        <v>145881</v>
      </c>
      <c r="J2387">
        <v>1984708</v>
      </c>
      <c r="K2387">
        <v>1755282</v>
      </c>
      <c r="L2387">
        <v>1661058</v>
      </c>
      <c r="M2387" t="str">
        <f t="shared" si="223"/>
        <v>Large</v>
      </c>
      <c r="N2387">
        <f>VLOOKUP(C2387,Lookup!$A$2:$D$5,MATCH(M2387,Lookup!$A$1:$D$1,0),FALSE)</f>
        <v>7.4999999999999997E-2</v>
      </c>
      <c r="O2387">
        <f t="shared" si="224"/>
        <v>124579.34999999999</v>
      </c>
      <c r="P2387" s="7">
        <f t="shared" si="225"/>
        <v>0.88440314645781648</v>
      </c>
      <c r="Q2387" s="7">
        <f t="shared" si="226"/>
        <v>20047.555555555555</v>
      </c>
      <c r="R2387">
        <f t="shared" si="227"/>
        <v>1.170988610873311</v>
      </c>
    </row>
    <row r="2388" spans="1:18" x14ac:dyDescent="0.25">
      <c r="A2388" t="s">
        <v>1384</v>
      </c>
      <c r="B2388" t="s">
        <v>1356</v>
      </c>
      <c r="C2388" t="s">
        <v>8</v>
      </c>
      <c r="D2388">
        <v>60187</v>
      </c>
      <c r="E2388" s="1">
        <v>44104</v>
      </c>
      <c r="F2388" s="2">
        <f t="shared" si="222"/>
        <v>2020</v>
      </c>
      <c r="G2388">
        <v>99</v>
      </c>
      <c r="H2388" s="3">
        <v>2653035</v>
      </c>
      <c r="I2388">
        <v>249859</v>
      </c>
      <c r="J2388">
        <v>2653035</v>
      </c>
      <c r="K2388">
        <v>2405100</v>
      </c>
      <c r="L2388">
        <v>2248665</v>
      </c>
      <c r="M2388" t="str">
        <f t="shared" si="223"/>
        <v>Large</v>
      </c>
      <c r="N2388">
        <f>VLOOKUP(C2388,Lookup!$A$2:$D$5,MATCH(M2388,Lookup!$A$1:$D$1,0),FALSE)</f>
        <v>7.4999999999999997E-2</v>
      </c>
      <c r="O2388">
        <f t="shared" si="224"/>
        <v>168649.875</v>
      </c>
      <c r="P2388" s="7">
        <f t="shared" si="225"/>
        <v>0.90654665317268712</v>
      </c>
      <c r="Q2388" s="7">
        <f t="shared" si="226"/>
        <v>26798.333333333332</v>
      </c>
      <c r="R2388">
        <f t="shared" si="227"/>
        <v>1.4815249640712749</v>
      </c>
    </row>
    <row r="2389" spans="1:18" x14ac:dyDescent="0.25">
      <c r="A2389" t="s">
        <v>1384</v>
      </c>
      <c r="B2389" t="s">
        <v>1356</v>
      </c>
      <c r="C2389" t="s">
        <v>8</v>
      </c>
      <c r="D2389">
        <v>60187</v>
      </c>
      <c r="E2389" s="1">
        <v>44469</v>
      </c>
      <c r="F2389" s="2">
        <f t="shared" si="222"/>
        <v>2021</v>
      </c>
      <c r="G2389">
        <v>85</v>
      </c>
      <c r="H2389" s="3">
        <v>2972256</v>
      </c>
      <c r="I2389">
        <v>531176</v>
      </c>
      <c r="J2389">
        <v>2972256</v>
      </c>
      <c r="K2389">
        <v>2696380</v>
      </c>
      <c r="L2389">
        <v>2544265</v>
      </c>
      <c r="M2389" t="str">
        <f t="shared" si="223"/>
        <v>Large</v>
      </c>
      <c r="N2389">
        <f>VLOOKUP(C2389,Lookup!$A$2:$D$5,MATCH(M2389,Lookup!$A$1:$D$1,0),FALSE)</f>
        <v>7.4999999999999997E-2</v>
      </c>
      <c r="O2389">
        <f t="shared" si="224"/>
        <v>190819.875</v>
      </c>
      <c r="P2389" s="7">
        <f t="shared" si="225"/>
        <v>0.90718296135999055</v>
      </c>
      <c r="Q2389" s="7">
        <f t="shared" si="226"/>
        <v>34967.717647058824</v>
      </c>
      <c r="R2389">
        <f t="shared" si="227"/>
        <v>2.7836513361095117</v>
      </c>
    </row>
    <row r="2390" spans="1:18" x14ac:dyDescent="0.25">
      <c r="A2390" t="s">
        <v>1357</v>
      </c>
      <c r="B2390" t="s">
        <v>1358</v>
      </c>
      <c r="C2390" t="s">
        <v>8</v>
      </c>
      <c r="D2390">
        <v>62693</v>
      </c>
      <c r="E2390" s="1">
        <v>43738</v>
      </c>
      <c r="F2390" s="2">
        <f t="shared" si="222"/>
        <v>2019</v>
      </c>
      <c r="G2390">
        <v>31</v>
      </c>
      <c r="H2390" s="3">
        <v>98193</v>
      </c>
      <c r="I2390">
        <v>1998</v>
      </c>
      <c r="J2390">
        <v>98194</v>
      </c>
      <c r="K2390">
        <v>84851</v>
      </c>
      <c r="L2390">
        <v>84620</v>
      </c>
      <c r="M2390" t="str">
        <f t="shared" si="223"/>
        <v>Small</v>
      </c>
      <c r="N2390">
        <f>VLOOKUP(C2390,Lookup!$A$2:$D$5,MATCH(M2390,Lookup!$A$1:$D$1,0),FALSE)</f>
        <v>0.09</v>
      </c>
      <c r="O2390">
        <f t="shared" si="224"/>
        <v>7615.7999999999993</v>
      </c>
      <c r="P2390" s="7">
        <f t="shared" si="225"/>
        <v>0.86412473394233802</v>
      </c>
      <c r="Q2390" s="7">
        <f t="shared" si="226"/>
        <v>3167.516129032258</v>
      </c>
      <c r="R2390">
        <f t="shared" si="227"/>
        <v>0.26234932640037817</v>
      </c>
    </row>
    <row r="2391" spans="1:18" x14ac:dyDescent="0.25">
      <c r="A2391" t="s">
        <v>1357</v>
      </c>
      <c r="B2391" t="s">
        <v>1358</v>
      </c>
      <c r="C2391" t="s">
        <v>8</v>
      </c>
      <c r="D2391">
        <v>62693</v>
      </c>
      <c r="E2391" s="1">
        <v>44104</v>
      </c>
      <c r="F2391" s="2">
        <f t="shared" si="222"/>
        <v>2020</v>
      </c>
      <c r="G2391">
        <v>26</v>
      </c>
      <c r="H2391" s="3">
        <v>101738</v>
      </c>
      <c r="I2391">
        <v>2021</v>
      </c>
      <c r="J2391">
        <v>101738</v>
      </c>
      <c r="K2391">
        <v>88199</v>
      </c>
      <c r="L2391">
        <v>87750</v>
      </c>
      <c r="M2391" t="str">
        <f t="shared" si="223"/>
        <v>Medium</v>
      </c>
      <c r="N2391">
        <f>VLOOKUP(C2391,Lookup!$A$2:$D$5,MATCH(M2391,Lookup!$A$1:$D$1,0),FALSE)</f>
        <v>0.08</v>
      </c>
      <c r="O2391">
        <f t="shared" si="224"/>
        <v>7020</v>
      </c>
      <c r="P2391" s="7">
        <f t="shared" si="225"/>
        <v>0.86692288033969611</v>
      </c>
      <c r="Q2391" s="7">
        <f t="shared" si="226"/>
        <v>3913</v>
      </c>
      <c r="R2391">
        <f t="shared" si="227"/>
        <v>0.28789173789173789</v>
      </c>
    </row>
    <row r="2392" spans="1:18" x14ac:dyDescent="0.25">
      <c r="A2392" t="s">
        <v>1357</v>
      </c>
      <c r="B2392" t="s">
        <v>1358</v>
      </c>
      <c r="C2392" t="s">
        <v>8</v>
      </c>
      <c r="D2392">
        <v>62693</v>
      </c>
      <c r="E2392" s="1">
        <v>44469</v>
      </c>
      <c r="F2392" s="2">
        <f t="shared" si="222"/>
        <v>2021</v>
      </c>
      <c r="G2392">
        <v>27</v>
      </c>
      <c r="H2392" s="3">
        <v>108051</v>
      </c>
      <c r="I2392">
        <v>2271</v>
      </c>
      <c r="J2392">
        <v>108051</v>
      </c>
      <c r="K2392">
        <v>94910</v>
      </c>
      <c r="L2392">
        <v>94772</v>
      </c>
      <c r="M2392" t="str">
        <f t="shared" si="223"/>
        <v>Medium</v>
      </c>
      <c r="N2392">
        <f>VLOOKUP(C2392,Lookup!$A$2:$D$5,MATCH(M2392,Lookup!$A$1:$D$1,0),FALSE)</f>
        <v>0.08</v>
      </c>
      <c r="O2392">
        <f t="shared" si="224"/>
        <v>7581.76</v>
      </c>
      <c r="P2392" s="7">
        <f t="shared" si="225"/>
        <v>0.87838150503003209</v>
      </c>
      <c r="Q2392" s="7">
        <f t="shared" si="226"/>
        <v>4001.8888888888887</v>
      </c>
      <c r="R2392">
        <f t="shared" si="227"/>
        <v>0.29953467268813572</v>
      </c>
    </row>
    <row r="2393" spans="1:18" x14ac:dyDescent="0.25">
      <c r="A2393" t="s">
        <v>1359</v>
      </c>
      <c r="B2393" t="s">
        <v>1360</v>
      </c>
      <c r="C2393" t="s">
        <v>20</v>
      </c>
      <c r="D2393">
        <v>1890</v>
      </c>
      <c r="E2393" s="1">
        <v>43738</v>
      </c>
      <c r="F2393" s="2">
        <f t="shared" si="222"/>
        <v>2019</v>
      </c>
      <c r="G2393">
        <v>52</v>
      </c>
      <c r="H2393" s="3">
        <v>682949</v>
      </c>
      <c r="I2393">
        <v>84069</v>
      </c>
      <c r="J2393">
        <v>682949</v>
      </c>
      <c r="K2393">
        <v>594314</v>
      </c>
      <c r="L2393">
        <v>575857</v>
      </c>
      <c r="M2393" t="str">
        <f t="shared" si="223"/>
        <v>Medium</v>
      </c>
      <c r="N2393">
        <f>VLOOKUP(C2393,Lookup!$A$2:$D$5,MATCH(M2393,Lookup!$A$1:$D$1,0),FALSE)</f>
        <v>8.5000000000000006E-2</v>
      </c>
      <c r="O2393">
        <f t="shared" si="224"/>
        <v>48947.845000000001</v>
      </c>
      <c r="P2393" s="7">
        <f t="shared" si="225"/>
        <v>0.87021724901859432</v>
      </c>
      <c r="Q2393" s="7">
        <f t="shared" si="226"/>
        <v>13133.634615384615</v>
      </c>
      <c r="R2393">
        <f t="shared" si="227"/>
        <v>1.7175219869230198</v>
      </c>
    </row>
    <row r="2394" spans="1:18" x14ac:dyDescent="0.25">
      <c r="A2394" t="s">
        <v>1359</v>
      </c>
      <c r="B2394" t="s">
        <v>1360</v>
      </c>
      <c r="C2394" t="s">
        <v>20</v>
      </c>
      <c r="D2394">
        <v>1890</v>
      </c>
      <c r="E2394" s="1">
        <v>44104</v>
      </c>
      <c r="F2394" s="2">
        <f t="shared" si="222"/>
        <v>2020</v>
      </c>
      <c r="G2394">
        <v>53</v>
      </c>
      <c r="H2394" s="3">
        <v>739140</v>
      </c>
      <c r="I2394">
        <v>162207</v>
      </c>
      <c r="J2394">
        <v>739140</v>
      </c>
      <c r="K2394">
        <v>647593</v>
      </c>
      <c r="L2394">
        <v>634115</v>
      </c>
      <c r="M2394" t="str">
        <f t="shared" si="223"/>
        <v>Medium</v>
      </c>
      <c r="N2394">
        <f>VLOOKUP(C2394,Lookup!$A$2:$D$5,MATCH(M2394,Lookup!$A$1:$D$1,0),FALSE)</f>
        <v>8.5000000000000006E-2</v>
      </c>
      <c r="O2394">
        <f t="shared" si="224"/>
        <v>53899.775000000001</v>
      </c>
      <c r="P2394" s="7">
        <f t="shared" si="225"/>
        <v>0.87614389696133343</v>
      </c>
      <c r="Q2394" s="7">
        <f t="shared" si="226"/>
        <v>13946.037735849057</v>
      </c>
      <c r="R2394">
        <f t="shared" si="227"/>
        <v>3.009418870486936</v>
      </c>
    </row>
    <row r="2395" spans="1:18" x14ac:dyDescent="0.25">
      <c r="A2395" t="s">
        <v>1359</v>
      </c>
      <c r="B2395" t="s">
        <v>1360</v>
      </c>
      <c r="C2395" t="s">
        <v>20</v>
      </c>
      <c r="D2395">
        <v>1890</v>
      </c>
      <c r="E2395" s="1">
        <v>44469</v>
      </c>
      <c r="F2395" s="2">
        <f t="shared" si="222"/>
        <v>2021</v>
      </c>
      <c r="G2395">
        <v>52</v>
      </c>
      <c r="H2395" s="3">
        <v>772411</v>
      </c>
      <c r="I2395">
        <v>213923</v>
      </c>
      <c r="J2395">
        <v>772411</v>
      </c>
      <c r="K2395">
        <v>677530</v>
      </c>
      <c r="L2395">
        <v>668863</v>
      </c>
      <c r="M2395" t="str">
        <f t="shared" si="223"/>
        <v>Medium</v>
      </c>
      <c r="N2395">
        <f>VLOOKUP(C2395,Lookup!$A$2:$D$5,MATCH(M2395,Lookup!$A$1:$D$1,0),FALSE)</f>
        <v>8.5000000000000006E-2</v>
      </c>
      <c r="O2395">
        <f t="shared" si="224"/>
        <v>56853.355000000003</v>
      </c>
      <c r="P2395" s="7">
        <f t="shared" si="225"/>
        <v>0.87716254688242401</v>
      </c>
      <c r="Q2395" s="7">
        <f t="shared" si="226"/>
        <v>14854.057692307691</v>
      </c>
      <c r="R2395">
        <f t="shared" si="227"/>
        <v>3.7627154984960867</v>
      </c>
    </row>
    <row r="2396" spans="1:18" x14ac:dyDescent="0.25">
      <c r="A2396" t="s">
        <v>1361</v>
      </c>
      <c r="B2396" t="s">
        <v>1360</v>
      </c>
      <c r="C2396" t="s">
        <v>20</v>
      </c>
      <c r="D2396">
        <v>1890</v>
      </c>
      <c r="E2396" s="1">
        <v>43738</v>
      </c>
      <c r="F2396" s="2">
        <f t="shared" si="222"/>
        <v>2019</v>
      </c>
      <c r="G2396">
        <v>82</v>
      </c>
      <c r="H2396" s="3">
        <v>552399</v>
      </c>
      <c r="I2396">
        <v>31022</v>
      </c>
      <c r="J2396">
        <v>552399</v>
      </c>
      <c r="K2396">
        <v>484922</v>
      </c>
      <c r="L2396">
        <v>473140</v>
      </c>
      <c r="M2396" t="str">
        <f t="shared" si="223"/>
        <v>Medium</v>
      </c>
      <c r="N2396">
        <f>VLOOKUP(C2396,Lookup!$A$2:$D$5,MATCH(M2396,Lookup!$A$1:$D$1,0),FALSE)</f>
        <v>8.5000000000000006E-2</v>
      </c>
      <c r="O2396">
        <f t="shared" si="224"/>
        <v>40216.9</v>
      </c>
      <c r="P2396" s="7">
        <f t="shared" si="225"/>
        <v>0.8778473530907912</v>
      </c>
      <c r="Q2396" s="7">
        <f t="shared" si="226"/>
        <v>6736.5731707317073</v>
      </c>
      <c r="R2396">
        <f t="shared" si="227"/>
        <v>0.77136726102708064</v>
      </c>
    </row>
    <row r="2397" spans="1:18" x14ac:dyDescent="0.25">
      <c r="A2397" t="s">
        <v>1361</v>
      </c>
      <c r="B2397" t="s">
        <v>1360</v>
      </c>
      <c r="C2397" t="s">
        <v>20</v>
      </c>
      <c r="D2397">
        <v>1890</v>
      </c>
      <c r="E2397" s="1">
        <v>44104</v>
      </c>
      <c r="F2397" s="2">
        <f t="shared" si="222"/>
        <v>2020</v>
      </c>
      <c r="G2397">
        <v>82</v>
      </c>
      <c r="H2397" s="3">
        <v>594712</v>
      </c>
      <c r="I2397">
        <v>76634</v>
      </c>
      <c r="J2397">
        <v>594711</v>
      </c>
      <c r="K2397">
        <v>527328</v>
      </c>
      <c r="L2397">
        <v>518882</v>
      </c>
      <c r="M2397" t="str">
        <f t="shared" si="223"/>
        <v>Medium</v>
      </c>
      <c r="N2397">
        <f>VLOOKUP(C2397,Lookup!$A$2:$D$5,MATCH(M2397,Lookup!$A$1:$D$1,0),FALSE)</f>
        <v>8.5000000000000006E-2</v>
      </c>
      <c r="O2397">
        <f t="shared" si="224"/>
        <v>44104.97</v>
      </c>
      <c r="P2397" s="7">
        <f t="shared" si="225"/>
        <v>0.88669473627570994</v>
      </c>
      <c r="Q2397" s="7">
        <f t="shared" si="226"/>
        <v>7252.5853658536589</v>
      </c>
      <c r="R2397">
        <f t="shared" si="227"/>
        <v>1.7375366086860504</v>
      </c>
    </row>
    <row r="2398" spans="1:18" x14ac:dyDescent="0.25">
      <c r="A2398" t="s">
        <v>1361</v>
      </c>
      <c r="B2398" t="s">
        <v>1360</v>
      </c>
      <c r="C2398" t="s">
        <v>20</v>
      </c>
      <c r="D2398">
        <v>1890</v>
      </c>
      <c r="E2398" s="1">
        <v>44469</v>
      </c>
      <c r="F2398" s="2">
        <f t="shared" si="222"/>
        <v>2021</v>
      </c>
      <c r="G2398">
        <v>77</v>
      </c>
      <c r="H2398" s="3">
        <v>603697</v>
      </c>
      <c r="I2398">
        <v>64699</v>
      </c>
      <c r="J2398">
        <v>603697</v>
      </c>
      <c r="K2398">
        <v>532781</v>
      </c>
      <c r="L2398">
        <v>526838</v>
      </c>
      <c r="M2398" t="str">
        <f t="shared" si="223"/>
        <v>Medium</v>
      </c>
      <c r="N2398">
        <f>VLOOKUP(C2398,Lookup!$A$2:$D$5,MATCH(M2398,Lookup!$A$1:$D$1,0),FALSE)</f>
        <v>8.5000000000000006E-2</v>
      </c>
      <c r="O2398">
        <f t="shared" si="224"/>
        <v>44781.23</v>
      </c>
      <c r="P2398" s="7">
        <f t="shared" si="225"/>
        <v>0.88253047472490342</v>
      </c>
      <c r="Q2398" s="7">
        <f t="shared" si="226"/>
        <v>7840.2207792207791</v>
      </c>
      <c r="R2398">
        <f t="shared" si="227"/>
        <v>1.4447794310250075</v>
      </c>
    </row>
    <row r="2399" spans="1:18" x14ac:dyDescent="0.25">
      <c r="A2399" t="s">
        <v>1362</v>
      </c>
      <c r="B2399" t="s">
        <v>278</v>
      </c>
      <c r="C2399" t="s">
        <v>20</v>
      </c>
      <c r="D2399">
        <v>2145</v>
      </c>
      <c r="E2399" s="1">
        <v>43738</v>
      </c>
      <c r="F2399" s="2">
        <f t="shared" si="222"/>
        <v>2019</v>
      </c>
      <c r="G2399">
        <v>58</v>
      </c>
      <c r="H2399" s="3">
        <v>366505</v>
      </c>
      <c r="I2399">
        <v>13322</v>
      </c>
      <c r="J2399">
        <v>366505</v>
      </c>
      <c r="K2399">
        <v>331817</v>
      </c>
      <c r="L2399">
        <v>283475</v>
      </c>
      <c r="M2399" t="str">
        <f t="shared" si="223"/>
        <v>Medium</v>
      </c>
      <c r="N2399">
        <f>VLOOKUP(C2399,Lookup!$A$2:$D$5,MATCH(M2399,Lookup!$A$1:$D$1,0),FALSE)</f>
        <v>8.5000000000000006E-2</v>
      </c>
      <c r="O2399">
        <f t="shared" si="224"/>
        <v>24095.375</v>
      </c>
      <c r="P2399" s="7">
        <f t="shared" si="225"/>
        <v>0.90535463363392044</v>
      </c>
      <c r="Q2399" s="7">
        <f t="shared" si="226"/>
        <v>6319.0517241379312</v>
      </c>
      <c r="R2399">
        <f t="shared" si="227"/>
        <v>0.55288618666445322</v>
      </c>
    </row>
    <row r="2400" spans="1:18" x14ac:dyDescent="0.25">
      <c r="A2400" t="s">
        <v>1362</v>
      </c>
      <c r="B2400" t="s">
        <v>278</v>
      </c>
      <c r="C2400" t="s">
        <v>20</v>
      </c>
      <c r="D2400">
        <v>2145</v>
      </c>
      <c r="E2400" s="1">
        <v>44104</v>
      </c>
      <c r="F2400" s="2">
        <f t="shared" si="222"/>
        <v>2020</v>
      </c>
      <c r="G2400">
        <v>57</v>
      </c>
      <c r="H2400" s="3">
        <v>350831</v>
      </c>
      <c r="I2400">
        <v>22027</v>
      </c>
      <c r="J2400">
        <v>350831</v>
      </c>
      <c r="K2400">
        <v>314967</v>
      </c>
      <c r="L2400">
        <v>282338</v>
      </c>
      <c r="M2400" t="str">
        <f t="shared" si="223"/>
        <v>Medium</v>
      </c>
      <c r="N2400">
        <f>VLOOKUP(C2400,Lookup!$A$2:$D$5,MATCH(M2400,Lookup!$A$1:$D$1,0),FALSE)</f>
        <v>8.5000000000000006E-2</v>
      </c>
      <c r="O2400">
        <f t="shared" si="224"/>
        <v>23998.730000000003</v>
      </c>
      <c r="P2400" s="7">
        <f t="shared" si="225"/>
        <v>0.89777414196578975</v>
      </c>
      <c r="Q2400" s="7">
        <f t="shared" si="226"/>
        <v>6154.9298245614036</v>
      </c>
      <c r="R2400">
        <f t="shared" si="227"/>
        <v>0.91784023571247297</v>
      </c>
    </row>
    <row r="2401" spans="1:18" x14ac:dyDescent="0.25">
      <c r="A2401" t="s">
        <v>1362</v>
      </c>
      <c r="B2401" t="s">
        <v>278</v>
      </c>
      <c r="C2401" t="s">
        <v>20</v>
      </c>
      <c r="D2401">
        <v>2145</v>
      </c>
      <c r="E2401" s="1">
        <v>44469</v>
      </c>
      <c r="F2401" s="2">
        <f t="shared" si="222"/>
        <v>2021</v>
      </c>
      <c r="G2401">
        <v>59</v>
      </c>
      <c r="H2401" s="3">
        <v>349567</v>
      </c>
      <c r="I2401">
        <v>26054</v>
      </c>
      <c r="J2401">
        <v>349567</v>
      </c>
      <c r="K2401">
        <v>311830</v>
      </c>
      <c r="L2401">
        <v>297285</v>
      </c>
      <c r="M2401" t="str">
        <f t="shared" si="223"/>
        <v>Medium</v>
      </c>
      <c r="N2401">
        <f>VLOOKUP(C2401,Lookup!$A$2:$D$5,MATCH(M2401,Lookup!$A$1:$D$1,0),FALSE)</f>
        <v>8.5000000000000006E-2</v>
      </c>
      <c r="O2401">
        <f t="shared" si="224"/>
        <v>25269.225000000002</v>
      </c>
      <c r="P2401" s="7">
        <f t="shared" si="225"/>
        <v>0.89204644603180505</v>
      </c>
      <c r="Q2401" s="7">
        <f t="shared" si="226"/>
        <v>5924.8644067796613</v>
      </c>
      <c r="R2401">
        <f t="shared" si="227"/>
        <v>1.0310565519916024</v>
      </c>
    </row>
    <row r="2402" spans="1:18" x14ac:dyDescent="0.25">
      <c r="A2402" t="s">
        <v>1363</v>
      </c>
      <c r="B2402" t="s">
        <v>28</v>
      </c>
      <c r="C2402" t="s">
        <v>8</v>
      </c>
      <c r="D2402">
        <v>60604</v>
      </c>
      <c r="E2402" s="1">
        <v>43738</v>
      </c>
      <c r="F2402" s="2">
        <f t="shared" si="222"/>
        <v>2019</v>
      </c>
      <c r="G2402">
        <v>556</v>
      </c>
      <c r="H2402" s="3">
        <v>6444747</v>
      </c>
      <c r="I2402">
        <v>578399</v>
      </c>
      <c r="J2402">
        <v>6444747</v>
      </c>
      <c r="K2402">
        <v>5739148</v>
      </c>
      <c r="L2402">
        <v>5572644</v>
      </c>
      <c r="M2402" t="str">
        <f t="shared" si="223"/>
        <v>Large</v>
      </c>
      <c r="N2402">
        <f>VLOOKUP(C2402,Lookup!$A$2:$D$5,MATCH(M2402,Lookup!$A$1:$D$1,0),FALSE)</f>
        <v>7.4999999999999997E-2</v>
      </c>
      <c r="O2402">
        <f t="shared" si="224"/>
        <v>417948.3</v>
      </c>
      <c r="P2402" s="7">
        <f t="shared" si="225"/>
        <v>0.89051564010193107</v>
      </c>
      <c r="Q2402" s="7">
        <f t="shared" si="226"/>
        <v>11591.271582733812</v>
      </c>
      <c r="R2402">
        <f t="shared" si="227"/>
        <v>1.3839008317535926</v>
      </c>
    </row>
    <row r="2403" spans="1:18" x14ac:dyDescent="0.25">
      <c r="A2403" t="s">
        <v>1385</v>
      </c>
      <c r="B2403" t="s">
        <v>28</v>
      </c>
      <c r="C2403" t="s">
        <v>8</v>
      </c>
      <c r="D2403">
        <v>60604</v>
      </c>
      <c r="E2403" s="1">
        <v>44104</v>
      </c>
      <c r="F2403" s="2">
        <f t="shared" si="222"/>
        <v>2020</v>
      </c>
      <c r="G2403">
        <v>564</v>
      </c>
      <c r="H2403" s="3">
        <v>8238313</v>
      </c>
      <c r="I2403">
        <v>488270</v>
      </c>
      <c r="J2403">
        <v>8238313</v>
      </c>
      <c r="K2403">
        <v>7495164</v>
      </c>
      <c r="L2403">
        <v>7193760</v>
      </c>
      <c r="M2403" t="str">
        <f t="shared" si="223"/>
        <v>Large</v>
      </c>
      <c r="N2403">
        <f>VLOOKUP(C2403,Lookup!$A$2:$D$5,MATCH(M2403,Lookup!$A$1:$D$1,0),FALSE)</f>
        <v>7.4999999999999997E-2</v>
      </c>
      <c r="O2403">
        <f t="shared" si="224"/>
        <v>539532</v>
      </c>
      <c r="P2403" s="7">
        <f t="shared" si="225"/>
        <v>0.90979354632435061</v>
      </c>
      <c r="Q2403" s="7">
        <f t="shared" si="226"/>
        <v>14606.937943262412</v>
      </c>
      <c r="R2403">
        <f t="shared" si="227"/>
        <v>0.90498802666014244</v>
      </c>
    </row>
    <row r="2404" spans="1:18" x14ac:dyDescent="0.25">
      <c r="A2404" t="s">
        <v>1385</v>
      </c>
      <c r="B2404" t="s">
        <v>28</v>
      </c>
      <c r="C2404" t="s">
        <v>8</v>
      </c>
      <c r="D2404">
        <v>60604</v>
      </c>
      <c r="E2404" s="1">
        <v>44469</v>
      </c>
      <c r="F2404" s="2">
        <f t="shared" si="222"/>
        <v>2021</v>
      </c>
      <c r="G2404">
        <v>555</v>
      </c>
      <c r="H2404" s="3">
        <v>8843686</v>
      </c>
      <c r="I2404">
        <v>897621</v>
      </c>
      <c r="J2404">
        <v>8843686</v>
      </c>
      <c r="K2404">
        <v>7986658</v>
      </c>
      <c r="L2404">
        <v>7744824</v>
      </c>
      <c r="M2404" t="str">
        <f t="shared" si="223"/>
        <v>Large</v>
      </c>
      <c r="N2404">
        <f>VLOOKUP(C2404,Lookup!$A$2:$D$5,MATCH(M2404,Lookup!$A$1:$D$1,0),FALSE)</f>
        <v>7.4999999999999997E-2</v>
      </c>
      <c r="O2404">
        <f t="shared" si="224"/>
        <v>580861.79999999993</v>
      </c>
      <c r="P2404" s="7">
        <f t="shared" si="225"/>
        <v>0.90309153898046579</v>
      </c>
      <c r="Q2404" s="7">
        <f t="shared" si="226"/>
        <v>15934.56936936937</v>
      </c>
      <c r="R2404">
        <f t="shared" si="227"/>
        <v>1.5453262721012127</v>
      </c>
    </row>
    <row r="2405" spans="1:18" x14ac:dyDescent="0.25">
      <c r="A2405" t="s">
        <v>1364</v>
      </c>
      <c r="B2405" t="s">
        <v>16</v>
      </c>
      <c r="C2405" t="s">
        <v>17</v>
      </c>
      <c r="D2405">
        <v>10001</v>
      </c>
      <c r="E2405" s="1">
        <v>43738</v>
      </c>
      <c r="F2405" s="2">
        <f t="shared" si="222"/>
        <v>2019</v>
      </c>
      <c r="G2405">
        <v>243</v>
      </c>
      <c r="H2405" s="3">
        <v>2053200</v>
      </c>
      <c r="I2405">
        <v>58068</v>
      </c>
      <c r="J2405">
        <v>2053199</v>
      </c>
      <c r="K2405">
        <v>1771387</v>
      </c>
      <c r="L2405">
        <v>1741452</v>
      </c>
      <c r="M2405" t="str">
        <f t="shared" si="223"/>
        <v>Large</v>
      </c>
      <c r="N2405">
        <f>VLOOKUP(C2405,Lookup!$A$2:$D$5,MATCH(M2405,Lookup!$A$1:$D$1,0),FALSE)</f>
        <v>0.08</v>
      </c>
      <c r="O2405">
        <f t="shared" si="224"/>
        <v>139316.16</v>
      </c>
      <c r="P2405" s="7">
        <f t="shared" si="225"/>
        <v>0.86274449639586981</v>
      </c>
      <c r="Q2405" s="7">
        <f t="shared" si="226"/>
        <v>8449.382716049382</v>
      </c>
      <c r="R2405">
        <f t="shared" si="227"/>
        <v>0.41680735386332785</v>
      </c>
    </row>
    <row r="2406" spans="1:18" x14ac:dyDescent="0.25">
      <c r="A2406" t="s">
        <v>1364</v>
      </c>
      <c r="B2406" t="s">
        <v>16</v>
      </c>
      <c r="C2406" t="s">
        <v>17</v>
      </c>
      <c r="D2406">
        <v>10001</v>
      </c>
      <c r="E2406" s="1">
        <v>44104</v>
      </c>
      <c r="F2406" s="2">
        <f t="shared" si="222"/>
        <v>2020</v>
      </c>
      <c r="G2406">
        <v>252</v>
      </c>
      <c r="H2406" s="3">
        <v>2134604</v>
      </c>
      <c r="I2406">
        <v>211192</v>
      </c>
      <c r="J2406">
        <v>2134604</v>
      </c>
      <c r="K2406">
        <v>1843789</v>
      </c>
      <c r="L2406">
        <v>1815178</v>
      </c>
      <c r="M2406" t="str">
        <f t="shared" si="223"/>
        <v>Large</v>
      </c>
      <c r="N2406">
        <f>VLOOKUP(C2406,Lookup!$A$2:$D$5,MATCH(M2406,Lookup!$A$1:$D$1,0),FALSE)</f>
        <v>0.08</v>
      </c>
      <c r="O2406">
        <f t="shared" si="224"/>
        <v>145214.24</v>
      </c>
      <c r="P2406" s="7">
        <f t="shared" si="225"/>
        <v>0.86376161573762633</v>
      </c>
      <c r="Q2406" s="7">
        <f t="shared" si="226"/>
        <v>8470.6507936507933</v>
      </c>
      <c r="R2406">
        <f t="shared" si="227"/>
        <v>1.4543477278812327</v>
      </c>
    </row>
    <row r="2407" spans="1:18" x14ac:dyDescent="0.25">
      <c r="A2407" t="s">
        <v>1364</v>
      </c>
      <c r="B2407" t="s">
        <v>16</v>
      </c>
      <c r="C2407" t="s">
        <v>17</v>
      </c>
      <c r="D2407">
        <v>10001</v>
      </c>
      <c r="E2407" s="1">
        <v>44469</v>
      </c>
      <c r="F2407" s="2">
        <f t="shared" si="222"/>
        <v>2021</v>
      </c>
      <c r="G2407">
        <v>250</v>
      </c>
      <c r="H2407" s="3">
        <v>2707053</v>
      </c>
      <c r="I2407">
        <v>378768</v>
      </c>
      <c r="J2407">
        <v>2707053</v>
      </c>
      <c r="K2407">
        <v>2400093</v>
      </c>
      <c r="L2407">
        <v>2292177</v>
      </c>
      <c r="M2407" t="str">
        <f t="shared" si="223"/>
        <v>Large</v>
      </c>
      <c r="N2407">
        <f>VLOOKUP(C2407,Lookup!$A$2:$D$5,MATCH(M2407,Lookup!$A$1:$D$1,0),FALSE)</f>
        <v>0.08</v>
      </c>
      <c r="O2407">
        <f t="shared" si="224"/>
        <v>183374.16</v>
      </c>
      <c r="P2407" s="7">
        <f t="shared" si="225"/>
        <v>0.88660731799488224</v>
      </c>
      <c r="Q2407" s="7">
        <f t="shared" si="226"/>
        <v>10828.212</v>
      </c>
      <c r="R2407">
        <f t="shared" si="227"/>
        <v>2.0655472941225743</v>
      </c>
    </row>
    <row r="2408" spans="1:18" x14ac:dyDescent="0.25">
      <c r="A2408" t="s">
        <v>1365</v>
      </c>
      <c r="B2408" t="s">
        <v>1366</v>
      </c>
      <c r="C2408" t="s">
        <v>20</v>
      </c>
      <c r="D2408">
        <v>2093</v>
      </c>
      <c r="E2408" s="1">
        <v>43738</v>
      </c>
      <c r="F2408" s="2">
        <f t="shared" si="222"/>
        <v>2019</v>
      </c>
      <c r="G2408">
        <v>15</v>
      </c>
      <c r="H2408" s="3">
        <v>114998</v>
      </c>
      <c r="I2408">
        <v>29191</v>
      </c>
      <c r="J2408">
        <v>114998</v>
      </c>
      <c r="K2408">
        <v>98564</v>
      </c>
      <c r="L2408">
        <v>98193</v>
      </c>
      <c r="M2408" t="str">
        <f t="shared" si="223"/>
        <v>Medium</v>
      </c>
      <c r="N2408">
        <f>VLOOKUP(C2408,Lookup!$A$2:$D$5,MATCH(M2408,Lookup!$A$1:$D$1,0),FALSE)</f>
        <v>8.5000000000000006E-2</v>
      </c>
      <c r="O2408">
        <f t="shared" si="224"/>
        <v>8346.4050000000007</v>
      </c>
      <c r="P2408" s="7">
        <f t="shared" si="225"/>
        <v>0.85709316683768411</v>
      </c>
      <c r="Q2408" s="7">
        <f t="shared" si="226"/>
        <v>7666.5333333333338</v>
      </c>
      <c r="R2408">
        <f t="shared" si="227"/>
        <v>3.4974339251450171</v>
      </c>
    </row>
    <row r="2409" spans="1:18" x14ac:dyDescent="0.25">
      <c r="A2409" t="s">
        <v>1365</v>
      </c>
      <c r="B2409" t="s">
        <v>1366</v>
      </c>
      <c r="C2409" t="s">
        <v>20</v>
      </c>
      <c r="D2409">
        <v>2093</v>
      </c>
      <c r="E2409" s="1">
        <v>44104</v>
      </c>
      <c r="F2409" s="2">
        <f t="shared" si="222"/>
        <v>2020</v>
      </c>
      <c r="G2409">
        <v>15</v>
      </c>
      <c r="H2409" s="3">
        <v>133255</v>
      </c>
      <c r="I2409">
        <v>44691</v>
      </c>
      <c r="J2409">
        <v>133255</v>
      </c>
      <c r="K2409">
        <v>116401</v>
      </c>
      <c r="L2409">
        <v>115991</v>
      </c>
      <c r="M2409" t="str">
        <f t="shared" si="223"/>
        <v>Medium</v>
      </c>
      <c r="N2409">
        <f>VLOOKUP(C2409,Lookup!$A$2:$D$5,MATCH(M2409,Lookup!$A$1:$D$1,0),FALSE)</f>
        <v>8.5000000000000006E-2</v>
      </c>
      <c r="O2409">
        <f t="shared" si="224"/>
        <v>9859.2350000000006</v>
      </c>
      <c r="P2409" s="7">
        <f t="shared" si="225"/>
        <v>0.87352069340737681</v>
      </c>
      <c r="Q2409" s="7">
        <f t="shared" si="226"/>
        <v>8883.6666666666661</v>
      </c>
      <c r="R2409">
        <f t="shared" si="227"/>
        <v>4.5329074720300309</v>
      </c>
    </row>
    <row r="2410" spans="1:18" x14ac:dyDescent="0.25">
      <c r="A2410" t="s">
        <v>1365</v>
      </c>
      <c r="B2410" t="s">
        <v>1366</v>
      </c>
      <c r="C2410" t="s">
        <v>20</v>
      </c>
      <c r="D2410">
        <v>2093</v>
      </c>
      <c r="E2410" s="1">
        <v>44469</v>
      </c>
      <c r="F2410" s="2">
        <f t="shared" si="222"/>
        <v>2021</v>
      </c>
      <c r="G2410">
        <v>14</v>
      </c>
      <c r="H2410" s="3">
        <v>142823</v>
      </c>
      <c r="I2410">
        <v>45263</v>
      </c>
      <c r="J2410">
        <v>142823</v>
      </c>
      <c r="K2410">
        <v>125799</v>
      </c>
      <c r="L2410">
        <v>125399</v>
      </c>
      <c r="M2410" t="str">
        <f t="shared" si="223"/>
        <v>Medium</v>
      </c>
      <c r="N2410">
        <f>VLOOKUP(C2410,Lookup!$A$2:$D$5,MATCH(M2410,Lookup!$A$1:$D$1,0),FALSE)</f>
        <v>8.5000000000000006E-2</v>
      </c>
      <c r="O2410">
        <f t="shared" si="224"/>
        <v>10658.915000000001</v>
      </c>
      <c r="P2410" s="7">
        <f t="shared" si="225"/>
        <v>0.88080351203937746</v>
      </c>
      <c r="Q2410" s="7">
        <f t="shared" si="226"/>
        <v>10201.642857142857</v>
      </c>
      <c r="R2410">
        <f t="shared" si="227"/>
        <v>4.2464922555438331</v>
      </c>
    </row>
    <row r="2411" spans="1:18" x14ac:dyDescent="0.25">
      <c r="A2411" t="s">
        <v>1367</v>
      </c>
      <c r="B2411" t="s">
        <v>1338</v>
      </c>
      <c r="C2411" t="s">
        <v>17</v>
      </c>
      <c r="D2411">
        <v>13601</v>
      </c>
      <c r="E2411" s="1">
        <v>43738</v>
      </c>
      <c r="F2411" s="2">
        <f t="shared" si="222"/>
        <v>2019</v>
      </c>
      <c r="G2411">
        <v>15</v>
      </c>
      <c r="H2411" s="3">
        <v>109330</v>
      </c>
      <c r="I2411">
        <v>20301</v>
      </c>
      <c r="J2411">
        <v>109331</v>
      </c>
      <c r="K2411">
        <v>95210</v>
      </c>
      <c r="L2411">
        <v>95173</v>
      </c>
      <c r="M2411" t="str">
        <f t="shared" si="223"/>
        <v>Medium</v>
      </c>
      <c r="N2411">
        <f>VLOOKUP(C2411,Lookup!$A$2:$D$5,MATCH(M2411,Lookup!$A$1:$D$1,0),FALSE)</f>
        <v>8.5000000000000006E-2</v>
      </c>
      <c r="O2411">
        <f t="shared" si="224"/>
        <v>8089.7050000000008</v>
      </c>
      <c r="P2411" s="7">
        <f t="shared" si="225"/>
        <v>0.87084972102808011</v>
      </c>
      <c r="Q2411" s="7">
        <f t="shared" si="226"/>
        <v>7288.666666666667</v>
      </c>
      <c r="R2411">
        <f t="shared" si="227"/>
        <v>2.5094858217944904</v>
      </c>
    </row>
    <row r="2412" spans="1:18" x14ac:dyDescent="0.25">
      <c r="A2412" t="s">
        <v>1367</v>
      </c>
      <c r="B2412" t="s">
        <v>1338</v>
      </c>
      <c r="C2412" t="s">
        <v>17</v>
      </c>
      <c r="D2412">
        <v>13601</v>
      </c>
      <c r="E2412" s="1">
        <v>44104</v>
      </c>
      <c r="F2412" s="2">
        <f t="shared" si="222"/>
        <v>2020</v>
      </c>
      <c r="G2412">
        <v>17</v>
      </c>
      <c r="H2412" s="3">
        <v>143191</v>
      </c>
      <c r="I2412">
        <v>20335</v>
      </c>
      <c r="J2412">
        <v>143191</v>
      </c>
      <c r="K2412">
        <v>127239</v>
      </c>
      <c r="L2412">
        <v>126646</v>
      </c>
      <c r="M2412" t="str">
        <f t="shared" si="223"/>
        <v>Medium</v>
      </c>
      <c r="N2412">
        <f>VLOOKUP(C2412,Lookup!$A$2:$D$5,MATCH(M2412,Lookup!$A$1:$D$1,0),FALSE)</f>
        <v>8.5000000000000006E-2</v>
      </c>
      <c r="O2412">
        <f t="shared" si="224"/>
        <v>10764.910000000002</v>
      </c>
      <c r="P2412" s="7">
        <f t="shared" si="225"/>
        <v>0.88859635032928053</v>
      </c>
      <c r="Q2412" s="7">
        <f t="shared" si="226"/>
        <v>8423</v>
      </c>
      <c r="R2412">
        <f t="shared" si="227"/>
        <v>1.8890078969540849</v>
      </c>
    </row>
    <row r="2413" spans="1:18" x14ac:dyDescent="0.25">
      <c r="A2413" t="s">
        <v>1367</v>
      </c>
      <c r="B2413" t="s">
        <v>1338</v>
      </c>
      <c r="C2413" t="s">
        <v>17</v>
      </c>
      <c r="D2413">
        <v>13601</v>
      </c>
      <c r="E2413" s="1">
        <v>44469</v>
      </c>
      <c r="F2413" s="2">
        <f t="shared" si="222"/>
        <v>2021</v>
      </c>
      <c r="G2413">
        <v>25</v>
      </c>
      <c r="H2413" s="3">
        <v>171437</v>
      </c>
      <c r="I2413">
        <v>10932</v>
      </c>
      <c r="J2413">
        <v>171437</v>
      </c>
      <c r="K2413">
        <v>155007</v>
      </c>
      <c r="L2413">
        <v>145086</v>
      </c>
      <c r="M2413" t="str">
        <f t="shared" si="223"/>
        <v>Medium</v>
      </c>
      <c r="N2413">
        <f>VLOOKUP(C2413,Lookup!$A$2:$D$5,MATCH(M2413,Lookup!$A$1:$D$1,0),FALSE)</f>
        <v>8.5000000000000006E-2</v>
      </c>
      <c r="O2413">
        <f t="shared" si="224"/>
        <v>12332.310000000001</v>
      </c>
      <c r="P2413" s="7">
        <f t="shared" si="225"/>
        <v>0.90416304531693859</v>
      </c>
      <c r="Q2413" s="7">
        <f t="shared" si="226"/>
        <v>6857.48</v>
      </c>
      <c r="R2413">
        <f t="shared" si="227"/>
        <v>0.88645192993040223</v>
      </c>
    </row>
  </sheetData>
  <sortState xmlns:xlrd2="http://schemas.microsoft.com/office/spreadsheetml/2017/richdata2" ref="A2:Q2413">
    <sortCondition ref="A2:A2413"/>
  </sortState>
  <conditionalFormatting sqref="Q2:Q2413">
    <cfRule type="top10" dxfId="8" priority="2" rank="1"/>
    <cfRule type="top10" dxfId="7" priority="3" rank="1"/>
  </conditionalFormatting>
  <conditionalFormatting sqref="R2:R2413">
    <cfRule type="cellIs" dxfId="6" priority="1" operator="greater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G20" sqref="G20"/>
    </sheetView>
  </sheetViews>
  <sheetFormatPr defaultRowHeight="15" x14ac:dyDescent="0.25"/>
  <cols>
    <col min="1" max="1" width="12" customWidth="1"/>
    <col min="2" max="2" width="9.85546875" customWidth="1"/>
    <col min="3" max="3" width="9.140625" customWidth="1"/>
    <col min="4" max="4" width="8.7109375" customWidth="1"/>
    <col min="5" max="5" width="9.42578125" bestFit="1" customWidth="1"/>
  </cols>
  <sheetData>
    <row r="1" spans="1:4" x14ac:dyDescent="0.25">
      <c r="A1" s="4"/>
      <c r="B1" s="4" t="s">
        <v>1405</v>
      </c>
      <c r="C1" s="4" t="s">
        <v>1406</v>
      </c>
      <c r="D1" s="4" t="s">
        <v>1407</v>
      </c>
    </row>
    <row r="2" spans="1:4" x14ac:dyDescent="0.25">
      <c r="A2" s="4" t="s">
        <v>5</v>
      </c>
      <c r="B2" s="4">
        <v>0.08</v>
      </c>
      <c r="C2" s="4">
        <v>0.09</v>
      </c>
      <c r="D2" s="4">
        <v>0.1</v>
      </c>
    </row>
    <row r="3" spans="1:4" x14ac:dyDescent="0.25">
      <c r="A3" s="4" t="s">
        <v>8</v>
      </c>
      <c r="B3" s="4">
        <v>7.4999999999999997E-2</v>
      </c>
      <c r="C3" s="4">
        <v>0.08</v>
      </c>
      <c r="D3" s="4">
        <v>0.09</v>
      </c>
    </row>
    <row r="4" spans="1:4" x14ac:dyDescent="0.25">
      <c r="A4" s="4" t="s">
        <v>20</v>
      </c>
      <c r="B4" s="4">
        <v>0.08</v>
      </c>
      <c r="C4" s="4">
        <v>8.5000000000000006E-2</v>
      </c>
      <c r="D4" s="4">
        <v>9.5000000000000001E-2</v>
      </c>
    </row>
    <row r="5" spans="1:4" x14ac:dyDescent="0.25">
      <c r="A5" s="4" t="s">
        <v>17</v>
      </c>
      <c r="B5" s="4">
        <v>0.08</v>
      </c>
      <c r="C5" s="4">
        <v>8.5000000000000006E-2</v>
      </c>
      <c r="D5" s="4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19"/>
  <sheetViews>
    <sheetView workbookViewId="0">
      <selection activeCell="F7" sqref="F7:N7"/>
    </sheetView>
  </sheetViews>
  <sheetFormatPr defaultRowHeight="15" x14ac:dyDescent="0.25"/>
  <cols>
    <col min="1" max="1" width="13.140625" bestFit="1" customWidth="1"/>
    <col min="2" max="2" width="28.7109375" bestFit="1" customWidth="1"/>
  </cols>
  <sheetData>
    <row r="3" spans="1:14" x14ac:dyDescent="0.25">
      <c r="A3" s="5" t="s">
        <v>1412</v>
      </c>
      <c r="B3" t="s">
        <v>1414</v>
      </c>
    </row>
    <row r="4" spans="1:14" x14ac:dyDescent="0.25">
      <c r="A4" s="12" t="s">
        <v>1405</v>
      </c>
      <c r="B4" s="2">
        <v>894969.87055634707</v>
      </c>
      <c r="F4" s="13" t="s">
        <v>1428</v>
      </c>
      <c r="G4" s="13"/>
      <c r="H4" s="13"/>
      <c r="I4" s="13"/>
      <c r="J4" s="13"/>
      <c r="K4" s="13"/>
      <c r="L4" s="13"/>
      <c r="M4" s="13"/>
      <c r="N4" s="13"/>
    </row>
    <row r="5" spans="1:14" x14ac:dyDescent="0.25">
      <c r="A5" s="9" t="s">
        <v>5</v>
      </c>
      <c r="B5" s="2">
        <v>902145.27668202738</v>
      </c>
      <c r="H5">
        <f>B4</f>
        <v>894969.87055634707</v>
      </c>
    </row>
    <row r="6" spans="1:14" x14ac:dyDescent="0.25">
      <c r="A6" s="9" t="s">
        <v>8</v>
      </c>
      <c r="B6" s="2">
        <v>577182.98924050643</v>
      </c>
    </row>
    <row r="7" spans="1:14" x14ac:dyDescent="0.25">
      <c r="A7" s="9" t="s">
        <v>20</v>
      </c>
      <c r="B7" s="2">
        <v>589599.0906474822</v>
      </c>
      <c r="F7" s="13" t="s">
        <v>1427</v>
      </c>
      <c r="G7" s="13"/>
      <c r="H7" s="13"/>
      <c r="I7" s="13"/>
      <c r="J7" s="13"/>
      <c r="K7" s="13"/>
      <c r="L7" s="13"/>
      <c r="M7" s="13"/>
      <c r="N7" s="13"/>
    </row>
    <row r="8" spans="1:14" x14ac:dyDescent="0.25">
      <c r="A8" s="9" t="s">
        <v>17</v>
      </c>
      <c r="B8" s="2">
        <v>1382134.5899465238</v>
      </c>
      <c r="H8">
        <f>B10</f>
        <v>32913.561073170742</v>
      </c>
    </row>
    <row r="9" spans="1:14" x14ac:dyDescent="0.25">
      <c r="A9" s="12" t="s">
        <v>1406</v>
      </c>
      <c r="B9" s="2">
        <v>26122.116466309351</v>
      </c>
    </row>
    <row r="10" spans="1:14" x14ac:dyDescent="0.25">
      <c r="A10" s="9" t="s">
        <v>5</v>
      </c>
      <c r="B10" s="2">
        <v>32913.561073170742</v>
      </c>
    </row>
    <row r="11" spans="1:14" x14ac:dyDescent="0.25">
      <c r="A11" s="9" t="s">
        <v>8</v>
      </c>
      <c r="B11" s="2">
        <v>20666.9093036212</v>
      </c>
    </row>
    <row r="12" spans="1:14" x14ac:dyDescent="0.25">
      <c r="A12" s="9" t="s">
        <v>20</v>
      </c>
      <c r="B12" s="2">
        <v>34813.125327868853</v>
      </c>
    </row>
    <row r="13" spans="1:14" x14ac:dyDescent="0.25">
      <c r="A13" s="9" t="s">
        <v>17</v>
      </c>
      <c r="B13" s="2">
        <v>30792.806349999999</v>
      </c>
    </row>
    <row r="14" spans="1:14" x14ac:dyDescent="0.25">
      <c r="A14" s="12" t="s">
        <v>1407</v>
      </c>
      <c r="B14" s="2">
        <v>4225.1383703703668</v>
      </c>
    </row>
    <row r="15" spans="1:14" x14ac:dyDescent="0.25">
      <c r="A15" s="9" t="s">
        <v>5</v>
      </c>
      <c r="B15" s="2">
        <v>4995.8611111111122</v>
      </c>
    </row>
    <row r="16" spans="1:14" x14ac:dyDescent="0.25">
      <c r="A16" s="9" t="s">
        <v>8</v>
      </c>
      <c r="B16" s="2">
        <v>4255.2447413793116</v>
      </c>
    </row>
    <row r="17" spans="1:2" x14ac:dyDescent="0.25">
      <c r="A17" s="9" t="s">
        <v>20</v>
      </c>
      <c r="B17" s="2">
        <v>4142.4663636363639</v>
      </c>
    </row>
    <row r="18" spans="1:2" x14ac:dyDescent="0.25">
      <c r="A18" s="9" t="s">
        <v>17</v>
      </c>
      <c r="B18" s="2">
        <v>3387.9728571428568</v>
      </c>
    </row>
    <row r="19" spans="1:2" x14ac:dyDescent="0.25">
      <c r="A19" s="12" t="s">
        <v>1413</v>
      </c>
      <c r="B19" s="2">
        <v>274958.76633706404</v>
      </c>
    </row>
  </sheetData>
  <mergeCells count="2">
    <mergeCell ref="F4:N4"/>
    <mergeCell ref="F7: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9"/>
  <sheetViews>
    <sheetView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32" bestFit="1" customWidth="1"/>
    <col min="6" max="6" width="11.85546875" customWidth="1"/>
  </cols>
  <sheetData>
    <row r="2" spans="1:14" x14ac:dyDescent="0.25">
      <c r="F2" t="s">
        <v>1424</v>
      </c>
    </row>
    <row r="3" spans="1:14" x14ac:dyDescent="0.25">
      <c r="A3" s="5" t="s">
        <v>1412</v>
      </c>
      <c r="B3" t="s">
        <v>1416</v>
      </c>
    </row>
    <row r="4" spans="1:14" x14ac:dyDescent="0.25">
      <c r="A4" s="12">
        <v>2019</v>
      </c>
      <c r="B4" s="2">
        <v>7488.8768380433503</v>
      </c>
      <c r="E4" s="10" t="s">
        <v>1425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9" t="s">
        <v>5</v>
      </c>
      <c r="B5" s="7">
        <v>8638.50282195197</v>
      </c>
      <c r="E5" t="b">
        <v>1</v>
      </c>
    </row>
    <row r="6" spans="1:14" x14ac:dyDescent="0.25">
      <c r="A6" s="9" t="s">
        <v>8</v>
      </c>
      <c r="B6" s="7">
        <v>5767.2852811178591</v>
      </c>
      <c r="E6" t="s">
        <v>1426</v>
      </c>
    </row>
    <row r="7" spans="1:14" x14ac:dyDescent="0.25">
      <c r="A7" s="9" t="s">
        <v>20</v>
      </c>
      <c r="B7" s="7">
        <v>7472.5234152688454</v>
      </c>
      <c r="E7" t="b">
        <v>0</v>
      </c>
    </row>
    <row r="8" spans="1:14" x14ac:dyDescent="0.25">
      <c r="A8" s="9" t="s">
        <v>17</v>
      </c>
      <c r="B8" s="7">
        <v>11345.731532954533</v>
      </c>
    </row>
    <row r="9" spans="1:14" x14ac:dyDescent="0.25">
      <c r="A9" s="12">
        <v>2020</v>
      </c>
      <c r="B9" s="7">
        <v>8796.1751046523441</v>
      </c>
    </row>
    <row r="10" spans="1:14" x14ac:dyDescent="0.25">
      <c r="A10" s="9" t="s">
        <v>5</v>
      </c>
      <c r="B10" s="7">
        <v>10441.687317857899</v>
      </c>
    </row>
    <row r="11" spans="1:14" x14ac:dyDescent="0.25">
      <c r="A11" s="9" t="s">
        <v>8</v>
      </c>
      <c r="B11" s="7">
        <v>6783.0188807898021</v>
      </c>
    </row>
    <row r="12" spans="1:14" x14ac:dyDescent="0.25">
      <c r="A12" s="9" t="s">
        <v>20</v>
      </c>
      <c r="B12" s="7">
        <v>8439.5030543104112</v>
      </c>
    </row>
    <row r="13" spans="1:14" x14ac:dyDescent="0.25">
      <c r="A13" s="9" t="s">
        <v>17</v>
      </c>
      <c r="B13" s="7">
        <v>13294.938384198264</v>
      </c>
    </row>
    <row r="14" spans="1:14" x14ac:dyDescent="0.25">
      <c r="A14" s="12">
        <v>2021</v>
      </c>
      <c r="B14" s="7">
        <v>9696.2269963675008</v>
      </c>
    </row>
    <row r="15" spans="1:14" x14ac:dyDescent="0.25">
      <c r="A15" s="9" t="s">
        <v>5</v>
      </c>
      <c r="B15" s="7">
        <v>12224.993406544618</v>
      </c>
    </row>
    <row r="16" spans="1:14" x14ac:dyDescent="0.25">
      <c r="A16" s="9" t="s">
        <v>8</v>
      </c>
      <c r="B16" s="7">
        <v>7264.3627567146004</v>
      </c>
    </row>
    <row r="17" spans="1:2" x14ac:dyDescent="0.25">
      <c r="A17" s="9" t="s">
        <v>20</v>
      </c>
      <c r="B17" s="7">
        <v>9074.1915280473659</v>
      </c>
    </row>
    <row r="18" spans="1:2" x14ac:dyDescent="0.25">
      <c r="A18" s="9" t="s">
        <v>17</v>
      </c>
      <c r="B18" s="7">
        <v>14681.744455531616</v>
      </c>
    </row>
    <row r="19" spans="1:2" x14ac:dyDescent="0.25">
      <c r="A19" s="12" t="s">
        <v>1413</v>
      </c>
      <c r="B19" s="2">
        <v>8633.9223348082014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9"/>
  <sheetViews>
    <sheetView tabSelected="1"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32.140625" bestFit="1" customWidth="1"/>
  </cols>
  <sheetData>
    <row r="3" spans="1:16" x14ac:dyDescent="0.25">
      <c r="A3" s="5" t="s">
        <v>1412</v>
      </c>
      <c r="B3" t="s">
        <v>1419</v>
      </c>
    </row>
    <row r="4" spans="1:16" x14ac:dyDescent="0.25">
      <c r="A4" s="12" t="s">
        <v>1405</v>
      </c>
      <c r="B4" s="2">
        <v>0.89143185176319284</v>
      </c>
    </row>
    <row r="5" spans="1:16" x14ac:dyDescent="0.25">
      <c r="A5" s="9" t="s">
        <v>5</v>
      </c>
      <c r="B5" s="2">
        <v>0.88169316013571508</v>
      </c>
      <c r="E5" s="10" t="s">
        <v>1420</v>
      </c>
      <c r="F5" s="10"/>
      <c r="G5" s="10"/>
      <c r="H5" s="10"/>
      <c r="I5" s="10"/>
      <c r="J5" s="10"/>
      <c r="K5" s="10"/>
      <c r="L5" s="10"/>
      <c r="M5" s="10"/>
      <c r="N5" s="10"/>
    </row>
    <row r="6" spans="1:16" x14ac:dyDescent="0.25">
      <c r="A6" s="9" t="s">
        <v>8</v>
      </c>
      <c r="B6" s="2">
        <v>0.89659517326116112</v>
      </c>
      <c r="E6" t="b">
        <v>0</v>
      </c>
    </row>
    <row r="7" spans="1:16" x14ac:dyDescent="0.25">
      <c r="A7" s="9" t="s">
        <v>20</v>
      </c>
      <c r="B7" s="2">
        <v>0.89454903963624366</v>
      </c>
      <c r="E7" t="s">
        <v>1421</v>
      </c>
    </row>
    <row r="8" spans="1:16" x14ac:dyDescent="0.25">
      <c r="A8" s="9" t="s">
        <v>17</v>
      </c>
      <c r="B8" s="2">
        <v>0.896053253753193</v>
      </c>
      <c r="E8" t="b">
        <v>1</v>
      </c>
    </row>
    <row r="9" spans="1:16" x14ac:dyDescent="0.25">
      <c r="A9" s="12" t="s">
        <v>1406</v>
      </c>
      <c r="B9" s="2">
        <v>0.87751122574140894</v>
      </c>
      <c r="E9" s="14" t="s">
        <v>1422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25">
      <c r="A10" s="9" t="s">
        <v>5</v>
      </c>
      <c r="B10" s="2">
        <v>0.86065995480289237</v>
      </c>
      <c r="E10" t="b">
        <v>1</v>
      </c>
    </row>
    <row r="11" spans="1:16" x14ac:dyDescent="0.25">
      <c r="A11" s="9" t="s">
        <v>8</v>
      </c>
      <c r="B11" s="2">
        <v>0.88216864620041013</v>
      </c>
      <c r="E11" t="s">
        <v>1423</v>
      </c>
    </row>
    <row r="12" spans="1:16" x14ac:dyDescent="0.25">
      <c r="A12" s="9" t="s">
        <v>20</v>
      </c>
      <c r="B12" s="2">
        <v>0.87730303577960167</v>
      </c>
      <c r="E12" t="b">
        <v>1</v>
      </c>
    </row>
    <row r="13" spans="1:16" x14ac:dyDescent="0.25">
      <c r="A13" s="9" t="s">
        <v>17</v>
      </c>
      <c r="B13" s="2">
        <v>0.87825413282063747</v>
      </c>
    </row>
    <row r="14" spans="1:16" x14ac:dyDescent="0.25">
      <c r="A14" s="12" t="s">
        <v>1407</v>
      </c>
      <c r="B14" s="2">
        <v>0.84223806280449598</v>
      </c>
    </row>
    <row r="15" spans="1:16" x14ac:dyDescent="0.25">
      <c r="A15" s="9" t="s">
        <v>5</v>
      </c>
      <c r="B15" s="2">
        <v>0.74250567606646944</v>
      </c>
    </row>
    <row r="16" spans="1:16" x14ac:dyDescent="0.25">
      <c r="A16" s="9" t="s">
        <v>8</v>
      </c>
      <c r="B16" s="2">
        <v>0.86324801783463279</v>
      </c>
    </row>
    <row r="17" spans="1:2" x14ac:dyDescent="0.25">
      <c r="A17" s="9" t="s">
        <v>20</v>
      </c>
      <c r="B17" s="2">
        <v>0.58003576087040321</v>
      </c>
    </row>
    <row r="18" spans="1:2" x14ac:dyDescent="0.25">
      <c r="A18" s="9" t="s">
        <v>17</v>
      </c>
      <c r="B18" s="2">
        <v>0.74823606037848645</v>
      </c>
    </row>
    <row r="19" spans="1:2" x14ac:dyDescent="0.25">
      <c r="A19" s="12" t="s">
        <v>1413</v>
      </c>
      <c r="B19" s="2">
        <v>0.87563424723884808</v>
      </c>
    </row>
  </sheetData>
  <mergeCells count="1">
    <mergeCell ref="E9:P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DD51-81D3-493F-B3DC-85C869742C67}">
  <dimension ref="A3:F19"/>
  <sheetViews>
    <sheetView workbookViewId="0">
      <selection activeCell="B17" sqref="B17"/>
    </sheetView>
  </sheetViews>
  <sheetFormatPr defaultRowHeight="15" x14ac:dyDescent="0.25"/>
  <cols>
    <col min="1" max="1" width="13.140625" bestFit="1" customWidth="1"/>
    <col min="2" max="2" width="32" bestFit="1" customWidth="1"/>
    <col min="3" max="5" width="12" bestFit="1" customWidth="1"/>
  </cols>
  <sheetData>
    <row r="3" spans="1:6" x14ac:dyDescent="0.25">
      <c r="A3" s="5" t="s">
        <v>1412</v>
      </c>
      <c r="B3" t="s">
        <v>1416</v>
      </c>
    </row>
    <row r="4" spans="1:6" x14ac:dyDescent="0.25">
      <c r="A4" s="12" t="s">
        <v>1405</v>
      </c>
      <c r="B4" s="2">
        <v>12958.155169646436</v>
      </c>
      <c r="F4" t="s">
        <v>1432</v>
      </c>
    </row>
    <row r="5" spans="1:6" x14ac:dyDescent="0.25">
      <c r="A5" s="9" t="s">
        <v>5</v>
      </c>
      <c r="B5" s="2">
        <v>12544.044653340987</v>
      </c>
      <c r="F5" t="b">
        <v>1</v>
      </c>
    </row>
    <row r="6" spans="1:6" x14ac:dyDescent="0.25">
      <c r="A6" s="9" t="s">
        <v>8</v>
      </c>
      <c r="B6" s="2">
        <v>11171.447133316309</v>
      </c>
    </row>
    <row r="7" spans="1:6" x14ac:dyDescent="0.25">
      <c r="A7" s="9" t="s">
        <v>20</v>
      </c>
      <c r="B7" s="2">
        <v>9693.7734885732934</v>
      </c>
    </row>
    <row r="8" spans="1:6" x14ac:dyDescent="0.25">
      <c r="A8" s="9" t="s">
        <v>17</v>
      </c>
      <c r="B8" s="2">
        <v>17374.791027655039</v>
      </c>
    </row>
    <row r="9" spans="1:6" x14ac:dyDescent="0.25">
      <c r="A9" s="12" t="s">
        <v>1406</v>
      </c>
      <c r="B9" s="2">
        <v>7401.2360952821746</v>
      </c>
    </row>
    <row r="10" spans="1:6" x14ac:dyDescent="0.25">
      <c r="A10" s="9" t="s">
        <v>5</v>
      </c>
      <c r="B10" s="2">
        <v>8509.5261304535234</v>
      </c>
    </row>
    <row r="11" spans="1:6" x14ac:dyDescent="0.25">
      <c r="A11" s="9" t="s">
        <v>8</v>
      </c>
      <c r="B11" s="2">
        <v>6240.7299639330204</v>
      </c>
    </row>
    <row r="12" spans="1:6" x14ac:dyDescent="0.25">
      <c r="A12" s="9" t="s">
        <v>20</v>
      </c>
      <c r="B12" s="2">
        <v>7468.942554574568</v>
      </c>
    </row>
    <row r="13" spans="1:6" x14ac:dyDescent="0.25">
      <c r="A13" s="9" t="s">
        <v>17</v>
      </c>
      <c r="B13" s="2">
        <v>10369.504410522492</v>
      </c>
    </row>
    <row r="14" spans="1:6" x14ac:dyDescent="0.25">
      <c r="A14" s="12" t="s">
        <v>1407</v>
      </c>
      <c r="B14" s="2">
        <v>5124.2952029546987</v>
      </c>
    </row>
    <row r="15" spans="1:6" x14ac:dyDescent="0.25">
      <c r="A15" s="9" t="s">
        <v>5</v>
      </c>
      <c r="B15" s="2">
        <v>5943.1830308513272</v>
      </c>
    </row>
    <row r="16" spans="1:6" x14ac:dyDescent="0.25">
      <c r="A16" s="9" t="s">
        <v>8</v>
      </c>
      <c r="B16" s="2">
        <v>5221.1432966893708</v>
      </c>
    </row>
    <row r="17" spans="1:2" x14ac:dyDescent="0.25">
      <c r="A17" s="9" t="s">
        <v>20</v>
      </c>
      <c r="B17" s="2">
        <v>4713.2312043243492</v>
      </c>
    </row>
    <row r="18" spans="1:2" x14ac:dyDescent="0.25">
      <c r="A18" s="9" t="s">
        <v>17</v>
      </c>
      <c r="B18" s="2">
        <v>3555.6732909236111</v>
      </c>
    </row>
    <row r="19" spans="1:2" x14ac:dyDescent="0.25">
      <c r="A19" s="12" t="s">
        <v>1413</v>
      </c>
      <c r="B19" s="2">
        <v>8633.9223348081796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D946-B3EF-4B53-8345-6572A8188F41}">
  <dimension ref="A3:B16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41" bestFit="1" customWidth="1"/>
  </cols>
  <sheetData>
    <row r="3" spans="1:2" x14ac:dyDescent="0.25">
      <c r="A3" s="5" t="s">
        <v>1412</v>
      </c>
      <c r="B3" t="s">
        <v>1430</v>
      </c>
    </row>
    <row r="4" spans="1:2" x14ac:dyDescent="0.25">
      <c r="A4" s="12">
        <v>2019</v>
      </c>
      <c r="B4" s="2">
        <v>3.1775120162053825</v>
      </c>
    </row>
    <row r="5" spans="1:2" x14ac:dyDescent="0.25">
      <c r="A5" s="9" t="s">
        <v>1405</v>
      </c>
      <c r="B5" s="2">
        <v>5.5977878085619945</v>
      </c>
    </row>
    <row r="6" spans="1:2" x14ac:dyDescent="0.25">
      <c r="A6" s="9" t="s">
        <v>1406</v>
      </c>
      <c r="B6" s="2">
        <v>1.5122993359903263</v>
      </c>
    </row>
    <row r="7" spans="1:2" x14ac:dyDescent="0.25">
      <c r="A7" s="9" t="s">
        <v>1407</v>
      </c>
      <c r="B7" s="2">
        <v>4.6732411037475083</v>
      </c>
    </row>
    <row r="8" spans="1:2" x14ac:dyDescent="0.25">
      <c r="A8" s="12">
        <v>2020</v>
      </c>
      <c r="B8" s="2">
        <v>5.3732026392048482</v>
      </c>
    </row>
    <row r="9" spans="1:2" x14ac:dyDescent="0.25">
      <c r="A9" s="9" t="s">
        <v>1405</v>
      </c>
      <c r="B9" s="2">
        <v>10.192172815163143</v>
      </c>
    </row>
    <row r="10" spans="1:2" x14ac:dyDescent="0.25">
      <c r="A10" s="9" t="s">
        <v>1406</v>
      </c>
      <c r="B10" s="2">
        <v>2.5984279753882751</v>
      </c>
    </row>
    <row r="11" spans="1:2" x14ac:dyDescent="0.25">
      <c r="A11" s="9" t="s">
        <v>1407</v>
      </c>
      <c r="B11" s="2">
        <v>5.7648841933666306</v>
      </c>
    </row>
    <row r="12" spans="1:2" x14ac:dyDescent="0.25">
      <c r="A12" s="12">
        <v>2021</v>
      </c>
      <c r="B12" s="2">
        <v>13.422955286501564</v>
      </c>
    </row>
    <row r="13" spans="1:2" x14ac:dyDescent="0.25">
      <c r="A13" s="9" t="s">
        <v>1405</v>
      </c>
      <c r="B13" s="2">
        <v>29.606723036629688</v>
      </c>
    </row>
    <row r="14" spans="1:2" x14ac:dyDescent="0.25">
      <c r="A14" s="9" t="s">
        <v>1406</v>
      </c>
      <c r="B14" s="2">
        <v>4.1750925432238555</v>
      </c>
    </row>
    <row r="15" spans="1:2" x14ac:dyDescent="0.25">
      <c r="A15" s="9" t="s">
        <v>1407</v>
      </c>
      <c r="B15" s="2">
        <v>12.047717391489522</v>
      </c>
    </row>
    <row r="16" spans="1:2" x14ac:dyDescent="0.25">
      <c r="A16" s="12" t="s">
        <v>1413</v>
      </c>
      <c r="B16" s="2">
        <v>7.2095649482397981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6C1E-D397-45CD-A420-277A2C40E4A7}">
  <dimension ref="A3:E51"/>
  <sheetViews>
    <sheetView workbookViewId="0">
      <selection activeCell="A5" sqref="A5"/>
    </sheetView>
  </sheetViews>
  <sheetFormatPr defaultRowHeight="15" x14ac:dyDescent="0.25"/>
  <cols>
    <col min="1" max="1" width="41" bestFit="1" customWidth="1"/>
    <col min="2" max="2" width="16.28515625" bestFit="1" customWidth="1"/>
    <col min="3" max="5" width="12" bestFit="1" customWidth="1"/>
    <col min="6" max="6" width="38.5703125" bestFit="1" customWidth="1"/>
    <col min="7" max="7" width="37.42578125" bestFit="1" customWidth="1"/>
    <col min="8" max="8" width="43.5703125" bestFit="1" customWidth="1"/>
    <col min="9" max="9" width="42.5703125" bestFit="1" customWidth="1"/>
    <col min="10" max="14" width="12" bestFit="1" customWidth="1"/>
  </cols>
  <sheetData>
    <row r="3" spans="1:5" x14ac:dyDescent="0.25">
      <c r="A3" s="5" t="s">
        <v>1430</v>
      </c>
      <c r="B3" s="5" t="s">
        <v>1431</v>
      </c>
    </row>
    <row r="4" spans="1:5" x14ac:dyDescent="0.25">
      <c r="A4" s="5" t="s">
        <v>1412</v>
      </c>
      <c r="B4" t="s">
        <v>1405</v>
      </c>
      <c r="C4" t="s">
        <v>1406</v>
      </c>
      <c r="D4" t="s">
        <v>1407</v>
      </c>
      <c r="E4" t="s">
        <v>1413</v>
      </c>
    </row>
    <row r="5" spans="1:5" x14ac:dyDescent="0.25">
      <c r="A5" s="12">
        <v>2019</v>
      </c>
      <c r="B5" s="2">
        <v>5.5977878085619945</v>
      </c>
      <c r="C5" s="2">
        <v>1.5122993359903263</v>
      </c>
      <c r="D5" s="2">
        <v>4.6732411037475083</v>
      </c>
      <c r="E5" s="2">
        <v>3.1775120162053825</v>
      </c>
    </row>
    <row r="6" spans="1:5" x14ac:dyDescent="0.25">
      <c r="A6" s="12">
        <v>2020</v>
      </c>
      <c r="B6" s="2">
        <v>10.192172815163143</v>
      </c>
      <c r="C6" s="2">
        <v>2.5984279753882751</v>
      </c>
      <c r="D6" s="2">
        <v>5.7648841933666306</v>
      </c>
      <c r="E6" s="2">
        <v>5.3732026392048482</v>
      </c>
    </row>
    <row r="7" spans="1:5" x14ac:dyDescent="0.25">
      <c r="A7" s="12">
        <v>2021</v>
      </c>
      <c r="B7" s="2">
        <v>29.606723036629688</v>
      </c>
      <c r="C7" s="2">
        <v>4.1750925432238555</v>
      </c>
      <c r="D7" s="2">
        <v>12.047717391489522</v>
      </c>
      <c r="E7" s="2">
        <v>13.422955286501564</v>
      </c>
    </row>
    <row r="8" spans="1:5" x14ac:dyDescent="0.25">
      <c r="A8" s="12" t="s">
        <v>1413</v>
      </c>
      <c r="B8" s="2">
        <v>15.623843468919189</v>
      </c>
      <c r="C8" s="2">
        <v>2.7185419714123928</v>
      </c>
      <c r="D8" s="2">
        <v>7.1277544908084982</v>
      </c>
      <c r="E8" s="2">
        <v>7.2095649482397954</v>
      </c>
    </row>
    <row r="13" spans="1:5" x14ac:dyDescent="0.25">
      <c r="A13" s="11" t="s">
        <v>1412</v>
      </c>
      <c r="B13" s="11">
        <v>2019</v>
      </c>
      <c r="C13" s="11">
        <v>2020</v>
      </c>
      <c r="D13" s="11">
        <v>2021</v>
      </c>
    </row>
    <row r="14" spans="1:5" x14ac:dyDescent="0.25">
      <c r="A14" s="6" t="s">
        <v>1405</v>
      </c>
      <c r="B14" s="2">
        <v>5.5977878085619945</v>
      </c>
      <c r="C14" s="2">
        <v>10.192172815163143</v>
      </c>
      <c r="D14" s="2">
        <v>29.606723036629688</v>
      </c>
    </row>
    <row r="15" spans="1:5" x14ac:dyDescent="0.25">
      <c r="A15" s="6" t="s">
        <v>1406</v>
      </c>
      <c r="B15" s="2">
        <v>1.5122993359903263</v>
      </c>
      <c r="C15" s="2">
        <v>2.5984279753882751</v>
      </c>
      <c r="D15" s="2">
        <v>4.1750925432238555</v>
      </c>
    </row>
    <row r="16" spans="1:5" x14ac:dyDescent="0.25">
      <c r="A16" s="6" t="s">
        <v>1407</v>
      </c>
      <c r="B16" s="2">
        <v>4.6732411037475083</v>
      </c>
      <c r="C16" s="2">
        <v>5.7648841933666306</v>
      </c>
      <c r="D16" s="2">
        <v>12.047717391489522</v>
      </c>
    </row>
    <row r="40" spans="1:2" x14ac:dyDescent="0.25">
      <c r="A40" s="5" t="s">
        <v>1412</v>
      </c>
    </row>
    <row r="41" spans="1:2" x14ac:dyDescent="0.25">
      <c r="A41" s="12" t="s">
        <v>1405</v>
      </c>
      <c r="B41" s="2"/>
    </row>
    <row r="42" spans="1:2" x14ac:dyDescent="0.25">
      <c r="A42" s="9" t="s">
        <v>1433</v>
      </c>
      <c r="B42" s="2">
        <v>6753.8050734312419</v>
      </c>
    </row>
    <row r="43" spans="1:2" x14ac:dyDescent="0.25">
      <c r="A43" s="9" t="s">
        <v>1435</v>
      </c>
      <c r="B43" s="2">
        <v>267.54576469754369</v>
      </c>
    </row>
    <row r="44" spans="1:2" x14ac:dyDescent="0.25">
      <c r="A44" s="12" t="s">
        <v>1406</v>
      </c>
      <c r="B44" s="2"/>
    </row>
    <row r="45" spans="1:2" x14ac:dyDescent="0.25">
      <c r="A45" s="9" t="s">
        <v>1433</v>
      </c>
      <c r="B45" s="2">
        <v>854.66666666666663</v>
      </c>
    </row>
    <row r="46" spans="1:2" x14ac:dyDescent="0.25">
      <c r="A46" s="9" t="s">
        <v>1435</v>
      </c>
      <c r="B46" s="2">
        <v>25.520954954479933</v>
      </c>
    </row>
    <row r="47" spans="1:2" x14ac:dyDescent="0.25">
      <c r="A47" s="12" t="s">
        <v>1407</v>
      </c>
      <c r="B47" s="2"/>
    </row>
    <row r="48" spans="1:2" x14ac:dyDescent="0.25">
      <c r="A48" s="9" t="s">
        <v>1433</v>
      </c>
      <c r="B48" s="2">
        <v>561.8872266973533</v>
      </c>
    </row>
    <row r="49" spans="1:2" x14ac:dyDescent="0.25">
      <c r="A49" s="9" t="s">
        <v>1435</v>
      </c>
      <c r="B49" s="2">
        <v>37.206221636802972</v>
      </c>
    </row>
    <row r="50" spans="1:2" x14ac:dyDescent="0.25">
      <c r="A50" s="12" t="s">
        <v>1434</v>
      </c>
      <c r="B50" s="2">
        <v>6753.8050734312419</v>
      </c>
    </row>
    <row r="51" spans="1:2" x14ac:dyDescent="0.25">
      <c r="A51" s="12" t="s">
        <v>1436</v>
      </c>
      <c r="B51" s="2">
        <v>146.28217118657673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7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32" bestFit="1" customWidth="1"/>
  </cols>
  <sheetData>
    <row r="3" spans="1:2" x14ac:dyDescent="0.25">
      <c r="A3" s="5" t="s">
        <v>1412</v>
      </c>
      <c r="B3" t="s">
        <v>1416</v>
      </c>
    </row>
    <row r="4" spans="1:2" x14ac:dyDescent="0.25">
      <c r="A4" s="8" t="s">
        <v>1405</v>
      </c>
      <c r="B4" s="7">
        <v>12958.155169646427</v>
      </c>
    </row>
    <row r="5" spans="1:2" x14ac:dyDescent="0.25">
      <c r="A5" s="8" t="s">
        <v>1406</v>
      </c>
      <c r="B5" s="7">
        <v>7401.2360952821791</v>
      </c>
    </row>
    <row r="6" spans="1:2" x14ac:dyDescent="0.25">
      <c r="A6" s="8" t="s">
        <v>1407</v>
      </c>
      <c r="B6" s="7">
        <v>5124.2952029546996</v>
      </c>
    </row>
    <row r="7" spans="1:2" x14ac:dyDescent="0.25">
      <c r="A7" s="12" t="s">
        <v>1413</v>
      </c>
      <c r="B7" s="2">
        <v>8633.9223348081705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Lookup</vt:lpstr>
      <vt:lpstr>Question3&amp;4</vt:lpstr>
      <vt:lpstr>Question5&amp;6</vt:lpstr>
      <vt:lpstr>Question7</vt:lpstr>
      <vt:lpstr>Q7A</vt:lpstr>
      <vt:lpstr>Q8</vt:lpstr>
      <vt:lpstr>Q9&amp;10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Pereira</dc:creator>
  <cp:lastModifiedBy>f2per</cp:lastModifiedBy>
  <dcterms:created xsi:type="dcterms:W3CDTF">2022-02-21T04:48:06Z</dcterms:created>
  <dcterms:modified xsi:type="dcterms:W3CDTF">2022-02-28T05:27:18Z</dcterms:modified>
</cp:coreProperties>
</file>